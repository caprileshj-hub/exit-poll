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75" yWindow="-15" windowWidth="15480" windowHeight="11640" tabRatio="602" activeTab="2"/>
  </bookViews>
  <sheets>
    <sheet name="Entrada" sheetId="53" r:id="rId1"/>
    <sheet name="Nucleo" sheetId="37" r:id="rId2"/>
    <sheet name="Pantalla1" sheetId="49" r:id="rId3"/>
    <sheet name="Pantalla2" sheetId="50" r:id="rId4"/>
    <sheet name="Pantalla3" sheetId="51" r:id="rId5"/>
    <sheet name="Pantalla4" sheetId="52" r:id="rId6"/>
  </sheets>
  <definedNames>
    <definedName name="_xlnm._FilterDatabase" localSheetId="0" hidden="1">Entrada!$L$2:$P$84</definedName>
    <definedName name="CANDIDATO1">Tabla_regionales_2013[CANDIDATO1]</definedName>
    <definedName name="CENTRO1">Tabla_regionales_2013[CENTRO1]</definedName>
    <definedName name="MUNICIPIO1">Tabla_regionales_2013[MUNICIPIO1]</definedName>
    <definedName name="regionales_2013" localSheetId="0" hidden="1">Entrada!$A$2:$F$3571</definedName>
    <definedName name="TURNO1">Tabla_regionales_2013[TURNO1]</definedName>
    <definedName name="VOTOS1">Tabla_regionales_2013[VOTOS1]</definedName>
    <definedName name="VOTOS2">Tabla_regionales_2013[VOTOS2]</definedName>
  </definedNames>
  <calcPr calcId="144525"/>
</workbook>
</file>

<file path=xl/calcChain.xml><?xml version="1.0" encoding="utf-8"?>
<calcChain xmlns="http://schemas.openxmlformats.org/spreadsheetml/2006/main">
  <c r="C2" i="49" l="1"/>
  <c r="AN42" i="51" l="1"/>
  <c r="AM42" i="51"/>
  <c r="AL42" i="51"/>
  <c r="AK42" i="51"/>
  <c r="AJ42" i="51"/>
  <c r="AI42" i="51"/>
  <c r="AH42" i="51"/>
  <c r="AG42" i="51"/>
  <c r="AF42" i="51"/>
  <c r="AE42" i="51"/>
  <c r="AD42" i="51"/>
  <c r="AC42" i="51"/>
  <c r="AB42" i="51"/>
  <c r="AA42" i="51"/>
  <c r="Z42" i="51"/>
  <c r="Y42" i="51"/>
  <c r="X42" i="51"/>
  <c r="W42" i="51"/>
  <c r="T42" i="51"/>
  <c r="S42" i="51"/>
  <c r="R42" i="51"/>
  <c r="Q42" i="51"/>
  <c r="P42" i="51"/>
  <c r="O42" i="51"/>
  <c r="N42" i="51"/>
  <c r="M42" i="51"/>
  <c r="L42" i="51"/>
  <c r="K42" i="51"/>
  <c r="J42" i="51"/>
  <c r="I42" i="51"/>
  <c r="H42" i="51"/>
  <c r="G42" i="51"/>
  <c r="F42" i="51"/>
  <c r="E42" i="51"/>
  <c r="D42" i="51"/>
  <c r="C42" i="51"/>
  <c r="BH41" i="51"/>
  <c r="BG41" i="51"/>
  <c r="BF41" i="51"/>
  <c r="BE41" i="51"/>
  <c r="BD41" i="51"/>
  <c r="BC41" i="51"/>
  <c r="BB41" i="51"/>
  <c r="BA41" i="51"/>
  <c r="AZ41" i="51"/>
  <c r="AY41" i="51"/>
  <c r="AX41" i="51"/>
  <c r="AW41" i="51"/>
  <c r="AV41" i="51"/>
  <c r="AU41" i="51"/>
  <c r="AT41" i="51"/>
  <c r="AS41" i="51"/>
  <c r="AR41" i="51"/>
  <c r="AQ41" i="51"/>
  <c r="AN41" i="51"/>
  <c r="AM41" i="51"/>
  <c r="AL41" i="51"/>
  <c r="AK41" i="51"/>
  <c r="AJ41" i="51"/>
  <c r="AI41" i="51"/>
  <c r="AH41" i="51"/>
  <c r="AG41" i="51"/>
  <c r="AF41" i="51"/>
  <c r="AE41" i="51"/>
  <c r="AD41" i="51"/>
  <c r="AC41" i="51"/>
  <c r="AB41" i="51"/>
  <c r="AA41" i="51"/>
  <c r="Z41" i="51"/>
  <c r="Y41" i="51"/>
  <c r="X41" i="51"/>
  <c r="W41" i="51"/>
  <c r="T41" i="51"/>
  <c r="S41" i="51"/>
  <c r="R41" i="51"/>
  <c r="Q41" i="51"/>
  <c r="P41" i="51"/>
  <c r="O41" i="51"/>
  <c r="N41" i="51"/>
  <c r="M41" i="51"/>
  <c r="L41" i="51"/>
  <c r="K41" i="51"/>
  <c r="J41" i="51"/>
  <c r="I41" i="51"/>
  <c r="H41" i="51"/>
  <c r="G41" i="51"/>
  <c r="F41" i="51"/>
  <c r="E41" i="51"/>
  <c r="D41" i="51"/>
  <c r="C41" i="51"/>
  <c r="BH40" i="51"/>
  <c r="BG40" i="51"/>
  <c r="BF40" i="51"/>
  <c r="BE40" i="51"/>
  <c r="BD40" i="51"/>
  <c r="BC40" i="51"/>
  <c r="BB40" i="51"/>
  <c r="BA40" i="51"/>
  <c r="AZ40" i="51"/>
  <c r="AY40" i="51"/>
  <c r="AX40" i="51"/>
  <c r="AW40" i="51"/>
  <c r="AV40" i="51"/>
  <c r="AU40" i="51"/>
  <c r="AT40" i="51"/>
  <c r="AS40" i="51"/>
  <c r="AR40" i="51"/>
  <c r="AQ40" i="51"/>
  <c r="AN40" i="51"/>
  <c r="AM40" i="51"/>
  <c r="AL40" i="51"/>
  <c r="AK40" i="51"/>
  <c r="AJ40" i="51"/>
  <c r="AI40" i="51"/>
  <c r="AH40" i="51"/>
  <c r="AG40" i="51"/>
  <c r="AF40" i="51"/>
  <c r="AE40" i="51"/>
  <c r="AD40" i="51"/>
  <c r="AC40" i="51"/>
  <c r="AB40" i="51"/>
  <c r="AA40" i="51"/>
  <c r="Z40" i="51"/>
  <c r="Y40" i="51"/>
  <c r="X40" i="51"/>
  <c r="W40" i="51"/>
  <c r="T40" i="51"/>
  <c r="S40" i="51"/>
  <c r="R40" i="51"/>
  <c r="Q40" i="51"/>
  <c r="P40" i="51"/>
  <c r="O40" i="51"/>
  <c r="N40" i="51"/>
  <c r="M40" i="51"/>
  <c r="L40" i="51"/>
  <c r="K40" i="51"/>
  <c r="J40" i="51"/>
  <c r="I40" i="51"/>
  <c r="H40" i="51"/>
  <c r="G40" i="51"/>
  <c r="F40" i="51"/>
  <c r="E40" i="51"/>
  <c r="D40" i="51"/>
  <c r="C40" i="51"/>
  <c r="BH39" i="51"/>
  <c r="BG39" i="51"/>
  <c r="BF39" i="51"/>
  <c r="BE39" i="51"/>
  <c r="BD39" i="51"/>
  <c r="BC39" i="51"/>
  <c r="BB39" i="51"/>
  <c r="BA39" i="51"/>
  <c r="AZ39" i="51"/>
  <c r="AY39" i="51"/>
  <c r="AX39" i="51"/>
  <c r="AW39" i="51"/>
  <c r="AV39" i="51"/>
  <c r="AU39" i="51"/>
  <c r="AT39" i="51"/>
  <c r="AS39" i="51"/>
  <c r="AR39" i="51"/>
  <c r="AQ39" i="51"/>
  <c r="AN39" i="51"/>
  <c r="AM39" i="51"/>
  <c r="AL39" i="51"/>
  <c r="AK39" i="51"/>
  <c r="AJ39" i="51"/>
  <c r="AI39" i="51"/>
  <c r="AH39" i="51"/>
  <c r="AG39" i="51"/>
  <c r="AF39" i="51"/>
  <c r="AE39" i="51"/>
  <c r="AD39" i="51"/>
  <c r="AC39" i="51"/>
  <c r="AB39" i="51"/>
  <c r="AA39" i="51"/>
  <c r="Z39" i="51"/>
  <c r="Y39" i="51"/>
  <c r="X39" i="51"/>
  <c r="W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C39" i="51"/>
  <c r="BH38" i="51"/>
  <c r="BG38" i="51"/>
  <c r="BF38" i="51"/>
  <c r="BE38" i="51"/>
  <c r="BD38" i="51"/>
  <c r="BC38" i="51"/>
  <c r="BB38" i="51"/>
  <c r="BA38" i="51"/>
  <c r="AZ38" i="51"/>
  <c r="AY38" i="51"/>
  <c r="AX38" i="51"/>
  <c r="AW38" i="51"/>
  <c r="AV38" i="51"/>
  <c r="AU38" i="51"/>
  <c r="AT38" i="51"/>
  <c r="AS38" i="51"/>
  <c r="AR38" i="51"/>
  <c r="AQ38" i="51"/>
  <c r="AN38" i="51"/>
  <c r="AM38" i="51"/>
  <c r="AL38" i="51"/>
  <c r="AK38" i="51"/>
  <c r="AJ38" i="51"/>
  <c r="AI38" i="51"/>
  <c r="AH38" i="51"/>
  <c r="AG38" i="51"/>
  <c r="AF38" i="51"/>
  <c r="AE38" i="51"/>
  <c r="AD38" i="51"/>
  <c r="AC38" i="51"/>
  <c r="AB38" i="51"/>
  <c r="AA38" i="51"/>
  <c r="Z38" i="51"/>
  <c r="Y38" i="51"/>
  <c r="X38" i="51"/>
  <c r="W38" i="51"/>
  <c r="T38" i="51"/>
  <c r="S38" i="51"/>
  <c r="R38" i="51"/>
  <c r="Q38" i="51"/>
  <c r="P38" i="51"/>
  <c r="O38" i="51"/>
  <c r="N38" i="51"/>
  <c r="M38" i="51"/>
  <c r="L38" i="51"/>
  <c r="K38" i="51"/>
  <c r="J38" i="51"/>
  <c r="I38" i="51"/>
  <c r="H38" i="51"/>
  <c r="G38" i="51"/>
  <c r="F38" i="51"/>
  <c r="E38" i="51"/>
  <c r="D38" i="51"/>
  <c r="C38" i="51"/>
  <c r="BH37" i="51"/>
  <c r="BG37" i="51"/>
  <c r="BF37" i="51"/>
  <c r="BE37" i="51"/>
  <c r="BD37" i="51"/>
  <c r="BC37" i="51"/>
  <c r="BB37" i="51"/>
  <c r="BA37" i="51"/>
  <c r="AZ37" i="51"/>
  <c r="AY37" i="51"/>
  <c r="AX37" i="51"/>
  <c r="AW37" i="51"/>
  <c r="AV37" i="51"/>
  <c r="AU37" i="51"/>
  <c r="AT37" i="51"/>
  <c r="AS37" i="51"/>
  <c r="AR37" i="51"/>
  <c r="AQ37" i="51"/>
  <c r="AN37" i="51"/>
  <c r="AM37" i="51"/>
  <c r="AL37" i="51"/>
  <c r="AK37" i="51"/>
  <c r="AJ37" i="51"/>
  <c r="AI37" i="51"/>
  <c r="AH37" i="51"/>
  <c r="AG37" i="51"/>
  <c r="AF37" i="51"/>
  <c r="AE37" i="51"/>
  <c r="AD37" i="51"/>
  <c r="AC37" i="51"/>
  <c r="AB37" i="51"/>
  <c r="AA37" i="51"/>
  <c r="Z37" i="51"/>
  <c r="Y37" i="51"/>
  <c r="X37" i="51"/>
  <c r="W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G37" i="51"/>
  <c r="F37" i="51"/>
  <c r="E37" i="51"/>
  <c r="D37" i="51"/>
  <c r="C37" i="51"/>
  <c r="BH36" i="51"/>
  <c r="BG36" i="51"/>
  <c r="BF36" i="51"/>
  <c r="BE36" i="51"/>
  <c r="BD36" i="51"/>
  <c r="BC36" i="51"/>
  <c r="BB36" i="51"/>
  <c r="BA36" i="51"/>
  <c r="AZ36" i="51"/>
  <c r="AY36" i="51"/>
  <c r="AX36" i="51"/>
  <c r="AW36" i="51"/>
  <c r="AV36" i="51"/>
  <c r="AU36" i="51"/>
  <c r="AT36" i="51"/>
  <c r="AS36" i="51"/>
  <c r="AR36" i="51"/>
  <c r="AQ36" i="51"/>
  <c r="AN36" i="51"/>
  <c r="AM36" i="51"/>
  <c r="AL36" i="51"/>
  <c r="AK36" i="51"/>
  <c r="AJ36" i="51"/>
  <c r="AI36" i="51"/>
  <c r="AH36" i="51"/>
  <c r="AG36" i="51"/>
  <c r="AF36" i="51"/>
  <c r="AE36" i="51"/>
  <c r="AD36" i="51"/>
  <c r="AC36" i="51"/>
  <c r="AB36" i="51"/>
  <c r="AA36" i="51"/>
  <c r="Z36" i="51"/>
  <c r="Y36" i="51"/>
  <c r="X36" i="51"/>
  <c r="W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G36" i="51"/>
  <c r="F36" i="51"/>
  <c r="E36" i="51"/>
  <c r="D36" i="51"/>
  <c r="C36" i="51"/>
  <c r="BH35" i="51"/>
  <c r="BG35" i="51"/>
  <c r="BF35" i="51"/>
  <c r="BE35" i="51"/>
  <c r="BD35" i="51"/>
  <c r="BC35" i="51"/>
  <c r="BB35" i="51"/>
  <c r="BA35" i="51"/>
  <c r="AZ35" i="51"/>
  <c r="AY35" i="51"/>
  <c r="AX35" i="51"/>
  <c r="AW35" i="51"/>
  <c r="AV35" i="51"/>
  <c r="AU35" i="51"/>
  <c r="AT35" i="51"/>
  <c r="AS35" i="51"/>
  <c r="AR35" i="51"/>
  <c r="AQ35" i="51"/>
  <c r="AN35" i="51"/>
  <c r="AM35" i="51"/>
  <c r="AL35" i="51"/>
  <c r="AK35" i="51"/>
  <c r="AJ35" i="51"/>
  <c r="AI35" i="51"/>
  <c r="AH35" i="51"/>
  <c r="AG35" i="51"/>
  <c r="AF35" i="51"/>
  <c r="AE35" i="51"/>
  <c r="AD35" i="51"/>
  <c r="AC35" i="51"/>
  <c r="AB35" i="51"/>
  <c r="AA35" i="51"/>
  <c r="Z35" i="51"/>
  <c r="Y35" i="51"/>
  <c r="X35" i="51"/>
  <c r="W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H34" i="51"/>
  <c r="BG34" i="51"/>
  <c r="BF34" i="51"/>
  <c r="BE34" i="51"/>
  <c r="BD34" i="51"/>
  <c r="BC34" i="51"/>
  <c r="BB34" i="51"/>
  <c r="BA34" i="51"/>
  <c r="AZ34" i="51"/>
  <c r="AY34" i="51"/>
  <c r="AX34" i="51"/>
  <c r="AW34" i="51"/>
  <c r="AV34" i="51"/>
  <c r="AU34" i="51"/>
  <c r="AT34" i="51"/>
  <c r="AS34" i="51"/>
  <c r="AR34" i="51"/>
  <c r="AQ34" i="51"/>
  <c r="AN34" i="51"/>
  <c r="AM34" i="51"/>
  <c r="AL34" i="51"/>
  <c r="AK34" i="51"/>
  <c r="AJ34" i="51"/>
  <c r="AI34" i="51"/>
  <c r="AH34" i="51"/>
  <c r="AG34" i="51"/>
  <c r="AF34" i="51"/>
  <c r="AE34" i="51"/>
  <c r="AD34" i="51"/>
  <c r="AC34" i="51"/>
  <c r="AB34" i="51"/>
  <c r="AA34" i="51"/>
  <c r="Z34" i="51"/>
  <c r="Y34" i="51"/>
  <c r="X34" i="51"/>
  <c r="W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H34" i="51"/>
  <c r="G34" i="51"/>
  <c r="F34" i="51"/>
  <c r="E34" i="51"/>
  <c r="D34" i="51"/>
  <c r="C34" i="51"/>
  <c r="BH33" i="51"/>
  <c r="BG33" i="51"/>
  <c r="BF33" i="51"/>
  <c r="BE33" i="51"/>
  <c r="BD33" i="51"/>
  <c r="BC33" i="51"/>
  <c r="BB33" i="51"/>
  <c r="BA33" i="51"/>
  <c r="AZ33" i="51"/>
  <c r="AY33" i="51"/>
  <c r="AX33" i="51"/>
  <c r="AW33" i="51"/>
  <c r="AV33" i="51"/>
  <c r="AU33" i="51"/>
  <c r="AT33" i="51"/>
  <c r="AS33" i="51"/>
  <c r="AR33" i="51"/>
  <c r="AQ33" i="51"/>
  <c r="AN33" i="51"/>
  <c r="AM33" i="51"/>
  <c r="AL33" i="51"/>
  <c r="AK33" i="51"/>
  <c r="AJ33" i="51"/>
  <c r="AI33" i="51"/>
  <c r="AH33" i="51"/>
  <c r="AG33" i="51"/>
  <c r="AF33" i="51"/>
  <c r="AE33" i="51"/>
  <c r="AD33" i="51"/>
  <c r="AC33" i="51"/>
  <c r="AB33" i="51"/>
  <c r="AA33" i="51"/>
  <c r="Z33" i="51"/>
  <c r="Y33" i="51"/>
  <c r="X33" i="51"/>
  <c r="W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H33" i="51"/>
  <c r="G33" i="51"/>
  <c r="F33" i="51"/>
  <c r="E33" i="51"/>
  <c r="D33" i="51"/>
  <c r="C33" i="51"/>
  <c r="BH32" i="51"/>
  <c r="BG32" i="51"/>
  <c r="BF32" i="51"/>
  <c r="BE32" i="51"/>
  <c r="BD32" i="51"/>
  <c r="BC32" i="51"/>
  <c r="BB32" i="51"/>
  <c r="BA32" i="51"/>
  <c r="AZ32" i="51"/>
  <c r="AY32" i="51"/>
  <c r="AX32" i="51"/>
  <c r="AW32" i="51"/>
  <c r="AV32" i="51"/>
  <c r="AU32" i="51"/>
  <c r="AT32" i="51"/>
  <c r="AS32" i="51"/>
  <c r="AR32" i="51"/>
  <c r="AQ32" i="51"/>
  <c r="AN32" i="51"/>
  <c r="AM32" i="51"/>
  <c r="AL32" i="51"/>
  <c r="AK32" i="51"/>
  <c r="AJ32" i="51"/>
  <c r="AI32" i="51"/>
  <c r="AH32" i="51"/>
  <c r="AG32" i="51"/>
  <c r="AF32" i="51"/>
  <c r="AE32" i="51"/>
  <c r="AD32" i="51"/>
  <c r="AC32" i="51"/>
  <c r="AB32" i="51"/>
  <c r="AA32" i="51"/>
  <c r="Z32" i="51"/>
  <c r="Y32" i="51"/>
  <c r="X32" i="51"/>
  <c r="W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G32" i="51"/>
  <c r="F32" i="51"/>
  <c r="E32" i="51"/>
  <c r="D32" i="51"/>
  <c r="C32" i="51"/>
  <c r="BH31" i="51"/>
  <c r="BG31" i="51"/>
  <c r="BF31" i="51"/>
  <c r="BE31" i="51"/>
  <c r="BD31" i="51"/>
  <c r="BC31" i="51"/>
  <c r="BB31" i="51"/>
  <c r="BA31" i="51"/>
  <c r="AZ31" i="51"/>
  <c r="AY31" i="51"/>
  <c r="AX31" i="51"/>
  <c r="AW31" i="51"/>
  <c r="AV31" i="51"/>
  <c r="AU31" i="51"/>
  <c r="AT31" i="51"/>
  <c r="AS31" i="51"/>
  <c r="AR31" i="51"/>
  <c r="AQ31" i="51"/>
  <c r="AN31" i="51"/>
  <c r="AM31" i="51"/>
  <c r="AL31" i="51"/>
  <c r="AK31" i="51"/>
  <c r="AJ31" i="51"/>
  <c r="AI31" i="51"/>
  <c r="AH31" i="51"/>
  <c r="AG31" i="51"/>
  <c r="AF31" i="51"/>
  <c r="AE31" i="51"/>
  <c r="AD31" i="51"/>
  <c r="AC31" i="51"/>
  <c r="AB31" i="51"/>
  <c r="AA31" i="51"/>
  <c r="Z31" i="51"/>
  <c r="Y31" i="51"/>
  <c r="X31" i="51"/>
  <c r="W31" i="51"/>
  <c r="T31" i="51"/>
  <c r="S31" i="51"/>
  <c r="R31" i="51"/>
  <c r="Q31" i="51"/>
  <c r="P31" i="51"/>
  <c r="O31" i="51"/>
  <c r="N31" i="51"/>
  <c r="M31" i="51"/>
  <c r="L31" i="51"/>
  <c r="K31" i="51"/>
  <c r="J31" i="51"/>
  <c r="I31" i="51"/>
  <c r="H31" i="51"/>
  <c r="G31" i="51"/>
  <c r="F31" i="51"/>
  <c r="E31" i="51"/>
  <c r="D31" i="51"/>
  <c r="C31" i="51"/>
  <c r="BH30" i="51"/>
  <c r="BG30" i="51"/>
  <c r="BF30" i="51"/>
  <c r="BE30" i="51"/>
  <c r="BD30" i="51"/>
  <c r="BC30" i="51"/>
  <c r="BB30" i="51"/>
  <c r="BA30" i="51"/>
  <c r="AZ30" i="51"/>
  <c r="AY30" i="51"/>
  <c r="AX30" i="51"/>
  <c r="AW30" i="51"/>
  <c r="AV30" i="51"/>
  <c r="AU30" i="51"/>
  <c r="AT30" i="51"/>
  <c r="AS30" i="51"/>
  <c r="AR30" i="51"/>
  <c r="AQ30" i="51"/>
  <c r="AN30" i="51"/>
  <c r="AM30" i="51"/>
  <c r="AL30" i="51"/>
  <c r="AK30" i="51"/>
  <c r="AJ30" i="51"/>
  <c r="AI30" i="51"/>
  <c r="AH30" i="51"/>
  <c r="AG30" i="51"/>
  <c r="AF30" i="51"/>
  <c r="AE30" i="51"/>
  <c r="AD30" i="51"/>
  <c r="AC30" i="51"/>
  <c r="AB30" i="51"/>
  <c r="AA30" i="51"/>
  <c r="Z30" i="51"/>
  <c r="Y30" i="51"/>
  <c r="X30" i="51"/>
  <c r="W30" i="51"/>
  <c r="T30" i="51"/>
  <c r="S30" i="51"/>
  <c r="R30" i="51"/>
  <c r="Q30" i="51"/>
  <c r="P30" i="51"/>
  <c r="O30" i="51"/>
  <c r="N30" i="51"/>
  <c r="M30" i="51"/>
  <c r="L30" i="51"/>
  <c r="K30" i="51"/>
  <c r="J30" i="51"/>
  <c r="I30" i="51"/>
  <c r="H30" i="51"/>
  <c r="G30" i="51"/>
  <c r="F30" i="51"/>
  <c r="E30" i="51"/>
  <c r="D30" i="51"/>
  <c r="C30" i="51"/>
  <c r="BH29" i="51"/>
  <c r="BG29" i="51"/>
  <c r="BF29" i="51"/>
  <c r="BE29" i="51"/>
  <c r="BD29" i="51"/>
  <c r="BC29" i="51"/>
  <c r="BB29" i="51"/>
  <c r="BA29" i="51"/>
  <c r="AZ29" i="51"/>
  <c r="AY29" i="51"/>
  <c r="AX29" i="51"/>
  <c r="AW29" i="51"/>
  <c r="AV29" i="51"/>
  <c r="AU29" i="51"/>
  <c r="AT29" i="51"/>
  <c r="AS29" i="51"/>
  <c r="AR29" i="51"/>
  <c r="AQ29" i="51"/>
  <c r="AN29" i="51"/>
  <c r="AM29" i="51"/>
  <c r="AL29" i="51"/>
  <c r="AK29" i="51"/>
  <c r="AJ29" i="51"/>
  <c r="AI29" i="51"/>
  <c r="AH29" i="51"/>
  <c r="AG29" i="51"/>
  <c r="AF29" i="51"/>
  <c r="AE29" i="51"/>
  <c r="AD29" i="51"/>
  <c r="AC29" i="51"/>
  <c r="AB29" i="51"/>
  <c r="AA29" i="51"/>
  <c r="Z29" i="51"/>
  <c r="Y29" i="51"/>
  <c r="X29" i="51"/>
  <c r="W29" i="51"/>
  <c r="T29" i="51"/>
  <c r="S29" i="51"/>
  <c r="R29" i="51"/>
  <c r="Q29" i="51"/>
  <c r="P29" i="51"/>
  <c r="O29" i="51"/>
  <c r="N29" i="51"/>
  <c r="M29" i="51"/>
  <c r="L29" i="51"/>
  <c r="K29" i="51"/>
  <c r="J29" i="51"/>
  <c r="I29" i="51"/>
  <c r="H29" i="51"/>
  <c r="G29" i="51"/>
  <c r="F29" i="51"/>
  <c r="E29" i="51"/>
  <c r="D29" i="51"/>
  <c r="C29" i="51"/>
  <c r="BH28" i="51"/>
  <c r="BG28" i="51"/>
  <c r="BF28" i="51"/>
  <c r="BE28" i="51"/>
  <c r="BD28" i="51"/>
  <c r="BC28" i="51"/>
  <c r="BB28" i="51"/>
  <c r="BA28" i="51"/>
  <c r="AZ28" i="51"/>
  <c r="AY28" i="51"/>
  <c r="AX28" i="51"/>
  <c r="AW28" i="51"/>
  <c r="AV28" i="51"/>
  <c r="AU28" i="51"/>
  <c r="AT28" i="51"/>
  <c r="AS28" i="51"/>
  <c r="AR28" i="51"/>
  <c r="AQ28" i="51"/>
  <c r="AN28" i="51"/>
  <c r="AM28" i="51"/>
  <c r="AL28" i="51"/>
  <c r="AK28" i="51"/>
  <c r="AJ28" i="51"/>
  <c r="AI28" i="51"/>
  <c r="AH28" i="51"/>
  <c r="AG28" i="51"/>
  <c r="AF28" i="51"/>
  <c r="AE28" i="51"/>
  <c r="AD28" i="51"/>
  <c r="AC28" i="51"/>
  <c r="AB28" i="51"/>
  <c r="AA28" i="51"/>
  <c r="Z28" i="51"/>
  <c r="Y28" i="51"/>
  <c r="X28" i="51"/>
  <c r="W28" i="51"/>
  <c r="T28" i="51"/>
  <c r="S28" i="51"/>
  <c r="R28" i="51"/>
  <c r="Q28" i="51"/>
  <c r="P28" i="51"/>
  <c r="O28" i="51"/>
  <c r="N28" i="51"/>
  <c r="M28" i="51"/>
  <c r="L28" i="51"/>
  <c r="K28" i="51"/>
  <c r="J28" i="51"/>
  <c r="I28" i="51"/>
  <c r="H28" i="51"/>
  <c r="G28" i="51"/>
  <c r="F28" i="51"/>
  <c r="E28" i="51"/>
  <c r="D28" i="51"/>
  <c r="C28" i="51"/>
  <c r="BH27" i="51"/>
  <c r="BG27" i="51"/>
  <c r="BF27" i="51"/>
  <c r="BE27" i="51"/>
  <c r="BD27" i="51"/>
  <c r="BC27" i="51"/>
  <c r="BB27" i="51"/>
  <c r="BA27" i="51"/>
  <c r="AZ27" i="51"/>
  <c r="AY27" i="51"/>
  <c r="AX27" i="51"/>
  <c r="AW27" i="51"/>
  <c r="AV27" i="51"/>
  <c r="AU27" i="51"/>
  <c r="AT27" i="51"/>
  <c r="AS27" i="51"/>
  <c r="AR27" i="51"/>
  <c r="AQ27" i="51"/>
  <c r="AN27" i="51"/>
  <c r="AM27" i="51"/>
  <c r="AL27" i="51"/>
  <c r="AK27" i="51"/>
  <c r="AJ27" i="51"/>
  <c r="AI27" i="51"/>
  <c r="AH27" i="51"/>
  <c r="AG27" i="51"/>
  <c r="AF27" i="51"/>
  <c r="AE27" i="51"/>
  <c r="AD27" i="51"/>
  <c r="AC27" i="51"/>
  <c r="AB27" i="51"/>
  <c r="AA27" i="51"/>
  <c r="Z27" i="51"/>
  <c r="Y27" i="51"/>
  <c r="X27" i="51"/>
  <c r="W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H27" i="51"/>
  <c r="G27" i="51"/>
  <c r="F27" i="51"/>
  <c r="E27" i="51"/>
  <c r="D27" i="51"/>
  <c r="C27" i="51"/>
  <c r="BH26" i="51"/>
  <c r="BG26" i="51"/>
  <c r="BF26" i="51"/>
  <c r="BE26" i="51"/>
  <c r="BD26" i="51"/>
  <c r="BC26" i="51"/>
  <c r="BB26" i="51"/>
  <c r="BA26" i="51"/>
  <c r="AZ26" i="51"/>
  <c r="AY26" i="51"/>
  <c r="AX26" i="51"/>
  <c r="AW26" i="51"/>
  <c r="AV26" i="51"/>
  <c r="AU26" i="51"/>
  <c r="AT26" i="51"/>
  <c r="AS26" i="51"/>
  <c r="AR26" i="51"/>
  <c r="AQ26" i="51"/>
  <c r="AN26" i="51"/>
  <c r="AM26" i="51"/>
  <c r="AL26" i="51"/>
  <c r="AK26" i="51"/>
  <c r="AJ26" i="51"/>
  <c r="AI26" i="51"/>
  <c r="AH26" i="51"/>
  <c r="AG26" i="51"/>
  <c r="AF26" i="51"/>
  <c r="AE26" i="51"/>
  <c r="AD26" i="51"/>
  <c r="AC26" i="51"/>
  <c r="AB26" i="51"/>
  <c r="AA26" i="51"/>
  <c r="Z26" i="51"/>
  <c r="Y26" i="51"/>
  <c r="X26" i="51"/>
  <c r="W26" i="51"/>
  <c r="T26" i="51"/>
  <c r="S26" i="51"/>
  <c r="R26" i="51"/>
  <c r="Q26" i="51"/>
  <c r="P26" i="51"/>
  <c r="O26" i="51"/>
  <c r="N26" i="51"/>
  <c r="M26" i="51"/>
  <c r="L26" i="51"/>
  <c r="K26" i="51"/>
  <c r="J26" i="51"/>
  <c r="I26" i="51"/>
  <c r="H26" i="51"/>
  <c r="G26" i="51"/>
  <c r="F26" i="51"/>
  <c r="E26" i="51"/>
  <c r="D26" i="51"/>
  <c r="C26" i="51"/>
  <c r="BH25" i="51"/>
  <c r="BG25" i="51"/>
  <c r="BF25" i="51"/>
  <c r="BE25" i="51"/>
  <c r="BD25" i="51"/>
  <c r="BC25" i="51"/>
  <c r="BB25" i="51"/>
  <c r="BA25" i="51"/>
  <c r="AZ25" i="51"/>
  <c r="AY25" i="51"/>
  <c r="AX25" i="51"/>
  <c r="AW25" i="51"/>
  <c r="AV25" i="51"/>
  <c r="AU25" i="51"/>
  <c r="AT25" i="51"/>
  <c r="AS25" i="51"/>
  <c r="AR25" i="51"/>
  <c r="AQ25" i="51"/>
  <c r="AN25" i="51"/>
  <c r="AM25" i="51"/>
  <c r="AL25" i="51"/>
  <c r="AK25" i="51"/>
  <c r="AJ25" i="51"/>
  <c r="AI25" i="51"/>
  <c r="AH25" i="51"/>
  <c r="AG25" i="51"/>
  <c r="AF25" i="51"/>
  <c r="AE25" i="51"/>
  <c r="AD25" i="51"/>
  <c r="AC25" i="51"/>
  <c r="AB25" i="51"/>
  <c r="AA25" i="51"/>
  <c r="Z25" i="51"/>
  <c r="Y25" i="51"/>
  <c r="X25" i="51"/>
  <c r="W25" i="51"/>
  <c r="T25" i="51"/>
  <c r="S25" i="51"/>
  <c r="R25" i="51"/>
  <c r="Q25" i="51"/>
  <c r="P25" i="51"/>
  <c r="O25" i="51"/>
  <c r="N25" i="51"/>
  <c r="M25" i="51"/>
  <c r="L25" i="51"/>
  <c r="K25" i="51"/>
  <c r="J25" i="51"/>
  <c r="I25" i="51"/>
  <c r="H25" i="51"/>
  <c r="G25" i="51"/>
  <c r="F25" i="51"/>
  <c r="E25" i="51"/>
  <c r="D25" i="51"/>
  <c r="C25" i="51"/>
  <c r="BH24" i="51"/>
  <c r="BG24" i="51"/>
  <c r="BF24" i="51"/>
  <c r="BE24" i="51"/>
  <c r="BD24" i="51"/>
  <c r="BC24" i="51"/>
  <c r="BB24" i="51"/>
  <c r="BA24" i="51"/>
  <c r="AZ24" i="51"/>
  <c r="AY24" i="51"/>
  <c r="AX24" i="51"/>
  <c r="AW24" i="51"/>
  <c r="AV24" i="51"/>
  <c r="AU24" i="51"/>
  <c r="AT24" i="51"/>
  <c r="AS24" i="51"/>
  <c r="AR24" i="51"/>
  <c r="AQ24" i="51"/>
  <c r="AN24" i="51"/>
  <c r="AM24" i="51"/>
  <c r="AL24" i="51"/>
  <c r="AK24" i="51"/>
  <c r="AJ24" i="51"/>
  <c r="AI24" i="51"/>
  <c r="AH24" i="51"/>
  <c r="AG24" i="51"/>
  <c r="AF24" i="51"/>
  <c r="AE24" i="51"/>
  <c r="AD24" i="51"/>
  <c r="AC24" i="51"/>
  <c r="AB24" i="51"/>
  <c r="AA24" i="51"/>
  <c r="Z24" i="51"/>
  <c r="Y24" i="51"/>
  <c r="X24" i="51"/>
  <c r="W24" i="51"/>
  <c r="T24" i="51"/>
  <c r="S24" i="51"/>
  <c r="R24" i="51"/>
  <c r="Q24" i="51"/>
  <c r="P24" i="51"/>
  <c r="O24" i="51"/>
  <c r="N24" i="51"/>
  <c r="M24" i="51"/>
  <c r="L24" i="51"/>
  <c r="K24" i="51"/>
  <c r="J24" i="51"/>
  <c r="I24" i="51"/>
  <c r="H24" i="51"/>
  <c r="G24" i="51"/>
  <c r="F24" i="51"/>
  <c r="E24" i="51"/>
  <c r="D24" i="51"/>
  <c r="C24" i="51"/>
  <c r="BH23" i="51"/>
  <c r="BG23" i="51"/>
  <c r="BF23" i="51"/>
  <c r="BE23" i="51"/>
  <c r="BD23" i="51"/>
  <c r="BC23" i="51"/>
  <c r="BB23" i="51"/>
  <c r="BA23" i="51"/>
  <c r="AZ23" i="51"/>
  <c r="AY23" i="51"/>
  <c r="AX23" i="51"/>
  <c r="AW23" i="51"/>
  <c r="AV23" i="51"/>
  <c r="AU23" i="51"/>
  <c r="AT23" i="51"/>
  <c r="AS23" i="51"/>
  <c r="AR23" i="51"/>
  <c r="AQ23" i="51"/>
  <c r="AN23" i="51"/>
  <c r="AM23" i="51"/>
  <c r="AL23" i="51"/>
  <c r="AK23" i="51"/>
  <c r="AJ23" i="51"/>
  <c r="AI23" i="51"/>
  <c r="AH23" i="51"/>
  <c r="AG23" i="51"/>
  <c r="AF23" i="51"/>
  <c r="AE23" i="51"/>
  <c r="AD23" i="51"/>
  <c r="AC23" i="51"/>
  <c r="AB23" i="51"/>
  <c r="AA23" i="51"/>
  <c r="Z23" i="51"/>
  <c r="Y23" i="51"/>
  <c r="X23" i="51"/>
  <c r="W23" i="51"/>
  <c r="T23" i="51"/>
  <c r="S23" i="51"/>
  <c r="R23" i="51"/>
  <c r="Q23" i="51"/>
  <c r="P23" i="51"/>
  <c r="O23" i="51"/>
  <c r="N23" i="51"/>
  <c r="M23" i="51"/>
  <c r="L23" i="51"/>
  <c r="K23" i="51"/>
  <c r="J23" i="51"/>
  <c r="I23" i="51"/>
  <c r="H23" i="51"/>
  <c r="G23" i="51"/>
  <c r="F23" i="51"/>
  <c r="E23" i="51"/>
  <c r="D23" i="51"/>
  <c r="C23" i="51"/>
  <c r="BH22" i="51"/>
  <c r="BG22" i="51"/>
  <c r="BF22" i="51"/>
  <c r="BE22" i="51"/>
  <c r="BD22" i="51"/>
  <c r="BC22" i="51"/>
  <c r="BB22" i="51"/>
  <c r="BA22" i="51"/>
  <c r="AZ22" i="51"/>
  <c r="AY22" i="51"/>
  <c r="AX22" i="51"/>
  <c r="AW22" i="51"/>
  <c r="AV22" i="51"/>
  <c r="AU22" i="51"/>
  <c r="AT22" i="51"/>
  <c r="AS22" i="51"/>
  <c r="AR22" i="51"/>
  <c r="AQ22" i="51"/>
  <c r="AN22" i="51"/>
  <c r="AM22" i="51"/>
  <c r="AL22" i="51"/>
  <c r="AK22" i="51"/>
  <c r="AJ22" i="51"/>
  <c r="AI22" i="51"/>
  <c r="AH22" i="51"/>
  <c r="AG22" i="51"/>
  <c r="AF22" i="51"/>
  <c r="AE22" i="51"/>
  <c r="AD22" i="51"/>
  <c r="AC22" i="51"/>
  <c r="AB22" i="51"/>
  <c r="AA22" i="51"/>
  <c r="Z22" i="51"/>
  <c r="Y22" i="51"/>
  <c r="X22" i="51"/>
  <c r="W22" i="51"/>
  <c r="T22" i="51"/>
  <c r="S22" i="51"/>
  <c r="R22" i="51"/>
  <c r="Q22" i="51"/>
  <c r="P22" i="51"/>
  <c r="O22" i="51"/>
  <c r="N22" i="51"/>
  <c r="M22" i="51"/>
  <c r="L22" i="51"/>
  <c r="K22" i="51"/>
  <c r="J22" i="51"/>
  <c r="I22" i="51"/>
  <c r="H22" i="51"/>
  <c r="G22" i="51"/>
  <c r="F22" i="51"/>
  <c r="E22" i="51"/>
  <c r="D22" i="51"/>
  <c r="C22" i="51"/>
  <c r="BH21" i="51"/>
  <c r="BG21" i="51"/>
  <c r="BF21" i="51"/>
  <c r="BE21" i="51"/>
  <c r="BD21" i="51"/>
  <c r="BC21" i="51"/>
  <c r="BB21" i="51"/>
  <c r="BA21" i="51"/>
  <c r="AZ21" i="51"/>
  <c r="AY21" i="51"/>
  <c r="AX21" i="51"/>
  <c r="AW21" i="51"/>
  <c r="AV21" i="51"/>
  <c r="AU21" i="51"/>
  <c r="AT21" i="51"/>
  <c r="AS21" i="51"/>
  <c r="AR21" i="51"/>
  <c r="AQ21" i="51"/>
  <c r="AN21" i="51"/>
  <c r="AM21" i="51"/>
  <c r="AL21" i="51"/>
  <c r="AK21" i="51"/>
  <c r="AJ21" i="51"/>
  <c r="AI21" i="51"/>
  <c r="AH21" i="51"/>
  <c r="AG21" i="51"/>
  <c r="AF21" i="51"/>
  <c r="AE21" i="51"/>
  <c r="AD21" i="51"/>
  <c r="AC21" i="51"/>
  <c r="AB21" i="51"/>
  <c r="AA21" i="51"/>
  <c r="Z21" i="51"/>
  <c r="Y21" i="51"/>
  <c r="X21" i="51"/>
  <c r="W21" i="51"/>
  <c r="T21" i="51"/>
  <c r="S21" i="51"/>
  <c r="R21" i="51"/>
  <c r="Q21" i="51"/>
  <c r="P21" i="51"/>
  <c r="O21" i="51"/>
  <c r="N21" i="51"/>
  <c r="M21" i="51"/>
  <c r="L21" i="51"/>
  <c r="K21" i="51"/>
  <c r="J21" i="51"/>
  <c r="I21" i="51"/>
  <c r="H21" i="51"/>
  <c r="G21" i="51"/>
  <c r="F21" i="51"/>
  <c r="E21" i="51"/>
  <c r="D21" i="51"/>
  <c r="C21" i="51"/>
  <c r="BH20" i="51"/>
  <c r="BG20" i="51"/>
  <c r="BF20" i="51"/>
  <c r="BE20" i="51"/>
  <c r="BD20" i="51"/>
  <c r="BC20" i="51"/>
  <c r="BB20" i="51"/>
  <c r="BA20" i="51"/>
  <c r="AZ20" i="51"/>
  <c r="AY20" i="51"/>
  <c r="AX20" i="51"/>
  <c r="AW20" i="51"/>
  <c r="AV20" i="51"/>
  <c r="AU20" i="51"/>
  <c r="AT20" i="51"/>
  <c r="AS20" i="51"/>
  <c r="AR20" i="51"/>
  <c r="AQ20" i="51"/>
  <c r="AN20" i="51"/>
  <c r="AM20" i="51"/>
  <c r="AL20" i="51"/>
  <c r="AK20" i="51"/>
  <c r="AJ20" i="51"/>
  <c r="AI20" i="51"/>
  <c r="AH20" i="51"/>
  <c r="AG20" i="51"/>
  <c r="AF20" i="51"/>
  <c r="AE20" i="51"/>
  <c r="AD20" i="51"/>
  <c r="AC20" i="51"/>
  <c r="AB20" i="51"/>
  <c r="AA20" i="51"/>
  <c r="Z20" i="51"/>
  <c r="Y20" i="51"/>
  <c r="X20" i="51"/>
  <c r="W20" i="51"/>
  <c r="T20" i="51"/>
  <c r="S20" i="51"/>
  <c r="R20" i="51"/>
  <c r="Q20" i="51"/>
  <c r="P20" i="51"/>
  <c r="O20" i="51"/>
  <c r="N20" i="51"/>
  <c r="M20" i="51"/>
  <c r="L20" i="51"/>
  <c r="K20" i="51"/>
  <c r="J20" i="51"/>
  <c r="I20" i="51"/>
  <c r="H20" i="51"/>
  <c r="G20" i="51"/>
  <c r="F20" i="51"/>
  <c r="E20" i="51"/>
  <c r="D20" i="51"/>
  <c r="C20" i="51"/>
  <c r="BH19" i="51"/>
  <c r="BG19" i="51"/>
  <c r="BF19" i="51"/>
  <c r="BE19" i="51"/>
  <c r="BD19" i="51"/>
  <c r="BC19" i="51"/>
  <c r="BB19" i="51"/>
  <c r="BA19" i="51"/>
  <c r="AZ19" i="51"/>
  <c r="AY19" i="51"/>
  <c r="AX19" i="51"/>
  <c r="AW19" i="51"/>
  <c r="AV19" i="51"/>
  <c r="AU19" i="51"/>
  <c r="AT19" i="51"/>
  <c r="AS19" i="51"/>
  <c r="AR19" i="51"/>
  <c r="AQ19" i="51"/>
  <c r="AN19" i="51"/>
  <c r="AM19" i="51"/>
  <c r="AL19" i="51"/>
  <c r="AK19" i="51"/>
  <c r="AJ19" i="51"/>
  <c r="AI19" i="51"/>
  <c r="AH19" i="51"/>
  <c r="AG19" i="51"/>
  <c r="AF19" i="51"/>
  <c r="AE19" i="51"/>
  <c r="AD19" i="51"/>
  <c r="AC19" i="51"/>
  <c r="AB19" i="51"/>
  <c r="AA19" i="51"/>
  <c r="Z19" i="51"/>
  <c r="Y19" i="51"/>
  <c r="X19" i="51"/>
  <c r="W19" i="51"/>
  <c r="T19" i="51"/>
  <c r="S19" i="51"/>
  <c r="R19" i="51"/>
  <c r="Q19" i="51"/>
  <c r="P19" i="51"/>
  <c r="O19" i="51"/>
  <c r="N19" i="51"/>
  <c r="M19" i="51"/>
  <c r="L19" i="51"/>
  <c r="K19" i="51"/>
  <c r="J19" i="51"/>
  <c r="I19" i="51"/>
  <c r="H19" i="51"/>
  <c r="G19" i="51"/>
  <c r="F19" i="51"/>
  <c r="E19" i="51"/>
  <c r="D19" i="51"/>
  <c r="C19" i="51"/>
  <c r="BH18" i="51"/>
  <c r="BG18" i="51"/>
  <c r="BF18" i="51"/>
  <c r="BE18" i="51"/>
  <c r="BD18" i="51"/>
  <c r="BC18" i="51"/>
  <c r="BB18" i="51"/>
  <c r="BA18" i="51"/>
  <c r="AZ18" i="51"/>
  <c r="AY18" i="51"/>
  <c r="AX18" i="51"/>
  <c r="AW18" i="51"/>
  <c r="AV18" i="51"/>
  <c r="AU18" i="51"/>
  <c r="AT18" i="51"/>
  <c r="AS18" i="51"/>
  <c r="AR18" i="51"/>
  <c r="AQ18" i="51"/>
  <c r="AN18" i="51"/>
  <c r="AM18" i="51"/>
  <c r="AL18" i="51"/>
  <c r="AK18" i="51"/>
  <c r="AJ18" i="51"/>
  <c r="AI18" i="51"/>
  <c r="AH18" i="51"/>
  <c r="AG18" i="51"/>
  <c r="AF18" i="51"/>
  <c r="AE18" i="51"/>
  <c r="AD18" i="51"/>
  <c r="AC18" i="51"/>
  <c r="AB18" i="51"/>
  <c r="AA18" i="51"/>
  <c r="Z18" i="51"/>
  <c r="Y18" i="51"/>
  <c r="X18" i="51"/>
  <c r="W18" i="51"/>
  <c r="T18" i="51"/>
  <c r="S18" i="51"/>
  <c r="R18" i="51"/>
  <c r="Q18" i="51"/>
  <c r="P18" i="51"/>
  <c r="O18" i="51"/>
  <c r="N18" i="51"/>
  <c r="M18" i="51"/>
  <c r="L18" i="51"/>
  <c r="K18" i="51"/>
  <c r="J18" i="51"/>
  <c r="I18" i="51"/>
  <c r="H18" i="51"/>
  <c r="G18" i="51"/>
  <c r="F18" i="51"/>
  <c r="E18" i="51"/>
  <c r="D18" i="51"/>
  <c r="C18" i="51"/>
  <c r="BH17" i="51"/>
  <c r="BG17" i="51"/>
  <c r="BF17" i="51"/>
  <c r="BE17" i="51"/>
  <c r="BD17" i="51"/>
  <c r="BC17" i="51"/>
  <c r="BB17" i="51"/>
  <c r="BA17" i="51"/>
  <c r="AZ17" i="51"/>
  <c r="AY17" i="51"/>
  <c r="AX17" i="51"/>
  <c r="AW17" i="51"/>
  <c r="AV17" i="51"/>
  <c r="AU17" i="51"/>
  <c r="AT17" i="51"/>
  <c r="AS17" i="51"/>
  <c r="AR17" i="51"/>
  <c r="AQ17" i="51"/>
  <c r="AN17" i="51"/>
  <c r="AM17" i="51"/>
  <c r="AL17" i="51"/>
  <c r="AK17" i="51"/>
  <c r="AJ17" i="51"/>
  <c r="AI17" i="51"/>
  <c r="AH17" i="51"/>
  <c r="AG17" i="51"/>
  <c r="AF17" i="51"/>
  <c r="AE17" i="51"/>
  <c r="AD17" i="51"/>
  <c r="AC17" i="51"/>
  <c r="AB17" i="51"/>
  <c r="AA17" i="51"/>
  <c r="Z17" i="51"/>
  <c r="Y17" i="51"/>
  <c r="X17" i="51"/>
  <c r="W17" i="51"/>
  <c r="T17" i="51"/>
  <c r="S17" i="51"/>
  <c r="R17" i="51"/>
  <c r="Q17" i="51"/>
  <c r="P17" i="51"/>
  <c r="O17" i="51"/>
  <c r="N17" i="51"/>
  <c r="M17" i="51"/>
  <c r="L17" i="51"/>
  <c r="K17" i="51"/>
  <c r="J17" i="51"/>
  <c r="I17" i="51"/>
  <c r="H17" i="51"/>
  <c r="G17" i="51"/>
  <c r="F17" i="51"/>
  <c r="E17" i="51"/>
  <c r="D17" i="51"/>
  <c r="C17" i="51"/>
  <c r="BH16" i="51"/>
  <c r="BG16" i="51"/>
  <c r="BF16" i="51"/>
  <c r="BE16" i="51"/>
  <c r="BD16" i="51"/>
  <c r="BC16" i="51"/>
  <c r="BB16" i="51"/>
  <c r="BA16" i="51"/>
  <c r="AZ16" i="51"/>
  <c r="AY16" i="51"/>
  <c r="AX16" i="51"/>
  <c r="AW16" i="51"/>
  <c r="AV16" i="51"/>
  <c r="AU16" i="51"/>
  <c r="AT16" i="51"/>
  <c r="AS16" i="51"/>
  <c r="AR16" i="51"/>
  <c r="AQ16" i="51"/>
  <c r="AN16" i="51"/>
  <c r="AM16" i="51"/>
  <c r="AL16" i="51"/>
  <c r="AK16" i="51"/>
  <c r="AJ16" i="51"/>
  <c r="AI16" i="51"/>
  <c r="AH16" i="51"/>
  <c r="AG16" i="51"/>
  <c r="AF16" i="51"/>
  <c r="AE16" i="51"/>
  <c r="AD16" i="51"/>
  <c r="AC16" i="51"/>
  <c r="AB16" i="51"/>
  <c r="AA16" i="51"/>
  <c r="Z16" i="51"/>
  <c r="Y16" i="51"/>
  <c r="X16" i="51"/>
  <c r="W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G16" i="51"/>
  <c r="F16" i="51"/>
  <c r="E16" i="51"/>
  <c r="D16" i="51"/>
  <c r="C16" i="51"/>
  <c r="BH15" i="51"/>
  <c r="BG15" i="51"/>
  <c r="BF15" i="51"/>
  <c r="BE15" i="51"/>
  <c r="BD15" i="51"/>
  <c r="BC15" i="51"/>
  <c r="BB15" i="51"/>
  <c r="BA15" i="51"/>
  <c r="AZ15" i="51"/>
  <c r="AY15" i="51"/>
  <c r="AX15" i="51"/>
  <c r="AW15" i="51"/>
  <c r="AV15" i="51"/>
  <c r="AU15" i="51"/>
  <c r="AT15" i="51"/>
  <c r="AS15" i="51"/>
  <c r="AR15" i="51"/>
  <c r="AQ15" i="51"/>
  <c r="AN15" i="51"/>
  <c r="AM15" i="51"/>
  <c r="AL15" i="51"/>
  <c r="AK15" i="51"/>
  <c r="AJ15" i="51"/>
  <c r="AI15" i="51"/>
  <c r="AH15" i="51"/>
  <c r="AG15" i="51"/>
  <c r="AF15" i="51"/>
  <c r="AE15" i="51"/>
  <c r="AD15" i="51"/>
  <c r="AC15" i="51"/>
  <c r="AB15" i="51"/>
  <c r="AA15" i="51"/>
  <c r="Z15" i="51"/>
  <c r="Y15" i="51"/>
  <c r="X15" i="51"/>
  <c r="W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G15" i="51"/>
  <c r="F15" i="51"/>
  <c r="E15" i="51"/>
  <c r="D15" i="51"/>
  <c r="C15" i="51"/>
  <c r="BH14" i="51"/>
  <c r="BG14" i="51"/>
  <c r="BF14" i="51"/>
  <c r="BE14" i="51"/>
  <c r="BD14" i="51"/>
  <c r="BC14" i="51"/>
  <c r="BB14" i="51"/>
  <c r="BA14" i="51"/>
  <c r="AZ14" i="51"/>
  <c r="AY14" i="51"/>
  <c r="AX14" i="51"/>
  <c r="AW14" i="51"/>
  <c r="AV14" i="51"/>
  <c r="AU14" i="51"/>
  <c r="AT14" i="51"/>
  <c r="AS14" i="51"/>
  <c r="AR14" i="51"/>
  <c r="AQ14" i="51"/>
  <c r="AN14" i="51"/>
  <c r="AM14" i="51"/>
  <c r="AL14" i="51"/>
  <c r="AK14" i="51"/>
  <c r="AJ14" i="51"/>
  <c r="AI14" i="51"/>
  <c r="AH14" i="51"/>
  <c r="AG14" i="51"/>
  <c r="AF14" i="51"/>
  <c r="AE14" i="51"/>
  <c r="AD14" i="51"/>
  <c r="AC14" i="51"/>
  <c r="AB14" i="51"/>
  <c r="AA14" i="51"/>
  <c r="Z14" i="51"/>
  <c r="Y14" i="51"/>
  <c r="X14" i="51"/>
  <c r="W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H14" i="51"/>
  <c r="G14" i="51"/>
  <c r="F14" i="51"/>
  <c r="E14" i="51"/>
  <c r="D14" i="51"/>
  <c r="C14" i="51"/>
  <c r="BH13" i="51"/>
  <c r="BG13" i="51"/>
  <c r="BF13" i="51"/>
  <c r="BE13" i="51"/>
  <c r="BD13" i="51"/>
  <c r="BC13" i="51"/>
  <c r="BB13" i="51"/>
  <c r="BA13" i="51"/>
  <c r="AZ13" i="51"/>
  <c r="AY13" i="51"/>
  <c r="AX13" i="51"/>
  <c r="AW13" i="51"/>
  <c r="AV13" i="51"/>
  <c r="AU13" i="51"/>
  <c r="AT13" i="51"/>
  <c r="AS13" i="51"/>
  <c r="AR13" i="51"/>
  <c r="AQ13" i="51"/>
  <c r="AN13" i="51"/>
  <c r="AM13" i="51"/>
  <c r="AL13" i="51"/>
  <c r="AK13" i="51"/>
  <c r="AJ13" i="51"/>
  <c r="AI13" i="51"/>
  <c r="AH13" i="51"/>
  <c r="AG13" i="51"/>
  <c r="AF13" i="51"/>
  <c r="AE13" i="51"/>
  <c r="AD13" i="51"/>
  <c r="AC13" i="51"/>
  <c r="AB13" i="51"/>
  <c r="AA13" i="51"/>
  <c r="Z13" i="51"/>
  <c r="Y13" i="51"/>
  <c r="X13" i="51"/>
  <c r="W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G13" i="51"/>
  <c r="F13" i="51"/>
  <c r="E13" i="51"/>
  <c r="D13" i="51"/>
  <c r="C13" i="51"/>
  <c r="BH12" i="51"/>
  <c r="BG12" i="51"/>
  <c r="BF12" i="51"/>
  <c r="BE12" i="51"/>
  <c r="BD12" i="51"/>
  <c r="BC12" i="51"/>
  <c r="BB12" i="51"/>
  <c r="BA12" i="51"/>
  <c r="AZ12" i="51"/>
  <c r="AY12" i="51"/>
  <c r="AX12" i="51"/>
  <c r="AW12" i="51"/>
  <c r="AV12" i="51"/>
  <c r="AU12" i="51"/>
  <c r="AT12" i="51"/>
  <c r="AS12" i="51"/>
  <c r="AR12" i="51"/>
  <c r="AQ12" i="51"/>
  <c r="AN12" i="51"/>
  <c r="AM12" i="51"/>
  <c r="AL12" i="51"/>
  <c r="AK12" i="51"/>
  <c r="AJ12" i="51"/>
  <c r="AI12" i="51"/>
  <c r="AH12" i="51"/>
  <c r="AG12" i="51"/>
  <c r="AF12" i="51"/>
  <c r="AE12" i="51"/>
  <c r="AD12" i="51"/>
  <c r="AC12" i="51"/>
  <c r="AB12" i="51"/>
  <c r="AA12" i="51"/>
  <c r="Z12" i="51"/>
  <c r="Y12" i="51"/>
  <c r="X12" i="51"/>
  <c r="W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H12" i="51"/>
  <c r="G12" i="51"/>
  <c r="F12" i="51"/>
  <c r="E12" i="51"/>
  <c r="D12" i="51"/>
  <c r="C12" i="51"/>
  <c r="BH11" i="51"/>
  <c r="BG11" i="51"/>
  <c r="BF11" i="51"/>
  <c r="BE11" i="51"/>
  <c r="BD11" i="51"/>
  <c r="BC11" i="51"/>
  <c r="BB11" i="51"/>
  <c r="BA11" i="51"/>
  <c r="AZ11" i="51"/>
  <c r="AY11" i="51"/>
  <c r="AX11" i="51"/>
  <c r="AW11" i="51"/>
  <c r="AV11" i="51"/>
  <c r="AU11" i="51"/>
  <c r="AT11" i="51"/>
  <c r="AS11" i="51"/>
  <c r="AR11" i="51"/>
  <c r="AQ11" i="51"/>
  <c r="AN11" i="51"/>
  <c r="AM11" i="51"/>
  <c r="AL11" i="51"/>
  <c r="AK11" i="51"/>
  <c r="AJ11" i="51"/>
  <c r="AI11" i="51"/>
  <c r="AH11" i="51"/>
  <c r="AG11" i="51"/>
  <c r="AF11" i="51"/>
  <c r="AE11" i="51"/>
  <c r="AD11" i="51"/>
  <c r="AC11" i="51"/>
  <c r="AB11" i="51"/>
  <c r="AA11" i="51"/>
  <c r="Z11" i="51"/>
  <c r="Y11" i="51"/>
  <c r="X11" i="51"/>
  <c r="W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H11" i="51"/>
  <c r="G11" i="51"/>
  <c r="F11" i="51"/>
  <c r="E11" i="51"/>
  <c r="D11" i="51"/>
  <c r="C11" i="51"/>
  <c r="BH10" i="51"/>
  <c r="BG10" i="51"/>
  <c r="BF10" i="51"/>
  <c r="BE10" i="51"/>
  <c r="BD10" i="51"/>
  <c r="BC10" i="51"/>
  <c r="BB10" i="51"/>
  <c r="BA10" i="51"/>
  <c r="AZ10" i="51"/>
  <c r="AY10" i="51"/>
  <c r="AX10" i="51"/>
  <c r="AW10" i="51"/>
  <c r="AV10" i="51"/>
  <c r="AU10" i="51"/>
  <c r="AT10" i="51"/>
  <c r="AS10" i="51"/>
  <c r="AR10" i="51"/>
  <c r="AQ10" i="51"/>
  <c r="AN10" i="51"/>
  <c r="AM10" i="51"/>
  <c r="AL10" i="51"/>
  <c r="AK10" i="51"/>
  <c r="AJ10" i="51"/>
  <c r="AI10" i="51"/>
  <c r="AH10" i="51"/>
  <c r="AG10" i="51"/>
  <c r="AF10" i="51"/>
  <c r="AE10" i="51"/>
  <c r="AD10" i="51"/>
  <c r="AC10" i="51"/>
  <c r="AB10" i="51"/>
  <c r="AA10" i="51"/>
  <c r="Z10" i="51"/>
  <c r="Y10" i="51"/>
  <c r="X10" i="51"/>
  <c r="W10" i="51"/>
  <c r="T10" i="51"/>
  <c r="S10" i="51"/>
  <c r="R10" i="51"/>
  <c r="Q10" i="51"/>
  <c r="P10" i="51"/>
  <c r="O10" i="51"/>
  <c r="N10" i="51"/>
  <c r="M10" i="51"/>
  <c r="L10" i="51"/>
  <c r="K10" i="51"/>
  <c r="J10" i="51"/>
  <c r="I10" i="51"/>
  <c r="H10" i="51"/>
  <c r="G10" i="51"/>
  <c r="F10" i="51"/>
  <c r="E10" i="51"/>
  <c r="D10" i="51"/>
  <c r="C10" i="51"/>
  <c r="BH9" i="51"/>
  <c r="BG9" i="51"/>
  <c r="BF9" i="51"/>
  <c r="BE9" i="51"/>
  <c r="BD9" i="51"/>
  <c r="BC9" i="51"/>
  <c r="BB9" i="51"/>
  <c r="BA9" i="51"/>
  <c r="AZ9" i="51"/>
  <c r="AY9" i="51"/>
  <c r="AX9" i="51"/>
  <c r="AW9" i="51"/>
  <c r="AV9" i="51"/>
  <c r="AU9" i="51"/>
  <c r="AT9" i="51"/>
  <c r="AS9" i="51"/>
  <c r="AR9" i="51"/>
  <c r="AQ9" i="51"/>
  <c r="AN9" i="51"/>
  <c r="AM9" i="51"/>
  <c r="AL9" i="51"/>
  <c r="AK9" i="51"/>
  <c r="AJ9" i="51"/>
  <c r="AI9" i="51"/>
  <c r="AH9" i="51"/>
  <c r="AG9" i="51"/>
  <c r="AF9" i="51"/>
  <c r="AE9" i="51"/>
  <c r="AD9" i="51"/>
  <c r="AC9" i="51"/>
  <c r="AB9" i="51"/>
  <c r="AA9" i="51"/>
  <c r="Z9" i="51"/>
  <c r="Y9" i="51"/>
  <c r="X9" i="51"/>
  <c r="W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E9" i="51"/>
  <c r="D9" i="51"/>
  <c r="C9" i="51"/>
  <c r="BH8" i="51"/>
  <c r="BG8" i="51"/>
  <c r="BF8" i="51"/>
  <c r="BE8" i="51"/>
  <c r="BD8" i="51"/>
  <c r="BC8" i="51"/>
  <c r="BB8" i="51"/>
  <c r="BA8" i="51"/>
  <c r="AZ8" i="51"/>
  <c r="AY8" i="51"/>
  <c r="AX8" i="51"/>
  <c r="AW8" i="51"/>
  <c r="AV8" i="51"/>
  <c r="AU8" i="51"/>
  <c r="AT8" i="51"/>
  <c r="AS8" i="51"/>
  <c r="AR8" i="51"/>
  <c r="AQ8" i="51"/>
  <c r="AN8" i="51"/>
  <c r="AM8" i="51"/>
  <c r="AL8" i="51"/>
  <c r="AK8" i="51"/>
  <c r="AJ8" i="51"/>
  <c r="AI8" i="51"/>
  <c r="AH8" i="51"/>
  <c r="AG8" i="51"/>
  <c r="AF8" i="51"/>
  <c r="AE8" i="51"/>
  <c r="AD8" i="51"/>
  <c r="AC8" i="51"/>
  <c r="AB8" i="51"/>
  <c r="AA8" i="51"/>
  <c r="Z8" i="51"/>
  <c r="Y8" i="51"/>
  <c r="X8" i="51"/>
  <c r="W8" i="51"/>
  <c r="T8" i="51"/>
  <c r="S8" i="51"/>
  <c r="R8" i="51"/>
  <c r="Q8" i="51"/>
  <c r="P8" i="51"/>
  <c r="O8" i="51"/>
  <c r="N8" i="51"/>
  <c r="M8" i="51"/>
  <c r="L8" i="51"/>
  <c r="K8" i="51"/>
  <c r="J8" i="51"/>
  <c r="I8" i="51"/>
  <c r="H8" i="51"/>
  <c r="G8" i="51"/>
  <c r="F8" i="51"/>
  <c r="E8" i="51"/>
  <c r="D8" i="51"/>
  <c r="C8" i="51"/>
  <c r="BH7" i="51"/>
  <c r="BG7" i="51"/>
  <c r="BF7" i="51"/>
  <c r="BE7" i="51"/>
  <c r="BD7" i="51"/>
  <c r="BC7" i="51"/>
  <c r="BB7" i="51"/>
  <c r="BA7" i="51"/>
  <c r="AZ7" i="51"/>
  <c r="AY7" i="51"/>
  <c r="AX7" i="51"/>
  <c r="AW7" i="51"/>
  <c r="AV7" i="51"/>
  <c r="AU7" i="51"/>
  <c r="AT7" i="51"/>
  <c r="AS7" i="51"/>
  <c r="AR7" i="51"/>
  <c r="AQ7" i="51"/>
  <c r="AN7" i="51"/>
  <c r="AM7" i="51"/>
  <c r="AL7" i="51"/>
  <c r="AK7" i="51"/>
  <c r="AJ7" i="51"/>
  <c r="AI7" i="51"/>
  <c r="AH7" i="51"/>
  <c r="AG7" i="51"/>
  <c r="AF7" i="51"/>
  <c r="AE7" i="51"/>
  <c r="AD7" i="51"/>
  <c r="AC7" i="51"/>
  <c r="AB7" i="51"/>
  <c r="AA7" i="51"/>
  <c r="Z7" i="51"/>
  <c r="Y7" i="51"/>
  <c r="X7" i="51"/>
  <c r="W7" i="51"/>
  <c r="T7" i="51"/>
  <c r="S7" i="51"/>
  <c r="R7" i="51"/>
  <c r="Q7" i="51"/>
  <c r="P7" i="51"/>
  <c r="O7" i="51"/>
  <c r="N7" i="51"/>
  <c r="M7" i="51"/>
  <c r="L7" i="51"/>
  <c r="K7" i="51"/>
  <c r="J7" i="51"/>
  <c r="I7" i="51"/>
  <c r="H7" i="51"/>
  <c r="G7" i="51"/>
  <c r="F7" i="51"/>
  <c r="E7" i="51"/>
  <c r="D7" i="51"/>
  <c r="C7" i="51"/>
  <c r="BH6" i="51"/>
  <c r="BG6" i="51"/>
  <c r="BF6" i="51"/>
  <c r="BE6" i="51"/>
  <c r="BD6" i="51"/>
  <c r="BC6" i="51"/>
  <c r="BB6" i="51"/>
  <c r="BA6" i="51"/>
  <c r="AZ6" i="51"/>
  <c r="AY6" i="51"/>
  <c r="AX6" i="51"/>
  <c r="AW6" i="51"/>
  <c r="AV6" i="51"/>
  <c r="AU6" i="51"/>
  <c r="AT6" i="51"/>
  <c r="AS6" i="51"/>
  <c r="AR6" i="51"/>
  <c r="AQ6" i="51"/>
  <c r="AN6" i="51"/>
  <c r="AM6" i="51"/>
  <c r="AL6" i="51"/>
  <c r="AK6" i="51"/>
  <c r="AJ6" i="51"/>
  <c r="AI6" i="51"/>
  <c r="AH6" i="51"/>
  <c r="AG6" i="51"/>
  <c r="AF6" i="51"/>
  <c r="AE6" i="51"/>
  <c r="AD6" i="51"/>
  <c r="AC6" i="51"/>
  <c r="AB6" i="51"/>
  <c r="AA6" i="51"/>
  <c r="Z6" i="51"/>
  <c r="Y6" i="51"/>
  <c r="X6" i="51"/>
  <c r="W6" i="51"/>
  <c r="T6" i="51"/>
  <c r="S6" i="51"/>
  <c r="R6" i="51"/>
  <c r="Q6" i="51"/>
  <c r="P6" i="51"/>
  <c r="O6" i="51"/>
  <c r="N6" i="51"/>
  <c r="M6" i="51"/>
  <c r="L6" i="51"/>
  <c r="K6" i="51"/>
  <c r="J6" i="51"/>
  <c r="I6" i="51"/>
  <c r="H6" i="51"/>
  <c r="G6" i="51"/>
  <c r="F6" i="51"/>
  <c r="E6" i="51"/>
  <c r="D6" i="51"/>
  <c r="C6" i="51"/>
  <c r="BH5" i="51"/>
  <c r="BG5" i="51"/>
  <c r="BF5" i="51"/>
  <c r="BE5" i="51"/>
  <c r="BD5" i="51"/>
  <c r="BC5" i="51"/>
  <c r="BB5" i="51"/>
  <c r="BA5" i="51"/>
  <c r="AZ5" i="51"/>
  <c r="AY5" i="51"/>
  <c r="AX5" i="51"/>
  <c r="AW5" i="51"/>
  <c r="AV5" i="51"/>
  <c r="AU5" i="51"/>
  <c r="AT5" i="51"/>
  <c r="AS5" i="51"/>
  <c r="AR5" i="51"/>
  <c r="AQ5" i="51"/>
  <c r="AN5" i="51"/>
  <c r="AM5" i="51"/>
  <c r="AL5" i="51"/>
  <c r="AK5" i="51"/>
  <c r="AJ5" i="51"/>
  <c r="AI5" i="51"/>
  <c r="AH5" i="51"/>
  <c r="AG5" i="51"/>
  <c r="AF5" i="51"/>
  <c r="AE5" i="51"/>
  <c r="AD5" i="51"/>
  <c r="AC5" i="51"/>
  <c r="AB5" i="51"/>
  <c r="AA5" i="51"/>
  <c r="Z5" i="51"/>
  <c r="Y5" i="51"/>
  <c r="X5" i="51"/>
  <c r="W5" i="51"/>
  <c r="T5" i="51"/>
  <c r="S5" i="51"/>
  <c r="R5" i="51"/>
  <c r="Q5" i="51"/>
  <c r="P5" i="51"/>
  <c r="O5" i="51"/>
  <c r="N5" i="51"/>
  <c r="M5" i="51"/>
  <c r="L5" i="51"/>
  <c r="K5" i="51"/>
  <c r="J5" i="51"/>
  <c r="I5" i="51"/>
  <c r="H5" i="51"/>
  <c r="G5" i="51"/>
  <c r="F5" i="51"/>
  <c r="E5" i="51"/>
  <c r="D5" i="51"/>
  <c r="C5" i="51"/>
  <c r="BH4" i="51"/>
  <c r="BG4" i="51"/>
  <c r="BF4" i="51"/>
  <c r="BE4" i="51"/>
  <c r="BD4" i="51"/>
  <c r="BC4" i="51"/>
  <c r="BB4" i="51"/>
  <c r="BA4" i="51"/>
  <c r="AZ4" i="51"/>
  <c r="AY4" i="51"/>
  <c r="AX4" i="51"/>
  <c r="AW4" i="51"/>
  <c r="AV4" i="51"/>
  <c r="AU4" i="51"/>
  <c r="AT4" i="51"/>
  <c r="AS4" i="51"/>
  <c r="AR4" i="51"/>
  <c r="AQ4" i="51"/>
  <c r="AN4" i="51"/>
  <c r="AM4" i="51"/>
  <c r="AL4" i="51"/>
  <c r="AK4" i="51"/>
  <c r="AJ4" i="51"/>
  <c r="AI4" i="51"/>
  <c r="AH4" i="51"/>
  <c r="AG4" i="51"/>
  <c r="AF4" i="51"/>
  <c r="AE4" i="51"/>
  <c r="AD4" i="51"/>
  <c r="AC4" i="51"/>
  <c r="AB4" i="51"/>
  <c r="AA4" i="51"/>
  <c r="Z4" i="51"/>
  <c r="Y4" i="51"/>
  <c r="X4" i="51"/>
  <c r="W4" i="51"/>
  <c r="T4" i="51"/>
  <c r="S4" i="51"/>
  <c r="R4" i="51"/>
  <c r="Q4" i="51"/>
  <c r="P4" i="51"/>
  <c r="O4" i="51"/>
  <c r="N4" i="51"/>
  <c r="M4" i="51"/>
  <c r="L4" i="51"/>
  <c r="K4" i="51"/>
  <c r="J4" i="51"/>
  <c r="I4" i="51"/>
  <c r="H4" i="51"/>
  <c r="G4" i="51"/>
  <c r="F4" i="51"/>
  <c r="E4" i="51"/>
  <c r="D4" i="51"/>
  <c r="C4" i="51"/>
  <c r="BH3" i="51"/>
  <c r="BG3" i="51"/>
  <c r="BF3" i="51"/>
  <c r="BE3" i="51"/>
  <c r="BD3" i="51"/>
  <c r="BC3" i="51"/>
  <c r="BB3" i="51"/>
  <c r="BA3" i="51"/>
  <c r="AZ3" i="51"/>
  <c r="AY3" i="51"/>
  <c r="AX3" i="51"/>
  <c r="AW3" i="51"/>
  <c r="AV3" i="51"/>
  <c r="AU3" i="51"/>
  <c r="AT3" i="51"/>
  <c r="AS3" i="51"/>
  <c r="AR3" i="51"/>
  <c r="AQ3" i="51"/>
  <c r="AN3" i="51"/>
  <c r="AM3" i="51"/>
  <c r="AL3" i="51"/>
  <c r="AK3" i="51"/>
  <c r="AJ3" i="51"/>
  <c r="AI3" i="51"/>
  <c r="AH3" i="51"/>
  <c r="AG3" i="51"/>
  <c r="AF3" i="51"/>
  <c r="AE3" i="51"/>
  <c r="AD3" i="51"/>
  <c r="AC3" i="51"/>
  <c r="AB3" i="51"/>
  <c r="AA3" i="51"/>
  <c r="Z3" i="51"/>
  <c r="Y3" i="51"/>
  <c r="X3" i="51"/>
  <c r="W3" i="51"/>
  <c r="T3" i="51"/>
  <c r="S3" i="51"/>
  <c r="R3" i="51"/>
  <c r="Q3" i="51"/>
  <c r="P3" i="51"/>
  <c r="O3" i="51"/>
  <c r="N3" i="51"/>
  <c r="M3" i="51"/>
  <c r="L3" i="51"/>
  <c r="K3" i="51"/>
  <c r="J3" i="51"/>
  <c r="I3" i="51"/>
  <c r="H3" i="51"/>
  <c r="G3" i="51"/>
  <c r="F3" i="51"/>
  <c r="E3" i="51"/>
  <c r="D3" i="51"/>
  <c r="C3" i="51"/>
  <c r="BH2" i="51"/>
  <c r="BG2" i="51"/>
  <c r="BF2" i="51"/>
  <c r="BE2" i="51"/>
  <c r="BD2" i="51"/>
  <c r="BC2" i="51"/>
  <c r="BB2" i="51"/>
  <c r="BA2" i="51"/>
  <c r="AZ2" i="51"/>
  <c r="AY2" i="51"/>
  <c r="AX2" i="51"/>
  <c r="AW2" i="51"/>
  <c r="AV2" i="51"/>
  <c r="AU2" i="51"/>
  <c r="AT2" i="51"/>
  <c r="AS2" i="51"/>
  <c r="AR2" i="51"/>
  <c r="AQ2" i="51"/>
  <c r="AN2" i="51"/>
  <c r="AM2" i="51"/>
  <c r="AL2" i="51"/>
  <c r="AK2" i="51"/>
  <c r="AJ2" i="51"/>
  <c r="AI2" i="51"/>
  <c r="AH2" i="51"/>
  <c r="AG2" i="51"/>
  <c r="AF2" i="51"/>
  <c r="AE2" i="51"/>
  <c r="AD2" i="51"/>
  <c r="AC2" i="51"/>
  <c r="AB2" i="51"/>
  <c r="AA2" i="51"/>
  <c r="Z2" i="51"/>
  <c r="Y2" i="51"/>
  <c r="X2" i="51"/>
  <c r="W2" i="51"/>
  <c r="T2" i="51"/>
  <c r="S2" i="51"/>
  <c r="R2" i="51"/>
  <c r="Q2" i="51"/>
  <c r="P2" i="51"/>
  <c r="O2" i="51"/>
  <c r="N2" i="51"/>
  <c r="M2" i="51"/>
  <c r="L2" i="51"/>
  <c r="K2" i="51"/>
  <c r="J2" i="51"/>
  <c r="I2" i="51"/>
  <c r="H2" i="51"/>
  <c r="G2" i="51"/>
  <c r="F2" i="51"/>
  <c r="E2" i="51"/>
  <c r="D2" i="51"/>
  <c r="C2" i="51"/>
  <c r="AN42" i="52"/>
  <c r="AM42" i="52"/>
  <c r="AL42" i="52"/>
  <c r="AK42" i="52"/>
  <c r="AJ42" i="52"/>
  <c r="AI42" i="52"/>
  <c r="AH42" i="52"/>
  <c r="AG42" i="52"/>
  <c r="AF42" i="52"/>
  <c r="AE42" i="52"/>
  <c r="AD42" i="52"/>
  <c r="AC42" i="52"/>
  <c r="AB42" i="52"/>
  <c r="AA42" i="52"/>
  <c r="Z42" i="52"/>
  <c r="Y42" i="52"/>
  <c r="X42" i="52"/>
  <c r="W42" i="52"/>
  <c r="T42" i="52"/>
  <c r="S42" i="52"/>
  <c r="R42" i="52"/>
  <c r="Q42" i="52"/>
  <c r="P42" i="52"/>
  <c r="O42" i="52"/>
  <c r="N42" i="52"/>
  <c r="M42" i="52"/>
  <c r="L42" i="52"/>
  <c r="K42" i="52"/>
  <c r="J42" i="52"/>
  <c r="I42" i="52"/>
  <c r="H42" i="52"/>
  <c r="G42" i="52"/>
  <c r="F42" i="52"/>
  <c r="E42" i="52"/>
  <c r="D42" i="52"/>
  <c r="C42" i="52"/>
  <c r="BH41" i="52"/>
  <c r="BG41" i="52"/>
  <c r="BF41" i="52"/>
  <c r="BE41" i="52"/>
  <c r="BD41" i="52"/>
  <c r="BC41" i="52"/>
  <c r="BB41" i="52"/>
  <c r="BA41" i="52"/>
  <c r="AZ41" i="52"/>
  <c r="AY41" i="52"/>
  <c r="AX41" i="52"/>
  <c r="AW41" i="52"/>
  <c r="AV41" i="52"/>
  <c r="AU41" i="52"/>
  <c r="AT41" i="52"/>
  <c r="AS41" i="52"/>
  <c r="AR41" i="52"/>
  <c r="AQ41" i="52"/>
  <c r="AN41" i="52"/>
  <c r="AM41" i="52"/>
  <c r="AL41" i="52"/>
  <c r="AK41" i="52"/>
  <c r="AJ41" i="52"/>
  <c r="AI41" i="52"/>
  <c r="AH41" i="52"/>
  <c r="AG41" i="52"/>
  <c r="AF41" i="52"/>
  <c r="AE41" i="52"/>
  <c r="AD41" i="52"/>
  <c r="AC41" i="52"/>
  <c r="AB41" i="52"/>
  <c r="AA41" i="52"/>
  <c r="Z41" i="52"/>
  <c r="Y41" i="52"/>
  <c r="X41" i="52"/>
  <c r="W41" i="52"/>
  <c r="T41" i="52"/>
  <c r="S41" i="52"/>
  <c r="R41" i="52"/>
  <c r="Q41" i="52"/>
  <c r="P41" i="52"/>
  <c r="O41" i="52"/>
  <c r="N41" i="52"/>
  <c r="M41" i="52"/>
  <c r="L41" i="52"/>
  <c r="K41" i="52"/>
  <c r="J41" i="52"/>
  <c r="I41" i="52"/>
  <c r="H41" i="52"/>
  <c r="G41" i="52"/>
  <c r="F41" i="52"/>
  <c r="E41" i="52"/>
  <c r="D41" i="52"/>
  <c r="C41" i="52"/>
  <c r="BH40" i="52"/>
  <c r="BG40" i="52"/>
  <c r="BF40" i="52"/>
  <c r="BE40" i="52"/>
  <c r="BD40" i="52"/>
  <c r="BC40" i="52"/>
  <c r="BB40" i="52"/>
  <c r="BA40" i="52"/>
  <c r="AZ40" i="52"/>
  <c r="AY40" i="52"/>
  <c r="AX40" i="52"/>
  <c r="AW40" i="52"/>
  <c r="AV40" i="52"/>
  <c r="AU40" i="52"/>
  <c r="AT40" i="52"/>
  <c r="AS40" i="52"/>
  <c r="AR40" i="52"/>
  <c r="AQ40" i="52"/>
  <c r="AN40" i="52"/>
  <c r="AM40" i="52"/>
  <c r="AL40" i="52"/>
  <c r="AK40" i="52"/>
  <c r="AJ40" i="52"/>
  <c r="AI40" i="52"/>
  <c r="AH40" i="52"/>
  <c r="AG40" i="52"/>
  <c r="AF40" i="52"/>
  <c r="AE40" i="52"/>
  <c r="AD40" i="52"/>
  <c r="AC40" i="52"/>
  <c r="AB40" i="52"/>
  <c r="AA40" i="52"/>
  <c r="Z40" i="52"/>
  <c r="Y40" i="52"/>
  <c r="X40" i="52"/>
  <c r="W40" i="52"/>
  <c r="T40" i="52"/>
  <c r="S40" i="52"/>
  <c r="R40" i="52"/>
  <c r="Q40" i="52"/>
  <c r="P40" i="52"/>
  <c r="O40" i="52"/>
  <c r="N40" i="52"/>
  <c r="M40" i="52"/>
  <c r="L40" i="52"/>
  <c r="K40" i="52"/>
  <c r="J40" i="52"/>
  <c r="I40" i="52"/>
  <c r="H40" i="52"/>
  <c r="G40" i="52"/>
  <c r="F40" i="52"/>
  <c r="E40" i="52"/>
  <c r="D40" i="52"/>
  <c r="C40" i="52"/>
  <c r="BH39" i="52"/>
  <c r="BG39" i="52"/>
  <c r="BF39" i="52"/>
  <c r="BE39" i="52"/>
  <c r="BD39" i="52"/>
  <c r="BC39" i="52"/>
  <c r="BB39" i="52"/>
  <c r="BA39" i="52"/>
  <c r="AZ39" i="52"/>
  <c r="AY39" i="52"/>
  <c r="AX39" i="52"/>
  <c r="AW39" i="52"/>
  <c r="AV39" i="52"/>
  <c r="AU39" i="52"/>
  <c r="AT39" i="52"/>
  <c r="AS39" i="52"/>
  <c r="AR39" i="52"/>
  <c r="AQ39" i="52"/>
  <c r="AN39" i="52"/>
  <c r="AM39" i="52"/>
  <c r="AL39" i="52"/>
  <c r="AK39" i="52"/>
  <c r="AJ39" i="52"/>
  <c r="AI39" i="52"/>
  <c r="AH39" i="52"/>
  <c r="AG39" i="52"/>
  <c r="AF39" i="52"/>
  <c r="AE39" i="52"/>
  <c r="AD39" i="52"/>
  <c r="AC39" i="52"/>
  <c r="AB39" i="52"/>
  <c r="AA39" i="52"/>
  <c r="Z39" i="52"/>
  <c r="Y39" i="52"/>
  <c r="X39" i="52"/>
  <c r="W39" i="52"/>
  <c r="T39" i="52"/>
  <c r="S39" i="52"/>
  <c r="R39" i="52"/>
  <c r="Q39" i="52"/>
  <c r="P39" i="52"/>
  <c r="O39" i="52"/>
  <c r="N39" i="52"/>
  <c r="M39" i="52"/>
  <c r="L39" i="52"/>
  <c r="K39" i="52"/>
  <c r="J39" i="52"/>
  <c r="I39" i="52"/>
  <c r="H39" i="52"/>
  <c r="G39" i="52"/>
  <c r="F39" i="52"/>
  <c r="E39" i="52"/>
  <c r="D39" i="52"/>
  <c r="C39" i="52"/>
  <c r="BH38" i="52"/>
  <c r="BG38" i="52"/>
  <c r="BF38" i="52"/>
  <c r="BE38" i="52"/>
  <c r="BD38" i="52"/>
  <c r="BC38" i="52"/>
  <c r="BB38" i="52"/>
  <c r="BA38" i="52"/>
  <c r="AZ38" i="52"/>
  <c r="AY38" i="52"/>
  <c r="AX38" i="52"/>
  <c r="AW38" i="52"/>
  <c r="AV38" i="52"/>
  <c r="AU38" i="52"/>
  <c r="AT38" i="52"/>
  <c r="AS38" i="52"/>
  <c r="AR38" i="52"/>
  <c r="AQ38" i="52"/>
  <c r="AN38" i="52"/>
  <c r="AM38" i="52"/>
  <c r="AL38" i="52"/>
  <c r="AK38" i="52"/>
  <c r="AJ38" i="52"/>
  <c r="AI38" i="52"/>
  <c r="AH38" i="52"/>
  <c r="AG38" i="52"/>
  <c r="AF38" i="52"/>
  <c r="AE38" i="52"/>
  <c r="AD38" i="52"/>
  <c r="AC38" i="52"/>
  <c r="AB38" i="52"/>
  <c r="AA38" i="52"/>
  <c r="Z38" i="52"/>
  <c r="Y38" i="52"/>
  <c r="X38" i="52"/>
  <c r="W38" i="52"/>
  <c r="T38" i="52"/>
  <c r="S38" i="52"/>
  <c r="R38" i="52"/>
  <c r="Q38" i="52"/>
  <c r="P38" i="52"/>
  <c r="O38" i="52"/>
  <c r="N38" i="52"/>
  <c r="M38" i="52"/>
  <c r="L38" i="52"/>
  <c r="K38" i="52"/>
  <c r="J38" i="52"/>
  <c r="I38" i="52"/>
  <c r="H38" i="52"/>
  <c r="G38" i="52"/>
  <c r="F38" i="52"/>
  <c r="E38" i="52"/>
  <c r="D38" i="52"/>
  <c r="C38" i="52"/>
  <c r="BH37" i="52"/>
  <c r="BG37" i="52"/>
  <c r="BF37" i="52"/>
  <c r="BE37" i="52"/>
  <c r="BD37" i="52"/>
  <c r="BC37" i="52"/>
  <c r="BB37" i="52"/>
  <c r="BA37" i="52"/>
  <c r="AZ37" i="52"/>
  <c r="AY37" i="52"/>
  <c r="AX37" i="52"/>
  <c r="AW37" i="52"/>
  <c r="AV37" i="52"/>
  <c r="AU37" i="52"/>
  <c r="AT37" i="52"/>
  <c r="AS37" i="52"/>
  <c r="AR37" i="52"/>
  <c r="AQ37" i="52"/>
  <c r="AN37" i="52"/>
  <c r="AM37" i="52"/>
  <c r="AL37" i="52"/>
  <c r="AK37" i="52"/>
  <c r="AJ37" i="52"/>
  <c r="AI37" i="52"/>
  <c r="AH37" i="52"/>
  <c r="AG37" i="52"/>
  <c r="AF37" i="52"/>
  <c r="AE37" i="52"/>
  <c r="AD37" i="52"/>
  <c r="AC37" i="52"/>
  <c r="AB37" i="52"/>
  <c r="AA37" i="52"/>
  <c r="Z37" i="52"/>
  <c r="Y37" i="52"/>
  <c r="X37" i="52"/>
  <c r="W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G37" i="52"/>
  <c r="F37" i="52"/>
  <c r="E37" i="52"/>
  <c r="D37" i="52"/>
  <c r="C37" i="52"/>
  <c r="BH36" i="52"/>
  <c r="BG36" i="52"/>
  <c r="BF36" i="52"/>
  <c r="BE36" i="52"/>
  <c r="BD36" i="52"/>
  <c r="BC36" i="52"/>
  <c r="BB36" i="52"/>
  <c r="BA36" i="52"/>
  <c r="AZ36" i="52"/>
  <c r="AY36" i="52"/>
  <c r="AX36" i="52"/>
  <c r="AW36" i="52"/>
  <c r="AV36" i="52"/>
  <c r="AU36" i="52"/>
  <c r="AT36" i="52"/>
  <c r="AS36" i="52"/>
  <c r="AR36" i="52"/>
  <c r="AQ36" i="52"/>
  <c r="AN36" i="52"/>
  <c r="AM36" i="52"/>
  <c r="AL36" i="52"/>
  <c r="AK36" i="52"/>
  <c r="AJ36" i="52"/>
  <c r="AI36" i="52"/>
  <c r="AH36" i="52"/>
  <c r="AG36" i="52"/>
  <c r="AF36" i="52"/>
  <c r="AE36" i="52"/>
  <c r="AD36" i="52"/>
  <c r="AC36" i="52"/>
  <c r="AB36" i="52"/>
  <c r="AA36" i="52"/>
  <c r="Z36" i="52"/>
  <c r="Y36" i="52"/>
  <c r="X36" i="52"/>
  <c r="W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G36" i="52"/>
  <c r="F36" i="52"/>
  <c r="E36" i="52"/>
  <c r="D36" i="52"/>
  <c r="C36" i="52"/>
  <c r="BH35" i="52"/>
  <c r="BG35" i="52"/>
  <c r="BF35" i="52"/>
  <c r="BE35" i="52"/>
  <c r="BD35" i="52"/>
  <c r="BC35" i="52"/>
  <c r="BB35" i="52"/>
  <c r="BA35" i="52"/>
  <c r="AZ35" i="52"/>
  <c r="AY35" i="52"/>
  <c r="AX35" i="52"/>
  <c r="AW35" i="52"/>
  <c r="AV35" i="52"/>
  <c r="AU35" i="52"/>
  <c r="AT35" i="52"/>
  <c r="AS35" i="52"/>
  <c r="AR35" i="52"/>
  <c r="AQ35" i="52"/>
  <c r="AN35" i="52"/>
  <c r="AM35" i="52"/>
  <c r="AL35" i="52"/>
  <c r="AK35" i="52"/>
  <c r="AJ35" i="52"/>
  <c r="AI35" i="52"/>
  <c r="AH35" i="52"/>
  <c r="AG35" i="52"/>
  <c r="AF35" i="52"/>
  <c r="AE35" i="52"/>
  <c r="AD35" i="52"/>
  <c r="AC35" i="52"/>
  <c r="AB35" i="52"/>
  <c r="AA35" i="52"/>
  <c r="Z35" i="52"/>
  <c r="Y35" i="52"/>
  <c r="X35" i="52"/>
  <c r="W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H35" i="52"/>
  <c r="G35" i="52"/>
  <c r="F35" i="52"/>
  <c r="E35" i="52"/>
  <c r="D35" i="52"/>
  <c r="C35" i="52"/>
  <c r="BH34" i="52"/>
  <c r="BG34" i="52"/>
  <c r="BF34" i="52"/>
  <c r="BE34" i="52"/>
  <c r="BD34" i="52"/>
  <c r="BC34" i="52"/>
  <c r="BB34" i="52"/>
  <c r="BA34" i="52"/>
  <c r="AZ34" i="52"/>
  <c r="AY34" i="52"/>
  <c r="AX34" i="52"/>
  <c r="AW34" i="52"/>
  <c r="AV34" i="52"/>
  <c r="AU34" i="52"/>
  <c r="AT34" i="52"/>
  <c r="AS34" i="52"/>
  <c r="AR34" i="52"/>
  <c r="AQ34" i="52"/>
  <c r="AN34" i="52"/>
  <c r="AM34" i="52"/>
  <c r="AL34" i="52"/>
  <c r="AK34" i="52"/>
  <c r="AJ34" i="52"/>
  <c r="AI34" i="52"/>
  <c r="AH34" i="52"/>
  <c r="AG34" i="52"/>
  <c r="AF34" i="52"/>
  <c r="AE34" i="52"/>
  <c r="AD34" i="52"/>
  <c r="AC34" i="52"/>
  <c r="AB34" i="52"/>
  <c r="AA34" i="52"/>
  <c r="Z34" i="52"/>
  <c r="Y34" i="52"/>
  <c r="X34" i="52"/>
  <c r="W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H34" i="52"/>
  <c r="G34" i="52"/>
  <c r="F34" i="52"/>
  <c r="E34" i="52"/>
  <c r="D34" i="52"/>
  <c r="C34" i="52"/>
  <c r="BH33" i="52"/>
  <c r="BG33" i="52"/>
  <c r="BF33" i="52"/>
  <c r="BE33" i="52"/>
  <c r="BD33" i="52"/>
  <c r="BC33" i="52"/>
  <c r="BB33" i="52"/>
  <c r="BA33" i="52"/>
  <c r="AZ33" i="52"/>
  <c r="AY33" i="52"/>
  <c r="AX33" i="52"/>
  <c r="AW33" i="52"/>
  <c r="AV33" i="52"/>
  <c r="AU33" i="52"/>
  <c r="AT33" i="52"/>
  <c r="AS33" i="52"/>
  <c r="AR33" i="52"/>
  <c r="AQ33" i="52"/>
  <c r="AN33" i="52"/>
  <c r="AM33" i="52"/>
  <c r="AL33" i="52"/>
  <c r="AK33" i="52"/>
  <c r="AJ33" i="52"/>
  <c r="AI33" i="52"/>
  <c r="AH33" i="52"/>
  <c r="AG33" i="52"/>
  <c r="AF33" i="52"/>
  <c r="AE33" i="52"/>
  <c r="AD33" i="52"/>
  <c r="AC33" i="52"/>
  <c r="AB33" i="52"/>
  <c r="AA33" i="52"/>
  <c r="Z33" i="52"/>
  <c r="Y33" i="52"/>
  <c r="X33" i="52"/>
  <c r="W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H33" i="52"/>
  <c r="G33" i="52"/>
  <c r="F33" i="52"/>
  <c r="E33" i="52"/>
  <c r="D33" i="52"/>
  <c r="C33" i="52"/>
  <c r="BH32" i="52"/>
  <c r="BG32" i="52"/>
  <c r="BF32" i="52"/>
  <c r="BE32" i="52"/>
  <c r="BD32" i="52"/>
  <c r="BC32" i="52"/>
  <c r="BB32" i="52"/>
  <c r="BA32" i="52"/>
  <c r="AZ32" i="52"/>
  <c r="AY32" i="52"/>
  <c r="AX32" i="52"/>
  <c r="AW32" i="52"/>
  <c r="AV32" i="52"/>
  <c r="AU32" i="52"/>
  <c r="AT32" i="52"/>
  <c r="AS32" i="52"/>
  <c r="AR32" i="52"/>
  <c r="AQ32" i="52"/>
  <c r="AN32" i="52"/>
  <c r="AM32" i="52"/>
  <c r="AL32" i="52"/>
  <c r="AK32" i="52"/>
  <c r="AJ32" i="52"/>
  <c r="AI32" i="52"/>
  <c r="AH32" i="52"/>
  <c r="AG32" i="52"/>
  <c r="AF32" i="52"/>
  <c r="AE32" i="52"/>
  <c r="AD32" i="52"/>
  <c r="AC32" i="52"/>
  <c r="AB32" i="52"/>
  <c r="AA32" i="52"/>
  <c r="Z32" i="52"/>
  <c r="Y32" i="52"/>
  <c r="X32" i="52"/>
  <c r="W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H32" i="52"/>
  <c r="G32" i="52"/>
  <c r="F32" i="52"/>
  <c r="E32" i="52"/>
  <c r="D32" i="52"/>
  <c r="C32" i="52"/>
  <c r="BH31" i="52"/>
  <c r="BG31" i="52"/>
  <c r="BF31" i="52"/>
  <c r="BE31" i="52"/>
  <c r="BD31" i="52"/>
  <c r="BC31" i="52"/>
  <c r="BB31" i="52"/>
  <c r="BA31" i="52"/>
  <c r="AZ31" i="52"/>
  <c r="AY31" i="52"/>
  <c r="AX31" i="52"/>
  <c r="AW31" i="52"/>
  <c r="AV31" i="52"/>
  <c r="AU31" i="52"/>
  <c r="AT31" i="52"/>
  <c r="AS31" i="52"/>
  <c r="AR31" i="52"/>
  <c r="AQ31" i="52"/>
  <c r="AN31" i="52"/>
  <c r="AM31" i="52"/>
  <c r="AL31" i="52"/>
  <c r="AK31" i="52"/>
  <c r="AJ31" i="52"/>
  <c r="AI31" i="52"/>
  <c r="AH31" i="52"/>
  <c r="AG31" i="52"/>
  <c r="AF31" i="52"/>
  <c r="AE31" i="52"/>
  <c r="AD31" i="52"/>
  <c r="AC31" i="52"/>
  <c r="AB31" i="52"/>
  <c r="AA31" i="52"/>
  <c r="Z31" i="52"/>
  <c r="Y31" i="52"/>
  <c r="X31" i="52"/>
  <c r="W31" i="52"/>
  <c r="T31" i="52"/>
  <c r="S31" i="52"/>
  <c r="R31" i="52"/>
  <c r="Q31" i="52"/>
  <c r="P31" i="52"/>
  <c r="O31" i="52"/>
  <c r="N31" i="52"/>
  <c r="M31" i="52"/>
  <c r="L31" i="52"/>
  <c r="K31" i="52"/>
  <c r="J31" i="52"/>
  <c r="I31" i="52"/>
  <c r="H31" i="52"/>
  <c r="G31" i="52"/>
  <c r="F31" i="52"/>
  <c r="E31" i="52"/>
  <c r="D31" i="52"/>
  <c r="C31" i="52"/>
  <c r="BH30" i="52"/>
  <c r="BG30" i="52"/>
  <c r="BF30" i="52"/>
  <c r="BE30" i="52"/>
  <c r="BD30" i="52"/>
  <c r="BC30" i="52"/>
  <c r="BB30" i="52"/>
  <c r="BA30" i="52"/>
  <c r="AZ30" i="52"/>
  <c r="AY30" i="52"/>
  <c r="AX30" i="52"/>
  <c r="AW30" i="52"/>
  <c r="AV30" i="52"/>
  <c r="AU30" i="52"/>
  <c r="AT30" i="52"/>
  <c r="AS30" i="52"/>
  <c r="AR30" i="52"/>
  <c r="AQ30" i="52"/>
  <c r="AN30" i="52"/>
  <c r="AM30" i="52"/>
  <c r="AL30" i="52"/>
  <c r="AK30" i="52"/>
  <c r="AJ30" i="52"/>
  <c r="AI30" i="52"/>
  <c r="AH30" i="52"/>
  <c r="AG30" i="52"/>
  <c r="AF30" i="52"/>
  <c r="AE30" i="52"/>
  <c r="AD30" i="52"/>
  <c r="AC30" i="52"/>
  <c r="AB30" i="52"/>
  <c r="AA30" i="52"/>
  <c r="Z30" i="52"/>
  <c r="Y30" i="52"/>
  <c r="X30" i="52"/>
  <c r="W30" i="52"/>
  <c r="T30" i="52"/>
  <c r="S30" i="52"/>
  <c r="R30" i="52"/>
  <c r="Q30" i="52"/>
  <c r="P30" i="52"/>
  <c r="O30" i="52"/>
  <c r="N30" i="52"/>
  <c r="M30" i="52"/>
  <c r="L30" i="52"/>
  <c r="K30" i="52"/>
  <c r="J30" i="52"/>
  <c r="I30" i="52"/>
  <c r="H30" i="52"/>
  <c r="G30" i="52"/>
  <c r="F30" i="52"/>
  <c r="E30" i="52"/>
  <c r="D30" i="52"/>
  <c r="C30" i="52"/>
  <c r="BH29" i="52"/>
  <c r="BG29" i="52"/>
  <c r="BF29" i="52"/>
  <c r="BE29" i="52"/>
  <c r="BD29" i="52"/>
  <c r="BC29" i="52"/>
  <c r="BB29" i="52"/>
  <c r="BA29" i="52"/>
  <c r="AZ29" i="52"/>
  <c r="AY29" i="52"/>
  <c r="AX29" i="52"/>
  <c r="AW29" i="52"/>
  <c r="AV29" i="52"/>
  <c r="AU29" i="52"/>
  <c r="AT29" i="52"/>
  <c r="AS29" i="52"/>
  <c r="AR29" i="52"/>
  <c r="AQ29" i="52"/>
  <c r="AN29" i="52"/>
  <c r="AM29" i="52"/>
  <c r="AL29" i="52"/>
  <c r="AK29" i="52"/>
  <c r="AJ29" i="52"/>
  <c r="AI29" i="52"/>
  <c r="AH29" i="52"/>
  <c r="AG29" i="52"/>
  <c r="AF29" i="52"/>
  <c r="AE29" i="52"/>
  <c r="AD29" i="52"/>
  <c r="AC29" i="52"/>
  <c r="AB29" i="52"/>
  <c r="AA29" i="52"/>
  <c r="Z29" i="52"/>
  <c r="Y29" i="52"/>
  <c r="X29" i="52"/>
  <c r="W29" i="52"/>
  <c r="T29" i="52"/>
  <c r="S29" i="52"/>
  <c r="R29" i="52"/>
  <c r="Q29" i="52"/>
  <c r="P29" i="52"/>
  <c r="O29" i="52"/>
  <c r="N29" i="52"/>
  <c r="M29" i="52"/>
  <c r="L29" i="52"/>
  <c r="K29" i="52"/>
  <c r="J29" i="52"/>
  <c r="I29" i="52"/>
  <c r="H29" i="52"/>
  <c r="G29" i="52"/>
  <c r="F29" i="52"/>
  <c r="E29" i="52"/>
  <c r="D29" i="52"/>
  <c r="C29" i="52"/>
  <c r="BH28" i="52"/>
  <c r="BG28" i="52"/>
  <c r="BF28" i="52"/>
  <c r="BE28" i="52"/>
  <c r="BD28" i="52"/>
  <c r="BC28" i="52"/>
  <c r="BB28" i="52"/>
  <c r="BA28" i="52"/>
  <c r="AZ28" i="52"/>
  <c r="AY28" i="52"/>
  <c r="AX28" i="52"/>
  <c r="AW28" i="52"/>
  <c r="AV28" i="52"/>
  <c r="AU28" i="52"/>
  <c r="AT28" i="52"/>
  <c r="AS28" i="52"/>
  <c r="AR28" i="52"/>
  <c r="AQ28" i="52"/>
  <c r="AN28" i="52"/>
  <c r="AM28" i="52"/>
  <c r="AL28" i="52"/>
  <c r="AK28" i="52"/>
  <c r="AJ28" i="52"/>
  <c r="AI28" i="52"/>
  <c r="AH28" i="52"/>
  <c r="AG28" i="52"/>
  <c r="AF28" i="52"/>
  <c r="AE28" i="52"/>
  <c r="AD28" i="52"/>
  <c r="AC28" i="52"/>
  <c r="AB28" i="52"/>
  <c r="AA28" i="52"/>
  <c r="Z28" i="52"/>
  <c r="Y28" i="52"/>
  <c r="X28" i="52"/>
  <c r="W28" i="52"/>
  <c r="T28" i="52"/>
  <c r="S28" i="52"/>
  <c r="R28" i="52"/>
  <c r="Q28" i="52"/>
  <c r="P28" i="52"/>
  <c r="O28" i="52"/>
  <c r="N28" i="52"/>
  <c r="M28" i="52"/>
  <c r="L28" i="52"/>
  <c r="K28" i="52"/>
  <c r="J28" i="52"/>
  <c r="I28" i="52"/>
  <c r="H28" i="52"/>
  <c r="G28" i="52"/>
  <c r="F28" i="52"/>
  <c r="E28" i="52"/>
  <c r="D28" i="52"/>
  <c r="C28" i="52"/>
  <c r="BH27" i="52"/>
  <c r="BG27" i="52"/>
  <c r="BF27" i="52"/>
  <c r="BE27" i="52"/>
  <c r="BD27" i="52"/>
  <c r="BC27" i="52"/>
  <c r="BB27" i="52"/>
  <c r="BA27" i="52"/>
  <c r="AZ27" i="52"/>
  <c r="AY27" i="52"/>
  <c r="AX27" i="52"/>
  <c r="AW27" i="52"/>
  <c r="AV27" i="52"/>
  <c r="AU27" i="52"/>
  <c r="AT27" i="52"/>
  <c r="AS27" i="52"/>
  <c r="AR27" i="52"/>
  <c r="AQ27" i="52"/>
  <c r="AN27" i="52"/>
  <c r="AM27" i="52"/>
  <c r="AL27" i="52"/>
  <c r="AK27" i="52"/>
  <c r="AJ27" i="52"/>
  <c r="AI27" i="52"/>
  <c r="AH27" i="52"/>
  <c r="AG27" i="52"/>
  <c r="AF27" i="52"/>
  <c r="AE27" i="52"/>
  <c r="AD27" i="52"/>
  <c r="AC27" i="52"/>
  <c r="AB27" i="52"/>
  <c r="AA27" i="52"/>
  <c r="Z27" i="52"/>
  <c r="Y27" i="52"/>
  <c r="X27" i="52"/>
  <c r="W27" i="52"/>
  <c r="T27" i="52"/>
  <c r="S27" i="52"/>
  <c r="R27" i="52"/>
  <c r="Q27" i="52"/>
  <c r="P27" i="52"/>
  <c r="O27" i="52"/>
  <c r="N27" i="52"/>
  <c r="M27" i="52"/>
  <c r="L27" i="52"/>
  <c r="K27" i="52"/>
  <c r="J27" i="52"/>
  <c r="I27" i="52"/>
  <c r="H27" i="52"/>
  <c r="G27" i="52"/>
  <c r="F27" i="52"/>
  <c r="E27" i="52"/>
  <c r="D27" i="52"/>
  <c r="C27" i="52"/>
  <c r="BH26" i="52"/>
  <c r="BG26" i="52"/>
  <c r="BF26" i="52"/>
  <c r="BE26" i="52"/>
  <c r="BD26" i="52"/>
  <c r="BC26" i="52"/>
  <c r="BB26" i="52"/>
  <c r="BA26" i="52"/>
  <c r="AZ26" i="52"/>
  <c r="AY26" i="52"/>
  <c r="AX26" i="52"/>
  <c r="AW26" i="52"/>
  <c r="AV26" i="52"/>
  <c r="AU26" i="52"/>
  <c r="AT26" i="52"/>
  <c r="AS26" i="52"/>
  <c r="AR26" i="52"/>
  <c r="AQ26" i="52"/>
  <c r="AN26" i="52"/>
  <c r="AM26" i="52"/>
  <c r="AL26" i="52"/>
  <c r="AK26" i="52"/>
  <c r="AJ26" i="52"/>
  <c r="AI26" i="52"/>
  <c r="AH26" i="52"/>
  <c r="AG26" i="52"/>
  <c r="AF26" i="52"/>
  <c r="AE26" i="52"/>
  <c r="AD26" i="52"/>
  <c r="AC26" i="52"/>
  <c r="AB26" i="52"/>
  <c r="AA26" i="52"/>
  <c r="Z26" i="52"/>
  <c r="Y26" i="52"/>
  <c r="X26" i="52"/>
  <c r="W26" i="52"/>
  <c r="T26" i="52"/>
  <c r="S26" i="52"/>
  <c r="R26" i="52"/>
  <c r="Q26" i="52"/>
  <c r="P26" i="52"/>
  <c r="O26" i="52"/>
  <c r="N26" i="52"/>
  <c r="M26" i="52"/>
  <c r="L26" i="52"/>
  <c r="K26" i="52"/>
  <c r="J26" i="52"/>
  <c r="I26" i="52"/>
  <c r="H26" i="52"/>
  <c r="G26" i="52"/>
  <c r="F26" i="52"/>
  <c r="E26" i="52"/>
  <c r="D26" i="52"/>
  <c r="C26" i="52"/>
  <c r="BH25" i="52"/>
  <c r="BG25" i="52"/>
  <c r="BF25" i="52"/>
  <c r="BE25" i="52"/>
  <c r="BD25" i="52"/>
  <c r="BC25" i="52"/>
  <c r="BB25" i="52"/>
  <c r="BA25" i="52"/>
  <c r="AZ25" i="52"/>
  <c r="AY25" i="52"/>
  <c r="AX25" i="52"/>
  <c r="AW25" i="52"/>
  <c r="AV25" i="52"/>
  <c r="AU25" i="52"/>
  <c r="AT25" i="52"/>
  <c r="AS25" i="52"/>
  <c r="AR25" i="52"/>
  <c r="AQ25" i="52"/>
  <c r="AN25" i="52"/>
  <c r="AM25" i="52"/>
  <c r="AL25" i="52"/>
  <c r="AK25" i="52"/>
  <c r="AJ25" i="52"/>
  <c r="AI25" i="52"/>
  <c r="AH25" i="52"/>
  <c r="AG25" i="52"/>
  <c r="AF25" i="52"/>
  <c r="AE25" i="52"/>
  <c r="AD25" i="52"/>
  <c r="AC25" i="52"/>
  <c r="AB25" i="52"/>
  <c r="AA25" i="52"/>
  <c r="Z25" i="52"/>
  <c r="Y25" i="52"/>
  <c r="X25" i="52"/>
  <c r="W25" i="52"/>
  <c r="T25" i="52"/>
  <c r="S25" i="52"/>
  <c r="R25" i="52"/>
  <c r="Q25" i="52"/>
  <c r="P25" i="52"/>
  <c r="O25" i="52"/>
  <c r="N25" i="52"/>
  <c r="M25" i="52"/>
  <c r="L25" i="52"/>
  <c r="K25" i="52"/>
  <c r="J25" i="52"/>
  <c r="I25" i="52"/>
  <c r="H25" i="52"/>
  <c r="G25" i="52"/>
  <c r="F25" i="52"/>
  <c r="E25" i="52"/>
  <c r="D25" i="52"/>
  <c r="C25" i="52"/>
  <c r="BH24" i="52"/>
  <c r="BG24" i="52"/>
  <c r="BF24" i="52"/>
  <c r="BE24" i="52"/>
  <c r="BD24" i="52"/>
  <c r="BC24" i="52"/>
  <c r="BB24" i="52"/>
  <c r="BA24" i="52"/>
  <c r="AZ24" i="52"/>
  <c r="AY24" i="52"/>
  <c r="AX24" i="52"/>
  <c r="AW24" i="52"/>
  <c r="AV24" i="52"/>
  <c r="AU24" i="52"/>
  <c r="AT24" i="52"/>
  <c r="AS24" i="52"/>
  <c r="AR24" i="52"/>
  <c r="AQ24" i="52"/>
  <c r="AN24" i="52"/>
  <c r="AM24" i="52"/>
  <c r="AL24" i="52"/>
  <c r="AK24" i="52"/>
  <c r="AJ24" i="52"/>
  <c r="AI24" i="52"/>
  <c r="AH24" i="52"/>
  <c r="AG24" i="52"/>
  <c r="AF24" i="52"/>
  <c r="AE24" i="52"/>
  <c r="AD24" i="52"/>
  <c r="AC24" i="52"/>
  <c r="AB24" i="52"/>
  <c r="AA24" i="52"/>
  <c r="Z24" i="52"/>
  <c r="Y24" i="52"/>
  <c r="X24" i="52"/>
  <c r="W24" i="52"/>
  <c r="T24" i="52"/>
  <c r="S24" i="52"/>
  <c r="R24" i="52"/>
  <c r="Q24" i="52"/>
  <c r="P24" i="52"/>
  <c r="O24" i="52"/>
  <c r="N24" i="52"/>
  <c r="M24" i="52"/>
  <c r="L24" i="52"/>
  <c r="K24" i="52"/>
  <c r="J24" i="52"/>
  <c r="I24" i="52"/>
  <c r="H24" i="52"/>
  <c r="G24" i="52"/>
  <c r="F24" i="52"/>
  <c r="E24" i="52"/>
  <c r="D24" i="52"/>
  <c r="C24" i="52"/>
  <c r="BH23" i="52"/>
  <c r="BG23" i="52"/>
  <c r="BF23" i="52"/>
  <c r="BE23" i="52"/>
  <c r="BD23" i="52"/>
  <c r="BC23" i="52"/>
  <c r="BB23" i="52"/>
  <c r="BA23" i="52"/>
  <c r="AZ23" i="52"/>
  <c r="AY23" i="52"/>
  <c r="AX23" i="52"/>
  <c r="AW23" i="52"/>
  <c r="AV23" i="52"/>
  <c r="AU23" i="52"/>
  <c r="AT23" i="52"/>
  <c r="AS23" i="52"/>
  <c r="AR23" i="52"/>
  <c r="AQ23" i="52"/>
  <c r="AN23" i="52"/>
  <c r="AM23" i="52"/>
  <c r="AL23" i="52"/>
  <c r="AK23" i="52"/>
  <c r="AJ23" i="52"/>
  <c r="AI23" i="52"/>
  <c r="AH23" i="52"/>
  <c r="AG23" i="52"/>
  <c r="AF23" i="52"/>
  <c r="AE23" i="52"/>
  <c r="AD23" i="52"/>
  <c r="AC23" i="52"/>
  <c r="AB23" i="52"/>
  <c r="AA23" i="52"/>
  <c r="Z23" i="52"/>
  <c r="Y23" i="52"/>
  <c r="X23" i="52"/>
  <c r="W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H23" i="52"/>
  <c r="G23" i="52"/>
  <c r="F23" i="52"/>
  <c r="E23" i="52"/>
  <c r="D23" i="52"/>
  <c r="C23" i="52"/>
  <c r="BH22" i="52"/>
  <c r="BG22" i="52"/>
  <c r="BF22" i="52"/>
  <c r="BE22" i="52"/>
  <c r="BD22" i="52"/>
  <c r="BC22" i="52"/>
  <c r="BB22" i="52"/>
  <c r="BA22" i="52"/>
  <c r="AZ22" i="52"/>
  <c r="AY22" i="52"/>
  <c r="AX22" i="52"/>
  <c r="AW22" i="52"/>
  <c r="AV22" i="52"/>
  <c r="AU22" i="52"/>
  <c r="AT22" i="52"/>
  <c r="AS22" i="52"/>
  <c r="AR22" i="52"/>
  <c r="AQ22" i="52"/>
  <c r="AN22" i="52"/>
  <c r="AM22" i="52"/>
  <c r="AL22" i="52"/>
  <c r="AK22" i="52"/>
  <c r="AJ22" i="52"/>
  <c r="AI22" i="52"/>
  <c r="AH22" i="52"/>
  <c r="AG22" i="52"/>
  <c r="AF22" i="52"/>
  <c r="AE22" i="52"/>
  <c r="AD22" i="52"/>
  <c r="AC22" i="52"/>
  <c r="AB22" i="52"/>
  <c r="AA22" i="52"/>
  <c r="Z22" i="52"/>
  <c r="Y22" i="52"/>
  <c r="X22" i="52"/>
  <c r="W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H22" i="52"/>
  <c r="G22" i="52"/>
  <c r="F22" i="52"/>
  <c r="E22" i="52"/>
  <c r="D22" i="52"/>
  <c r="C22" i="52"/>
  <c r="BH21" i="52"/>
  <c r="BG21" i="52"/>
  <c r="BF21" i="52"/>
  <c r="BE21" i="52"/>
  <c r="BD21" i="52"/>
  <c r="BC21" i="52"/>
  <c r="BB21" i="52"/>
  <c r="BA21" i="52"/>
  <c r="AZ21" i="52"/>
  <c r="AY21" i="52"/>
  <c r="AX21" i="52"/>
  <c r="AW21" i="52"/>
  <c r="AV21" i="52"/>
  <c r="AU21" i="52"/>
  <c r="AT21" i="52"/>
  <c r="AS21" i="52"/>
  <c r="AR21" i="52"/>
  <c r="AQ21" i="52"/>
  <c r="AN21" i="52"/>
  <c r="AM21" i="52"/>
  <c r="AL21" i="52"/>
  <c r="AK21" i="52"/>
  <c r="AJ21" i="52"/>
  <c r="AI21" i="52"/>
  <c r="AH21" i="52"/>
  <c r="AG21" i="52"/>
  <c r="AF21" i="52"/>
  <c r="AE21" i="52"/>
  <c r="AD21" i="52"/>
  <c r="AC21" i="52"/>
  <c r="AB21" i="52"/>
  <c r="AA21" i="52"/>
  <c r="Z21" i="52"/>
  <c r="Y21" i="52"/>
  <c r="X21" i="52"/>
  <c r="W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H21" i="52"/>
  <c r="G21" i="52"/>
  <c r="F21" i="52"/>
  <c r="E21" i="52"/>
  <c r="D21" i="52"/>
  <c r="C21" i="52"/>
  <c r="BH20" i="52"/>
  <c r="BG20" i="52"/>
  <c r="BF20" i="52"/>
  <c r="BE20" i="52"/>
  <c r="BD20" i="52"/>
  <c r="BC20" i="52"/>
  <c r="BB20" i="52"/>
  <c r="BA20" i="52"/>
  <c r="AZ20" i="52"/>
  <c r="AY20" i="52"/>
  <c r="AX20" i="52"/>
  <c r="AW20" i="52"/>
  <c r="AV20" i="52"/>
  <c r="AU20" i="52"/>
  <c r="AT20" i="52"/>
  <c r="AS20" i="52"/>
  <c r="AR20" i="52"/>
  <c r="AQ20" i="52"/>
  <c r="AN20" i="52"/>
  <c r="AM20" i="52"/>
  <c r="AL20" i="52"/>
  <c r="AK20" i="52"/>
  <c r="AJ20" i="52"/>
  <c r="AI20" i="52"/>
  <c r="AH20" i="52"/>
  <c r="AG20" i="52"/>
  <c r="AF20" i="52"/>
  <c r="AE20" i="52"/>
  <c r="AD20" i="52"/>
  <c r="AC20" i="52"/>
  <c r="AB20" i="52"/>
  <c r="AA20" i="52"/>
  <c r="Z20" i="52"/>
  <c r="Y20" i="52"/>
  <c r="X20" i="52"/>
  <c r="W20" i="52"/>
  <c r="T20" i="52"/>
  <c r="S20" i="52"/>
  <c r="R20" i="52"/>
  <c r="Q20" i="52"/>
  <c r="P20" i="52"/>
  <c r="O20" i="52"/>
  <c r="N20" i="52"/>
  <c r="M20" i="52"/>
  <c r="L20" i="52"/>
  <c r="K20" i="52"/>
  <c r="J20" i="52"/>
  <c r="I20" i="52"/>
  <c r="H20" i="52"/>
  <c r="G20" i="52"/>
  <c r="F20" i="52"/>
  <c r="E20" i="52"/>
  <c r="D20" i="52"/>
  <c r="C20" i="52"/>
  <c r="BH19" i="52"/>
  <c r="BG19" i="52"/>
  <c r="BF19" i="52"/>
  <c r="BE19" i="52"/>
  <c r="BD19" i="52"/>
  <c r="BC19" i="52"/>
  <c r="BB19" i="52"/>
  <c r="BA19" i="52"/>
  <c r="AZ19" i="52"/>
  <c r="AY19" i="52"/>
  <c r="AX19" i="52"/>
  <c r="AW19" i="52"/>
  <c r="AV19" i="52"/>
  <c r="AU19" i="52"/>
  <c r="AT19" i="52"/>
  <c r="AS19" i="52"/>
  <c r="AR19" i="52"/>
  <c r="AQ19" i="52"/>
  <c r="AN19" i="52"/>
  <c r="AM19" i="52"/>
  <c r="AL19" i="52"/>
  <c r="AK19" i="52"/>
  <c r="AJ19" i="52"/>
  <c r="AI19" i="52"/>
  <c r="AH19" i="52"/>
  <c r="AG19" i="52"/>
  <c r="AF19" i="52"/>
  <c r="AE19" i="52"/>
  <c r="AD19" i="52"/>
  <c r="AC19" i="52"/>
  <c r="AB19" i="52"/>
  <c r="AA19" i="52"/>
  <c r="Z19" i="52"/>
  <c r="Y19" i="52"/>
  <c r="X19" i="52"/>
  <c r="W19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E19" i="52"/>
  <c r="D19" i="52"/>
  <c r="C19" i="52"/>
  <c r="BH18" i="52"/>
  <c r="BG18" i="52"/>
  <c r="BF18" i="52"/>
  <c r="BE18" i="52"/>
  <c r="BD18" i="52"/>
  <c r="BC18" i="52"/>
  <c r="BB18" i="52"/>
  <c r="BA18" i="52"/>
  <c r="AZ18" i="52"/>
  <c r="AY18" i="52"/>
  <c r="AX18" i="52"/>
  <c r="AW18" i="52"/>
  <c r="AV18" i="52"/>
  <c r="AU18" i="52"/>
  <c r="AT18" i="52"/>
  <c r="AS18" i="52"/>
  <c r="AR18" i="52"/>
  <c r="AQ18" i="52"/>
  <c r="AN18" i="52"/>
  <c r="AM18" i="52"/>
  <c r="AL18" i="52"/>
  <c r="AK18" i="52"/>
  <c r="AJ18" i="52"/>
  <c r="AI18" i="52"/>
  <c r="AH18" i="52"/>
  <c r="AG18" i="52"/>
  <c r="AF18" i="52"/>
  <c r="AE18" i="52"/>
  <c r="AD18" i="52"/>
  <c r="AC18" i="52"/>
  <c r="AB18" i="52"/>
  <c r="AA18" i="52"/>
  <c r="Z18" i="52"/>
  <c r="Y18" i="52"/>
  <c r="X18" i="52"/>
  <c r="W18" i="52"/>
  <c r="T18" i="52"/>
  <c r="S18" i="52"/>
  <c r="R18" i="52"/>
  <c r="Q18" i="52"/>
  <c r="P18" i="52"/>
  <c r="O18" i="52"/>
  <c r="N18" i="52"/>
  <c r="M18" i="52"/>
  <c r="L18" i="52"/>
  <c r="K18" i="52"/>
  <c r="J18" i="52"/>
  <c r="I18" i="52"/>
  <c r="H18" i="52"/>
  <c r="G18" i="52"/>
  <c r="F18" i="52"/>
  <c r="E18" i="52"/>
  <c r="D18" i="52"/>
  <c r="C18" i="52"/>
  <c r="BH17" i="52"/>
  <c r="BG17" i="52"/>
  <c r="BF17" i="52"/>
  <c r="BE17" i="52"/>
  <c r="BD17" i="52"/>
  <c r="BC17" i="52"/>
  <c r="BB17" i="52"/>
  <c r="BA17" i="52"/>
  <c r="AZ17" i="52"/>
  <c r="AY17" i="52"/>
  <c r="AX17" i="52"/>
  <c r="AW17" i="52"/>
  <c r="AV17" i="52"/>
  <c r="AU17" i="52"/>
  <c r="AT17" i="52"/>
  <c r="AS17" i="52"/>
  <c r="AR17" i="52"/>
  <c r="AQ17" i="52"/>
  <c r="AN17" i="52"/>
  <c r="AM17" i="52"/>
  <c r="AL17" i="52"/>
  <c r="AK17" i="52"/>
  <c r="AJ17" i="52"/>
  <c r="AI17" i="52"/>
  <c r="AH17" i="52"/>
  <c r="AG17" i="52"/>
  <c r="AF17" i="52"/>
  <c r="AE17" i="52"/>
  <c r="AD17" i="52"/>
  <c r="AC17" i="52"/>
  <c r="AB17" i="52"/>
  <c r="AA17" i="52"/>
  <c r="Z17" i="52"/>
  <c r="Y17" i="52"/>
  <c r="X17" i="52"/>
  <c r="W17" i="52"/>
  <c r="T17" i="52"/>
  <c r="S17" i="52"/>
  <c r="R17" i="52"/>
  <c r="Q17" i="52"/>
  <c r="P17" i="52"/>
  <c r="O17" i="52"/>
  <c r="N17" i="52"/>
  <c r="M17" i="52"/>
  <c r="L17" i="52"/>
  <c r="K17" i="52"/>
  <c r="J17" i="52"/>
  <c r="I17" i="52"/>
  <c r="H17" i="52"/>
  <c r="G17" i="52"/>
  <c r="F17" i="52"/>
  <c r="E17" i="52"/>
  <c r="D17" i="52"/>
  <c r="C17" i="52"/>
  <c r="BH16" i="52"/>
  <c r="BG16" i="52"/>
  <c r="BF16" i="52"/>
  <c r="BE16" i="52"/>
  <c r="BD16" i="52"/>
  <c r="BC16" i="52"/>
  <c r="BB16" i="52"/>
  <c r="BA16" i="52"/>
  <c r="AZ16" i="52"/>
  <c r="AY16" i="52"/>
  <c r="AX16" i="52"/>
  <c r="AW16" i="52"/>
  <c r="AV16" i="52"/>
  <c r="AU16" i="52"/>
  <c r="AT16" i="52"/>
  <c r="AS16" i="52"/>
  <c r="AR16" i="52"/>
  <c r="AQ16" i="52"/>
  <c r="AN16" i="52"/>
  <c r="AM16" i="52"/>
  <c r="AL16" i="52"/>
  <c r="AK16" i="52"/>
  <c r="AJ16" i="52"/>
  <c r="AI16" i="52"/>
  <c r="AH16" i="52"/>
  <c r="AG16" i="52"/>
  <c r="AF16" i="52"/>
  <c r="AE16" i="52"/>
  <c r="AD16" i="52"/>
  <c r="AC16" i="52"/>
  <c r="AB16" i="52"/>
  <c r="AA16" i="52"/>
  <c r="Z16" i="52"/>
  <c r="Y16" i="52"/>
  <c r="X16" i="52"/>
  <c r="W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F16" i="52"/>
  <c r="E16" i="52"/>
  <c r="D16" i="52"/>
  <c r="C16" i="52"/>
  <c r="BH15" i="52"/>
  <c r="BG15" i="52"/>
  <c r="BF15" i="52"/>
  <c r="BE15" i="52"/>
  <c r="BD15" i="52"/>
  <c r="BC15" i="52"/>
  <c r="BB15" i="52"/>
  <c r="BA15" i="52"/>
  <c r="AZ15" i="52"/>
  <c r="AY15" i="52"/>
  <c r="AX15" i="52"/>
  <c r="AW15" i="52"/>
  <c r="AV15" i="52"/>
  <c r="AU15" i="52"/>
  <c r="AT15" i="52"/>
  <c r="AS15" i="52"/>
  <c r="AR15" i="52"/>
  <c r="AQ15" i="52"/>
  <c r="AN15" i="52"/>
  <c r="AM15" i="52"/>
  <c r="AL15" i="52"/>
  <c r="AK15" i="52"/>
  <c r="AJ15" i="52"/>
  <c r="AI15" i="52"/>
  <c r="AH15" i="52"/>
  <c r="AG15" i="52"/>
  <c r="AF15" i="52"/>
  <c r="AE15" i="52"/>
  <c r="AD15" i="52"/>
  <c r="AC15" i="52"/>
  <c r="AB15" i="52"/>
  <c r="AA15" i="52"/>
  <c r="Z15" i="52"/>
  <c r="Y15" i="52"/>
  <c r="X15" i="52"/>
  <c r="W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F15" i="52"/>
  <c r="E15" i="52"/>
  <c r="D15" i="52"/>
  <c r="C15" i="52"/>
  <c r="BH14" i="52"/>
  <c r="BG14" i="52"/>
  <c r="BF14" i="52"/>
  <c r="BE14" i="52"/>
  <c r="BD14" i="52"/>
  <c r="BC14" i="52"/>
  <c r="BB14" i="52"/>
  <c r="BA14" i="52"/>
  <c r="AZ14" i="52"/>
  <c r="AY14" i="52"/>
  <c r="AX14" i="52"/>
  <c r="AW14" i="52"/>
  <c r="AV14" i="52"/>
  <c r="AU14" i="52"/>
  <c r="AT14" i="52"/>
  <c r="AS14" i="52"/>
  <c r="AR14" i="52"/>
  <c r="AQ14" i="52"/>
  <c r="AN14" i="52"/>
  <c r="AM14" i="52"/>
  <c r="AL14" i="52"/>
  <c r="AK14" i="52"/>
  <c r="AJ14" i="52"/>
  <c r="AI14" i="52"/>
  <c r="AH14" i="52"/>
  <c r="AG14" i="52"/>
  <c r="AF14" i="52"/>
  <c r="AE14" i="52"/>
  <c r="AD14" i="52"/>
  <c r="AC14" i="52"/>
  <c r="AB14" i="52"/>
  <c r="AA14" i="52"/>
  <c r="Z14" i="52"/>
  <c r="Y14" i="52"/>
  <c r="X14" i="52"/>
  <c r="W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H14" i="52"/>
  <c r="G14" i="52"/>
  <c r="F14" i="52"/>
  <c r="E14" i="52"/>
  <c r="D14" i="52"/>
  <c r="C14" i="52"/>
  <c r="BH13" i="52"/>
  <c r="BG13" i="52"/>
  <c r="BF13" i="52"/>
  <c r="BE13" i="52"/>
  <c r="BD13" i="52"/>
  <c r="BC13" i="52"/>
  <c r="BB13" i="52"/>
  <c r="BA13" i="52"/>
  <c r="AZ13" i="52"/>
  <c r="AY13" i="52"/>
  <c r="AX13" i="52"/>
  <c r="AW13" i="52"/>
  <c r="AV13" i="52"/>
  <c r="AU13" i="52"/>
  <c r="AT13" i="52"/>
  <c r="AS13" i="52"/>
  <c r="AR13" i="52"/>
  <c r="AQ13" i="52"/>
  <c r="AN13" i="52"/>
  <c r="AM13" i="52"/>
  <c r="AL13" i="52"/>
  <c r="AK13" i="52"/>
  <c r="AJ13" i="52"/>
  <c r="AI13" i="52"/>
  <c r="AH13" i="52"/>
  <c r="AG13" i="52"/>
  <c r="AF13" i="52"/>
  <c r="AE13" i="52"/>
  <c r="AD13" i="52"/>
  <c r="AC13" i="52"/>
  <c r="AB13" i="52"/>
  <c r="AA13" i="52"/>
  <c r="Z13" i="52"/>
  <c r="Y13" i="52"/>
  <c r="X13" i="52"/>
  <c r="W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F13" i="52"/>
  <c r="E13" i="52"/>
  <c r="D13" i="52"/>
  <c r="C13" i="52"/>
  <c r="BH12" i="52"/>
  <c r="BG12" i="52"/>
  <c r="BF12" i="52"/>
  <c r="BE12" i="52"/>
  <c r="BD12" i="52"/>
  <c r="BC12" i="52"/>
  <c r="BB12" i="52"/>
  <c r="BA12" i="52"/>
  <c r="AZ12" i="52"/>
  <c r="AY12" i="52"/>
  <c r="AX12" i="52"/>
  <c r="AW12" i="52"/>
  <c r="AV12" i="52"/>
  <c r="AU12" i="52"/>
  <c r="AT12" i="52"/>
  <c r="AS12" i="52"/>
  <c r="AR12" i="52"/>
  <c r="AQ12" i="52"/>
  <c r="AN12" i="52"/>
  <c r="AM12" i="52"/>
  <c r="AL12" i="52"/>
  <c r="AK12" i="52"/>
  <c r="AJ12" i="52"/>
  <c r="AI12" i="52"/>
  <c r="AH12" i="52"/>
  <c r="AG12" i="52"/>
  <c r="AF12" i="52"/>
  <c r="AE12" i="52"/>
  <c r="AD12" i="52"/>
  <c r="AC12" i="52"/>
  <c r="AB12" i="52"/>
  <c r="AA12" i="52"/>
  <c r="Z12" i="52"/>
  <c r="Y12" i="52"/>
  <c r="X12" i="52"/>
  <c r="W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G12" i="52"/>
  <c r="F12" i="52"/>
  <c r="E12" i="52"/>
  <c r="D12" i="52"/>
  <c r="C12" i="52"/>
  <c r="BH11" i="52"/>
  <c r="BG11" i="52"/>
  <c r="BF11" i="52"/>
  <c r="BE11" i="52"/>
  <c r="BD11" i="52"/>
  <c r="BC11" i="52"/>
  <c r="BB11" i="52"/>
  <c r="BA11" i="52"/>
  <c r="AZ11" i="52"/>
  <c r="AY11" i="52"/>
  <c r="AX11" i="52"/>
  <c r="AW11" i="52"/>
  <c r="AV11" i="52"/>
  <c r="AU11" i="52"/>
  <c r="AT11" i="52"/>
  <c r="AS11" i="52"/>
  <c r="AR11" i="52"/>
  <c r="AQ11" i="52"/>
  <c r="AN11" i="52"/>
  <c r="AM11" i="52"/>
  <c r="AL11" i="52"/>
  <c r="AK11" i="52"/>
  <c r="AJ11" i="52"/>
  <c r="AI11" i="52"/>
  <c r="AH11" i="52"/>
  <c r="AG11" i="52"/>
  <c r="AF11" i="52"/>
  <c r="AE11" i="52"/>
  <c r="AD11" i="52"/>
  <c r="AC11" i="52"/>
  <c r="AB11" i="52"/>
  <c r="AA11" i="52"/>
  <c r="Z11" i="52"/>
  <c r="Y11" i="52"/>
  <c r="X11" i="52"/>
  <c r="W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G11" i="52"/>
  <c r="F11" i="52"/>
  <c r="E11" i="52"/>
  <c r="D11" i="52"/>
  <c r="C11" i="52"/>
  <c r="BH10" i="52"/>
  <c r="BG10" i="52"/>
  <c r="BF10" i="52"/>
  <c r="BE10" i="52"/>
  <c r="BD10" i="52"/>
  <c r="BC10" i="52"/>
  <c r="BB10" i="52"/>
  <c r="BA10" i="52"/>
  <c r="AZ10" i="52"/>
  <c r="AY10" i="52"/>
  <c r="AX10" i="52"/>
  <c r="AW10" i="52"/>
  <c r="AV10" i="52"/>
  <c r="AU10" i="52"/>
  <c r="AT10" i="52"/>
  <c r="AS10" i="52"/>
  <c r="AR10" i="52"/>
  <c r="AQ10" i="52"/>
  <c r="AN10" i="52"/>
  <c r="AM10" i="52"/>
  <c r="AL10" i="52"/>
  <c r="AK10" i="52"/>
  <c r="AJ10" i="52"/>
  <c r="AI10" i="52"/>
  <c r="AH10" i="52"/>
  <c r="AG10" i="52"/>
  <c r="AF10" i="52"/>
  <c r="AE10" i="52"/>
  <c r="AD10" i="52"/>
  <c r="AC10" i="52"/>
  <c r="AB10" i="52"/>
  <c r="AA10" i="52"/>
  <c r="Z10" i="52"/>
  <c r="Y10" i="52"/>
  <c r="X10" i="52"/>
  <c r="W10" i="52"/>
  <c r="T10" i="52"/>
  <c r="S10" i="52"/>
  <c r="R10" i="52"/>
  <c r="Q10" i="52"/>
  <c r="P10" i="52"/>
  <c r="O10" i="52"/>
  <c r="N10" i="52"/>
  <c r="M10" i="52"/>
  <c r="L10" i="52"/>
  <c r="K10" i="52"/>
  <c r="J10" i="52"/>
  <c r="I10" i="52"/>
  <c r="H10" i="52"/>
  <c r="G10" i="52"/>
  <c r="F10" i="52"/>
  <c r="E10" i="52"/>
  <c r="D10" i="52"/>
  <c r="C10" i="52"/>
  <c r="BH9" i="52"/>
  <c r="BG9" i="52"/>
  <c r="BF9" i="52"/>
  <c r="BE9" i="52"/>
  <c r="BD9" i="52"/>
  <c r="BC9" i="52"/>
  <c r="BB9" i="52"/>
  <c r="BA9" i="52"/>
  <c r="AZ9" i="52"/>
  <c r="AY9" i="52"/>
  <c r="AX9" i="52"/>
  <c r="AW9" i="52"/>
  <c r="AV9" i="52"/>
  <c r="AU9" i="52"/>
  <c r="AT9" i="52"/>
  <c r="AS9" i="52"/>
  <c r="AR9" i="52"/>
  <c r="AQ9" i="52"/>
  <c r="AN9" i="52"/>
  <c r="AM9" i="52"/>
  <c r="AL9" i="52"/>
  <c r="AK9" i="52"/>
  <c r="AJ9" i="52"/>
  <c r="AI9" i="52"/>
  <c r="AH9" i="52"/>
  <c r="AG9" i="52"/>
  <c r="AF9" i="52"/>
  <c r="AE9" i="52"/>
  <c r="AD9" i="52"/>
  <c r="AC9" i="52"/>
  <c r="AB9" i="52"/>
  <c r="AA9" i="52"/>
  <c r="Z9" i="52"/>
  <c r="Y9" i="52"/>
  <c r="X9" i="52"/>
  <c r="W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G9" i="52"/>
  <c r="F9" i="52"/>
  <c r="E9" i="52"/>
  <c r="D9" i="52"/>
  <c r="C9" i="52"/>
  <c r="BH8" i="52"/>
  <c r="BG8" i="52"/>
  <c r="BF8" i="52"/>
  <c r="BE8" i="52"/>
  <c r="BD8" i="52"/>
  <c r="BC8" i="52"/>
  <c r="BB8" i="52"/>
  <c r="BA8" i="52"/>
  <c r="AZ8" i="52"/>
  <c r="AY8" i="52"/>
  <c r="AX8" i="52"/>
  <c r="AW8" i="52"/>
  <c r="AV8" i="52"/>
  <c r="AU8" i="52"/>
  <c r="AT8" i="52"/>
  <c r="AS8" i="52"/>
  <c r="AR8" i="52"/>
  <c r="AQ8" i="52"/>
  <c r="AN8" i="52"/>
  <c r="AM8" i="52"/>
  <c r="AL8" i="52"/>
  <c r="AK8" i="52"/>
  <c r="AJ8" i="52"/>
  <c r="AI8" i="52"/>
  <c r="AH8" i="52"/>
  <c r="AG8" i="52"/>
  <c r="AF8" i="52"/>
  <c r="AE8" i="52"/>
  <c r="AD8" i="52"/>
  <c r="AC8" i="52"/>
  <c r="AB8" i="52"/>
  <c r="AA8" i="52"/>
  <c r="Z8" i="52"/>
  <c r="Y8" i="52"/>
  <c r="X8" i="52"/>
  <c r="W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G8" i="52"/>
  <c r="F8" i="52"/>
  <c r="E8" i="52"/>
  <c r="D8" i="52"/>
  <c r="C8" i="52"/>
  <c r="BH7" i="52"/>
  <c r="BG7" i="52"/>
  <c r="BF7" i="52"/>
  <c r="BE7" i="52"/>
  <c r="BD7" i="52"/>
  <c r="BC7" i="52"/>
  <c r="BB7" i="52"/>
  <c r="BA7" i="52"/>
  <c r="AZ7" i="52"/>
  <c r="AY7" i="52"/>
  <c r="AX7" i="52"/>
  <c r="AW7" i="52"/>
  <c r="AV7" i="52"/>
  <c r="AU7" i="52"/>
  <c r="AT7" i="52"/>
  <c r="AS7" i="52"/>
  <c r="AR7" i="52"/>
  <c r="AQ7" i="52"/>
  <c r="AN7" i="52"/>
  <c r="AM7" i="52"/>
  <c r="AL7" i="52"/>
  <c r="AK7" i="52"/>
  <c r="AJ7" i="52"/>
  <c r="AI7" i="52"/>
  <c r="AH7" i="52"/>
  <c r="AG7" i="52"/>
  <c r="AF7" i="52"/>
  <c r="AE7" i="52"/>
  <c r="AD7" i="52"/>
  <c r="AC7" i="52"/>
  <c r="AB7" i="52"/>
  <c r="AA7" i="52"/>
  <c r="Z7" i="52"/>
  <c r="Y7" i="52"/>
  <c r="X7" i="52"/>
  <c r="W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G7" i="52"/>
  <c r="F7" i="52"/>
  <c r="E7" i="52"/>
  <c r="D7" i="52"/>
  <c r="C7" i="52"/>
  <c r="BH6" i="52"/>
  <c r="BG6" i="52"/>
  <c r="BF6" i="52"/>
  <c r="BE6" i="52"/>
  <c r="BD6" i="52"/>
  <c r="BC6" i="52"/>
  <c r="BB6" i="52"/>
  <c r="BA6" i="52"/>
  <c r="AZ6" i="52"/>
  <c r="AY6" i="52"/>
  <c r="AX6" i="52"/>
  <c r="AW6" i="52"/>
  <c r="AV6" i="52"/>
  <c r="AU6" i="52"/>
  <c r="AT6" i="52"/>
  <c r="AS6" i="52"/>
  <c r="AR6" i="52"/>
  <c r="AQ6" i="52"/>
  <c r="AN6" i="52"/>
  <c r="AM6" i="52"/>
  <c r="AL6" i="52"/>
  <c r="AK6" i="52"/>
  <c r="AJ6" i="52"/>
  <c r="AI6" i="52"/>
  <c r="AH6" i="52"/>
  <c r="AG6" i="52"/>
  <c r="AF6" i="52"/>
  <c r="AE6" i="52"/>
  <c r="AD6" i="52"/>
  <c r="AC6" i="52"/>
  <c r="AB6" i="52"/>
  <c r="AA6" i="52"/>
  <c r="Z6" i="52"/>
  <c r="Y6" i="52"/>
  <c r="X6" i="52"/>
  <c r="W6" i="52"/>
  <c r="T6" i="52"/>
  <c r="S6" i="52"/>
  <c r="R6" i="52"/>
  <c r="Q6" i="52"/>
  <c r="P6" i="52"/>
  <c r="O6" i="52"/>
  <c r="N6" i="52"/>
  <c r="M6" i="52"/>
  <c r="L6" i="52"/>
  <c r="K6" i="52"/>
  <c r="J6" i="52"/>
  <c r="I6" i="52"/>
  <c r="H6" i="52"/>
  <c r="G6" i="52"/>
  <c r="F6" i="52"/>
  <c r="E6" i="52"/>
  <c r="D6" i="52"/>
  <c r="C6" i="52"/>
  <c r="BH5" i="52"/>
  <c r="BG5" i="52"/>
  <c r="BF5" i="52"/>
  <c r="BE5" i="52"/>
  <c r="BD5" i="52"/>
  <c r="BC5" i="52"/>
  <c r="BB5" i="52"/>
  <c r="BA5" i="52"/>
  <c r="AZ5" i="52"/>
  <c r="AY5" i="52"/>
  <c r="AX5" i="52"/>
  <c r="AW5" i="52"/>
  <c r="AV5" i="52"/>
  <c r="AU5" i="52"/>
  <c r="AT5" i="52"/>
  <c r="AS5" i="52"/>
  <c r="AR5" i="52"/>
  <c r="AQ5" i="52"/>
  <c r="AN5" i="52"/>
  <c r="AM5" i="52"/>
  <c r="AL5" i="52"/>
  <c r="AK5" i="52"/>
  <c r="AJ5" i="52"/>
  <c r="AI5" i="52"/>
  <c r="AH5" i="52"/>
  <c r="AG5" i="52"/>
  <c r="AF5" i="52"/>
  <c r="AE5" i="52"/>
  <c r="AD5" i="52"/>
  <c r="AC5" i="52"/>
  <c r="AB5" i="52"/>
  <c r="AA5" i="52"/>
  <c r="Z5" i="52"/>
  <c r="Y5" i="52"/>
  <c r="X5" i="52"/>
  <c r="W5" i="52"/>
  <c r="T5" i="52"/>
  <c r="S5" i="52"/>
  <c r="R5" i="52"/>
  <c r="Q5" i="52"/>
  <c r="P5" i="52"/>
  <c r="O5" i="52"/>
  <c r="N5" i="52"/>
  <c r="M5" i="52"/>
  <c r="L5" i="52"/>
  <c r="K5" i="52"/>
  <c r="J5" i="52"/>
  <c r="I5" i="52"/>
  <c r="H5" i="52"/>
  <c r="G5" i="52"/>
  <c r="F5" i="52"/>
  <c r="E5" i="52"/>
  <c r="D5" i="52"/>
  <c r="C5" i="52"/>
  <c r="BH4" i="52"/>
  <c r="BG4" i="52"/>
  <c r="BF4" i="52"/>
  <c r="BE4" i="52"/>
  <c r="BD4" i="52"/>
  <c r="BC4" i="52"/>
  <c r="BB4" i="52"/>
  <c r="BA4" i="52"/>
  <c r="AZ4" i="52"/>
  <c r="AY4" i="52"/>
  <c r="AX4" i="52"/>
  <c r="AW4" i="52"/>
  <c r="AV4" i="52"/>
  <c r="AU4" i="52"/>
  <c r="AT4" i="52"/>
  <c r="AS4" i="52"/>
  <c r="AR4" i="52"/>
  <c r="AQ4" i="52"/>
  <c r="AN4" i="52"/>
  <c r="AM4" i="52"/>
  <c r="AL4" i="52"/>
  <c r="AK4" i="52"/>
  <c r="AJ4" i="52"/>
  <c r="AI4" i="52"/>
  <c r="AH4" i="52"/>
  <c r="AG4" i="52"/>
  <c r="AF4" i="52"/>
  <c r="AE4" i="52"/>
  <c r="AD4" i="52"/>
  <c r="AC4" i="52"/>
  <c r="AB4" i="52"/>
  <c r="AA4" i="52"/>
  <c r="Z4" i="52"/>
  <c r="Y4" i="52"/>
  <c r="X4" i="52"/>
  <c r="W4" i="52"/>
  <c r="T4" i="52"/>
  <c r="S4" i="52"/>
  <c r="R4" i="52"/>
  <c r="Q4" i="52"/>
  <c r="P4" i="52"/>
  <c r="O4" i="52"/>
  <c r="N4" i="52"/>
  <c r="M4" i="52"/>
  <c r="L4" i="52"/>
  <c r="K4" i="52"/>
  <c r="J4" i="52"/>
  <c r="I4" i="52"/>
  <c r="H4" i="52"/>
  <c r="G4" i="52"/>
  <c r="F4" i="52"/>
  <c r="E4" i="52"/>
  <c r="D4" i="52"/>
  <c r="C4" i="52"/>
  <c r="BH3" i="52"/>
  <c r="BG3" i="52"/>
  <c r="BF3" i="52"/>
  <c r="BE3" i="52"/>
  <c r="BD3" i="52"/>
  <c r="BC3" i="52"/>
  <c r="BB3" i="52"/>
  <c r="BA3" i="52"/>
  <c r="AZ3" i="52"/>
  <c r="AY3" i="52"/>
  <c r="AX3" i="52"/>
  <c r="AW3" i="52"/>
  <c r="AV3" i="52"/>
  <c r="AU3" i="52"/>
  <c r="AT3" i="52"/>
  <c r="AS3" i="52"/>
  <c r="AR3" i="52"/>
  <c r="AQ3" i="52"/>
  <c r="AN3" i="52"/>
  <c r="AM3" i="52"/>
  <c r="AL3" i="52"/>
  <c r="AK3" i="52"/>
  <c r="AJ3" i="52"/>
  <c r="AI3" i="52"/>
  <c r="AH3" i="52"/>
  <c r="AG3" i="52"/>
  <c r="AF3" i="52"/>
  <c r="AE3" i="52"/>
  <c r="AD3" i="52"/>
  <c r="AC3" i="52"/>
  <c r="AB3" i="52"/>
  <c r="AA3" i="52"/>
  <c r="Z3" i="52"/>
  <c r="Y3" i="52"/>
  <c r="X3" i="52"/>
  <c r="W3" i="52"/>
  <c r="T3" i="52"/>
  <c r="S3" i="52"/>
  <c r="R3" i="52"/>
  <c r="Q3" i="52"/>
  <c r="P3" i="52"/>
  <c r="O3" i="52"/>
  <c r="N3" i="52"/>
  <c r="M3" i="52"/>
  <c r="L3" i="52"/>
  <c r="K3" i="52"/>
  <c r="J3" i="52"/>
  <c r="I3" i="52"/>
  <c r="H3" i="52"/>
  <c r="G3" i="52"/>
  <c r="F3" i="52"/>
  <c r="E3" i="52"/>
  <c r="D3" i="52"/>
  <c r="C3" i="52"/>
  <c r="BH2" i="52"/>
  <c r="BG2" i="52"/>
  <c r="BF2" i="52"/>
  <c r="BE2" i="52"/>
  <c r="BD2" i="52"/>
  <c r="BC2" i="52"/>
  <c r="BB2" i="52"/>
  <c r="BA2" i="52"/>
  <c r="AZ2" i="52"/>
  <c r="AY2" i="52"/>
  <c r="AX2" i="52"/>
  <c r="AW2" i="52"/>
  <c r="AV2" i="52"/>
  <c r="AU2" i="52"/>
  <c r="AT2" i="52"/>
  <c r="AS2" i="52"/>
  <c r="AR2" i="52"/>
  <c r="AQ2" i="52"/>
  <c r="AN2" i="52"/>
  <c r="AM2" i="52"/>
  <c r="AL2" i="52"/>
  <c r="AK2" i="52"/>
  <c r="AJ2" i="52"/>
  <c r="AI2" i="52"/>
  <c r="AH2" i="52"/>
  <c r="AG2" i="52"/>
  <c r="AF2" i="52"/>
  <c r="AE2" i="52"/>
  <c r="AD2" i="52"/>
  <c r="AC2" i="52"/>
  <c r="AB2" i="52"/>
  <c r="AA2" i="52"/>
  <c r="Z2" i="52"/>
  <c r="Y2" i="52"/>
  <c r="X2" i="52"/>
  <c r="W2" i="52"/>
  <c r="T2" i="52"/>
  <c r="S2" i="52"/>
  <c r="R2" i="52"/>
  <c r="Q2" i="52"/>
  <c r="P2" i="52"/>
  <c r="O2" i="52"/>
  <c r="N2" i="52"/>
  <c r="M2" i="52"/>
  <c r="L2" i="52"/>
  <c r="K2" i="52"/>
  <c r="J2" i="52"/>
  <c r="I2" i="52"/>
  <c r="H2" i="52"/>
  <c r="G2" i="52"/>
  <c r="F2" i="52"/>
  <c r="E2" i="52"/>
  <c r="D2" i="52"/>
  <c r="C2" i="52"/>
  <c r="AN42" i="50"/>
  <c r="AM42" i="50"/>
  <c r="AL42" i="50"/>
  <c r="AK42" i="50"/>
  <c r="AJ42" i="50"/>
  <c r="AI42" i="50"/>
  <c r="AH42" i="50"/>
  <c r="AG42" i="50"/>
  <c r="AF42" i="50"/>
  <c r="AE42" i="50"/>
  <c r="AD42" i="50"/>
  <c r="AC42" i="50"/>
  <c r="AB42" i="50"/>
  <c r="AA42" i="50"/>
  <c r="Z42" i="50"/>
  <c r="Y42" i="50"/>
  <c r="X42" i="50"/>
  <c r="W42" i="50"/>
  <c r="T42" i="50"/>
  <c r="S42" i="50"/>
  <c r="R42" i="50"/>
  <c r="Q42" i="50"/>
  <c r="P42" i="50"/>
  <c r="O42" i="50"/>
  <c r="N42" i="50"/>
  <c r="M42" i="50"/>
  <c r="L42" i="50"/>
  <c r="K42" i="50"/>
  <c r="J42" i="50"/>
  <c r="I42" i="50"/>
  <c r="H42" i="50"/>
  <c r="G42" i="50"/>
  <c r="F42" i="50"/>
  <c r="E42" i="50"/>
  <c r="D42" i="50"/>
  <c r="C42" i="50"/>
  <c r="BH41" i="50"/>
  <c r="BG41" i="50"/>
  <c r="BF41" i="50"/>
  <c r="BE41" i="50"/>
  <c r="BD41" i="50"/>
  <c r="BC41" i="50"/>
  <c r="BB41" i="50"/>
  <c r="BA41" i="50"/>
  <c r="AZ41" i="50"/>
  <c r="AY41" i="50"/>
  <c r="AX41" i="50"/>
  <c r="AW41" i="50"/>
  <c r="AV41" i="50"/>
  <c r="AU41" i="50"/>
  <c r="AT41" i="50"/>
  <c r="AS41" i="50"/>
  <c r="AR41" i="50"/>
  <c r="AQ41" i="50"/>
  <c r="AN41" i="50"/>
  <c r="AM41" i="50"/>
  <c r="AL41" i="50"/>
  <c r="AK41" i="50"/>
  <c r="AJ41" i="50"/>
  <c r="AI41" i="50"/>
  <c r="AH41" i="50"/>
  <c r="AG41" i="50"/>
  <c r="AF41" i="50"/>
  <c r="AE41" i="50"/>
  <c r="AD41" i="50"/>
  <c r="AC41" i="50"/>
  <c r="AB41" i="50"/>
  <c r="AA41" i="50"/>
  <c r="Z41" i="50"/>
  <c r="Y41" i="50"/>
  <c r="X41" i="50"/>
  <c r="W41" i="50"/>
  <c r="T41" i="50"/>
  <c r="S41" i="50"/>
  <c r="R41" i="50"/>
  <c r="Q41" i="50"/>
  <c r="P41" i="50"/>
  <c r="O41" i="50"/>
  <c r="N41" i="50"/>
  <c r="M41" i="50"/>
  <c r="L41" i="50"/>
  <c r="K41" i="50"/>
  <c r="J41" i="50"/>
  <c r="I41" i="50"/>
  <c r="H41" i="50"/>
  <c r="G41" i="50"/>
  <c r="F41" i="50"/>
  <c r="E41" i="50"/>
  <c r="D41" i="50"/>
  <c r="C41" i="50"/>
  <c r="BH40" i="50"/>
  <c r="BG40" i="50"/>
  <c r="BF40" i="50"/>
  <c r="BE40" i="50"/>
  <c r="BD40" i="50"/>
  <c r="BC40" i="50"/>
  <c r="BB40" i="50"/>
  <c r="BA40" i="50"/>
  <c r="AZ40" i="50"/>
  <c r="AY40" i="50"/>
  <c r="AX40" i="50"/>
  <c r="AW40" i="50"/>
  <c r="AV40" i="50"/>
  <c r="AU40" i="50"/>
  <c r="AT40" i="50"/>
  <c r="AS40" i="50"/>
  <c r="AR40" i="50"/>
  <c r="AQ40" i="50"/>
  <c r="AN40" i="50"/>
  <c r="AM40" i="50"/>
  <c r="AL40" i="50"/>
  <c r="AK40" i="50"/>
  <c r="AJ40" i="50"/>
  <c r="AI40" i="50"/>
  <c r="AH40" i="50"/>
  <c r="AG40" i="50"/>
  <c r="AF40" i="50"/>
  <c r="AE40" i="50"/>
  <c r="AD40" i="50"/>
  <c r="AC40" i="50"/>
  <c r="AB40" i="50"/>
  <c r="AA40" i="50"/>
  <c r="Z40" i="50"/>
  <c r="Y40" i="50"/>
  <c r="X40" i="50"/>
  <c r="W40" i="50"/>
  <c r="T40" i="50"/>
  <c r="S40" i="50"/>
  <c r="R40" i="50"/>
  <c r="Q40" i="50"/>
  <c r="P40" i="50"/>
  <c r="O40" i="50"/>
  <c r="N40" i="50"/>
  <c r="M40" i="50"/>
  <c r="L40" i="50"/>
  <c r="K40" i="50"/>
  <c r="J40" i="50"/>
  <c r="I40" i="50"/>
  <c r="H40" i="50"/>
  <c r="G40" i="50"/>
  <c r="F40" i="50"/>
  <c r="E40" i="50"/>
  <c r="D40" i="50"/>
  <c r="C40" i="50"/>
  <c r="BH39" i="50"/>
  <c r="BG39" i="50"/>
  <c r="BF39" i="50"/>
  <c r="BE39" i="50"/>
  <c r="BD39" i="50"/>
  <c r="BC39" i="50"/>
  <c r="BB39" i="50"/>
  <c r="BA39" i="50"/>
  <c r="AZ39" i="50"/>
  <c r="AY39" i="50"/>
  <c r="AX39" i="50"/>
  <c r="AW39" i="50"/>
  <c r="AV39" i="50"/>
  <c r="AU39" i="50"/>
  <c r="AT39" i="50"/>
  <c r="AS39" i="50"/>
  <c r="AR39" i="50"/>
  <c r="AQ39" i="50"/>
  <c r="AN39" i="50"/>
  <c r="AM39" i="50"/>
  <c r="AL39" i="50"/>
  <c r="AK39" i="50"/>
  <c r="AJ39" i="50"/>
  <c r="AI39" i="50"/>
  <c r="AH39" i="50"/>
  <c r="AG39" i="50"/>
  <c r="AF39" i="50"/>
  <c r="AE39" i="50"/>
  <c r="AD39" i="50"/>
  <c r="AC39" i="50"/>
  <c r="AB39" i="50"/>
  <c r="AA39" i="50"/>
  <c r="Z39" i="50"/>
  <c r="Y39" i="50"/>
  <c r="X39" i="50"/>
  <c r="W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C39" i="50"/>
  <c r="BH38" i="50"/>
  <c r="BG38" i="50"/>
  <c r="BF38" i="50"/>
  <c r="BE38" i="50"/>
  <c r="BD38" i="50"/>
  <c r="BC38" i="50"/>
  <c r="BB38" i="50"/>
  <c r="BA38" i="50"/>
  <c r="AZ38" i="50"/>
  <c r="AY38" i="50"/>
  <c r="AX38" i="50"/>
  <c r="AW38" i="50"/>
  <c r="AV38" i="50"/>
  <c r="AU38" i="50"/>
  <c r="AT38" i="50"/>
  <c r="AS38" i="50"/>
  <c r="AR38" i="50"/>
  <c r="AQ38" i="50"/>
  <c r="AN38" i="50"/>
  <c r="AM38" i="50"/>
  <c r="AL38" i="50"/>
  <c r="AK38" i="50"/>
  <c r="AJ38" i="50"/>
  <c r="AI38" i="50"/>
  <c r="AH38" i="50"/>
  <c r="AG38" i="50"/>
  <c r="AF38" i="50"/>
  <c r="AE38" i="50"/>
  <c r="AD38" i="50"/>
  <c r="AC38" i="50"/>
  <c r="AB38" i="50"/>
  <c r="AA38" i="50"/>
  <c r="Z38" i="50"/>
  <c r="Y38" i="50"/>
  <c r="X38" i="50"/>
  <c r="W38" i="50"/>
  <c r="T38" i="50"/>
  <c r="S38" i="50"/>
  <c r="R38" i="50"/>
  <c r="Q38" i="50"/>
  <c r="P38" i="50"/>
  <c r="O38" i="50"/>
  <c r="N38" i="50"/>
  <c r="M38" i="50"/>
  <c r="L38" i="50"/>
  <c r="K38" i="50"/>
  <c r="J38" i="50"/>
  <c r="I38" i="50"/>
  <c r="H38" i="50"/>
  <c r="G38" i="50"/>
  <c r="F38" i="50"/>
  <c r="E38" i="50"/>
  <c r="D38" i="50"/>
  <c r="C38" i="50"/>
  <c r="BH37" i="50"/>
  <c r="BG37" i="50"/>
  <c r="BF37" i="50"/>
  <c r="BE37" i="50"/>
  <c r="BD37" i="50"/>
  <c r="BC37" i="50"/>
  <c r="BB37" i="50"/>
  <c r="BA37" i="50"/>
  <c r="AZ37" i="50"/>
  <c r="AY37" i="50"/>
  <c r="AX37" i="50"/>
  <c r="AW37" i="50"/>
  <c r="AV37" i="50"/>
  <c r="AU37" i="50"/>
  <c r="AT37" i="50"/>
  <c r="AS37" i="50"/>
  <c r="AR37" i="50"/>
  <c r="AQ37" i="50"/>
  <c r="AN37" i="50"/>
  <c r="AM37" i="50"/>
  <c r="AL37" i="50"/>
  <c r="AK37" i="50"/>
  <c r="AJ37" i="50"/>
  <c r="AI37" i="50"/>
  <c r="AH37" i="50"/>
  <c r="AG37" i="50"/>
  <c r="AF37" i="50"/>
  <c r="AE37" i="50"/>
  <c r="AD37" i="50"/>
  <c r="AC37" i="50"/>
  <c r="AB37" i="50"/>
  <c r="AA37" i="50"/>
  <c r="Z37" i="50"/>
  <c r="Y37" i="50"/>
  <c r="X37" i="50"/>
  <c r="W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G37" i="50"/>
  <c r="F37" i="50"/>
  <c r="E37" i="50"/>
  <c r="D37" i="50"/>
  <c r="C37" i="50"/>
  <c r="BH36" i="50"/>
  <c r="BG36" i="50"/>
  <c r="BF36" i="50"/>
  <c r="BE36" i="50"/>
  <c r="BD36" i="50"/>
  <c r="BC36" i="50"/>
  <c r="BB36" i="50"/>
  <c r="BA36" i="50"/>
  <c r="AZ36" i="50"/>
  <c r="AY36" i="50"/>
  <c r="AX36" i="50"/>
  <c r="AW36" i="50"/>
  <c r="AV36" i="50"/>
  <c r="AU36" i="50"/>
  <c r="AT36" i="50"/>
  <c r="AS36" i="50"/>
  <c r="AR36" i="50"/>
  <c r="AQ36" i="50"/>
  <c r="AN36" i="50"/>
  <c r="AM36" i="50"/>
  <c r="AL36" i="50"/>
  <c r="AK36" i="50"/>
  <c r="AJ36" i="50"/>
  <c r="AI36" i="50"/>
  <c r="AH36" i="50"/>
  <c r="AG36" i="50"/>
  <c r="AF36" i="50"/>
  <c r="AE36" i="50"/>
  <c r="AD36" i="50"/>
  <c r="AC36" i="50"/>
  <c r="AB36" i="50"/>
  <c r="AA36" i="50"/>
  <c r="Z36" i="50"/>
  <c r="Y36" i="50"/>
  <c r="X36" i="50"/>
  <c r="W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G36" i="50"/>
  <c r="F36" i="50"/>
  <c r="E36" i="50"/>
  <c r="D36" i="50"/>
  <c r="C36" i="50"/>
  <c r="BH35" i="50"/>
  <c r="BG35" i="50"/>
  <c r="BF35" i="50"/>
  <c r="BE35" i="50"/>
  <c r="BD35" i="50"/>
  <c r="BC35" i="50"/>
  <c r="BB35" i="50"/>
  <c r="BA35" i="50"/>
  <c r="AZ35" i="50"/>
  <c r="AY35" i="50"/>
  <c r="AX35" i="50"/>
  <c r="AW35" i="50"/>
  <c r="AV35" i="50"/>
  <c r="AU35" i="50"/>
  <c r="AT35" i="50"/>
  <c r="AS35" i="50"/>
  <c r="AR35" i="50"/>
  <c r="AQ35" i="50"/>
  <c r="AN35" i="50"/>
  <c r="AM35" i="50"/>
  <c r="AL35" i="50"/>
  <c r="AK35" i="50"/>
  <c r="AJ35" i="50"/>
  <c r="AI35" i="50"/>
  <c r="AH35" i="50"/>
  <c r="AG35" i="50"/>
  <c r="AF35" i="50"/>
  <c r="AE35" i="50"/>
  <c r="AD35" i="50"/>
  <c r="AC35" i="50"/>
  <c r="AB35" i="50"/>
  <c r="AA35" i="50"/>
  <c r="Z35" i="50"/>
  <c r="Y35" i="50"/>
  <c r="X35" i="50"/>
  <c r="W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H34" i="50"/>
  <c r="BG34" i="50"/>
  <c r="BF34" i="50"/>
  <c r="BE34" i="50"/>
  <c r="BD34" i="50"/>
  <c r="BC34" i="50"/>
  <c r="BB34" i="50"/>
  <c r="BA34" i="50"/>
  <c r="AZ34" i="50"/>
  <c r="AY34" i="50"/>
  <c r="AX34" i="50"/>
  <c r="AW34" i="50"/>
  <c r="AV34" i="50"/>
  <c r="AU34" i="50"/>
  <c r="AT34" i="50"/>
  <c r="AS34" i="50"/>
  <c r="AR34" i="50"/>
  <c r="AQ34" i="50"/>
  <c r="AN34" i="50"/>
  <c r="AM34" i="50"/>
  <c r="AL34" i="50"/>
  <c r="AK34" i="50"/>
  <c r="AJ34" i="50"/>
  <c r="AI34" i="50"/>
  <c r="AH34" i="50"/>
  <c r="AG34" i="50"/>
  <c r="AF34" i="50"/>
  <c r="AE34" i="50"/>
  <c r="AD34" i="50"/>
  <c r="AC34" i="50"/>
  <c r="AB34" i="50"/>
  <c r="AA34" i="50"/>
  <c r="Z34" i="50"/>
  <c r="Y34" i="50"/>
  <c r="X34" i="50"/>
  <c r="W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H34" i="50"/>
  <c r="G34" i="50"/>
  <c r="F34" i="50"/>
  <c r="E34" i="50"/>
  <c r="D34" i="50"/>
  <c r="C34" i="50"/>
  <c r="BH33" i="50"/>
  <c r="BG33" i="50"/>
  <c r="BF33" i="50"/>
  <c r="BE33" i="50"/>
  <c r="BD33" i="50"/>
  <c r="BC33" i="50"/>
  <c r="BB33" i="50"/>
  <c r="BA33" i="50"/>
  <c r="AZ33" i="50"/>
  <c r="AY33" i="50"/>
  <c r="AX33" i="50"/>
  <c r="AW33" i="50"/>
  <c r="AV33" i="50"/>
  <c r="AU33" i="50"/>
  <c r="AT33" i="50"/>
  <c r="AS33" i="50"/>
  <c r="AR33" i="50"/>
  <c r="AQ33" i="50"/>
  <c r="AN33" i="50"/>
  <c r="AM33" i="50"/>
  <c r="AL33" i="50"/>
  <c r="AK33" i="50"/>
  <c r="AJ33" i="50"/>
  <c r="AI33" i="50"/>
  <c r="AH33" i="50"/>
  <c r="AG33" i="50"/>
  <c r="AF33" i="50"/>
  <c r="AE33" i="50"/>
  <c r="AD33" i="50"/>
  <c r="AC33" i="50"/>
  <c r="AB33" i="50"/>
  <c r="AA33" i="50"/>
  <c r="Z33" i="50"/>
  <c r="Y33" i="50"/>
  <c r="X33" i="50"/>
  <c r="W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H33" i="50"/>
  <c r="G33" i="50"/>
  <c r="F33" i="50"/>
  <c r="E33" i="50"/>
  <c r="D33" i="50"/>
  <c r="C33" i="50"/>
  <c r="BH32" i="50"/>
  <c r="BG32" i="50"/>
  <c r="BF32" i="50"/>
  <c r="BE32" i="50"/>
  <c r="BD32" i="50"/>
  <c r="BC32" i="50"/>
  <c r="BB32" i="50"/>
  <c r="BA32" i="50"/>
  <c r="AZ32" i="50"/>
  <c r="AY32" i="50"/>
  <c r="AX32" i="50"/>
  <c r="AW32" i="50"/>
  <c r="AV32" i="50"/>
  <c r="AU32" i="50"/>
  <c r="AT32" i="50"/>
  <c r="AS32" i="50"/>
  <c r="AR32" i="50"/>
  <c r="AQ32" i="50"/>
  <c r="AN32" i="50"/>
  <c r="AM32" i="50"/>
  <c r="AL32" i="50"/>
  <c r="AK32" i="50"/>
  <c r="AJ32" i="50"/>
  <c r="AI32" i="50"/>
  <c r="AH32" i="50"/>
  <c r="AG32" i="50"/>
  <c r="AF32" i="50"/>
  <c r="AE32" i="50"/>
  <c r="AD32" i="50"/>
  <c r="AC32" i="50"/>
  <c r="AB32" i="50"/>
  <c r="AA32" i="50"/>
  <c r="Z32" i="50"/>
  <c r="Y32" i="50"/>
  <c r="X32" i="50"/>
  <c r="W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H32" i="50"/>
  <c r="G32" i="50"/>
  <c r="F32" i="50"/>
  <c r="E32" i="50"/>
  <c r="D32" i="50"/>
  <c r="C32" i="50"/>
  <c r="BH31" i="50"/>
  <c r="BG31" i="50"/>
  <c r="BF31" i="50"/>
  <c r="BE31" i="50"/>
  <c r="BD31" i="50"/>
  <c r="BC31" i="50"/>
  <c r="BB31" i="50"/>
  <c r="BA31" i="50"/>
  <c r="AZ31" i="50"/>
  <c r="AY31" i="50"/>
  <c r="AX31" i="50"/>
  <c r="AW31" i="50"/>
  <c r="AV31" i="50"/>
  <c r="AU31" i="50"/>
  <c r="AT31" i="50"/>
  <c r="AS31" i="50"/>
  <c r="AR31" i="50"/>
  <c r="AQ31" i="50"/>
  <c r="AN31" i="50"/>
  <c r="AM31" i="50"/>
  <c r="AL31" i="50"/>
  <c r="AK31" i="50"/>
  <c r="AJ31" i="50"/>
  <c r="AI31" i="50"/>
  <c r="AH31" i="50"/>
  <c r="AG31" i="50"/>
  <c r="AF31" i="50"/>
  <c r="AE31" i="50"/>
  <c r="AD31" i="50"/>
  <c r="AC31" i="50"/>
  <c r="AB31" i="50"/>
  <c r="AA31" i="50"/>
  <c r="Z31" i="50"/>
  <c r="Y31" i="50"/>
  <c r="X31" i="50"/>
  <c r="W31" i="50"/>
  <c r="T31" i="50"/>
  <c r="S31" i="50"/>
  <c r="R31" i="50"/>
  <c r="Q31" i="50"/>
  <c r="P31" i="50"/>
  <c r="O31" i="50"/>
  <c r="N31" i="50"/>
  <c r="M31" i="50"/>
  <c r="L31" i="50"/>
  <c r="K31" i="50"/>
  <c r="J31" i="50"/>
  <c r="I31" i="50"/>
  <c r="H31" i="50"/>
  <c r="G31" i="50"/>
  <c r="F31" i="50"/>
  <c r="E31" i="50"/>
  <c r="D31" i="50"/>
  <c r="C31" i="50"/>
  <c r="BH30" i="50"/>
  <c r="BG30" i="50"/>
  <c r="BF30" i="50"/>
  <c r="BE30" i="50"/>
  <c r="BD30" i="50"/>
  <c r="BC30" i="50"/>
  <c r="BB30" i="50"/>
  <c r="BA30" i="50"/>
  <c r="AZ30" i="50"/>
  <c r="AY30" i="50"/>
  <c r="AX30" i="50"/>
  <c r="AW30" i="50"/>
  <c r="AV30" i="50"/>
  <c r="AU30" i="50"/>
  <c r="AT30" i="50"/>
  <c r="AS30" i="50"/>
  <c r="AR30" i="50"/>
  <c r="AQ30" i="50"/>
  <c r="AN30" i="50"/>
  <c r="AM30" i="50"/>
  <c r="AL30" i="50"/>
  <c r="AK30" i="50"/>
  <c r="AJ30" i="50"/>
  <c r="AI30" i="50"/>
  <c r="AH30" i="50"/>
  <c r="AG30" i="50"/>
  <c r="AF30" i="50"/>
  <c r="AE30" i="50"/>
  <c r="AD30" i="50"/>
  <c r="AC30" i="50"/>
  <c r="AB30" i="50"/>
  <c r="AA30" i="50"/>
  <c r="Z30" i="50"/>
  <c r="Y30" i="50"/>
  <c r="X30" i="50"/>
  <c r="W30" i="50"/>
  <c r="T30" i="50"/>
  <c r="S30" i="50"/>
  <c r="R30" i="50"/>
  <c r="Q30" i="50"/>
  <c r="P30" i="50"/>
  <c r="O30" i="50"/>
  <c r="N30" i="50"/>
  <c r="M30" i="50"/>
  <c r="L30" i="50"/>
  <c r="K30" i="50"/>
  <c r="J30" i="50"/>
  <c r="I30" i="50"/>
  <c r="H30" i="50"/>
  <c r="G30" i="50"/>
  <c r="F30" i="50"/>
  <c r="E30" i="50"/>
  <c r="D30" i="50"/>
  <c r="C30" i="50"/>
  <c r="BH29" i="50"/>
  <c r="BG29" i="50"/>
  <c r="BF29" i="50"/>
  <c r="BE29" i="50"/>
  <c r="BD29" i="50"/>
  <c r="BC29" i="50"/>
  <c r="BB29" i="50"/>
  <c r="BA29" i="50"/>
  <c r="AZ29" i="50"/>
  <c r="AY29" i="50"/>
  <c r="AX29" i="50"/>
  <c r="AW29" i="50"/>
  <c r="AV29" i="50"/>
  <c r="AU29" i="50"/>
  <c r="AT29" i="50"/>
  <c r="AS29" i="50"/>
  <c r="AR29" i="50"/>
  <c r="AQ29" i="50"/>
  <c r="AN29" i="50"/>
  <c r="AM29" i="50"/>
  <c r="AL29" i="50"/>
  <c r="AK29" i="50"/>
  <c r="AJ29" i="50"/>
  <c r="AI29" i="50"/>
  <c r="AH29" i="50"/>
  <c r="AG29" i="50"/>
  <c r="AF29" i="50"/>
  <c r="AE29" i="50"/>
  <c r="AD29" i="50"/>
  <c r="AC29" i="50"/>
  <c r="AB29" i="50"/>
  <c r="AA29" i="50"/>
  <c r="Z29" i="50"/>
  <c r="Y29" i="50"/>
  <c r="X29" i="50"/>
  <c r="W29" i="50"/>
  <c r="T29" i="50"/>
  <c r="S29" i="50"/>
  <c r="R29" i="50"/>
  <c r="Q29" i="50"/>
  <c r="P29" i="50"/>
  <c r="O29" i="50"/>
  <c r="N29" i="50"/>
  <c r="M29" i="50"/>
  <c r="L29" i="50"/>
  <c r="K29" i="50"/>
  <c r="J29" i="50"/>
  <c r="I29" i="50"/>
  <c r="H29" i="50"/>
  <c r="G29" i="50"/>
  <c r="F29" i="50"/>
  <c r="E29" i="50"/>
  <c r="D29" i="50"/>
  <c r="C29" i="50"/>
  <c r="BH28" i="50"/>
  <c r="BG28" i="50"/>
  <c r="BF28" i="50"/>
  <c r="BE28" i="50"/>
  <c r="BD28" i="50"/>
  <c r="BC28" i="50"/>
  <c r="BB28" i="50"/>
  <c r="BA28" i="50"/>
  <c r="AZ28" i="50"/>
  <c r="AY28" i="50"/>
  <c r="AX28" i="50"/>
  <c r="AW28" i="50"/>
  <c r="AV28" i="50"/>
  <c r="AU28" i="50"/>
  <c r="AT28" i="50"/>
  <c r="AS28" i="50"/>
  <c r="AR28" i="50"/>
  <c r="AQ28" i="50"/>
  <c r="AN28" i="50"/>
  <c r="AM28" i="50"/>
  <c r="AL28" i="50"/>
  <c r="AK28" i="50"/>
  <c r="AJ28" i="50"/>
  <c r="AI28" i="50"/>
  <c r="AH28" i="50"/>
  <c r="AG28" i="50"/>
  <c r="AF28" i="50"/>
  <c r="AE28" i="50"/>
  <c r="AD28" i="50"/>
  <c r="AC28" i="50"/>
  <c r="AB28" i="50"/>
  <c r="AA28" i="50"/>
  <c r="Z28" i="50"/>
  <c r="Y28" i="50"/>
  <c r="X28" i="50"/>
  <c r="W28" i="50"/>
  <c r="T28" i="50"/>
  <c r="S28" i="50"/>
  <c r="R28" i="50"/>
  <c r="Q28" i="50"/>
  <c r="P28" i="50"/>
  <c r="O28" i="50"/>
  <c r="N28" i="50"/>
  <c r="M28" i="50"/>
  <c r="L28" i="50"/>
  <c r="K28" i="50"/>
  <c r="J28" i="50"/>
  <c r="I28" i="50"/>
  <c r="H28" i="50"/>
  <c r="G28" i="50"/>
  <c r="F28" i="50"/>
  <c r="E28" i="50"/>
  <c r="D28" i="50"/>
  <c r="C28" i="50"/>
  <c r="BH27" i="50"/>
  <c r="BG27" i="50"/>
  <c r="BF27" i="50"/>
  <c r="BE27" i="50"/>
  <c r="BD27" i="50"/>
  <c r="BC27" i="50"/>
  <c r="BB27" i="50"/>
  <c r="BA27" i="50"/>
  <c r="AZ27" i="50"/>
  <c r="AY27" i="50"/>
  <c r="AX27" i="50"/>
  <c r="AW27" i="50"/>
  <c r="AV27" i="50"/>
  <c r="AU27" i="50"/>
  <c r="AT27" i="50"/>
  <c r="AS27" i="50"/>
  <c r="AR27" i="50"/>
  <c r="AQ27" i="50"/>
  <c r="AN27" i="50"/>
  <c r="AM27" i="50"/>
  <c r="AL27" i="50"/>
  <c r="AK27" i="50"/>
  <c r="AJ27" i="50"/>
  <c r="AI27" i="50"/>
  <c r="AH27" i="50"/>
  <c r="AG27" i="50"/>
  <c r="AF27" i="50"/>
  <c r="AE27" i="50"/>
  <c r="AD27" i="50"/>
  <c r="AC27" i="50"/>
  <c r="AB27" i="50"/>
  <c r="AA27" i="50"/>
  <c r="Z27" i="50"/>
  <c r="Y27" i="50"/>
  <c r="X27" i="50"/>
  <c r="W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H26" i="50"/>
  <c r="BG26" i="50"/>
  <c r="BF26" i="50"/>
  <c r="BE26" i="50"/>
  <c r="BD26" i="50"/>
  <c r="BC26" i="50"/>
  <c r="BB26" i="50"/>
  <c r="BA26" i="50"/>
  <c r="AZ26" i="50"/>
  <c r="AY26" i="50"/>
  <c r="AX26" i="50"/>
  <c r="AW26" i="50"/>
  <c r="AV26" i="50"/>
  <c r="AU26" i="50"/>
  <c r="AT26" i="50"/>
  <c r="AS26" i="50"/>
  <c r="AR26" i="50"/>
  <c r="AQ26" i="50"/>
  <c r="AN26" i="50"/>
  <c r="AM26" i="50"/>
  <c r="AL26" i="50"/>
  <c r="AK26" i="50"/>
  <c r="AJ26" i="50"/>
  <c r="AI26" i="50"/>
  <c r="AH26" i="50"/>
  <c r="AG26" i="50"/>
  <c r="AF26" i="50"/>
  <c r="AE26" i="50"/>
  <c r="AD26" i="50"/>
  <c r="AC26" i="50"/>
  <c r="AB26" i="50"/>
  <c r="AA26" i="50"/>
  <c r="Z26" i="50"/>
  <c r="Y26" i="50"/>
  <c r="X26" i="50"/>
  <c r="W26" i="50"/>
  <c r="T26" i="50"/>
  <c r="S26" i="50"/>
  <c r="R26" i="50"/>
  <c r="Q26" i="50"/>
  <c r="P26" i="50"/>
  <c r="O26" i="50"/>
  <c r="N26" i="50"/>
  <c r="M26" i="50"/>
  <c r="L26" i="50"/>
  <c r="K26" i="50"/>
  <c r="J26" i="50"/>
  <c r="I26" i="50"/>
  <c r="H26" i="50"/>
  <c r="G26" i="50"/>
  <c r="F26" i="50"/>
  <c r="E26" i="50"/>
  <c r="D26" i="50"/>
  <c r="C26" i="50"/>
  <c r="BH25" i="50"/>
  <c r="BG25" i="50"/>
  <c r="BF25" i="50"/>
  <c r="BE25" i="50"/>
  <c r="BD25" i="50"/>
  <c r="BC25" i="50"/>
  <c r="BB25" i="50"/>
  <c r="BA25" i="50"/>
  <c r="AZ25" i="50"/>
  <c r="AY25" i="50"/>
  <c r="AX25" i="50"/>
  <c r="AW25" i="50"/>
  <c r="AV25" i="50"/>
  <c r="AU25" i="50"/>
  <c r="AT25" i="50"/>
  <c r="AS25" i="50"/>
  <c r="AR25" i="50"/>
  <c r="AQ25" i="50"/>
  <c r="AN25" i="50"/>
  <c r="AM25" i="50"/>
  <c r="AL25" i="50"/>
  <c r="AK25" i="50"/>
  <c r="AJ25" i="50"/>
  <c r="AI25" i="50"/>
  <c r="AH25" i="50"/>
  <c r="AG25" i="50"/>
  <c r="AF25" i="50"/>
  <c r="AE25" i="50"/>
  <c r="AD25" i="50"/>
  <c r="AC25" i="50"/>
  <c r="AB25" i="50"/>
  <c r="AA25" i="50"/>
  <c r="Z25" i="50"/>
  <c r="Y25" i="50"/>
  <c r="X25" i="50"/>
  <c r="W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E25" i="50"/>
  <c r="D25" i="50"/>
  <c r="C25" i="50"/>
  <c r="BH24" i="50"/>
  <c r="BG24" i="50"/>
  <c r="BF24" i="50"/>
  <c r="BE24" i="50"/>
  <c r="BD24" i="50"/>
  <c r="BC24" i="50"/>
  <c r="BB24" i="50"/>
  <c r="BA24" i="50"/>
  <c r="AZ24" i="50"/>
  <c r="AY24" i="50"/>
  <c r="AX24" i="50"/>
  <c r="AW24" i="50"/>
  <c r="AV24" i="50"/>
  <c r="AU24" i="50"/>
  <c r="AT24" i="50"/>
  <c r="AS24" i="50"/>
  <c r="AR24" i="50"/>
  <c r="AQ24" i="50"/>
  <c r="AN24" i="50"/>
  <c r="AM24" i="50"/>
  <c r="AL24" i="50"/>
  <c r="AK24" i="50"/>
  <c r="AJ24" i="50"/>
  <c r="AI24" i="50"/>
  <c r="AH24" i="50"/>
  <c r="AG24" i="50"/>
  <c r="AF24" i="50"/>
  <c r="AE24" i="50"/>
  <c r="AD24" i="50"/>
  <c r="AC24" i="50"/>
  <c r="AB24" i="50"/>
  <c r="AA24" i="50"/>
  <c r="Z24" i="50"/>
  <c r="Y24" i="50"/>
  <c r="X24" i="50"/>
  <c r="W24" i="50"/>
  <c r="T24" i="50"/>
  <c r="S24" i="50"/>
  <c r="R24" i="50"/>
  <c r="Q24" i="50"/>
  <c r="P24" i="50"/>
  <c r="O24" i="50"/>
  <c r="N24" i="50"/>
  <c r="M24" i="50"/>
  <c r="L24" i="50"/>
  <c r="K24" i="50"/>
  <c r="J24" i="50"/>
  <c r="I24" i="50"/>
  <c r="H24" i="50"/>
  <c r="G24" i="50"/>
  <c r="F24" i="50"/>
  <c r="E24" i="50"/>
  <c r="D24" i="50"/>
  <c r="C24" i="50"/>
  <c r="BH23" i="50"/>
  <c r="BG23" i="50"/>
  <c r="BF23" i="50"/>
  <c r="BE23" i="50"/>
  <c r="BD23" i="50"/>
  <c r="BC23" i="50"/>
  <c r="BB23" i="50"/>
  <c r="BA23" i="50"/>
  <c r="AZ23" i="50"/>
  <c r="AY23" i="50"/>
  <c r="AX23" i="50"/>
  <c r="AW23" i="50"/>
  <c r="AV23" i="50"/>
  <c r="AU23" i="50"/>
  <c r="AT23" i="50"/>
  <c r="AS23" i="50"/>
  <c r="AR23" i="50"/>
  <c r="AQ23" i="50"/>
  <c r="AN23" i="50"/>
  <c r="AM23" i="50"/>
  <c r="AL23" i="50"/>
  <c r="AK23" i="50"/>
  <c r="AJ23" i="50"/>
  <c r="AI23" i="50"/>
  <c r="AH23" i="50"/>
  <c r="AG23" i="50"/>
  <c r="AF23" i="50"/>
  <c r="AE23" i="50"/>
  <c r="AD23" i="50"/>
  <c r="AC23" i="50"/>
  <c r="AB23" i="50"/>
  <c r="AA23" i="50"/>
  <c r="Z23" i="50"/>
  <c r="Y23" i="50"/>
  <c r="X23" i="50"/>
  <c r="W23" i="50"/>
  <c r="T23" i="50"/>
  <c r="S23" i="50"/>
  <c r="R23" i="50"/>
  <c r="Q23" i="50"/>
  <c r="P23" i="50"/>
  <c r="O23" i="50"/>
  <c r="N23" i="50"/>
  <c r="M23" i="50"/>
  <c r="L23" i="50"/>
  <c r="K23" i="50"/>
  <c r="J23" i="50"/>
  <c r="I23" i="50"/>
  <c r="H23" i="50"/>
  <c r="G23" i="50"/>
  <c r="F23" i="50"/>
  <c r="E23" i="50"/>
  <c r="D23" i="50"/>
  <c r="C23" i="50"/>
  <c r="BH22" i="50"/>
  <c r="BG22" i="50"/>
  <c r="BF22" i="50"/>
  <c r="BE22" i="50"/>
  <c r="BD22" i="50"/>
  <c r="BC22" i="50"/>
  <c r="BB22" i="50"/>
  <c r="BA22" i="50"/>
  <c r="AZ22" i="50"/>
  <c r="AY22" i="50"/>
  <c r="AX22" i="50"/>
  <c r="AW22" i="50"/>
  <c r="AV22" i="50"/>
  <c r="AU22" i="50"/>
  <c r="AT22" i="50"/>
  <c r="AS22" i="50"/>
  <c r="AR22" i="50"/>
  <c r="AQ22" i="50"/>
  <c r="AN22" i="50"/>
  <c r="AM22" i="50"/>
  <c r="AL22" i="50"/>
  <c r="AK22" i="50"/>
  <c r="AJ22" i="50"/>
  <c r="AI22" i="50"/>
  <c r="AH22" i="50"/>
  <c r="AG22" i="50"/>
  <c r="AF22" i="50"/>
  <c r="AE22" i="50"/>
  <c r="AD22" i="50"/>
  <c r="AC22" i="50"/>
  <c r="AB22" i="50"/>
  <c r="AA22" i="50"/>
  <c r="Z22" i="50"/>
  <c r="Y22" i="50"/>
  <c r="X22" i="50"/>
  <c r="W22" i="50"/>
  <c r="T22" i="50"/>
  <c r="S22" i="50"/>
  <c r="R22" i="50"/>
  <c r="Q22" i="50"/>
  <c r="P22" i="50"/>
  <c r="O22" i="50"/>
  <c r="N22" i="50"/>
  <c r="M22" i="50"/>
  <c r="L22" i="50"/>
  <c r="K22" i="50"/>
  <c r="J22" i="50"/>
  <c r="I22" i="50"/>
  <c r="H22" i="50"/>
  <c r="G22" i="50"/>
  <c r="F22" i="50"/>
  <c r="E22" i="50"/>
  <c r="D22" i="50"/>
  <c r="C22" i="50"/>
  <c r="BH21" i="50"/>
  <c r="BG21" i="50"/>
  <c r="BF21" i="50"/>
  <c r="BE21" i="50"/>
  <c r="BD21" i="50"/>
  <c r="BC21" i="50"/>
  <c r="BB21" i="50"/>
  <c r="BA21" i="50"/>
  <c r="AZ21" i="50"/>
  <c r="AY21" i="50"/>
  <c r="AX21" i="50"/>
  <c r="AW21" i="50"/>
  <c r="AV21" i="50"/>
  <c r="AU21" i="50"/>
  <c r="AT21" i="50"/>
  <c r="AS21" i="50"/>
  <c r="AR21" i="50"/>
  <c r="AQ21" i="50"/>
  <c r="AN21" i="50"/>
  <c r="AM21" i="50"/>
  <c r="AL21" i="50"/>
  <c r="AK21" i="50"/>
  <c r="AJ21" i="50"/>
  <c r="AI21" i="50"/>
  <c r="AH21" i="50"/>
  <c r="AG21" i="50"/>
  <c r="AF21" i="50"/>
  <c r="AE21" i="50"/>
  <c r="AD21" i="50"/>
  <c r="AC21" i="50"/>
  <c r="AB21" i="50"/>
  <c r="AA21" i="50"/>
  <c r="Z21" i="50"/>
  <c r="Y21" i="50"/>
  <c r="X21" i="50"/>
  <c r="W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H21" i="50"/>
  <c r="G21" i="50"/>
  <c r="F21" i="50"/>
  <c r="E21" i="50"/>
  <c r="D21" i="50"/>
  <c r="C21" i="50"/>
  <c r="BH20" i="50"/>
  <c r="BG20" i="50"/>
  <c r="BF20" i="50"/>
  <c r="BE20" i="50"/>
  <c r="BD20" i="50"/>
  <c r="BC20" i="50"/>
  <c r="BB20" i="50"/>
  <c r="BA20" i="50"/>
  <c r="AZ20" i="50"/>
  <c r="AY20" i="50"/>
  <c r="AX20" i="50"/>
  <c r="AW20" i="50"/>
  <c r="AV20" i="50"/>
  <c r="AU20" i="50"/>
  <c r="AT20" i="50"/>
  <c r="AS20" i="50"/>
  <c r="AR20" i="50"/>
  <c r="AQ20" i="50"/>
  <c r="AN20" i="50"/>
  <c r="AM20" i="50"/>
  <c r="AL20" i="50"/>
  <c r="AK20" i="50"/>
  <c r="AJ20" i="50"/>
  <c r="AI20" i="50"/>
  <c r="AH20" i="50"/>
  <c r="AG20" i="50"/>
  <c r="AF20" i="50"/>
  <c r="AE20" i="50"/>
  <c r="AD20" i="50"/>
  <c r="AC20" i="50"/>
  <c r="AB20" i="50"/>
  <c r="AA20" i="50"/>
  <c r="Z20" i="50"/>
  <c r="Y20" i="50"/>
  <c r="X20" i="50"/>
  <c r="W20" i="50"/>
  <c r="T20" i="50"/>
  <c r="S20" i="50"/>
  <c r="R20" i="50"/>
  <c r="Q20" i="50"/>
  <c r="P20" i="50"/>
  <c r="O20" i="50"/>
  <c r="N20" i="50"/>
  <c r="M20" i="50"/>
  <c r="L20" i="50"/>
  <c r="K20" i="50"/>
  <c r="J20" i="50"/>
  <c r="I20" i="50"/>
  <c r="H20" i="50"/>
  <c r="G20" i="50"/>
  <c r="F20" i="50"/>
  <c r="E20" i="50"/>
  <c r="D20" i="50"/>
  <c r="C20" i="50"/>
  <c r="BH19" i="50"/>
  <c r="BG19" i="50"/>
  <c r="BF19" i="50"/>
  <c r="BE19" i="50"/>
  <c r="BD19" i="50"/>
  <c r="BC19" i="50"/>
  <c r="BB19" i="50"/>
  <c r="BA19" i="50"/>
  <c r="AZ19" i="50"/>
  <c r="AY19" i="50"/>
  <c r="AX19" i="50"/>
  <c r="AW19" i="50"/>
  <c r="AV19" i="50"/>
  <c r="AU19" i="50"/>
  <c r="AT19" i="50"/>
  <c r="AS19" i="50"/>
  <c r="AR19" i="50"/>
  <c r="AQ19" i="50"/>
  <c r="AN19" i="50"/>
  <c r="AM19" i="50"/>
  <c r="AL19" i="50"/>
  <c r="AK19" i="50"/>
  <c r="AJ19" i="50"/>
  <c r="AI19" i="50"/>
  <c r="AH19" i="50"/>
  <c r="AG19" i="50"/>
  <c r="AF19" i="50"/>
  <c r="AE19" i="50"/>
  <c r="AD19" i="50"/>
  <c r="AC19" i="50"/>
  <c r="AB19" i="50"/>
  <c r="AA19" i="50"/>
  <c r="Z19" i="50"/>
  <c r="Y19" i="50"/>
  <c r="X19" i="50"/>
  <c r="W19" i="50"/>
  <c r="T19" i="50"/>
  <c r="S19" i="50"/>
  <c r="R19" i="50"/>
  <c r="Q19" i="50"/>
  <c r="P19" i="50"/>
  <c r="O19" i="50"/>
  <c r="N19" i="50"/>
  <c r="M19" i="50"/>
  <c r="L19" i="50"/>
  <c r="K19" i="50"/>
  <c r="J19" i="50"/>
  <c r="I19" i="50"/>
  <c r="H19" i="50"/>
  <c r="G19" i="50"/>
  <c r="F19" i="50"/>
  <c r="E19" i="50"/>
  <c r="D19" i="50"/>
  <c r="C19" i="50"/>
  <c r="BH18" i="50"/>
  <c r="BG18" i="50"/>
  <c r="BF18" i="50"/>
  <c r="BE18" i="50"/>
  <c r="BD18" i="50"/>
  <c r="BC18" i="50"/>
  <c r="BB18" i="50"/>
  <c r="BA18" i="50"/>
  <c r="AZ18" i="50"/>
  <c r="AY18" i="50"/>
  <c r="AX18" i="50"/>
  <c r="AW18" i="50"/>
  <c r="AV18" i="50"/>
  <c r="AU18" i="50"/>
  <c r="AT18" i="50"/>
  <c r="AS18" i="50"/>
  <c r="AR18" i="50"/>
  <c r="AQ18" i="50"/>
  <c r="AN18" i="50"/>
  <c r="AM18" i="50"/>
  <c r="AL18" i="50"/>
  <c r="AK18" i="50"/>
  <c r="AJ18" i="50"/>
  <c r="AI18" i="50"/>
  <c r="AH18" i="50"/>
  <c r="AG18" i="50"/>
  <c r="AF18" i="50"/>
  <c r="AE18" i="50"/>
  <c r="AD18" i="50"/>
  <c r="AC18" i="50"/>
  <c r="AB18" i="50"/>
  <c r="AA18" i="50"/>
  <c r="Z18" i="50"/>
  <c r="Y18" i="50"/>
  <c r="X18" i="50"/>
  <c r="W18" i="50"/>
  <c r="T18" i="50"/>
  <c r="S18" i="50"/>
  <c r="R18" i="50"/>
  <c r="Q18" i="50"/>
  <c r="P18" i="50"/>
  <c r="O18" i="50"/>
  <c r="N18" i="50"/>
  <c r="M18" i="50"/>
  <c r="L18" i="50"/>
  <c r="K18" i="50"/>
  <c r="J18" i="50"/>
  <c r="I18" i="50"/>
  <c r="H18" i="50"/>
  <c r="G18" i="50"/>
  <c r="F18" i="50"/>
  <c r="E18" i="50"/>
  <c r="D18" i="50"/>
  <c r="C18" i="50"/>
  <c r="BH17" i="50"/>
  <c r="BG17" i="50"/>
  <c r="BF17" i="50"/>
  <c r="BE17" i="50"/>
  <c r="BD17" i="50"/>
  <c r="BC17" i="50"/>
  <c r="BB17" i="50"/>
  <c r="BA17" i="50"/>
  <c r="AZ17" i="50"/>
  <c r="AY17" i="50"/>
  <c r="AX17" i="50"/>
  <c r="AW17" i="50"/>
  <c r="AV17" i="50"/>
  <c r="AU17" i="50"/>
  <c r="AT17" i="50"/>
  <c r="AS17" i="50"/>
  <c r="AR17" i="50"/>
  <c r="AQ17" i="50"/>
  <c r="AN17" i="50"/>
  <c r="AM17" i="50"/>
  <c r="AL17" i="50"/>
  <c r="AK17" i="50"/>
  <c r="AJ17" i="50"/>
  <c r="AI17" i="50"/>
  <c r="AH17" i="50"/>
  <c r="AG17" i="50"/>
  <c r="AF17" i="50"/>
  <c r="AE17" i="50"/>
  <c r="AD17" i="50"/>
  <c r="AC17" i="50"/>
  <c r="AB17" i="50"/>
  <c r="AA17" i="50"/>
  <c r="Z17" i="50"/>
  <c r="Y17" i="50"/>
  <c r="X17" i="50"/>
  <c r="W17" i="50"/>
  <c r="T17" i="50"/>
  <c r="S17" i="50"/>
  <c r="R17" i="50"/>
  <c r="Q17" i="50"/>
  <c r="P17" i="50"/>
  <c r="O17" i="50"/>
  <c r="N17" i="50"/>
  <c r="M17" i="50"/>
  <c r="L17" i="50"/>
  <c r="K17" i="50"/>
  <c r="J17" i="50"/>
  <c r="I17" i="50"/>
  <c r="H17" i="50"/>
  <c r="G17" i="50"/>
  <c r="F17" i="50"/>
  <c r="E17" i="50"/>
  <c r="D17" i="50"/>
  <c r="C17" i="50"/>
  <c r="BH16" i="50"/>
  <c r="BG16" i="50"/>
  <c r="BF16" i="50"/>
  <c r="BE16" i="50"/>
  <c r="BD16" i="50"/>
  <c r="BC16" i="50"/>
  <c r="BB16" i="50"/>
  <c r="BA16" i="50"/>
  <c r="AZ16" i="50"/>
  <c r="AY16" i="50"/>
  <c r="AX16" i="50"/>
  <c r="AW16" i="50"/>
  <c r="AV16" i="50"/>
  <c r="AU16" i="50"/>
  <c r="AT16" i="50"/>
  <c r="AS16" i="50"/>
  <c r="AR16" i="50"/>
  <c r="AQ16" i="50"/>
  <c r="AN16" i="50"/>
  <c r="AM16" i="50"/>
  <c r="AL16" i="50"/>
  <c r="AK16" i="50"/>
  <c r="AJ16" i="50"/>
  <c r="AI16" i="50"/>
  <c r="AH16" i="50"/>
  <c r="AG16" i="50"/>
  <c r="AF16" i="50"/>
  <c r="AE16" i="50"/>
  <c r="AD16" i="50"/>
  <c r="AC16" i="50"/>
  <c r="AB16" i="50"/>
  <c r="AA16" i="50"/>
  <c r="Z16" i="50"/>
  <c r="Y16" i="50"/>
  <c r="X16" i="50"/>
  <c r="W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D16" i="50"/>
  <c r="C16" i="50"/>
  <c r="BH15" i="50"/>
  <c r="BG15" i="50"/>
  <c r="BF15" i="50"/>
  <c r="BE15" i="50"/>
  <c r="BD15" i="50"/>
  <c r="BC15" i="50"/>
  <c r="BB15" i="50"/>
  <c r="BA15" i="50"/>
  <c r="AZ15" i="50"/>
  <c r="AY15" i="50"/>
  <c r="AX15" i="50"/>
  <c r="AW15" i="50"/>
  <c r="AV15" i="50"/>
  <c r="AU15" i="50"/>
  <c r="AT15" i="50"/>
  <c r="AS15" i="50"/>
  <c r="AR15" i="50"/>
  <c r="AQ15" i="50"/>
  <c r="AN15" i="50"/>
  <c r="AM15" i="50"/>
  <c r="AL15" i="50"/>
  <c r="AK15" i="50"/>
  <c r="AJ15" i="50"/>
  <c r="AI15" i="50"/>
  <c r="AH15" i="50"/>
  <c r="AG15" i="50"/>
  <c r="AF15" i="50"/>
  <c r="AE15" i="50"/>
  <c r="AD15" i="50"/>
  <c r="AC15" i="50"/>
  <c r="AB15" i="50"/>
  <c r="AA15" i="50"/>
  <c r="Z15" i="50"/>
  <c r="Y15" i="50"/>
  <c r="X15" i="50"/>
  <c r="W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E15" i="50"/>
  <c r="D15" i="50"/>
  <c r="C15" i="50"/>
  <c r="BH14" i="50"/>
  <c r="BG14" i="50"/>
  <c r="BF14" i="50"/>
  <c r="BE14" i="50"/>
  <c r="BD14" i="50"/>
  <c r="BC14" i="50"/>
  <c r="BB14" i="50"/>
  <c r="BA14" i="50"/>
  <c r="AZ14" i="50"/>
  <c r="AY14" i="50"/>
  <c r="AX14" i="50"/>
  <c r="AW14" i="50"/>
  <c r="AV14" i="50"/>
  <c r="AU14" i="50"/>
  <c r="AT14" i="50"/>
  <c r="AS14" i="50"/>
  <c r="AR14" i="50"/>
  <c r="AQ14" i="50"/>
  <c r="AN14" i="50"/>
  <c r="AM14" i="50"/>
  <c r="AL14" i="50"/>
  <c r="AK14" i="50"/>
  <c r="AJ14" i="50"/>
  <c r="AI14" i="50"/>
  <c r="AH14" i="50"/>
  <c r="AG14" i="50"/>
  <c r="AF14" i="50"/>
  <c r="AE14" i="50"/>
  <c r="AD14" i="50"/>
  <c r="AC14" i="50"/>
  <c r="AB14" i="50"/>
  <c r="AA14" i="50"/>
  <c r="Z14" i="50"/>
  <c r="Y14" i="50"/>
  <c r="X14" i="50"/>
  <c r="W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H14" i="50"/>
  <c r="G14" i="50"/>
  <c r="F14" i="50"/>
  <c r="E14" i="50"/>
  <c r="D14" i="50"/>
  <c r="C14" i="50"/>
  <c r="BH13" i="50"/>
  <c r="BG13" i="50"/>
  <c r="BF13" i="50"/>
  <c r="BE13" i="50"/>
  <c r="BD13" i="50"/>
  <c r="BC13" i="50"/>
  <c r="BB13" i="50"/>
  <c r="BA13" i="50"/>
  <c r="AZ13" i="50"/>
  <c r="AY13" i="50"/>
  <c r="AX13" i="50"/>
  <c r="AW13" i="50"/>
  <c r="AV13" i="50"/>
  <c r="AU13" i="50"/>
  <c r="AT13" i="50"/>
  <c r="AS13" i="50"/>
  <c r="AR13" i="50"/>
  <c r="AQ13" i="50"/>
  <c r="AN13" i="50"/>
  <c r="AM13" i="50"/>
  <c r="AL13" i="50"/>
  <c r="AK13" i="50"/>
  <c r="AJ13" i="50"/>
  <c r="AI13" i="50"/>
  <c r="AH13" i="50"/>
  <c r="AG13" i="50"/>
  <c r="AF13" i="50"/>
  <c r="AE13" i="50"/>
  <c r="AD13" i="50"/>
  <c r="AC13" i="50"/>
  <c r="AB13" i="50"/>
  <c r="AA13" i="50"/>
  <c r="Z13" i="50"/>
  <c r="Y13" i="50"/>
  <c r="X13" i="50"/>
  <c r="W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F13" i="50"/>
  <c r="E13" i="50"/>
  <c r="D13" i="50"/>
  <c r="C13" i="50"/>
  <c r="BH12" i="50"/>
  <c r="BG12" i="50"/>
  <c r="BF12" i="50"/>
  <c r="BE12" i="50"/>
  <c r="BD12" i="50"/>
  <c r="BC12" i="50"/>
  <c r="BB12" i="50"/>
  <c r="BA12" i="50"/>
  <c r="AZ12" i="50"/>
  <c r="AY12" i="50"/>
  <c r="AX12" i="50"/>
  <c r="AW12" i="50"/>
  <c r="AV12" i="50"/>
  <c r="AU12" i="50"/>
  <c r="AT12" i="50"/>
  <c r="AS12" i="50"/>
  <c r="AR12" i="50"/>
  <c r="AQ12" i="50"/>
  <c r="AN12" i="50"/>
  <c r="AM12" i="50"/>
  <c r="AL12" i="50"/>
  <c r="AK12" i="50"/>
  <c r="AJ12" i="50"/>
  <c r="AI12" i="50"/>
  <c r="AH12" i="50"/>
  <c r="AG12" i="50"/>
  <c r="AF12" i="50"/>
  <c r="AE12" i="50"/>
  <c r="AD12" i="50"/>
  <c r="AC12" i="50"/>
  <c r="AB12" i="50"/>
  <c r="AA12" i="50"/>
  <c r="Z12" i="50"/>
  <c r="Y12" i="50"/>
  <c r="X12" i="50"/>
  <c r="W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G12" i="50"/>
  <c r="F12" i="50"/>
  <c r="E12" i="50"/>
  <c r="D12" i="50"/>
  <c r="C12" i="50"/>
  <c r="BH11" i="50"/>
  <c r="BG11" i="50"/>
  <c r="BF11" i="50"/>
  <c r="BE11" i="50"/>
  <c r="BD11" i="50"/>
  <c r="BC11" i="50"/>
  <c r="BB11" i="50"/>
  <c r="BA11" i="50"/>
  <c r="AZ11" i="50"/>
  <c r="AY11" i="50"/>
  <c r="AX11" i="50"/>
  <c r="AW11" i="50"/>
  <c r="AV11" i="50"/>
  <c r="AU11" i="50"/>
  <c r="AT11" i="50"/>
  <c r="AS11" i="50"/>
  <c r="AR11" i="50"/>
  <c r="AQ11" i="50"/>
  <c r="AN11" i="50"/>
  <c r="AM11" i="50"/>
  <c r="AL11" i="50"/>
  <c r="AK11" i="50"/>
  <c r="AJ11" i="50"/>
  <c r="AI11" i="50"/>
  <c r="AH11" i="50"/>
  <c r="AG11" i="50"/>
  <c r="AF11" i="50"/>
  <c r="AE11" i="50"/>
  <c r="AD11" i="50"/>
  <c r="AC11" i="50"/>
  <c r="AB11" i="50"/>
  <c r="AA11" i="50"/>
  <c r="Z11" i="50"/>
  <c r="Y11" i="50"/>
  <c r="X11" i="50"/>
  <c r="W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H11" i="50"/>
  <c r="G11" i="50"/>
  <c r="F11" i="50"/>
  <c r="E11" i="50"/>
  <c r="D11" i="50"/>
  <c r="C11" i="50"/>
  <c r="BH10" i="50"/>
  <c r="BG10" i="50"/>
  <c r="BF10" i="50"/>
  <c r="BE10" i="50"/>
  <c r="BD10" i="50"/>
  <c r="BC10" i="50"/>
  <c r="BB10" i="50"/>
  <c r="BA10" i="50"/>
  <c r="AZ10" i="50"/>
  <c r="AY10" i="50"/>
  <c r="AX10" i="50"/>
  <c r="AW10" i="50"/>
  <c r="AV10" i="50"/>
  <c r="AU10" i="50"/>
  <c r="AT10" i="50"/>
  <c r="AS10" i="50"/>
  <c r="AR10" i="50"/>
  <c r="AQ10" i="50"/>
  <c r="AN10" i="50"/>
  <c r="AM10" i="50"/>
  <c r="AL10" i="50"/>
  <c r="AK10" i="50"/>
  <c r="AJ10" i="50"/>
  <c r="AI10" i="50"/>
  <c r="AH10" i="50"/>
  <c r="AG10" i="50"/>
  <c r="AF10" i="50"/>
  <c r="AE10" i="50"/>
  <c r="AD10" i="50"/>
  <c r="AC10" i="50"/>
  <c r="AB10" i="50"/>
  <c r="AA10" i="50"/>
  <c r="Z10" i="50"/>
  <c r="Y10" i="50"/>
  <c r="X10" i="50"/>
  <c r="W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H10" i="50"/>
  <c r="G10" i="50"/>
  <c r="F10" i="50"/>
  <c r="E10" i="50"/>
  <c r="D10" i="50"/>
  <c r="C10" i="50"/>
  <c r="BH9" i="50"/>
  <c r="BG9" i="50"/>
  <c r="BF9" i="50"/>
  <c r="BE9" i="50"/>
  <c r="BD9" i="50"/>
  <c r="BC9" i="50"/>
  <c r="BB9" i="50"/>
  <c r="BA9" i="50"/>
  <c r="AZ9" i="50"/>
  <c r="AY9" i="50"/>
  <c r="AX9" i="50"/>
  <c r="AW9" i="50"/>
  <c r="AV9" i="50"/>
  <c r="AU9" i="50"/>
  <c r="AT9" i="50"/>
  <c r="AS9" i="50"/>
  <c r="AR9" i="50"/>
  <c r="AQ9" i="50"/>
  <c r="AN9" i="50"/>
  <c r="AM9" i="50"/>
  <c r="AL9" i="50"/>
  <c r="AK9" i="50"/>
  <c r="AJ9" i="50"/>
  <c r="AI9" i="50"/>
  <c r="AH9" i="50"/>
  <c r="AG9" i="50"/>
  <c r="AF9" i="50"/>
  <c r="AE9" i="50"/>
  <c r="AD9" i="50"/>
  <c r="AC9" i="50"/>
  <c r="AB9" i="50"/>
  <c r="AA9" i="50"/>
  <c r="Z9" i="50"/>
  <c r="Y9" i="50"/>
  <c r="X9" i="50"/>
  <c r="W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E9" i="50"/>
  <c r="D9" i="50"/>
  <c r="C9" i="50"/>
  <c r="BH8" i="50"/>
  <c r="BG8" i="50"/>
  <c r="BF8" i="50"/>
  <c r="BE8" i="50"/>
  <c r="BD8" i="50"/>
  <c r="BC8" i="50"/>
  <c r="BB8" i="50"/>
  <c r="BA8" i="50"/>
  <c r="AZ8" i="50"/>
  <c r="AY8" i="50"/>
  <c r="AX8" i="50"/>
  <c r="AW8" i="50"/>
  <c r="AV8" i="50"/>
  <c r="AU8" i="50"/>
  <c r="AT8" i="50"/>
  <c r="AS8" i="50"/>
  <c r="AR8" i="50"/>
  <c r="AQ8" i="50"/>
  <c r="AN8" i="50"/>
  <c r="AM8" i="50"/>
  <c r="AL8" i="50"/>
  <c r="AK8" i="50"/>
  <c r="AJ8" i="50"/>
  <c r="AI8" i="50"/>
  <c r="AH8" i="50"/>
  <c r="AG8" i="50"/>
  <c r="AF8" i="50"/>
  <c r="AE8" i="50"/>
  <c r="AD8" i="50"/>
  <c r="AC8" i="50"/>
  <c r="AB8" i="50"/>
  <c r="AA8" i="50"/>
  <c r="Z8" i="50"/>
  <c r="Y8" i="50"/>
  <c r="X8" i="50"/>
  <c r="W8" i="50"/>
  <c r="T8" i="50"/>
  <c r="S8" i="50"/>
  <c r="R8" i="50"/>
  <c r="Q8" i="50"/>
  <c r="P8" i="50"/>
  <c r="O8" i="50"/>
  <c r="N8" i="50"/>
  <c r="M8" i="50"/>
  <c r="L8" i="50"/>
  <c r="K8" i="50"/>
  <c r="J8" i="50"/>
  <c r="I8" i="50"/>
  <c r="H8" i="50"/>
  <c r="G8" i="50"/>
  <c r="F8" i="50"/>
  <c r="E8" i="50"/>
  <c r="D8" i="50"/>
  <c r="C8" i="50"/>
  <c r="BH7" i="50"/>
  <c r="BG7" i="50"/>
  <c r="BF7" i="50"/>
  <c r="BE7" i="50"/>
  <c r="BD7" i="50"/>
  <c r="BC7" i="50"/>
  <c r="BB7" i="50"/>
  <c r="BA7" i="50"/>
  <c r="AZ7" i="50"/>
  <c r="AY7" i="50"/>
  <c r="AX7" i="50"/>
  <c r="AW7" i="50"/>
  <c r="AV7" i="50"/>
  <c r="AU7" i="50"/>
  <c r="AT7" i="50"/>
  <c r="AS7" i="50"/>
  <c r="AR7" i="50"/>
  <c r="AQ7" i="50"/>
  <c r="AN7" i="50"/>
  <c r="AM7" i="50"/>
  <c r="AL7" i="50"/>
  <c r="AK7" i="50"/>
  <c r="AJ7" i="50"/>
  <c r="AI7" i="50"/>
  <c r="AH7" i="50"/>
  <c r="AG7" i="50"/>
  <c r="AF7" i="50"/>
  <c r="AE7" i="50"/>
  <c r="AD7" i="50"/>
  <c r="AC7" i="50"/>
  <c r="AB7" i="50"/>
  <c r="AA7" i="50"/>
  <c r="Z7" i="50"/>
  <c r="Y7" i="50"/>
  <c r="X7" i="50"/>
  <c r="W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G7" i="50"/>
  <c r="F7" i="50"/>
  <c r="E7" i="50"/>
  <c r="D7" i="50"/>
  <c r="C7" i="50"/>
  <c r="BH6" i="50"/>
  <c r="BG6" i="50"/>
  <c r="BF6" i="50"/>
  <c r="BE6" i="50"/>
  <c r="BD6" i="50"/>
  <c r="BC6" i="50"/>
  <c r="BB6" i="50"/>
  <c r="BA6" i="50"/>
  <c r="AZ6" i="50"/>
  <c r="AY6" i="50"/>
  <c r="AX6" i="50"/>
  <c r="AW6" i="50"/>
  <c r="AV6" i="50"/>
  <c r="AU6" i="50"/>
  <c r="AT6" i="50"/>
  <c r="AS6" i="50"/>
  <c r="AR6" i="50"/>
  <c r="AQ6" i="50"/>
  <c r="AN6" i="50"/>
  <c r="AM6" i="50"/>
  <c r="AL6" i="50"/>
  <c r="AK6" i="50"/>
  <c r="AJ6" i="50"/>
  <c r="AI6" i="50"/>
  <c r="AH6" i="50"/>
  <c r="AG6" i="50"/>
  <c r="AF6" i="50"/>
  <c r="AE6" i="50"/>
  <c r="AD6" i="50"/>
  <c r="AC6" i="50"/>
  <c r="AB6" i="50"/>
  <c r="AA6" i="50"/>
  <c r="Z6" i="50"/>
  <c r="Y6" i="50"/>
  <c r="X6" i="50"/>
  <c r="W6" i="50"/>
  <c r="T6" i="50"/>
  <c r="S6" i="50"/>
  <c r="R6" i="50"/>
  <c r="Q6" i="50"/>
  <c r="P6" i="50"/>
  <c r="O6" i="50"/>
  <c r="N6" i="50"/>
  <c r="M6" i="50"/>
  <c r="L6" i="50"/>
  <c r="K6" i="50"/>
  <c r="J6" i="50"/>
  <c r="I6" i="50"/>
  <c r="H6" i="50"/>
  <c r="G6" i="50"/>
  <c r="F6" i="50"/>
  <c r="E6" i="50"/>
  <c r="D6" i="50"/>
  <c r="C6" i="50"/>
  <c r="BH5" i="50"/>
  <c r="BG5" i="50"/>
  <c r="BF5" i="50"/>
  <c r="BE5" i="50"/>
  <c r="BD5" i="50"/>
  <c r="BC5" i="50"/>
  <c r="BB5" i="50"/>
  <c r="BA5" i="50"/>
  <c r="AZ5" i="50"/>
  <c r="AY5" i="50"/>
  <c r="AX5" i="50"/>
  <c r="AW5" i="50"/>
  <c r="AV5" i="50"/>
  <c r="AU5" i="50"/>
  <c r="AT5" i="50"/>
  <c r="AS5" i="50"/>
  <c r="AR5" i="50"/>
  <c r="AQ5" i="50"/>
  <c r="AN5" i="50"/>
  <c r="AM5" i="50"/>
  <c r="AL5" i="50"/>
  <c r="AK5" i="50"/>
  <c r="AJ5" i="50"/>
  <c r="AI5" i="50"/>
  <c r="AH5" i="50"/>
  <c r="AG5" i="50"/>
  <c r="AF5" i="50"/>
  <c r="AE5" i="50"/>
  <c r="AD5" i="50"/>
  <c r="AC5" i="50"/>
  <c r="AB5" i="50"/>
  <c r="AA5" i="50"/>
  <c r="Z5" i="50"/>
  <c r="Y5" i="50"/>
  <c r="X5" i="50"/>
  <c r="W5" i="50"/>
  <c r="T5" i="50"/>
  <c r="S5" i="50"/>
  <c r="R5" i="50"/>
  <c r="Q5" i="50"/>
  <c r="P5" i="50"/>
  <c r="O5" i="50"/>
  <c r="N5" i="50"/>
  <c r="M5" i="50"/>
  <c r="L5" i="50"/>
  <c r="K5" i="50"/>
  <c r="J5" i="50"/>
  <c r="I5" i="50"/>
  <c r="H5" i="50"/>
  <c r="G5" i="50"/>
  <c r="F5" i="50"/>
  <c r="E5" i="50"/>
  <c r="D5" i="50"/>
  <c r="C5" i="50"/>
  <c r="BH4" i="50"/>
  <c r="BG4" i="50"/>
  <c r="BF4" i="50"/>
  <c r="BE4" i="50"/>
  <c r="BD4" i="50"/>
  <c r="BC4" i="50"/>
  <c r="BB4" i="50"/>
  <c r="BA4" i="50"/>
  <c r="AZ4" i="50"/>
  <c r="AY4" i="50"/>
  <c r="AX4" i="50"/>
  <c r="AW4" i="50"/>
  <c r="AV4" i="50"/>
  <c r="AU4" i="50"/>
  <c r="AT4" i="50"/>
  <c r="AS4" i="50"/>
  <c r="AR4" i="50"/>
  <c r="AQ4" i="50"/>
  <c r="AN4" i="50"/>
  <c r="AM4" i="50"/>
  <c r="AL4" i="50"/>
  <c r="AK4" i="50"/>
  <c r="AJ4" i="50"/>
  <c r="AI4" i="50"/>
  <c r="AH4" i="50"/>
  <c r="AG4" i="50"/>
  <c r="AF4" i="50"/>
  <c r="AE4" i="50"/>
  <c r="AD4" i="50"/>
  <c r="AC4" i="50"/>
  <c r="AB4" i="50"/>
  <c r="AA4" i="50"/>
  <c r="Z4" i="50"/>
  <c r="Y4" i="50"/>
  <c r="X4" i="50"/>
  <c r="W4" i="50"/>
  <c r="T4" i="50"/>
  <c r="S4" i="50"/>
  <c r="R4" i="50"/>
  <c r="Q4" i="50"/>
  <c r="P4" i="50"/>
  <c r="O4" i="50"/>
  <c r="N4" i="50"/>
  <c r="M4" i="50"/>
  <c r="L4" i="50"/>
  <c r="K4" i="50"/>
  <c r="J4" i="50"/>
  <c r="I4" i="50"/>
  <c r="H4" i="50"/>
  <c r="G4" i="50"/>
  <c r="F4" i="50"/>
  <c r="E4" i="50"/>
  <c r="D4" i="50"/>
  <c r="C4" i="50"/>
  <c r="BH3" i="50"/>
  <c r="BG3" i="50"/>
  <c r="BF3" i="50"/>
  <c r="BE3" i="50"/>
  <c r="BD3" i="50"/>
  <c r="BC3" i="50"/>
  <c r="BB3" i="50"/>
  <c r="BA3" i="50"/>
  <c r="AZ3" i="50"/>
  <c r="AY3" i="50"/>
  <c r="AX3" i="50"/>
  <c r="AW3" i="50"/>
  <c r="AV3" i="50"/>
  <c r="AU3" i="50"/>
  <c r="AT3" i="50"/>
  <c r="AS3" i="50"/>
  <c r="AR3" i="50"/>
  <c r="AQ3" i="50"/>
  <c r="AN3" i="50"/>
  <c r="AM3" i="50"/>
  <c r="AL3" i="50"/>
  <c r="AK3" i="50"/>
  <c r="AJ3" i="50"/>
  <c r="AI3" i="50"/>
  <c r="AH3" i="50"/>
  <c r="AG3" i="50"/>
  <c r="AF3" i="50"/>
  <c r="AE3" i="50"/>
  <c r="AD3" i="50"/>
  <c r="AC3" i="50"/>
  <c r="AB3" i="50"/>
  <c r="AA3" i="50"/>
  <c r="Z3" i="50"/>
  <c r="Y3" i="50"/>
  <c r="X3" i="50"/>
  <c r="W3" i="50"/>
  <c r="T3" i="50"/>
  <c r="S3" i="50"/>
  <c r="R3" i="50"/>
  <c r="Q3" i="50"/>
  <c r="P3" i="50"/>
  <c r="O3" i="50"/>
  <c r="N3" i="50"/>
  <c r="M3" i="50"/>
  <c r="L3" i="50"/>
  <c r="K3" i="50"/>
  <c r="J3" i="50"/>
  <c r="I3" i="50"/>
  <c r="H3" i="50"/>
  <c r="G3" i="50"/>
  <c r="F3" i="50"/>
  <c r="E3" i="50"/>
  <c r="D3" i="50"/>
  <c r="C3" i="50"/>
  <c r="BH2" i="50"/>
  <c r="BG2" i="50"/>
  <c r="BF2" i="50"/>
  <c r="BE2" i="50"/>
  <c r="BD2" i="50"/>
  <c r="BC2" i="50"/>
  <c r="BB2" i="50"/>
  <c r="BA2" i="50"/>
  <c r="AZ2" i="50"/>
  <c r="AY2" i="50"/>
  <c r="AX2" i="50"/>
  <c r="AW2" i="50"/>
  <c r="AV2" i="50"/>
  <c r="AU2" i="50"/>
  <c r="AT2" i="50"/>
  <c r="AS2" i="50"/>
  <c r="AR2" i="50"/>
  <c r="AQ2" i="50"/>
  <c r="AN2" i="50"/>
  <c r="AM2" i="50"/>
  <c r="AL2" i="50"/>
  <c r="AK2" i="50"/>
  <c r="AJ2" i="50"/>
  <c r="AI2" i="50"/>
  <c r="AH2" i="50"/>
  <c r="AG2" i="50"/>
  <c r="AF2" i="50"/>
  <c r="AE2" i="50"/>
  <c r="AD2" i="50"/>
  <c r="AC2" i="50"/>
  <c r="AB2" i="50"/>
  <c r="AA2" i="50"/>
  <c r="Z2" i="50"/>
  <c r="Y2" i="50"/>
  <c r="X2" i="50"/>
  <c r="W2" i="50"/>
  <c r="T2" i="50"/>
  <c r="S2" i="50"/>
  <c r="R2" i="50"/>
  <c r="Q2" i="50"/>
  <c r="P2" i="50"/>
  <c r="O2" i="50"/>
  <c r="N2" i="50"/>
  <c r="M2" i="50"/>
  <c r="L2" i="50"/>
  <c r="K2" i="50"/>
  <c r="J2" i="50"/>
  <c r="I2" i="50"/>
  <c r="H2" i="50"/>
  <c r="G2" i="50"/>
  <c r="F2" i="50"/>
  <c r="E2" i="50"/>
  <c r="D2" i="50"/>
  <c r="C2" i="50"/>
  <c r="W22" i="49"/>
  <c r="X22" i="49"/>
  <c r="Y22" i="49"/>
  <c r="Z22" i="49"/>
  <c r="AA22" i="49"/>
  <c r="AB22" i="49"/>
  <c r="AC22" i="49"/>
  <c r="AD22" i="49"/>
  <c r="AE22" i="49"/>
  <c r="AF22" i="49"/>
  <c r="AG22" i="49"/>
  <c r="AH22" i="49"/>
  <c r="AI22" i="49"/>
  <c r="AJ22" i="49"/>
  <c r="AK22" i="49"/>
  <c r="AL22" i="49"/>
  <c r="AM22" i="49"/>
  <c r="AN22" i="49"/>
  <c r="W23" i="49"/>
  <c r="X23" i="49"/>
  <c r="Y23" i="49"/>
  <c r="Z23" i="49"/>
  <c r="AA23" i="49"/>
  <c r="AB23" i="49"/>
  <c r="AC23" i="49"/>
  <c r="AD23" i="49"/>
  <c r="AE23" i="49"/>
  <c r="AF23" i="49"/>
  <c r="AG23" i="49"/>
  <c r="AH23" i="49"/>
  <c r="AI23" i="49"/>
  <c r="AJ23" i="49"/>
  <c r="AK23" i="49"/>
  <c r="AL23" i="49"/>
  <c r="AM23" i="49"/>
  <c r="AN23" i="49"/>
  <c r="W24" i="49"/>
  <c r="X24" i="49"/>
  <c r="Y24" i="49"/>
  <c r="Z24" i="49"/>
  <c r="AA24" i="49"/>
  <c r="AB24" i="49"/>
  <c r="AC24" i="49"/>
  <c r="AD24" i="49"/>
  <c r="AE24" i="49"/>
  <c r="AF24" i="49"/>
  <c r="AG24" i="49"/>
  <c r="AH24" i="49"/>
  <c r="AI24" i="49"/>
  <c r="AJ24" i="49"/>
  <c r="AK24" i="49"/>
  <c r="AL24" i="49"/>
  <c r="AM24" i="49"/>
  <c r="AN24" i="49"/>
  <c r="W25" i="49"/>
  <c r="X25" i="49"/>
  <c r="Y25" i="49"/>
  <c r="Z25" i="49"/>
  <c r="AA25" i="49"/>
  <c r="AB25" i="49"/>
  <c r="AC25" i="49"/>
  <c r="AD25" i="49"/>
  <c r="AE25" i="49"/>
  <c r="AF25" i="49"/>
  <c r="AG25" i="49"/>
  <c r="AH25" i="49"/>
  <c r="AI25" i="49"/>
  <c r="AJ25" i="49"/>
  <c r="AK25" i="49"/>
  <c r="AL25" i="49"/>
  <c r="AM25" i="49"/>
  <c r="AN25" i="49"/>
  <c r="W26" i="49"/>
  <c r="X26" i="49"/>
  <c r="Y26" i="49"/>
  <c r="Z26" i="49"/>
  <c r="AA26" i="49"/>
  <c r="AB26" i="49"/>
  <c r="AC26" i="49"/>
  <c r="AD26" i="49"/>
  <c r="AE26" i="49"/>
  <c r="AF26" i="49"/>
  <c r="AG26" i="49"/>
  <c r="AH26" i="49"/>
  <c r="AI26" i="49"/>
  <c r="AJ26" i="49"/>
  <c r="AK26" i="49"/>
  <c r="AL26" i="49"/>
  <c r="AM26" i="49"/>
  <c r="AN26" i="49"/>
  <c r="W27" i="49"/>
  <c r="X27" i="49"/>
  <c r="Y27" i="49"/>
  <c r="Z27" i="49"/>
  <c r="AA27" i="49"/>
  <c r="AB27" i="49"/>
  <c r="AC27" i="49"/>
  <c r="AD27" i="49"/>
  <c r="AE27" i="49"/>
  <c r="AF27" i="49"/>
  <c r="AG27" i="49"/>
  <c r="AH27" i="49"/>
  <c r="AI27" i="49"/>
  <c r="AJ27" i="49"/>
  <c r="AK27" i="49"/>
  <c r="AL27" i="49"/>
  <c r="AM27" i="49"/>
  <c r="AN27" i="49"/>
  <c r="W28" i="49"/>
  <c r="X28" i="49"/>
  <c r="Y28" i="49"/>
  <c r="Z28" i="49"/>
  <c r="AA28" i="49"/>
  <c r="AB28" i="49"/>
  <c r="AC28" i="49"/>
  <c r="AD28" i="49"/>
  <c r="AE28" i="49"/>
  <c r="AF28" i="49"/>
  <c r="AG28" i="49"/>
  <c r="AH28" i="49"/>
  <c r="AI28" i="49"/>
  <c r="AJ28" i="49"/>
  <c r="AK28" i="49"/>
  <c r="AL28" i="49"/>
  <c r="AM28" i="49"/>
  <c r="AN28" i="49"/>
  <c r="W29" i="49"/>
  <c r="X29" i="49"/>
  <c r="Y29" i="49"/>
  <c r="Z29" i="49"/>
  <c r="AA29" i="49"/>
  <c r="AB29" i="49"/>
  <c r="AC29" i="49"/>
  <c r="AD29" i="49"/>
  <c r="AE29" i="49"/>
  <c r="AF29" i="49"/>
  <c r="AG29" i="49"/>
  <c r="AH29" i="49"/>
  <c r="AI29" i="49"/>
  <c r="AJ29" i="49"/>
  <c r="AK29" i="49"/>
  <c r="AL29" i="49"/>
  <c r="AM29" i="49"/>
  <c r="AN29" i="49"/>
  <c r="W30" i="49"/>
  <c r="X30" i="49"/>
  <c r="Y30" i="49"/>
  <c r="Z30" i="49"/>
  <c r="AA30" i="49"/>
  <c r="AB30" i="49"/>
  <c r="AC30" i="49"/>
  <c r="AD30" i="49"/>
  <c r="AE30" i="49"/>
  <c r="AF30" i="49"/>
  <c r="AG30" i="49"/>
  <c r="AH30" i="49"/>
  <c r="AI30" i="49"/>
  <c r="AJ30" i="49"/>
  <c r="AK30" i="49"/>
  <c r="AL30" i="49"/>
  <c r="AM30" i="49"/>
  <c r="AN30" i="49"/>
  <c r="W31" i="49"/>
  <c r="X31" i="49"/>
  <c r="Y31" i="49"/>
  <c r="Z31" i="49"/>
  <c r="AA31" i="49"/>
  <c r="AB31" i="49"/>
  <c r="AC31" i="49"/>
  <c r="AD31" i="49"/>
  <c r="AE31" i="49"/>
  <c r="AF31" i="49"/>
  <c r="AG31" i="49"/>
  <c r="AH31" i="49"/>
  <c r="AI31" i="49"/>
  <c r="AJ31" i="49"/>
  <c r="AK31" i="49"/>
  <c r="AL31" i="49"/>
  <c r="AM31" i="49"/>
  <c r="AN31" i="49"/>
  <c r="W32" i="49"/>
  <c r="X32" i="49"/>
  <c r="Y32" i="49"/>
  <c r="Z32" i="49"/>
  <c r="AA32" i="49"/>
  <c r="AB32" i="49"/>
  <c r="AC32" i="49"/>
  <c r="AD32" i="49"/>
  <c r="AE32" i="49"/>
  <c r="AF32" i="49"/>
  <c r="AG32" i="49"/>
  <c r="AH32" i="49"/>
  <c r="AI32" i="49"/>
  <c r="AJ32" i="49"/>
  <c r="AK32" i="49"/>
  <c r="AL32" i="49"/>
  <c r="AM32" i="49"/>
  <c r="AN32" i="49"/>
  <c r="W33" i="49"/>
  <c r="X33" i="49"/>
  <c r="Y33" i="49"/>
  <c r="Z33" i="49"/>
  <c r="AA33" i="49"/>
  <c r="AB33" i="49"/>
  <c r="AC33" i="49"/>
  <c r="AD33" i="49"/>
  <c r="AE33" i="49"/>
  <c r="AF33" i="49"/>
  <c r="AG33" i="49"/>
  <c r="AH33" i="49"/>
  <c r="AI33" i="49"/>
  <c r="AJ33" i="49"/>
  <c r="AK33" i="49"/>
  <c r="AL33" i="49"/>
  <c r="AM33" i="49"/>
  <c r="AN33" i="49"/>
  <c r="W34" i="49"/>
  <c r="X34" i="49"/>
  <c r="Y34" i="49"/>
  <c r="Z34" i="49"/>
  <c r="AA34" i="49"/>
  <c r="AB34" i="49"/>
  <c r="AC34" i="49"/>
  <c r="AD34" i="49"/>
  <c r="AE34" i="49"/>
  <c r="AF34" i="49"/>
  <c r="AG34" i="49"/>
  <c r="AH34" i="49"/>
  <c r="AI34" i="49"/>
  <c r="AJ34" i="49"/>
  <c r="AK34" i="49"/>
  <c r="AL34" i="49"/>
  <c r="AM34" i="49"/>
  <c r="AN34" i="49"/>
  <c r="W35" i="49"/>
  <c r="X35" i="49"/>
  <c r="Y35" i="49"/>
  <c r="Z35" i="49"/>
  <c r="AA35" i="49"/>
  <c r="AB35" i="49"/>
  <c r="AC35" i="49"/>
  <c r="AD35" i="49"/>
  <c r="AE35" i="49"/>
  <c r="AF35" i="49"/>
  <c r="AG35" i="49"/>
  <c r="AH35" i="49"/>
  <c r="AI35" i="49"/>
  <c r="AJ35" i="49"/>
  <c r="AK35" i="49"/>
  <c r="AL35" i="49"/>
  <c r="AM35" i="49"/>
  <c r="AN35" i="49"/>
  <c r="W36" i="49"/>
  <c r="X36" i="49"/>
  <c r="Y36" i="49"/>
  <c r="Z36" i="49"/>
  <c r="AA36" i="49"/>
  <c r="AB36" i="49"/>
  <c r="AC36" i="49"/>
  <c r="AD36" i="49"/>
  <c r="AE36" i="49"/>
  <c r="AF36" i="49"/>
  <c r="AG36" i="49"/>
  <c r="AH36" i="49"/>
  <c r="AI36" i="49"/>
  <c r="AJ36" i="49"/>
  <c r="AK36" i="49"/>
  <c r="AL36" i="49"/>
  <c r="AM36" i="49"/>
  <c r="AN36" i="49"/>
  <c r="W37" i="49"/>
  <c r="X37" i="49"/>
  <c r="Y37" i="49"/>
  <c r="Z37" i="49"/>
  <c r="AA37" i="49"/>
  <c r="AB37" i="49"/>
  <c r="AC37" i="49"/>
  <c r="AD37" i="49"/>
  <c r="AE37" i="49"/>
  <c r="AF37" i="49"/>
  <c r="AG37" i="49"/>
  <c r="AH37" i="49"/>
  <c r="AI37" i="49"/>
  <c r="AJ37" i="49"/>
  <c r="AK37" i="49"/>
  <c r="AL37" i="49"/>
  <c r="AM37" i="49"/>
  <c r="AN37" i="49"/>
  <c r="W38" i="49"/>
  <c r="X38" i="49"/>
  <c r="Y38" i="49"/>
  <c r="Z38" i="49"/>
  <c r="AA38" i="49"/>
  <c r="AB38" i="49"/>
  <c r="AC38" i="49"/>
  <c r="AD38" i="49"/>
  <c r="AE38" i="49"/>
  <c r="AF38" i="49"/>
  <c r="AG38" i="49"/>
  <c r="AH38" i="49"/>
  <c r="AI38" i="49"/>
  <c r="AJ38" i="49"/>
  <c r="AK38" i="49"/>
  <c r="AL38" i="49"/>
  <c r="AM38" i="49"/>
  <c r="AN38" i="49"/>
  <c r="W39" i="49"/>
  <c r="X39" i="49"/>
  <c r="Y39" i="49"/>
  <c r="Z39" i="49"/>
  <c r="AA39" i="49"/>
  <c r="AB39" i="49"/>
  <c r="AC39" i="49"/>
  <c r="AD39" i="49"/>
  <c r="AE39" i="49"/>
  <c r="AF39" i="49"/>
  <c r="AG39" i="49"/>
  <c r="AH39" i="49"/>
  <c r="AI39" i="49"/>
  <c r="AJ39" i="49"/>
  <c r="AK39" i="49"/>
  <c r="AL39" i="49"/>
  <c r="AM39" i="49"/>
  <c r="AN39" i="49"/>
  <c r="W40" i="49"/>
  <c r="X40" i="49"/>
  <c r="Y40" i="49"/>
  <c r="Z40" i="49"/>
  <c r="AA40" i="49"/>
  <c r="AB40" i="49"/>
  <c r="AC40" i="49"/>
  <c r="AD40" i="49"/>
  <c r="AE40" i="49"/>
  <c r="AF40" i="49"/>
  <c r="AG40" i="49"/>
  <c r="AH40" i="49"/>
  <c r="AI40" i="49"/>
  <c r="AJ40" i="49"/>
  <c r="AK40" i="49"/>
  <c r="AL40" i="49"/>
  <c r="AM40" i="49"/>
  <c r="AN40" i="49"/>
  <c r="W41" i="49"/>
  <c r="X41" i="49"/>
  <c r="Y41" i="49"/>
  <c r="Z41" i="49"/>
  <c r="AA41" i="49"/>
  <c r="AB41" i="49"/>
  <c r="AC41" i="49"/>
  <c r="AD41" i="49"/>
  <c r="AE41" i="49"/>
  <c r="AF41" i="49"/>
  <c r="AG41" i="49"/>
  <c r="AH41" i="49"/>
  <c r="AI41" i="49"/>
  <c r="AJ41" i="49"/>
  <c r="AK41" i="49"/>
  <c r="AL41" i="49"/>
  <c r="AM41" i="49"/>
  <c r="AN41" i="49"/>
  <c r="W42" i="49"/>
  <c r="X42" i="49"/>
  <c r="Y42" i="49"/>
  <c r="Z42" i="49"/>
  <c r="AA42" i="49"/>
  <c r="AB42" i="49"/>
  <c r="AC42" i="49"/>
  <c r="AD42" i="49"/>
  <c r="AE42" i="49"/>
  <c r="AF42" i="49"/>
  <c r="AG42" i="49"/>
  <c r="AH42" i="49"/>
  <c r="AI42" i="49"/>
  <c r="AJ42" i="49"/>
  <c r="AK42" i="49"/>
  <c r="AL42" i="49"/>
  <c r="AM42" i="49"/>
  <c r="AN42" i="49"/>
  <c r="AQ2" i="49"/>
  <c r="AR2" i="49"/>
  <c r="AS2" i="49"/>
  <c r="AT2" i="49"/>
  <c r="AU2" i="49"/>
  <c r="AV2" i="49"/>
  <c r="AW2" i="49"/>
  <c r="AX2" i="49"/>
  <c r="AY2" i="49"/>
  <c r="AZ2" i="49"/>
  <c r="BA2" i="49"/>
  <c r="BB2" i="49"/>
  <c r="BC2" i="49"/>
  <c r="BD2" i="49"/>
  <c r="BE2" i="49"/>
  <c r="BF2" i="49"/>
  <c r="BG2" i="49"/>
  <c r="BH2" i="49"/>
  <c r="AQ3" i="49"/>
  <c r="AR3" i="49"/>
  <c r="AS3" i="49"/>
  <c r="AT3" i="49"/>
  <c r="AU3" i="49"/>
  <c r="AV3" i="49"/>
  <c r="AW3" i="49"/>
  <c r="AX3" i="49"/>
  <c r="AY3" i="49"/>
  <c r="AZ3" i="49"/>
  <c r="BA3" i="49"/>
  <c r="BB3" i="49"/>
  <c r="BC3" i="49"/>
  <c r="BD3" i="49"/>
  <c r="BE3" i="49"/>
  <c r="BF3" i="49"/>
  <c r="BG3" i="49"/>
  <c r="BH3" i="49"/>
  <c r="AQ4" i="49"/>
  <c r="AR4" i="49"/>
  <c r="AS4" i="49"/>
  <c r="AT4" i="49"/>
  <c r="AU4" i="49"/>
  <c r="AV4" i="49"/>
  <c r="AW4" i="49"/>
  <c r="AX4" i="49"/>
  <c r="AY4" i="49"/>
  <c r="AZ4" i="49"/>
  <c r="BA4" i="49"/>
  <c r="BB4" i="49"/>
  <c r="BC4" i="49"/>
  <c r="BD4" i="49"/>
  <c r="BE4" i="49"/>
  <c r="BF4" i="49"/>
  <c r="BG4" i="49"/>
  <c r="BH4" i="49"/>
  <c r="AQ5" i="49"/>
  <c r="AR5" i="49"/>
  <c r="AS5" i="49"/>
  <c r="AT5" i="49"/>
  <c r="AU5" i="49"/>
  <c r="AV5" i="49"/>
  <c r="AW5" i="49"/>
  <c r="AX5" i="49"/>
  <c r="AY5" i="49"/>
  <c r="AZ5" i="49"/>
  <c r="BA5" i="49"/>
  <c r="BB5" i="49"/>
  <c r="BC5" i="49"/>
  <c r="BD5" i="49"/>
  <c r="BE5" i="49"/>
  <c r="BF5" i="49"/>
  <c r="BG5" i="49"/>
  <c r="BH5" i="49"/>
  <c r="AQ6" i="49"/>
  <c r="AR6" i="49"/>
  <c r="AS6" i="49"/>
  <c r="AT6" i="49"/>
  <c r="AU6" i="49"/>
  <c r="AV6" i="49"/>
  <c r="AW6" i="49"/>
  <c r="AX6" i="49"/>
  <c r="AY6" i="49"/>
  <c r="AZ6" i="49"/>
  <c r="BA6" i="49"/>
  <c r="BB6" i="49"/>
  <c r="BC6" i="49"/>
  <c r="BD6" i="49"/>
  <c r="BE6" i="49"/>
  <c r="BF6" i="49"/>
  <c r="BG6" i="49"/>
  <c r="BH6" i="49"/>
  <c r="AQ7" i="49"/>
  <c r="AR7" i="49"/>
  <c r="AS7" i="49"/>
  <c r="AT7" i="49"/>
  <c r="AU7" i="49"/>
  <c r="AV7" i="49"/>
  <c r="AW7" i="49"/>
  <c r="AX7" i="49"/>
  <c r="AY7" i="49"/>
  <c r="AZ7" i="49"/>
  <c r="BA7" i="49"/>
  <c r="BB7" i="49"/>
  <c r="BC7" i="49"/>
  <c r="BD7" i="49"/>
  <c r="BE7" i="49"/>
  <c r="BF7" i="49"/>
  <c r="BG7" i="49"/>
  <c r="BH7" i="49"/>
  <c r="AQ8" i="49"/>
  <c r="AR8" i="49"/>
  <c r="AS8" i="49"/>
  <c r="AT8" i="49"/>
  <c r="AU8" i="49"/>
  <c r="AV8" i="49"/>
  <c r="AW8" i="49"/>
  <c r="AX8" i="49"/>
  <c r="AY8" i="49"/>
  <c r="AZ8" i="49"/>
  <c r="BA8" i="49"/>
  <c r="BB8" i="49"/>
  <c r="BC8" i="49"/>
  <c r="BD8" i="49"/>
  <c r="BE8" i="49"/>
  <c r="BF8" i="49"/>
  <c r="BG8" i="49"/>
  <c r="BH8" i="49"/>
  <c r="AQ9" i="49"/>
  <c r="AR9" i="49"/>
  <c r="AS9" i="49"/>
  <c r="AT9" i="49"/>
  <c r="AU9" i="49"/>
  <c r="AV9" i="49"/>
  <c r="AW9" i="49"/>
  <c r="AX9" i="49"/>
  <c r="AY9" i="49"/>
  <c r="AZ9" i="49"/>
  <c r="BA9" i="49"/>
  <c r="BB9" i="49"/>
  <c r="BC9" i="49"/>
  <c r="BD9" i="49"/>
  <c r="BE9" i="49"/>
  <c r="BF9" i="49"/>
  <c r="BG9" i="49"/>
  <c r="BH9" i="49"/>
  <c r="AQ10" i="49"/>
  <c r="AR10" i="49"/>
  <c r="AS10" i="49"/>
  <c r="AT10" i="49"/>
  <c r="AU10" i="49"/>
  <c r="AV10" i="49"/>
  <c r="AW10" i="49"/>
  <c r="AX10" i="49"/>
  <c r="AY10" i="49"/>
  <c r="AZ10" i="49"/>
  <c r="BA10" i="49"/>
  <c r="BB10" i="49"/>
  <c r="BC10" i="49"/>
  <c r="BD10" i="49"/>
  <c r="BE10" i="49"/>
  <c r="BF10" i="49"/>
  <c r="BG10" i="49"/>
  <c r="BH10" i="49"/>
  <c r="AQ11" i="49"/>
  <c r="AR11" i="49"/>
  <c r="AS11" i="49"/>
  <c r="AT11" i="49"/>
  <c r="AU11" i="49"/>
  <c r="AV11" i="49"/>
  <c r="AW11" i="49"/>
  <c r="AX11" i="49"/>
  <c r="AY11" i="49"/>
  <c r="AZ11" i="49"/>
  <c r="BA11" i="49"/>
  <c r="BB11" i="49"/>
  <c r="BC11" i="49"/>
  <c r="BD11" i="49"/>
  <c r="BE11" i="49"/>
  <c r="BF11" i="49"/>
  <c r="BG11" i="49"/>
  <c r="BH11" i="49"/>
  <c r="AQ12" i="49"/>
  <c r="AR12" i="49"/>
  <c r="AS12" i="49"/>
  <c r="AT12" i="49"/>
  <c r="AU12" i="49"/>
  <c r="AV12" i="49"/>
  <c r="AW12" i="49"/>
  <c r="AX12" i="49"/>
  <c r="AY12" i="49"/>
  <c r="AZ12" i="49"/>
  <c r="BA12" i="49"/>
  <c r="BB12" i="49"/>
  <c r="BC12" i="49"/>
  <c r="BD12" i="49"/>
  <c r="BE12" i="49"/>
  <c r="BF12" i="49"/>
  <c r="BG12" i="49"/>
  <c r="BH12" i="49"/>
  <c r="AQ13" i="49"/>
  <c r="AR13" i="49"/>
  <c r="AS13" i="49"/>
  <c r="AT13" i="49"/>
  <c r="AU13" i="49"/>
  <c r="AV13" i="49"/>
  <c r="AW13" i="49"/>
  <c r="AX13" i="49"/>
  <c r="AY13" i="49"/>
  <c r="AZ13" i="49"/>
  <c r="BA13" i="49"/>
  <c r="BB13" i="49"/>
  <c r="BC13" i="49"/>
  <c r="BD13" i="49"/>
  <c r="BE13" i="49"/>
  <c r="BF13" i="49"/>
  <c r="BG13" i="49"/>
  <c r="BH13" i="49"/>
  <c r="AQ14" i="49"/>
  <c r="AR14" i="49"/>
  <c r="AS14" i="49"/>
  <c r="AT14" i="49"/>
  <c r="AU14" i="49"/>
  <c r="AV14" i="49"/>
  <c r="AW14" i="49"/>
  <c r="AX14" i="49"/>
  <c r="AY14" i="49"/>
  <c r="AZ14" i="49"/>
  <c r="BA14" i="49"/>
  <c r="BB14" i="49"/>
  <c r="BC14" i="49"/>
  <c r="BD14" i="49"/>
  <c r="BE14" i="49"/>
  <c r="BF14" i="49"/>
  <c r="BG14" i="49"/>
  <c r="BH14" i="49"/>
  <c r="AQ15" i="49"/>
  <c r="AR15" i="49"/>
  <c r="AS15" i="49"/>
  <c r="AT15" i="49"/>
  <c r="AU15" i="49"/>
  <c r="AV15" i="49"/>
  <c r="AW15" i="49"/>
  <c r="AX15" i="49"/>
  <c r="AY15" i="49"/>
  <c r="AZ15" i="49"/>
  <c r="BA15" i="49"/>
  <c r="BB15" i="49"/>
  <c r="BC15" i="49"/>
  <c r="BD15" i="49"/>
  <c r="BE15" i="49"/>
  <c r="BF15" i="49"/>
  <c r="BG15" i="49"/>
  <c r="BH15" i="49"/>
  <c r="AQ16" i="49"/>
  <c r="AR16" i="49"/>
  <c r="AS16" i="49"/>
  <c r="AT16" i="49"/>
  <c r="AU16" i="49"/>
  <c r="AV16" i="49"/>
  <c r="AW16" i="49"/>
  <c r="AX16" i="49"/>
  <c r="AY16" i="49"/>
  <c r="AZ16" i="49"/>
  <c r="BA16" i="49"/>
  <c r="BB16" i="49"/>
  <c r="BC16" i="49"/>
  <c r="BD16" i="49"/>
  <c r="BE16" i="49"/>
  <c r="BF16" i="49"/>
  <c r="BG16" i="49"/>
  <c r="BH16" i="49"/>
  <c r="AQ17" i="49"/>
  <c r="AR17" i="49"/>
  <c r="AS17" i="49"/>
  <c r="AT17" i="49"/>
  <c r="AU17" i="49"/>
  <c r="AV17" i="49"/>
  <c r="AW17" i="49"/>
  <c r="AX17" i="49"/>
  <c r="AY17" i="49"/>
  <c r="AZ17" i="49"/>
  <c r="BA17" i="49"/>
  <c r="BB17" i="49"/>
  <c r="BC17" i="49"/>
  <c r="BD17" i="49"/>
  <c r="BE17" i="49"/>
  <c r="BF17" i="49"/>
  <c r="BG17" i="49"/>
  <c r="BH17" i="49"/>
  <c r="AQ18" i="49"/>
  <c r="AR18" i="49"/>
  <c r="AS18" i="49"/>
  <c r="AT18" i="49"/>
  <c r="AU18" i="49"/>
  <c r="AV18" i="49"/>
  <c r="AW18" i="49"/>
  <c r="AX18" i="49"/>
  <c r="AY18" i="49"/>
  <c r="AZ18" i="49"/>
  <c r="BA18" i="49"/>
  <c r="BB18" i="49"/>
  <c r="BC18" i="49"/>
  <c r="BD18" i="49"/>
  <c r="BE18" i="49"/>
  <c r="BF18" i="49"/>
  <c r="BG18" i="49"/>
  <c r="BH18" i="49"/>
  <c r="AQ19" i="49"/>
  <c r="AR19" i="49"/>
  <c r="AS19" i="49"/>
  <c r="AT19" i="49"/>
  <c r="AU19" i="49"/>
  <c r="AV19" i="49"/>
  <c r="AW19" i="49"/>
  <c r="AX19" i="49"/>
  <c r="AY19" i="49"/>
  <c r="AZ19" i="49"/>
  <c r="BA19" i="49"/>
  <c r="BB19" i="49"/>
  <c r="BC19" i="49"/>
  <c r="BD19" i="49"/>
  <c r="BE19" i="49"/>
  <c r="BF19" i="49"/>
  <c r="BG19" i="49"/>
  <c r="BH19" i="49"/>
  <c r="AQ20" i="49"/>
  <c r="AR20" i="49"/>
  <c r="AS20" i="49"/>
  <c r="AT20" i="49"/>
  <c r="AU20" i="49"/>
  <c r="AV20" i="49"/>
  <c r="AW20" i="49"/>
  <c r="AX20" i="49"/>
  <c r="AY20" i="49"/>
  <c r="AZ20" i="49"/>
  <c r="BA20" i="49"/>
  <c r="BB20" i="49"/>
  <c r="BC20" i="49"/>
  <c r="BD20" i="49"/>
  <c r="BE20" i="49"/>
  <c r="BF20" i="49"/>
  <c r="BG20" i="49"/>
  <c r="BH20" i="49"/>
  <c r="AQ21" i="49"/>
  <c r="AR21" i="49"/>
  <c r="AS21" i="49"/>
  <c r="AT21" i="49"/>
  <c r="AU21" i="49"/>
  <c r="AV21" i="49"/>
  <c r="AW21" i="49"/>
  <c r="AX21" i="49"/>
  <c r="AY21" i="49"/>
  <c r="AZ21" i="49"/>
  <c r="BA21" i="49"/>
  <c r="BB21" i="49"/>
  <c r="BC21" i="49"/>
  <c r="BD21" i="49"/>
  <c r="BE21" i="49"/>
  <c r="BF21" i="49"/>
  <c r="BG21" i="49"/>
  <c r="BH21" i="49"/>
  <c r="AQ22" i="49"/>
  <c r="AR22" i="49"/>
  <c r="AS22" i="49"/>
  <c r="AT22" i="49"/>
  <c r="AU22" i="49"/>
  <c r="AV22" i="49"/>
  <c r="AW22" i="49"/>
  <c r="AX22" i="49"/>
  <c r="AY22" i="49"/>
  <c r="AZ22" i="49"/>
  <c r="BA22" i="49"/>
  <c r="BB22" i="49"/>
  <c r="BC22" i="49"/>
  <c r="BD22" i="49"/>
  <c r="BE22" i="49"/>
  <c r="BF22" i="49"/>
  <c r="BG22" i="49"/>
  <c r="BH22" i="49"/>
  <c r="AQ23" i="49"/>
  <c r="AR23" i="49"/>
  <c r="AS23" i="49"/>
  <c r="AT23" i="49"/>
  <c r="AU23" i="49"/>
  <c r="AV23" i="49"/>
  <c r="AW23" i="49"/>
  <c r="AX23" i="49"/>
  <c r="AY23" i="49"/>
  <c r="AZ23" i="49"/>
  <c r="BA23" i="49"/>
  <c r="BB23" i="49"/>
  <c r="BC23" i="49"/>
  <c r="BD23" i="49"/>
  <c r="BE23" i="49"/>
  <c r="BF23" i="49"/>
  <c r="BG23" i="49"/>
  <c r="BH23" i="49"/>
  <c r="AQ24" i="49"/>
  <c r="AR24" i="49"/>
  <c r="AS24" i="49"/>
  <c r="AT24" i="49"/>
  <c r="AU24" i="49"/>
  <c r="AV24" i="49"/>
  <c r="AW24" i="49"/>
  <c r="AX24" i="49"/>
  <c r="AY24" i="49"/>
  <c r="AZ24" i="49"/>
  <c r="BA24" i="49"/>
  <c r="BB24" i="49"/>
  <c r="BC24" i="49"/>
  <c r="BD24" i="49"/>
  <c r="BE24" i="49"/>
  <c r="BF24" i="49"/>
  <c r="BG24" i="49"/>
  <c r="BH24" i="49"/>
  <c r="AQ25" i="49"/>
  <c r="AR25" i="49"/>
  <c r="AS25" i="49"/>
  <c r="AT25" i="49"/>
  <c r="AU25" i="49"/>
  <c r="AV25" i="49"/>
  <c r="AW25" i="49"/>
  <c r="AX25" i="49"/>
  <c r="AY25" i="49"/>
  <c r="AZ25" i="49"/>
  <c r="BA25" i="49"/>
  <c r="BB25" i="49"/>
  <c r="BC25" i="49"/>
  <c r="BD25" i="49"/>
  <c r="BE25" i="49"/>
  <c r="BF25" i="49"/>
  <c r="BG25" i="49"/>
  <c r="BH25" i="49"/>
  <c r="AQ26" i="49"/>
  <c r="AR26" i="49"/>
  <c r="AS26" i="49"/>
  <c r="AT26" i="49"/>
  <c r="AU26" i="49"/>
  <c r="AV26" i="49"/>
  <c r="AW26" i="49"/>
  <c r="AX26" i="49"/>
  <c r="AY26" i="49"/>
  <c r="AZ26" i="49"/>
  <c r="BA26" i="49"/>
  <c r="BB26" i="49"/>
  <c r="BC26" i="49"/>
  <c r="BD26" i="49"/>
  <c r="BE26" i="49"/>
  <c r="BF26" i="49"/>
  <c r="BG26" i="49"/>
  <c r="BH26" i="49"/>
  <c r="AQ27" i="49"/>
  <c r="AR27" i="49"/>
  <c r="AS27" i="49"/>
  <c r="AT27" i="49"/>
  <c r="AU27" i="49"/>
  <c r="AV27" i="49"/>
  <c r="AW27" i="49"/>
  <c r="AX27" i="49"/>
  <c r="AY27" i="49"/>
  <c r="AZ27" i="49"/>
  <c r="BA27" i="49"/>
  <c r="BB27" i="49"/>
  <c r="BC27" i="49"/>
  <c r="BD27" i="49"/>
  <c r="BE27" i="49"/>
  <c r="BF27" i="49"/>
  <c r="BG27" i="49"/>
  <c r="BH27" i="49"/>
  <c r="AQ28" i="49"/>
  <c r="AR28" i="49"/>
  <c r="AS28" i="49"/>
  <c r="AT28" i="49"/>
  <c r="AU28" i="49"/>
  <c r="AV28" i="49"/>
  <c r="AW28" i="49"/>
  <c r="AX28" i="49"/>
  <c r="AY28" i="49"/>
  <c r="AZ28" i="49"/>
  <c r="BA28" i="49"/>
  <c r="BB28" i="49"/>
  <c r="BC28" i="49"/>
  <c r="BD28" i="49"/>
  <c r="BE28" i="49"/>
  <c r="BF28" i="49"/>
  <c r="BG28" i="49"/>
  <c r="BH28" i="49"/>
  <c r="AQ29" i="49"/>
  <c r="AR29" i="49"/>
  <c r="AS29" i="49"/>
  <c r="AT29" i="49"/>
  <c r="AU29" i="49"/>
  <c r="AV29" i="49"/>
  <c r="AW29" i="49"/>
  <c r="AX29" i="49"/>
  <c r="AY29" i="49"/>
  <c r="AZ29" i="49"/>
  <c r="BA29" i="49"/>
  <c r="BB29" i="49"/>
  <c r="BC29" i="49"/>
  <c r="BD29" i="49"/>
  <c r="BE29" i="49"/>
  <c r="BF29" i="49"/>
  <c r="BG29" i="49"/>
  <c r="BH29" i="49"/>
  <c r="AQ30" i="49"/>
  <c r="AR30" i="49"/>
  <c r="AS30" i="49"/>
  <c r="AT30" i="49"/>
  <c r="AU30" i="49"/>
  <c r="AV30" i="49"/>
  <c r="AW30" i="49"/>
  <c r="AX30" i="49"/>
  <c r="AY30" i="49"/>
  <c r="AZ30" i="49"/>
  <c r="BA30" i="49"/>
  <c r="BB30" i="49"/>
  <c r="BC30" i="49"/>
  <c r="BD30" i="49"/>
  <c r="BE30" i="49"/>
  <c r="BF30" i="49"/>
  <c r="BG30" i="49"/>
  <c r="BH30" i="49"/>
  <c r="AQ31" i="49"/>
  <c r="AR31" i="49"/>
  <c r="AS31" i="49"/>
  <c r="AT31" i="49"/>
  <c r="AU31" i="49"/>
  <c r="AV31" i="49"/>
  <c r="AW31" i="49"/>
  <c r="AX31" i="49"/>
  <c r="AY31" i="49"/>
  <c r="AZ31" i="49"/>
  <c r="BA31" i="49"/>
  <c r="BB31" i="49"/>
  <c r="BC31" i="49"/>
  <c r="BD31" i="49"/>
  <c r="BE31" i="49"/>
  <c r="BF31" i="49"/>
  <c r="BG31" i="49"/>
  <c r="BH31" i="49"/>
  <c r="AQ32" i="49"/>
  <c r="AR32" i="49"/>
  <c r="AS32" i="49"/>
  <c r="AT32" i="49"/>
  <c r="AU32" i="49"/>
  <c r="AV32" i="49"/>
  <c r="AW32" i="49"/>
  <c r="AX32" i="49"/>
  <c r="AY32" i="49"/>
  <c r="AZ32" i="49"/>
  <c r="BA32" i="49"/>
  <c r="BB32" i="49"/>
  <c r="BC32" i="49"/>
  <c r="BD32" i="49"/>
  <c r="BE32" i="49"/>
  <c r="BF32" i="49"/>
  <c r="BG32" i="49"/>
  <c r="BH32" i="49"/>
  <c r="AQ33" i="49"/>
  <c r="AR33" i="49"/>
  <c r="AS33" i="49"/>
  <c r="AT33" i="49"/>
  <c r="AU33" i="49"/>
  <c r="AV33" i="49"/>
  <c r="AW33" i="49"/>
  <c r="AX33" i="49"/>
  <c r="AY33" i="49"/>
  <c r="AZ33" i="49"/>
  <c r="BA33" i="49"/>
  <c r="BB33" i="49"/>
  <c r="BC33" i="49"/>
  <c r="BD33" i="49"/>
  <c r="BE33" i="49"/>
  <c r="BF33" i="49"/>
  <c r="BG33" i="49"/>
  <c r="BH33" i="49"/>
  <c r="AQ34" i="49"/>
  <c r="AR34" i="49"/>
  <c r="AS34" i="49"/>
  <c r="AT34" i="49"/>
  <c r="AU34" i="49"/>
  <c r="AV34" i="49"/>
  <c r="AW34" i="49"/>
  <c r="AX34" i="49"/>
  <c r="AY34" i="49"/>
  <c r="AZ34" i="49"/>
  <c r="BA34" i="49"/>
  <c r="BB34" i="49"/>
  <c r="BC34" i="49"/>
  <c r="BD34" i="49"/>
  <c r="BE34" i="49"/>
  <c r="BF34" i="49"/>
  <c r="BG34" i="49"/>
  <c r="BH34" i="49"/>
  <c r="AQ35" i="49"/>
  <c r="AR35" i="49"/>
  <c r="AS35" i="49"/>
  <c r="AT35" i="49"/>
  <c r="AU35" i="49"/>
  <c r="AV35" i="49"/>
  <c r="AW35" i="49"/>
  <c r="AX35" i="49"/>
  <c r="AY35" i="49"/>
  <c r="AZ35" i="49"/>
  <c r="BA35" i="49"/>
  <c r="BB35" i="49"/>
  <c r="BC35" i="49"/>
  <c r="BD35" i="49"/>
  <c r="BE35" i="49"/>
  <c r="BF35" i="49"/>
  <c r="BG35" i="49"/>
  <c r="BH35" i="49"/>
  <c r="AQ36" i="49"/>
  <c r="AR36" i="49"/>
  <c r="AS36" i="49"/>
  <c r="AT36" i="49"/>
  <c r="AU36" i="49"/>
  <c r="AV36" i="49"/>
  <c r="AW36" i="49"/>
  <c r="AX36" i="49"/>
  <c r="AY36" i="49"/>
  <c r="AZ36" i="49"/>
  <c r="BA36" i="49"/>
  <c r="BB36" i="49"/>
  <c r="BC36" i="49"/>
  <c r="BD36" i="49"/>
  <c r="BE36" i="49"/>
  <c r="BF36" i="49"/>
  <c r="BG36" i="49"/>
  <c r="BH36" i="49"/>
  <c r="AQ37" i="49"/>
  <c r="AR37" i="49"/>
  <c r="AS37" i="49"/>
  <c r="AT37" i="49"/>
  <c r="AU37" i="49"/>
  <c r="AV37" i="49"/>
  <c r="AW37" i="49"/>
  <c r="AX37" i="49"/>
  <c r="AY37" i="49"/>
  <c r="AZ37" i="49"/>
  <c r="BA37" i="49"/>
  <c r="BB37" i="49"/>
  <c r="BC37" i="49"/>
  <c r="BD37" i="49"/>
  <c r="BE37" i="49"/>
  <c r="BF37" i="49"/>
  <c r="BG37" i="49"/>
  <c r="BH37" i="49"/>
  <c r="AQ38" i="49"/>
  <c r="AR38" i="49"/>
  <c r="AS38" i="49"/>
  <c r="AT38" i="49"/>
  <c r="AU38" i="49"/>
  <c r="AV38" i="49"/>
  <c r="AW38" i="49"/>
  <c r="AX38" i="49"/>
  <c r="AY38" i="49"/>
  <c r="AZ38" i="49"/>
  <c r="BA38" i="49"/>
  <c r="BB38" i="49"/>
  <c r="BC38" i="49"/>
  <c r="BD38" i="49"/>
  <c r="BE38" i="49"/>
  <c r="BF38" i="49"/>
  <c r="BG38" i="49"/>
  <c r="BH38" i="49"/>
  <c r="AQ39" i="49"/>
  <c r="AR39" i="49"/>
  <c r="AS39" i="49"/>
  <c r="AT39" i="49"/>
  <c r="AU39" i="49"/>
  <c r="AV39" i="49"/>
  <c r="AW39" i="49"/>
  <c r="AX39" i="49"/>
  <c r="AY39" i="49"/>
  <c r="AZ39" i="49"/>
  <c r="BA39" i="49"/>
  <c r="BB39" i="49"/>
  <c r="BC39" i="49"/>
  <c r="BD39" i="49"/>
  <c r="BE39" i="49"/>
  <c r="BF39" i="49"/>
  <c r="BG39" i="49"/>
  <c r="BH39" i="49"/>
  <c r="AQ40" i="49"/>
  <c r="AR40" i="49"/>
  <c r="AS40" i="49"/>
  <c r="AT40" i="49"/>
  <c r="AU40" i="49"/>
  <c r="AV40" i="49"/>
  <c r="AW40" i="49"/>
  <c r="AX40" i="49"/>
  <c r="AY40" i="49"/>
  <c r="AZ40" i="49"/>
  <c r="BA40" i="49"/>
  <c r="BB40" i="49"/>
  <c r="BC40" i="49"/>
  <c r="BD40" i="49"/>
  <c r="BE40" i="49"/>
  <c r="BF40" i="49"/>
  <c r="BG40" i="49"/>
  <c r="BH40" i="49"/>
  <c r="AQ41" i="49"/>
  <c r="AR41" i="49"/>
  <c r="AS41" i="49"/>
  <c r="AT41" i="49"/>
  <c r="AU41" i="49"/>
  <c r="AV41" i="49"/>
  <c r="AW41" i="49"/>
  <c r="AX41" i="49"/>
  <c r="AY41" i="49"/>
  <c r="AZ41" i="49"/>
  <c r="BA41" i="49"/>
  <c r="BB41" i="49"/>
  <c r="BC41" i="49"/>
  <c r="BD41" i="49"/>
  <c r="BE41" i="49"/>
  <c r="BF41" i="49"/>
  <c r="BG41" i="49"/>
  <c r="BH41" i="49"/>
  <c r="J9" i="49" l="1"/>
  <c r="J15" i="49"/>
  <c r="W21" i="49"/>
  <c r="W20" i="49"/>
  <c r="W19" i="49"/>
  <c r="W18" i="49"/>
  <c r="W17" i="49"/>
  <c r="W16" i="49"/>
  <c r="W15" i="49"/>
  <c r="W14" i="49"/>
  <c r="W13" i="49"/>
  <c r="W12" i="49"/>
  <c r="W11" i="49"/>
  <c r="W10" i="49"/>
  <c r="W9" i="49"/>
  <c r="W8" i="49"/>
  <c r="W7" i="49"/>
  <c r="W6" i="49"/>
  <c r="W5" i="49"/>
  <c r="W4" i="49"/>
  <c r="W3" i="49"/>
  <c r="W2" i="49"/>
  <c r="C42" i="49"/>
  <c r="C41" i="49"/>
  <c r="C40" i="49"/>
  <c r="C39" i="49"/>
  <c r="C38" i="49"/>
  <c r="C37" i="49"/>
  <c r="C36" i="49"/>
  <c r="C35" i="49"/>
  <c r="C34" i="49"/>
  <c r="C33" i="49"/>
  <c r="C32" i="49"/>
  <c r="C31" i="49"/>
  <c r="C30" i="49"/>
  <c r="C29" i="49"/>
  <c r="C28" i="49"/>
  <c r="C27" i="49"/>
  <c r="C26" i="49"/>
  <c r="C25" i="49"/>
  <c r="C24" i="49"/>
  <c r="C23" i="49"/>
  <c r="C22" i="49"/>
  <c r="C21" i="49"/>
  <c r="C20" i="49"/>
  <c r="C19" i="49"/>
  <c r="C18" i="49"/>
  <c r="C17" i="49"/>
  <c r="C16" i="49"/>
  <c r="C15" i="49"/>
  <c r="C14" i="49"/>
  <c r="C13" i="49"/>
  <c r="C12" i="49"/>
  <c r="C11" i="49"/>
  <c r="C10" i="49"/>
  <c r="C9" i="49"/>
  <c r="C8" i="49"/>
  <c r="C7" i="49"/>
  <c r="C6" i="49"/>
  <c r="C5" i="49"/>
  <c r="C4" i="49"/>
  <c r="C3" i="49"/>
  <c r="D12" i="49" l="1"/>
  <c r="E12" i="49"/>
  <c r="F12" i="49"/>
  <c r="G12" i="49"/>
  <c r="H12" i="49"/>
  <c r="I12" i="49"/>
  <c r="J12" i="49"/>
  <c r="K12" i="49"/>
  <c r="L12" i="49"/>
  <c r="M12" i="49"/>
  <c r="N12" i="49"/>
  <c r="O12" i="49"/>
  <c r="P12" i="49"/>
  <c r="Q12" i="49"/>
  <c r="R12" i="49"/>
  <c r="S12" i="49"/>
  <c r="T12" i="49"/>
  <c r="D13" i="49"/>
  <c r="E13" i="49"/>
  <c r="F13" i="49"/>
  <c r="G13" i="49"/>
  <c r="H13" i="49"/>
  <c r="I13" i="49"/>
  <c r="J13" i="49"/>
  <c r="K13" i="49"/>
  <c r="L13" i="49"/>
  <c r="M13" i="49"/>
  <c r="N13" i="49"/>
  <c r="O13" i="49"/>
  <c r="P13" i="49"/>
  <c r="Q13" i="49"/>
  <c r="R13" i="49"/>
  <c r="S13" i="49"/>
  <c r="T13" i="49"/>
  <c r="D14" i="49"/>
  <c r="E14" i="49"/>
  <c r="F14" i="49"/>
  <c r="G14" i="49"/>
  <c r="H14" i="49"/>
  <c r="I14" i="49"/>
  <c r="J14" i="49"/>
  <c r="K14" i="49"/>
  <c r="L14" i="49"/>
  <c r="M14" i="49"/>
  <c r="N14" i="49"/>
  <c r="O14" i="49"/>
  <c r="P14" i="49"/>
  <c r="Q14" i="49"/>
  <c r="R14" i="49"/>
  <c r="S14" i="49"/>
  <c r="T14" i="49"/>
  <c r="D15" i="49"/>
  <c r="E15" i="49"/>
  <c r="F15" i="49"/>
  <c r="G15" i="49"/>
  <c r="H15" i="49"/>
  <c r="I15" i="49"/>
  <c r="K15" i="49"/>
  <c r="L15" i="49"/>
  <c r="M15" i="49"/>
  <c r="N15" i="49"/>
  <c r="O15" i="49"/>
  <c r="P15" i="49"/>
  <c r="Q15" i="49"/>
  <c r="R15" i="49"/>
  <c r="S15" i="49"/>
  <c r="T15" i="49"/>
  <c r="D16" i="49"/>
  <c r="E16" i="49"/>
  <c r="F16" i="49"/>
  <c r="G16" i="49"/>
  <c r="H16" i="49"/>
  <c r="I16" i="49"/>
  <c r="J16" i="49"/>
  <c r="K16" i="49"/>
  <c r="L16" i="49"/>
  <c r="M16" i="49"/>
  <c r="N16" i="49"/>
  <c r="O16" i="49"/>
  <c r="P16" i="49"/>
  <c r="Q16" i="49"/>
  <c r="R16" i="49"/>
  <c r="S16" i="49"/>
  <c r="T16" i="49"/>
  <c r="D17" i="49"/>
  <c r="E17" i="49"/>
  <c r="F17" i="49"/>
  <c r="G17" i="49"/>
  <c r="H17" i="49"/>
  <c r="I17" i="49"/>
  <c r="J17" i="49"/>
  <c r="K17" i="49"/>
  <c r="L17" i="49"/>
  <c r="M17" i="49"/>
  <c r="N17" i="49"/>
  <c r="O17" i="49"/>
  <c r="P17" i="49"/>
  <c r="Q17" i="49"/>
  <c r="R17" i="49"/>
  <c r="S17" i="49"/>
  <c r="T17" i="49"/>
  <c r="D18" i="49"/>
  <c r="E18" i="49"/>
  <c r="F18" i="49"/>
  <c r="G18" i="49"/>
  <c r="H18" i="49"/>
  <c r="I18" i="49"/>
  <c r="J18" i="49"/>
  <c r="K18" i="49"/>
  <c r="L18" i="49"/>
  <c r="M18" i="49"/>
  <c r="N18" i="49"/>
  <c r="O18" i="49"/>
  <c r="P18" i="49"/>
  <c r="Q18" i="49"/>
  <c r="R18" i="49"/>
  <c r="S18" i="49"/>
  <c r="T18" i="49"/>
  <c r="D19" i="49"/>
  <c r="E19" i="49"/>
  <c r="F19" i="49"/>
  <c r="G19" i="49"/>
  <c r="H19" i="49"/>
  <c r="I19" i="49"/>
  <c r="J19" i="49"/>
  <c r="K19" i="49"/>
  <c r="L19" i="49"/>
  <c r="M19" i="49"/>
  <c r="N19" i="49"/>
  <c r="O19" i="49"/>
  <c r="P19" i="49"/>
  <c r="Q19" i="49"/>
  <c r="R19" i="49"/>
  <c r="S19" i="49"/>
  <c r="T19" i="49"/>
  <c r="D20" i="49"/>
  <c r="E20" i="49"/>
  <c r="F20" i="49"/>
  <c r="G20" i="49"/>
  <c r="H20" i="49"/>
  <c r="I20" i="49"/>
  <c r="J20" i="49"/>
  <c r="K20" i="49"/>
  <c r="L20" i="49"/>
  <c r="M20" i="49"/>
  <c r="N20" i="49"/>
  <c r="O20" i="49"/>
  <c r="P20" i="49"/>
  <c r="Q20" i="49"/>
  <c r="R20" i="49"/>
  <c r="S20" i="49"/>
  <c r="T20" i="49"/>
  <c r="D21" i="49"/>
  <c r="E21" i="49"/>
  <c r="F21" i="49"/>
  <c r="G21" i="49"/>
  <c r="H21" i="49"/>
  <c r="I21" i="49"/>
  <c r="J21" i="49"/>
  <c r="K21" i="49"/>
  <c r="L21" i="49"/>
  <c r="M21" i="49"/>
  <c r="N21" i="49"/>
  <c r="O21" i="49"/>
  <c r="P21" i="49"/>
  <c r="Q21" i="49"/>
  <c r="R21" i="49"/>
  <c r="S21" i="49"/>
  <c r="T21" i="49"/>
  <c r="D22" i="49"/>
  <c r="E22" i="49"/>
  <c r="F22" i="49"/>
  <c r="G22" i="49"/>
  <c r="H22" i="49"/>
  <c r="I22" i="49"/>
  <c r="J22" i="49"/>
  <c r="K22" i="49"/>
  <c r="L22" i="49"/>
  <c r="M22" i="49"/>
  <c r="N22" i="49"/>
  <c r="O22" i="49"/>
  <c r="P22" i="49"/>
  <c r="Q22" i="49"/>
  <c r="R22" i="49"/>
  <c r="S22" i="49"/>
  <c r="T22" i="49"/>
  <c r="D23" i="49"/>
  <c r="E23" i="49"/>
  <c r="F23" i="49"/>
  <c r="G23" i="49"/>
  <c r="H23" i="49"/>
  <c r="I23" i="49"/>
  <c r="J23" i="49"/>
  <c r="K23" i="49"/>
  <c r="L23" i="49"/>
  <c r="M23" i="49"/>
  <c r="N23" i="49"/>
  <c r="O23" i="49"/>
  <c r="P23" i="49"/>
  <c r="Q23" i="49"/>
  <c r="R23" i="49"/>
  <c r="S23" i="49"/>
  <c r="T23" i="49"/>
  <c r="D24" i="49"/>
  <c r="E24" i="49"/>
  <c r="F24" i="49"/>
  <c r="G24" i="49"/>
  <c r="H24" i="49"/>
  <c r="I24" i="49"/>
  <c r="J24" i="49"/>
  <c r="K24" i="49"/>
  <c r="L24" i="49"/>
  <c r="M24" i="49"/>
  <c r="N24" i="49"/>
  <c r="O24" i="49"/>
  <c r="P24" i="49"/>
  <c r="Q24" i="49"/>
  <c r="R24" i="49"/>
  <c r="S24" i="49"/>
  <c r="T24" i="49"/>
  <c r="D25" i="49"/>
  <c r="E25" i="49"/>
  <c r="F25" i="49"/>
  <c r="G25" i="49"/>
  <c r="H25" i="49"/>
  <c r="I25" i="49"/>
  <c r="J25" i="49"/>
  <c r="K25" i="49"/>
  <c r="L25" i="49"/>
  <c r="M25" i="49"/>
  <c r="N25" i="49"/>
  <c r="O25" i="49"/>
  <c r="P25" i="49"/>
  <c r="Q25" i="49"/>
  <c r="R25" i="49"/>
  <c r="S25" i="49"/>
  <c r="T25" i="49"/>
  <c r="D26" i="49"/>
  <c r="E26" i="49"/>
  <c r="F26" i="49"/>
  <c r="G26" i="49"/>
  <c r="H26" i="49"/>
  <c r="I26" i="49"/>
  <c r="J26" i="49"/>
  <c r="K26" i="49"/>
  <c r="L26" i="49"/>
  <c r="M26" i="49"/>
  <c r="N26" i="49"/>
  <c r="O26" i="49"/>
  <c r="P26" i="49"/>
  <c r="Q26" i="49"/>
  <c r="R26" i="49"/>
  <c r="S26" i="49"/>
  <c r="T26" i="49"/>
  <c r="D27" i="49"/>
  <c r="E27" i="49"/>
  <c r="F27" i="49"/>
  <c r="G27" i="49"/>
  <c r="H27" i="49"/>
  <c r="I27" i="49"/>
  <c r="J27" i="49"/>
  <c r="K27" i="49"/>
  <c r="L27" i="49"/>
  <c r="M27" i="49"/>
  <c r="N27" i="49"/>
  <c r="O27" i="49"/>
  <c r="P27" i="49"/>
  <c r="Q27" i="49"/>
  <c r="R27" i="49"/>
  <c r="S27" i="49"/>
  <c r="T27" i="49"/>
  <c r="D28" i="49"/>
  <c r="E28" i="49"/>
  <c r="F28" i="49"/>
  <c r="G28" i="49"/>
  <c r="H28" i="49"/>
  <c r="I28" i="49"/>
  <c r="J28" i="49"/>
  <c r="K28" i="49"/>
  <c r="L28" i="49"/>
  <c r="M28" i="49"/>
  <c r="N28" i="49"/>
  <c r="O28" i="49"/>
  <c r="P28" i="49"/>
  <c r="Q28" i="49"/>
  <c r="R28" i="49"/>
  <c r="S28" i="49"/>
  <c r="T28" i="49"/>
  <c r="D29" i="49"/>
  <c r="E29" i="49"/>
  <c r="F29" i="49"/>
  <c r="G29" i="49"/>
  <c r="H29" i="49"/>
  <c r="I29" i="49"/>
  <c r="J29" i="49"/>
  <c r="K29" i="49"/>
  <c r="L29" i="49"/>
  <c r="M29" i="49"/>
  <c r="N29" i="49"/>
  <c r="O29" i="49"/>
  <c r="P29" i="49"/>
  <c r="Q29" i="49"/>
  <c r="R29" i="49"/>
  <c r="S29" i="49"/>
  <c r="T29" i="49"/>
  <c r="D30" i="49"/>
  <c r="E30" i="49"/>
  <c r="F30" i="49"/>
  <c r="G30" i="49"/>
  <c r="H30" i="49"/>
  <c r="I30" i="49"/>
  <c r="J30" i="49"/>
  <c r="K30" i="49"/>
  <c r="L30" i="49"/>
  <c r="M30" i="49"/>
  <c r="N30" i="49"/>
  <c r="O30" i="49"/>
  <c r="P30" i="49"/>
  <c r="Q30" i="49"/>
  <c r="R30" i="49"/>
  <c r="S30" i="49"/>
  <c r="T30" i="49"/>
  <c r="D31" i="49"/>
  <c r="E31" i="49"/>
  <c r="F31" i="49"/>
  <c r="G31" i="49"/>
  <c r="H31" i="49"/>
  <c r="I31" i="49"/>
  <c r="J31" i="49"/>
  <c r="K31" i="49"/>
  <c r="L31" i="49"/>
  <c r="M31" i="49"/>
  <c r="N31" i="49"/>
  <c r="O31" i="49"/>
  <c r="P31" i="49"/>
  <c r="Q31" i="49"/>
  <c r="R31" i="49"/>
  <c r="S31" i="49"/>
  <c r="T31" i="49"/>
  <c r="D32" i="49"/>
  <c r="E32" i="49"/>
  <c r="F32" i="49"/>
  <c r="G32" i="49"/>
  <c r="H32" i="49"/>
  <c r="I32" i="49"/>
  <c r="J32" i="49"/>
  <c r="K32" i="49"/>
  <c r="L32" i="49"/>
  <c r="M32" i="49"/>
  <c r="N32" i="49"/>
  <c r="O32" i="49"/>
  <c r="P32" i="49"/>
  <c r="Q32" i="49"/>
  <c r="R32" i="49"/>
  <c r="S32" i="49"/>
  <c r="T32" i="49"/>
  <c r="D33" i="49"/>
  <c r="E33" i="49"/>
  <c r="F33" i="49"/>
  <c r="G33" i="49"/>
  <c r="H33" i="49"/>
  <c r="I33" i="49"/>
  <c r="J33" i="49"/>
  <c r="K33" i="49"/>
  <c r="L33" i="49"/>
  <c r="M33" i="49"/>
  <c r="N33" i="49"/>
  <c r="O33" i="49"/>
  <c r="P33" i="49"/>
  <c r="Q33" i="49"/>
  <c r="R33" i="49"/>
  <c r="S33" i="49"/>
  <c r="T33" i="49"/>
  <c r="D34" i="49"/>
  <c r="E34" i="49"/>
  <c r="F34" i="49"/>
  <c r="G34" i="49"/>
  <c r="H34" i="49"/>
  <c r="I34" i="49"/>
  <c r="J34" i="49"/>
  <c r="K34" i="49"/>
  <c r="L34" i="49"/>
  <c r="M34" i="49"/>
  <c r="N34" i="49"/>
  <c r="O34" i="49"/>
  <c r="P34" i="49"/>
  <c r="Q34" i="49"/>
  <c r="R34" i="49"/>
  <c r="S34" i="49"/>
  <c r="T34" i="49"/>
  <c r="D35" i="49"/>
  <c r="E35" i="49"/>
  <c r="F35" i="49"/>
  <c r="G35" i="49"/>
  <c r="H35" i="49"/>
  <c r="I35" i="49"/>
  <c r="J35" i="49"/>
  <c r="K35" i="49"/>
  <c r="L35" i="49"/>
  <c r="M35" i="49"/>
  <c r="N35" i="49"/>
  <c r="O35" i="49"/>
  <c r="P35" i="49"/>
  <c r="Q35" i="49"/>
  <c r="R35" i="49"/>
  <c r="S35" i="49"/>
  <c r="T35" i="49"/>
  <c r="D36" i="49"/>
  <c r="E36" i="49"/>
  <c r="F36" i="49"/>
  <c r="G36" i="49"/>
  <c r="H36" i="49"/>
  <c r="I36" i="49"/>
  <c r="J36" i="49"/>
  <c r="K36" i="49"/>
  <c r="L36" i="49"/>
  <c r="M36" i="49"/>
  <c r="N36" i="49"/>
  <c r="O36" i="49"/>
  <c r="P36" i="49"/>
  <c r="Q36" i="49"/>
  <c r="R36" i="49"/>
  <c r="S36" i="49"/>
  <c r="T36" i="49"/>
  <c r="D37" i="49"/>
  <c r="E37" i="49"/>
  <c r="F37" i="49"/>
  <c r="G37" i="49"/>
  <c r="H37" i="49"/>
  <c r="I37" i="49"/>
  <c r="J37" i="49"/>
  <c r="K37" i="49"/>
  <c r="L37" i="49"/>
  <c r="M37" i="49"/>
  <c r="N37" i="49"/>
  <c r="O37" i="49"/>
  <c r="P37" i="49"/>
  <c r="Q37" i="49"/>
  <c r="R37" i="49"/>
  <c r="S37" i="49"/>
  <c r="T37" i="49"/>
  <c r="D38" i="49"/>
  <c r="E38" i="49"/>
  <c r="F38" i="49"/>
  <c r="G38" i="49"/>
  <c r="H38" i="49"/>
  <c r="I38" i="49"/>
  <c r="J38" i="49"/>
  <c r="K38" i="49"/>
  <c r="L38" i="49"/>
  <c r="M38" i="49"/>
  <c r="N38" i="49"/>
  <c r="O38" i="49"/>
  <c r="P38" i="49"/>
  <c r="Q38" i="49"/>
  <c r="R38" i="49"/>
  <c r="S38" i="49"/>
  <c r="T38" i="49"/>
  <c r="D39" i="49"/>
  <c r="E39" i="49"/>
  <c r="F39" i="49"/>
  <c r="G39" i="49"/>
  <c r="H39" i="49"/>
  <c r="I39" i="49"/>
  <c r="J39" i="49"/>
  <c r="K39" i="49"/>
  <c r="L39" i="49"/>
  <c r="M39" i="49"/>
  <c r="N39" i="49"/>
  <c r="O39" i="49"/>
  <c r="P39" i="49"/>
  <c r="Q39" i="49"/>
  <c r="R39" i="49"/>
  <c r="S39" i="49"/>
  <c r="T39" i="49"/>
  <c r="D40" i="49"/>
  <c r="E40" i="49"/>
  <c r="F40" i="49"/>
  <c r="G40" i="49"/>
  <c r="H40" i="49"/>
  <c r="I40" i="49"/>
  <c r="J40" i="49"/>
  <c r="K40" i="49"/>
  <c r="L40" i="49"/>
  <c r="M40" i="49"/>
  <c r="N40" i="49"/>
  <c r="O40" i="49"/>
  <c r="P40" i="49"/>
  <c r="Q40" i="49"/>
  <c r="R40" i="49"/>
  <c r="S40" i="49"/>
  <c r="T40" i="49"/>
  <c r="D41" i="49"/>
  <c r="E41" i="49"/>
  <c r="F41" i="49"/>
  <c r="G41" i="49"/>
  <c r="H41" i="49"/>
  <c r="I41" i="49"/>
  <c r="J41" i="49"/>
  <c r="K41" i="49"/>
  <c r="L41" i="49"/>
  <c r="M41" i="49"/>
  <c r="N41" i="49"/>
  <c r="O41" i="49"/>
  <c r="P41" i="49"/>
  <c r="Q41" i="49"/>
  <c r="R41" i="49"/>
  <c r="S41" i="49"/>
  <c r="T41" i="49"/>
  <c r="D42" i="49"/>
  <c r="E42" i="49"/>
  <c r="F42" i="49"/>
  <c r="G42" i="49"/>
  <c r="H42" i="49"/>
  <c r="I42" i="49"/>
  <c r="J42" i="49"/>
  <c r="K42" i="49"/>
  <c r="L42" i="49"/>
  <c r="M42" i="49"/>
  <c r="N42" i="49"/>
  <c r="O42" i="49"/>
  <c r="P42" i="49"/>
  <c r="Q42" i="49"/>
  <c r="R42" i="49"/>
  <c r="S42" i="49"/>
  <c r="T42" i="49"/>
  <c r="X2" i="49"/>
  <c r="Y2" i="49"/>
  <c r="Z2" i="49"/>
  <c r="AA2" i="49"/>
  <c r="AB2" i="49"/>
  <c r="AC2" i="49"/>
  <c r="AD2" i="49"/>
  <c r="AE2" i="49"/>
  <c r="AF2" i="49"/>
  <c r="AG2" i="49"/>
  <c r="AH2" i="49"/>
  <c r="AI2" i="49"/>
  <c r="AJ2" i="49"/>
  <c r="AK2" i="49"/>
  <c r="AL2" i="49"/>
  <c r="AM2" i="49"/>
  <c r="AN2" i="49"/>
  <c r="X3" i="49"/>
  <c r="Y3" i="49"/>
  <c r="Z3" i="49"/>
  <c r="AA3" i="49"/>
  <c r="AB3" i="49"/>
  <c r="AC3" i="49"/>
  <c r="AD3" i="49"/>
  <c r="AE3" i="49"/>
  <c r="AF3" i="49"/>
  <c r="AG3" i="49"/>
  <c r="AH3" i="49"/>
  <c r="AI3" i="49"/>
  <c r="AJ3" i="49"/>
  <c r="AK3" i="49"/>
  <c r="AL3" i="49"/>
  <c r="AM3" i="49"/>
  <c r="AN3" i="49"/>
  <c r="X4" i="49"/>
  <c r="Y4" i="49"/>
  <c r="Z4" i="49"/>
  <c r="AA4" i="49"/>
  <c r="AB4" i="49"/>
  <c r="AC4" i="49"/>
  <c r="AD4" i="49"/>
  <c r="AE4" i="49"/>
  <c r="AF4" i="49"/>
  <c r="AG4" i="49"/>
  <c r="AH4" i="49"/>
  <c r="AI4" i="49"/>
  <c r="AJ4" i="49"/>
  <c r="AK4" i="49"/>
  <c r="AL4" i="49"/>
  <c r="AM4" i="49"/>
  <c r="AN4" i="49"/>
  <c r="X5" i="49"/>
  <c r="Y5" i="49"/>
  <c r="Z5" i="49"/>
  <c r="AA5" i="49"/>
  <c r="AB5" i="49"/>
  <c r="AC5" i="49"/>
  <c r="AD5" i="49"/>
  <c r="AE5" i="49"/>
  <c r="AF5" i="49"/>
  <c r="AG5" i="49"/>
  <c r="AH5" i="49"/>
  <c r="AI5" i="49"/>
  <c r="AJ5" i="49"/>
  <c r="AK5" i="49"/>
  <c r="AL5" i="49"/>
  <c r="AM5" i="49"/>
  <c r="AN5" i="49"/>
  <c r="X6" i="49"/>
  <c r="Y6" i="49"/>
  <c r="Z6" i="49"/>
  <c r="AA6" i="49"/>
  <c r="AB6" i="49"/>
  <c r="AC6" i="49"/>
  <c r="AD6" i="49"/>
  <c r="AE6" i="49"/>
  <c r="AF6" i="49"/>
  <c r="AG6" i="49"/>
  <c r="AH6" i="49"/>
  <c r="AI6" i="49"/>
  <c r="AJ6" i="49"/>
  <c r="AK6" i="49"/>
  <c r="AL6" i="49"/>
  <c r="AM6" i="49"/>
  <c r="AN6" i="49"/>
  <c r="X7" i="49"/>
  <c r="Y7" i="49"/>
  <c r="Z7" i="49"/>
  <c r="AA7" i="49"/>
  <c r="AB7" i="49"/>
  <c r="AC7" i="49"/>
  <c r="AD7" i="49"/>
  <c r="AE7" i="49"/>
  <c r="AF7" i="49"/>
  <c r="AG7" i="49"/>
  <c r="AH7" i="49"/>
  <c r="AI7" i="49"/>
  <c r="AJ7" i="49"/>
  <c r="AK7" i="49"/>
  <c r="AL7" i="49"/>
  <c r="AM7" i="49"/>
  <c r="AN7" i="49"/>
  <c r="X8" i="49"/>
  <c r="Y8" i="49"/>
  <c r="Z8" i="49"/>
  <c r="AA8" i="49"/>
  <c r="AB8" i="49"/>
  <c r="AC8" i="49"/>
  <c r="AD8" i="49"/>
  <c r="AE8" i="49"/>
  <c r="AF8" i="49"/>
  <c r="AG8" i="49"/>
  <c r="AH8" i="49"/>
  <c r="AI8" i="49"/>
  <c r="AJ8" i="49"/>
  <c r="AK8" i="49"/>
  <c r="AL8" i="49"/>
  <c r="AM8" i="49"/>
  <c r="AN8" i="49"/>
  <c r="X9" i="49"/>
  <c r="Y9" i="49"/>
  <c r="Z9" i="49"/>
  <c r="AA9" i="49"/>
  <c r="AB9" i="49"/>
  <c r="AC9" i="49"/>
  <c r="AD9" i="49"/>
  <c r="AE9" i="49"/>
  <c r="AF9" i="49"/>
  <c r="AG9" i="49"/>
  <c r="AH9" i="49"/>
  <c r="AI9" i="49"/>
  <c r="AJ9" i="49"/>
  <c r="AK9" i="49"/>
  <c r="AL9" i="49"/>
  <c r="AM9" i="49"/>
  <c r="AN9" i="49"/>
  <c r="X10" i="49"/>
  <c r="Y10" i="49"/>
  <c r="Z10" i="49"/>
  <c r="AA10" i="49"/>
  <c r="AB10" i="49"/>
  <c r="AC10" i="49"/>
  <c r="AD10" i="49"/>
  <c r="AE10" i="49"/>
  <c r="AF10" i="49"/>
  <c r="AG10" i="49"/>
  <c r="AH10" i="49"/>
  <c r="AI10" i="49"/>
  <c r="AJ10" i="49"/>
  <c r="AK10" i="49"/>
  <c r="AL10" i="49"/>
  <c r="AM10" i="49"/>
  <c r="AN10" i="49"/>
  <c r="X11" i="49"/>
  <c r="Y11" i="49"/>
  <c r="Z11" i="49"/>
  <c r="AA11" i="49"/>
  <c r="AB11" i="49"/>
  <c r="AC11" i="49"/>
  <c r="AD11" i="49"/>
  <c r="AE11" i="49"/>
  <c r="AF11" i="49"/>
  <c r="AG11" i="49"/>
  <c r="AH11" i="49"/>
  <c r="AI11" i="49"/>
  <c r="AJ11" i="49"/>
  <c r="AK11" i="49"/>
  <c r="AL11" i="49"/>
  <c r="AM11" i="49"/>
  <c r="AN11" i="49"/>
  <c r="X12" i="49"/>
  <c r="Y12" i="49"/>
  <c r="Z12" i="49"/>
  <c r="AA12" i="49"/>
  <c r="AB12" i="49"/>
  <c r="AC12" i="49"/>
  <c r="AD12" i="49"/>
  <c r="AE12" i="49"/>
  <c r="AF12" i="49"/>
  <c r="AG12" i="49"/>
  <c r="AH12" i="49"/>
  <c r="AI12" i="49"/>
  <c r="AJ12" i="49"/>
  <c r="AK12" i="49"/>
  <c r="AL12" i="49"/>
  <c r="AM12" i="49"/>
  <c r="AN12" i="49"/>
  <c r="X13" i="49"/>
  <c r="Y13" i="49"/>
  <c r="Z13" i="49"/>
  <c r="AA13" i="49"/>
  <c r="AB13" i="49"/>
  <c r="AC13" i="49"/>
  <c r="AD13" i="49"/>
  <c r="AE13" i="49"/>
  <c r="AF13" i="49"/>
  <c r="AG13" i="49"/>
  <c r="AH13" i="49"/>
  <c r="AI13" i="49"/>
  <c r="AJ13" i="49"/>
  <c r="AK13" i="49"/>
  <c r="AL13" i="49"/>
  <c r="AM13" i="49"/>
  <c r="AN13" i="49"/>
  <c r="X14" i="49"/>
  <c r="Y14" i="49"/>
  <c r="Z14" i="49"/>
  <c r="AA14" i="49"/>
  <c r="AB14" i="49"/>
  <c r="AC14" i="49"/>
  <c r="AD14" i="49"/>
  <c r="AE14" i="49"/>
  <c r="AF14" i="49"/>
  <c r="AG14" i="49"/>
  <c r="AH14" i="49"/>
  <c r="AI14" i="49"/>
  <c r="AJ14" i="49"/>
  <c r="AK14" i="49"/>
  <c r="AL14" i="49"/>
  <c r="AM14" i="49"/>
  <c r="AN14" i="49"/>
  <c r="X15" i="49"/>
  <c r="Y15" i="49"/>
  <c r="Z15" i="49"/>
  <c r="AA15" i="49"/>
  <c r="AB15" i="49"/>
  <c r="AC15" i="49"/>
  <c r="AD15" i="49"/>
  <c r="AE15" i="49"/>
  <c r="AF15" i="49"/>
  <c r="AG15" i="49"/>
  <c r="AH15" i="49"/>
  <c r="AI15" i="49"/>
  <c r="AJ15" i="49"/>
  <c r="AK15" i="49"/>
  <c r="AL15" i="49"/>
  <c r="AM15" i="49"/>
  <c r="AN15" i="49"/>
  <c r="X16" i="49"/>
  <c r="Y16" i="49"/>
  <c r="Z16" i="49"/>
  <c r="AA16" i="49"/>
  <c r="AB16" i="49"/>
  <c r="AC16" i="49"/>
  <c r="AD16" i="49"/>
  <c r="AE16" i="49"/>
  <c r="AF16" i="49"/>
  <c r="AG16" i="49"/>
  <c r="AH16" i="49"/>
  <c r="AI16" i="49"/>
  <c r="AJ16" i="49"/>
  <c r="AK16" i="49"/>
  <c r="AL16" i="49"/>
  <c r="AM16" i="49"/>
  <c r="AN16" i="49"/>
  <c r="X17" i="49"/>
  <c r="Y17" i="49"/>
  <c r="Z17" i="49"/>
  <c r="AA17" i="49"/>
  <c r="AB17" i="49"/>
  <c r="AC17" i="49"/>
  <c r="AD17" i="49"/>
  <c r="AE17" i="49"/>
  <c r="AF17" i="49"/>
  <c r="AG17" i="49"/>
  <c r="AH17" i="49"/>
  <c r="AI17" i="49"/>
  <c r="AJ17" i="49"/>
  <c r="AK17" i="49"/>
  <c r="AL17" i="49"/>
  <c r="AM17" i="49"/>
  <c r="AN17" i="49"/>
  <c r="X18" i="49"/>
  <c r="Y18" i="49"/>
  <c r="Z18" i="49"/>
  <c r="AA18" i="49"/>
  <c r="AB18" i="49"/>
  <c r="AC18" i="49"/>
  <c r="AD18" i="49"/>
  <c r="AE18" i="49"/>
  <c r="AF18" i="49"/>
  <c r="AG18" i="49"/>
  <c r="AH18" i="49"/>
  <c r="AI18" i="49"/>
  <c r="AJ18" i="49"/>
  <c r="AK18" i="49"/>
  <c r="AL18" i="49"/>
  <c r="AM18" i="49"/>
  <c r="AN18" i="49"/>
  <c r="X19" i="49"/>
  <c r="Y19" i="49"/>
  <c r="Z19" i="49"/>
  <c r="AA19" i="49"/>
  <c r="AB19" i="49"/>
  <c r="AC19" i="49"/>
  <c r="AD19" i="49"/>
  <c r="AE19" i="49"/>
  <c r="AF19" i="49"/>
  <c r="AG19" i="49"/>
  <c r="AH19" i="49"/>
  <c r="AI19" i="49"/>
  <c r="AJ19" i="49"/>
  <c r="AK19" i="49"/>
  <c r="AL19" i="49"/>
  <c r="AM19" i="49"/>
  <c r="AN19" i="49"/>
  <c r="X20" i="49"/>
  <c r="Y20" i="49"/>
  <c r="Z20" i="49"/>
  <c r="AA20" i="49"/>
  <c r="AB20" i="49"/>
  <c r="AC20" i="49"/>
  <c r="AD20" i="49"/>
  <c r="AE20" i="49"/>
  <c r="AF20" i="49"/>
  <c r="AG20" i="49"/>
  <c r="AH20" i="49"/>
  <c r="AI20" i="49"/>
  <c r="AJ20" i="49"/>
  <c r="AK20" i="49"/>
  <c r="AL20" i="49"/>
  <c r="AM20" i="49"/>
  <c r="AN20" i="49"/>
  <c r="X21" i="49"/>
  <c r="Y21" i="49"/>
  <c r="Z21" i="49"/>
  <c r="AA21" i="49"/>
  <c r="AB21" i="49"/>
  <c r="AC21" i="49"/>
  <c r="AD21" i="49"/>
  <c r="AE21" i="49"/>
  <c r="AF21" i="49"/>
  <c r="AG21" i="49"/>
  <c r="AH21" i="49"/>
  <c r="AI21" i="49"/>
  <c r="AJ21" i="49"/>
  <c r="AK21" i="49"/>
  <c r="AL21" i="49"/>
  <c r="AM21" i="49"/>
  <c r="AN2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T9" i="49"/>
  <c r="S9" i="49"/>
  <c r="R9" i="49"/>
  <c r="Q9" i="49"/>
  <c r="P9" i="49"/>
  <c r="O9" i="49"/>
  <c r="N9" i="49"/>
  <c r="M9" i="49"/>
  <c r="L9" i="49"/>
  <c r="K9" i="49"/>
  <c r="I9" i="49"/>
  <c r="H9" i="49"/>
  <c r="G9" i="49"/>
  <c r="F9" i="49"/>
  <c r="E9" i="49"/>
  <c r="D9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G6" i="49"/>
  <c r="F6" i="49"/>
  <c r="E6" i="49"/>
  <c r="D6" i="49"/>
  <c r="T5" i="49"/>
  <c r="S5" i="49"/>
  <c r="R5" i="49"/>
  <c r="Q5" i="49"/>
  <c r="P5" i="49"/>
  <c r="O5" i="49"/>
  <c r="N5" i="49"/>
  <c r="M5" i="49"/>
  <c r="L5" i="49"/>
  <c r="K5" i="49"/>
  <c r="J5" i="49"/>
  <c r="I5" i="49"/>
  <c r="H5" i="49"/>
  <c r="G5" i="49"/>
  <c r="F5" i="49"/>
  <c r="E5" i="49"/>
  <c r="D5" i="49"/>
  <c r="T4" i="49"/>
  <c r="S4" i="49"/>
  <c r="R4" i="49"/>
  <c r="Q4" i="49"/>
  <c r="P4" i="49"/>
  <c r="O4" i="49"/>
  <c r="N4" i="49"/>
  <c r="M4" i="49"/>
  <c r="L4" i="49"/>
  <c r="K4" i="49"/>
  <c r="J4" i="49"/>
  <c r="I4" i="49"/>
  <c r="H4" i="49"/>
  <c r="G4" i="49"/>
  <c r="F4" i="49"/>
  <c r="E4" i="49"/>
  <c r="D4" i="49"/>
  <c r="T3" i="49"/>
  <c r="S3" i="49"/>
  <c r="R3" i="49"/>
  <c r="Q3" i="49"/>
  <c r="P3" i="49"/>
  <c r="O3" i="49"/>
  <c r="N3" i="49"/>
  <c r="M3" i="49"/>
  <c r="L3" i="49"/>
  <c r="K3" i="49"/>
  <c r="J3" i="49"/>
  <c r="I3" i="49"/>
  <c r="H3" i="49"/>
  <c r="G3" i="49"/>
  <c r="F3" i="49"/>
  <c r="E3" i="49"/>
  <c r="D3" i="49"/>
  <c r="T2" i="49"/>
  <c r="S2" i="49"/>
  <c r="R2" i="49"/>
  <c r="Q2" i="49"/>
  <c r="P2" i="49"/>
  <c r="O2" i="49"/>
  <c r="N2" i="49"/>
  <c r="M2" i="49"/>
  <c r="L2" i="49"/>
  <c r="K2" i="49"/>
  <c r="J2" i="49"/>
  <c r="I2" i="49"/>
  <c r="H2" i="49"/>
  <c r="G2" i="49"/>
  <c r="F2" i="49"/>
  <c r="E2" i="49"/>
  <c r="D2" i="49"/>
  <c r="AT17" i="37" l="1"/>
  <c r="AT18" i="37"/>
  <c r="AT19" i="37"/>
  <c r="AT32" i="37"/>
  <c r="AT33" i="37"/>
  <c r="AT34" i="37"/>
  <c r="AT47" i="37"/>
  <c r="AT48" i="37"/>
  <c r="AT49" i="37"/>
  <c r="AT62" i="37"/>
  <c r="AT63" i="37"/>
  <c r="AT64" i="37"/>
  <c r="AT77" i="37"/>
  <c r="AT78" i="37"/>
  <c r="AT79" i="37"/>
  <c r="AT92" i="37"/>
  <c r="AT93" i="37"/>
  <c r="AT94" i="37"/>
  <c r="AT107" i="37"/>
  <c r="AT108" i="37"/>
  <c r="AT109" i="37"/>
  <c r="AT122" i="37"/>
  <c r="AT123" i="37"/>
  <c r="AT124" i="37"/>
  <c r="AT137" i="37"/>
  <c r="AT138" i="37"/>
  <c r="AT139" i="37"/>
  <c r="AT152" i="37"/>
  <c r="AT153" i="37"/>
  <c r="AT154" i="37"/>
  <c r="AT167" i="37"/>
  <c r="AT168" i="37"/>
  <c r="AT169" i="37"/>
  <c r="AT182" i="37"/>
  <c r="AT183" i="37"/>
  <c r="AT184" i="37"/>
  <c r="AT197" i="37"/>
  <c r="AT198" i="37"/>
  <c r="AT199" i="37"/>
  <c r="AT212" i="37"/>
  <c r="AT213" i="37"/>
  <c r="AT214" i="37"/>
  <c r="AT227" i="37"/>
  <c r="AT228" i="37"/>
  <c r="AT229" i="37"/>
  <c r="AT242" i="37"/>
  <c r="AT243" i="37"/>
  <c r="AT244" i="37"/>
  <c r="AT257" i="37"/>
  <c r="AT258" i="37"/>
  <c r="AT259" i="37"/>
  <c r="AT272" i="37"/>
  <c r="AT273" i="37"/>
  <c r="AT274" i="37"/>
  <c r="AT287" i="37"/>
  <c r="AT288" i="37"/>
  <c r="AT289" i="37"/>
  <c r="AT302" i="37"/>
  <c r="AT303" i="37"/>
  <c r="AT304" i="37"/>
  <c r="AT317" i="37"/>
  <c r="AT318" i="37"/>
  <c r="AT319" i="37"/>
  <c r="AT332" i="37"/>
  <c r="AT333" i="37"/>
  <c r="AT334" i="37"/>
  <c r="AT347" i="37"/>
  <c r="AT348" i="37"/>
  <c r="AT349" i="37"/>
  <c r="AT362" i="37"/>
  <c r="AT363" i="37"/>
  <c r="AT364" i="37"/>
  <c r="AT377" i="37"/>
  <c r="AT378" i="37"/>
  <c r="AT379" i="37"/>
  <c r="AT392" i="37"/>
  <c r="AT393" i="37"/>
  <c r="AT394" i="37"/>
  <c r="AT407" i="37"/>
  <c r="AT408" i="37"/>
  <c r="AT409" i="37"/>
  <c r="AT422" i="37"/>
  <c r="AT423" i="37"/>
  <c r="AT424" i="37"/>
  <c r="AT437" i="37"/>
  <c r="AT438" i="37"/>
  <c r="AT439" i="37"/>
  <c r="AT452" i="37"/>
  <c r="AT453" i="37"/>
  <c r="AT454" i="37"/>
  <c r="AT467" i="37"/>
  <c r="AT468" i="37"/>
  <c r="AT469" i="37"/>
  <c r="AT482" i="37"/>
  <c r="AT483" i="37"/>
  <c r="AT484" i="37"/>
  <c r="AT497" i="37"/>
  <c r="AT498" i="37"/>
  <c r="AT499" i="37"/>
  <c r="AT512" i="37"/>
  <c r="AT513" i="37"/>
  <c r="AT514" i="37"/>
  <c r="AT527" i="37"/>
  <c r="AT528" i="37"/>
  <c r="AT529" i="37"/>
  <c r="AT542" i="37"/>
  <c r="AT543" i="37"/>
  <c r="AT544" i="37"/>
  <c r="AT557" i="37"/>
  <c r="AT558" i="37"/>
  <c r="AT559" i="37"/>
  <c r="AT572" i="37"/>
  <c r="AT573" i="37"/>
  <c r="AT574" i="37"/>
  <c r="AT587" i="37"/>
  <c r="AT588" i="37"/>
  <c r="AT589" i="37"/>
  <c r="AT602" i="37"/>
  <c r="AT603" i="37"/>
  <c r="AT604" i="37"/>
  <c r="AT617" i="37"/>
  <c r="AT618" i="37"/>
  <c r="AT619" i="37"/>
  <c r="AT632" i="37"/>
  <c r="AT633" i="37"/>
  <c r="AT634" i="37"/>
  <c r="AT647" i="37"/>
  <c r="AT648" i="37"/>
  <c r="AT649" i="37"/>
  <c r="AT662" i="37"/>
  <c r="AT663" i="37"/>
  <c r="AT664" i="37"/>
  <c r="AT677" i="37"/>
  <c r="AT678" i="37"/>
  <c r="AT679" i="37"/>
  <c r="AT692" i="37"/>
  <c r="AT693" i="37"/>
  <c r="AT694" i="37"/>
  <c r="AT707" i="37"/>
  <c r="AT708" i="37"/>
  <c r="AT709" i="37"/>
  <c r="AT722" i="37"/>
  <c r="AT723" i="37"/>
  <c r="AT724" i="37"/>
  <c r="AT737" i="37"/>
  <c r="AT738" i="37"/>
  <c r="AT739" i="37"/>
  <c r="AT752" i="37"/>
  <c r="AT753" i="37"/>
  <c r="AT754" i="37"/>
  <c r="AT767" i="37"/>
  <c r="AT768" i="37"/>
  <c r="AT769" i="37"/>
  <c r="W173" i="37"/>
  <c r="V173" i="37"/>
  <c r="U173" i="37"/>
  <c r="T173" i="37"/>
  <c r="S173" i="37"/>
  <c r="R173" i="37"/>
  <c r="Q173" i="37"/>
  <c r="P173" i="37"/>
  <c r="O173" i="37"/>
  <c r="N173" i="37"/>
  <c r="M173" i="37"/>
  <c r="L173" i="37"/>
  <c r="K173" i="37"/>
  <c r="J173" i="37"/>
  <c r="I173" i="37"/>
  <c r="H173" i="37"/>
  <c r="G173" i="37"/>
  <c r="F173" i="37"/>
  <c r="W172" i="37"/>
  <c r="V172" i="37"/>
  <c r="U172" i="37"/>
  <c r="T172" i="37"/>
  <c r="S172" i="37"/>
  <c r="R172" i="37"/>
  <c r="Q172" i="37"/>
  <c r="P172" i="37"/>
  <c r="O172" i="37"/>
  <c r="N172" i="37"/>
  <c r="M172" i="37"/>
  <c r="L172" i="37"/>
  <c r="K172" i="37"/>
  <c r="J172" i="37"/>
  <c r="I172" i="37"/>
  <c r="H172" i="37"/>
  <c r="G172" i="37"/>
  <c r="F172" i="37"/>
  <c r="W171" i="37"/>
  <c r="V171" i="37"/>
  <c r="U171" i="37"/>
  <c r="T171" i="37"/>
  <c r="S171" i="37"/>
  <c r="R171" i="37"/>
  <c r="Q171" i="37"/>
  <c r="P171" i="37"/>
  <c r="O171" i="37"/>
  <c r="N171" i="37"/>
  <c r="M171" i="37"/>
  <c r="L171" i="37"/>
  <c r="K171" i="37"/>
  <c r="J171" i="37"/>
  <c r="I171" i="37"/>
  <c r="H171" i="37"/>
  <c r="G171" i="37"/>
  <c r="F171" i="37"/>
  <c r="W170" i="37"/>
  <c r="V170" i="37"/>
  <c r="U170" i="37"/>
  <c r="T170" i="37"/>
  <c r="S170" i="37"/>
  <c r="R170" i="37"/>
  <c r="Q170" i="37"/>
  <c r="P170" i="37"/>
  <c r="O170" i="37"/>
  <c r="N170" i="37"/>
  <c r="M170" i="37"/>
  <c r="L170" i="37"/>
  <c r="K170" i="37"/>
  <c r="J170" i="37"/>
  <c r="I170" i="37"/>
  <c r="H170" i="37"/>
  <c r="G170" i="37"/>
  <c r="F170" i="37"/>
  <c r="W169" i="37"/>
  <c r="V169" i="37"/>
  <c r="U169" i="37"/>
  <c r="T169" i="37"/>
  <c r="S169" i="37"/>
  <c r="R169" i="37"/>
  <c r="Q169" i="37"/>
  <c r="P169" i="37"/>
  <c r="O169" i="37"/>
  <c r="N169" i="37"/>
  <c r="M169" i="37"/>
  <c r="L169" i="37"/>
  <c r="K169" i="37"/>
  <c r="J169" i="37"/>
  <c r="I169" i="37"/>
  <c r="H169" i="37"/>
  <c r="G169" i="37"/>
  <c r="F169" i="37"/>
  <c r="W168" i="37"/>
  <c r="V168" i="37"/>
  <c r="U168" i="37"/>
  <c r="T168" i="37"/>
  <c r="S168" i="37"/>
  <c r="R168" i="37"/>
  <c r="Q168" i="37"/>
  <c r="P168" i="37"/>
  <c r="O168" i="37"/>
  <c r="N168" i="37"/>
  <c r="M168" i="37"/>
  <c r="L168" i="37"/>
  <c r="K168" i="37"/>
  <c r="J168" i="37"/>
  <c r="I168" i="37"/>
  <c r="H168" i="37"/>
  <c r="G168" i="37"/>
  <c r="F168" i="37"/>
  <c r="W167" i="37"/>
  <c r="V167" i="37"/>
  <c r="U167" i="37"/>
  <c r="T167" i="37"/>
  <c r="S167" i="37"/>
  <c r="R167" i="37"/>
  <c r="Q167" i="37"/>
  <c r="P167" i="37"/>
  <c r="O167" i="37"/>
  <c r="N167" i="37"/>
  <c r="M167" i="37"/>
  <c r="L167" i="37"/>
  <c r="K167" i="37"/>
  <c r="J167" i="37"/>
  <c r="I167" i="37"/>
  <c r="H167" i="37"/>
  <c r="G167" i="37"/>
  <c r="F167" i="37"/>
  <c r="W295" i="37"/>
  <c r="V295" i="37"/>
  <c r="U295" i="37"/>
  <c r="T295" i="37"/>
  <c r="S295" i="37"/>
  <c r="R295" i="37"/>
  <c r="Q295" i="37"/>
  <c r="P295" i="37"/>
  <c r="O295" i="37"/>
  <c r="N295" i="37"/>
  <c r="M295" i="37"/>
  <c r="L295" i="37"/>
  <c r="K295" i="37"/>
  <c r="J295" i="37"/>
  <c r="I295" i="37"/>
  <c r="H295" i="37"/>
  <c r="G295" i="37"/>
  <c r="F295" i="37"/>
  <c r="W294" i="37"/>
  <c r="V294" i="37"/>
  <c r="U294" i="37"/>
  <c r="T294" i="37"/>
  <c r="S294" i="37"/>
  <c r="R294" i="37"/>
  <c r="Q294" i="37"/>
  <c r="P294" i="37"/>
  <c r="O294" i="37"/>
  <c r="N294" i="37"/>
  <c r="M294" i="37"/>
  <c r="L294" i="37"/>
  <c r="K294" i="37"/>
  <c r="J294" i="37"/>
  <c r="I294" i="37"/>
  <c r="H294" i="37"/>
  <c r="G294" i="37"/>
  <c r="F294" i="37"/>
  <c r="W293" i="37"/>
  <c r="V293" i="37"/>
  <c r="U293" i="37"/>
  <c r="T293" i="37"/>
  <c r="S293" i="37"/>
  <c r="R293" i="37"/>
  <c r="Q293" i="37"/>
  <c r="P293" i="37"/>
  <c r="O293" i="37"/>
  <c r="N293" i="37"/>
  <c r="M293" i="37"/>
  <c r="L293" i="37"/>
  <c r="K293" i="37"/>
  <c r="J293" i="37"/>
  <c r="I293" i="37"/>
  <c r="H293" i="37"/>
  <c r="G293" i="37"/>
  <c r="F293" i="37"/>
  <c r="W292" i="37"/>
  <c r="V292" i="37"/>
  <c r="U292" i="37"/>
  <c r="T292" i="37"/>
  <c r="S292" i="37"/>
  <c r="R292" i="37"/>
  <c r="Q292" i="37"/>
  <c r="P292" i="37"/>
  <c r="O292" i="37"/>
  <c r="N292" i="37"/>
  <c r="M292" i="37"/>
  <c r="L292" i="37"/>
  <c r="K292" i="37"/>
  <c r="J292" i="37"/>
  <c r="I292" i="37"/>
  <c r="H292" i="37"/>
  <c r="G292" i="37"/>
  <c r="F292" i="37"/>
  <c r="W291" i="37"/>
  <c r="V291" i="37"/>
  <c r="U291" i="37"/>
  <c r="T291" i="37"/>
  <c r="S291" i="37"/>
  <c r="R291" i="37"/>
  <c r="Q291" i="37"/>
  <c r="P291" i="37"/>
  <c r="O291" i="37"/>
  <c r="N291" i="37"/>
  <c r="M291" i="37"/>
  <c r="L291" i="37"/>
  <c r="K291" i="37"/>
  <c r="J291" i="37"/>
  <c r="I291" i="37"/>
  <c r="H291" i="37"/>
  <c r="G291" i="37"/>
  <c r="F291" i="37"/>
  <c r="W290" i="37"/>
  <c r="V290" i="37"/>
  <c r="U290" i="37"/>
  <c r="T290" i="37"/>
  <c r="S290" i="37"/>
  <c r="R290" i="37"/>
  <c r="Q290" i="37"/>
  <c r="P290" i="37"/>
  <c r="O290" i="37"/>
  <c r="N290" i="37"/>
  <c r="M290" i="37"/>
  <c r="L290" i="37"/>
  <c r="K290" i="37"/>
  <c r="J290" i="37"/>
  <c r="I290" i="37"/>
  <c r="H290" i="37"/>
  <c r="G290" i="37"/>
  <c r="F290" i="37"/>
  <c r="W289" i="37"/>
  <c r="V289" i="37"/>
  <c r="U289" i="37"/>
  <c r="T289" i="37"/>
  <c r="S289" i="37"/>
  <c r="R289" i="37"/>
  <c r="Q289" i="37"/>
  <c r="P289" i="37"/>
  <c r="O289" i="37"/>
  <c r="N289" i="37"/>
  <c r="M289" i="37"/>
  <c r="L289" i="37"/>
  <c r="K289" i="37"/>
  <c r="J289" i="37"/>
  <c r="I289" i="37"/>
  <c r="H289" i="37"/>
  <c r="G289" i="37"/>
  <c r="F289" i="37"/>
  <c r="W288" i="37"/>
  <c r="V288" i="37"/>
  <c r="U288" i="37"/>
  <c r="T288" i="37"/>
  <c r="S288" i="37"/>
  <c r="R288" i="37"/>
  <c r="Q288" i="37"/>
  <c r="P288" i="37"/>
  <c r="O288" i="37"/>
  <c r="N288" i="37"/>
  <c r="M288" i="37"/>
  <c r="L288" i="37"/>
  <c r="K288" i="37"/>
  <c r="J288" i="37"/>
  <c r="I288" i="37"/>
  <c r="H288" i="37"/>
  <c r="G288" i="37"/>
  <c r="F288" i="37"/>
  <c r="W287" i="37"/>
  <c r="V287" i="37"/>
  <c r="U287" i="37"/>
  <c r="T287" i="37"/>
  <c r="S287" i="37"/>
  <c r="R287" i="37"/>
  <c r="Q287" i="37"/>
  <c r="P287" i="37"/>
  <c r="O287" i="37"/>
  <c r="N287" i="37"/>
  <c r="M287" i="37"/>
  <c r="L287" i="37"/>
  <c r="K287" i="37"/>
  <c r="J287" i="37"/>
  <c r="I287" i="37"/>
  <c r="H287" i="37"/>
  <c r="G287" i="37"/>
  <c r="F287" i="37"/>
  <c r="W310" i="37"/>
  <c r="V310" i="37"/>
  <c r="U310" i="37"/>
  <c r="T310" i="37"/>
  <c r="S310" i="37"/>
  <c r="R310" i="37"/>
  <c r="Q310" i="37"/>
  <c r="P310" i="37"/>
  <c r="O310" i="37"/>
  <c r="N310" i="37"/>
  <c r="M310" i="37"/>
  <c r="L310" i="37"/>
  <c r="K310" i="37"/>
  <c r="J310" i="37"/>
  <c r="I310" i="37"/>
  <c r="H310" i="37"/>
  <c r="G310" i="37"/>
  <c r="F310" i="37"/>
  <c r="W309" i="37"/>
  <c r="V309" i="37"/>
  <c r="U309" i="37"/>
  <c r="T309" i="37"/>
  <c r="S309" i="37"/>
  <c r="R309" i="37"/>
  <c r="Q309" i="37"/>
  <c r="P309" i="37"/>
  <c r="O309" i="37"/>
  <c r="N309" i="37"/>
  <c r="M309" i="37"/>
  <c r="L309" i="37"/>
  <c r="K309" i="37"/>
  <c r="J309" i="37"/>
  <c r="I309" i="37"/>
  <c r="H309" i="37"/>
  <c r="G309" i="37"/>
  <c r="F309" i="37"/>
  <c r="W308" i="37"/>
  <c r="V308" i="37"/>
  <c r="U308" i="37"/>
  <c r="T308" i="37"/>
  <c r="S308" i="37"/>
  <c r="R308" i="37"/>
  <c r="Q308" i="37"/>
  <c r="P308" i="37"/>
  <c r="O308" i="37"/>
  <c r="N308" i="37"/>
  <c r="M308" i="37"/>
  <c r="L308" i="37"/>
  <c r="K308" i="37"/>
  <c r="J308" i="37"/>
  <c r="I308" i="37"/>
  <c r="H308" i="37"/>
  <c r="G308" i="37"/>
  <c r="F308" i="37"/>
  <c r="W307" i="37"/>
  <c r="V307" i="37"/>
  <c r="U307" i="37"/>
  <c r="T307" i="37"/>
  <c r="S307" i="37"/>
  <c r="R307" i="37"/>
  <c r="Q307" i="37"/>
  <c r="P307" i="37"/>
  <c r="O307" i="37"/>
  <c r="N307" i="37"/>
  <c r="M307" i="37"/>
  <c r="L307" i="37"/>
  <c r="K307" i="37"/>
  <c r="J307" i="37"/>
  <c r="I307" i="37"/>
  <c r="H307" i="37"/>
  <c r="G307" i="37"/>
  <c r="F307" i="37"/>
  <c r="W306" i="37"/>
  <c r="V306" i="37"/>
  <c r="U306" i="37"/>
  <c r="T306" i="37"/>
  <c r="S306" i="37"/>
  <c r="R306" i="37"/>
  <c r="Q306" i="37"/>
  <c r="P306" i="37"/>
  <c r="O306" i="37"/>
  <c r="N306" i="37"/>
  <c r="M306" i="37"/>
  <c r="L306" i="37"/>
  <c r="K306" i="37"/>
  <c r="J306" i="37"/>
  <c r="I306" i="37"/>
  <c r="H306" i="37"/>
  <c r="G306" i="37"/>
  <c r="F306" i="37"/>
  <c r="W305" i="37"/>
  <c r="V305" i="37"/>
  <c r="U305" i="37"/>
  <c r="T305" i="37"/>
  <c r="S305" i="37"/>
  <c r="R305" i="37"/>
  <c r="Q305" i="37"/>
  <c r="P305" i="37"/>
  <c r="O305" i="37"/>
  <c r="N305" i="37"/>
  <c r="M305" i="37"/>
  <c r="L305" i="37"/>
  <c r="K305" i="37"/>
  <c r="J305" i="37"/>
  <c r="I305" i="37"/>
  <c r="H305" i="37"/>
  <c r="G305" i="37"/>
  <c r="F305" i="37"/>
  <c r="W304" i="37"/>
  <c r="V304" i="37"/>
  <c r="U304" i="37"/>
  <c r="T304" i="37"/>
  <c r="S304" i="37"/>
  <c r="R304" i="37"/>
  <c r="Q304" i="37"/>
  <c r="P304" i="37"/>
  <c r="O304" i="37"/>
  <c r="N304" i="37"/>
  <c r="M304" i="37"/>
  <c r="L304" i="37"/>
  <c r="K304" i="37"/>
  <c r="J304" i="37"/>
  <c r="I304" i="37"/>
  <c r="H304" i="37"/>
  <c r="G304" i="37"/>
  <c r="F304" i="37"/>
  <c r="W303" i="37"/>
  <c r="V303" i="37"/>
  <c r="U303" i="37"/>
  <c r="T303" i="37"/>
  <c r="S303" i="37"/>
  <c r="R303" i="37"/>
  <c r="Q303" i="37"/>
  <c r="P303" i="37"/>
  <c r="O303" i="37"/>
  <c r="N303" i="37"/>
  <c r="M303" i="37"/>
  <c r="L303" i="37"/>
  <c r="K303" i="37"/>
  <c r="J303" i="37"/>
  <c r="I303" i="37"/>
  <c r="H303" i="37"/>
  <c r="G303" i="37"/>
  <c r="F303" i="37"/>
  <c r="W302" i="37"/>
  <c r="V302" i="37"/>
  <c r="U302" i="37"/>
  <c r="T302" i="37"/>
  <c r="S302" i="37"/>
  <c r="R302" i="37"/>
  <c r="Q302" i="37"/>
  <c r="P302" i="37"/>
  <c r="O302" i="37"/>
  <c r="N302" i="37"/>
  <c r="M302" i="37"/>
  <c r="L302" i="37"/>
  <c r="K302" i="37"/>
  <c r="J302" i="37"/>
  <c r="I302" i="37"/>
  <c r="H302" i="37"/>
  <c r="G302" i="37"/>
  <c r="F302" i="37"/>
  <c r="W321" i="37"/>
  <c r="V321" i="37"/>
  <c r="U321" i="37"/>
  <c r="T321" i="37"/>
  <c r="S321" i="37"/>
  <c r="R321" i="37"/>
  <c r="Q321" i="37"/>
  <c r="P321" i="37"/>
  <c r="O321" i="37"/>
  <c r="N321" i="37"/>
  <c r="M321" i="37"/>
  <c r="L321" i="37"/>
  <c r="K321" i="37"/>
  <c r="J321" i="37"/>
  <c r="I321" i="37"/>
  <c r="H321" i="37"/>
  <c r="G321" i="37"/>
  <c r="F321" i="37"/>
  <c r="W320" i="37"/>
  <c r="V320" i="37"/>
  <c r="U320" i="37"/>
  <c r="T320" i="37"/>
  <c r="S320" i="37"/>
  <c r="R320" i="37"/>
  <c r="Q320" i="37"/>
  <c r="P320" i="37"/>
  <c r="O320" i="37"/>
  <c r="N320" i="37"/>
  <c r="M320" i="37"/>
  <c r="L320" i="37"/>
  <c r="K320" i="37"/>
  <c r="J320" i="37"/>
  <c r="I320" i="37"/>
  <c r="H320" i="37"/>
  <c r="G320" i="37"/>
  <c r="F320" i="37"/>
  <c r="W319" i="37"/>
  <c r="V319" i="37"/>
  <c r="U319" i="37"/>
  <c r="T319" i="37"/>
  <c r="S319" i="37"/>
  <c r="R319" i="37"/>
  <c r="Q319" i="37"/>
  <c r="P319" i="37"/>
  <c r="O319" i="37"/>
  <c r="N319" i="37"/>
  <c r="M319" i="37"/>
  <c r="L319" i="37"/>
  <c r="K319" i="37"/>
  <c r="J319" i="37"/>
  <c r="I319" i="37"/>
  <c r="H319" i="37"/>
  <c r="G319" i="37"/>
  <c r="F319" i="37"/>
  <c r="W318" i="37"/>
  <c r="V318" i="37"/>
  <c r="U318" i="37"/>
  <c r="T318" i="37"/>
  <c r="S318" i="37"/>
  <c r="R318" i="37"/>
  <c r="Q318" i="37"/>
  <c r="P318" i="37"/>
  <c r="O318" i="37"/>
  <c r="N318" i="37"/>
  <c r="M318" i="37"/>
  <c r="L318" i="37"/>
  <c r="K318" i="37"/>
  <c r="J318" i="37"/>
  <c r="I318" i="37"/>
  <c r="H318" i="37"/>
  <c r="G318" i="37"/>
  <c r="F318" i="37"/>
  <c r="W317" i="37"/>
  <c r="V317" i="37"/>
  <c r="U317" i="37"/>
  <c r="T317" i="37"/>
  <c r="S317" i="37"/>
  <c r="R317" i="37"/>
  <c r="Q317" i="37"/>
  <c r="P317" i="37"/>
  <c r="O317" i="37"/>
  <c r="N317" i="37"/>
  <c r="M317" i="37"/>
  <c r="L317" i="37"/>
  <c r="K317" i="37"/>
  <c r="J317" i="37"/>
  <c r="I317" i="37"/>
  <c r="H317" i="37"/>
  <c r="G317" i="37"/>
  <c r="F317" i="37"/>
  <c r="W337" i="37"/>
  <c r="V337" i="37"/>
  <c r="U337" i="37"/>
  <c r="T337" i="37"/>
  <c r="S337" i="37"/>
  <c r="R337" i="37"/>
  <c r="Q337" i="37"/>
  <c r="P337" i="37"/>
  <c r="O337" i="37"/>
  <c r="N337" i="37"/>
  <c r="M337" i="37"/>
  <c r="L337" i="37"/>
  <c r="K337" i="37"/>
  <c r="J337" i="37"/>
  <c r="I337" i="37"/>
  <c r="H337" i="37"/>
  <c r="G337" i="37"/>
  <c r="F337" i="37"/>
  <c r="W336" i="37"/>
  <c r="V336" i="37"/>
  <c r="U336" i="37"/>
  <c r="T336" i="37"/>
  <c r="S336" i="37"/>
  <c r="R336" i="37"/>
  <c r="Q336" i="37"/>
  <c r="P336" i="37"/>
  <c r="O336" i="37"/>
  <c r="N336" i="37"/>
  <c r="M336" i="37"/>
  <c r="L336" i="37"/>
  <c r="K336" i="37"/>
  <c r="J336" i="37"/>
  <c r="I336" i="37"/>
  <c r="H336" i="37"/>
  <c r="G336" i="37"/>
  <c r="F336" i="37"/>
  <c r="W335" i="37"/>
  <c r="V335" i="37"/>
  <c r="U335" i="37"/>
  <c r="T335" i="37"/>
  <c r="S335" i="37"/>
  <c r="R335" i="37"/>
  <c r="Q335" i="37"/>
  <c r="P335" i="37"/>
  <c r="O335" i="37"/>
  <c r="N335" i="37"/>
  <c r="M335" i="37"/>
  <c r="L335" i="37"/>
  <c r="K335" i="37"/>
  <c r="J335" i="37"/>
  <c r="I335" i="37"/>
  <c r="H335" i="37"/>
  <c r="G335" i="37"/>
  <c r="F335" i="37"/>
  <c r="W334" i="37"/>
  <c r="V334" i="37"/>
  <c r="U334" i="37"/>
  <c r="T334" i="37"/>
  <c r="S334" i="37"/>
  <c r="R334" i="37"/>
  <c r="Q334" i="37"/>
  <c r="P334" i="37"/>
  <c r="O334" i="37"/>
  <c r="N334" i="37"/>
  <c r="M334" i="37"/>
  <c r="L334" i="37"/>
  <c r="K334" i="37"/>
  <c r="J334" i="37"/>
  <c r="I334" i="37"/>
  <c r="H334" i="37"/>
  <c r="G334" i="37"/>
  <c r="F334" i="37"/>
  <c r="W333" i="37"/>
  <c r="V333" i="37"/>
  <c r="U333" i="37"/>
  <c r="T333" i="37"/>
  <c r="S333" i="37"/>
  <c r="R333" i="37"/>
  <c r="Q333" i="37"/>
  <c r="P333" i="37"/>
  <c r="O333" i="37"/>
  <c r="N333" i="37"/>
  <c r="M333" i="37"/>
  <c r="L333" i="37"/>
  <c r="K333" i="37"/>
  <c r="J333" i="37"/>
  <c r="I333" i="37"/>
  <c r="H333" i="37"/>
  <c r="G333" i="37"/>
  <c r="F333" i="37"/>
  <c r="W332" i="37"/>
  <c r="V332" i="37"/>
  <c r="U332" i="37"/>
  <c r="T332" i="37"/>
  <c r="S332" i="37"/>
  <c r="R332" i="37"/>
  <c r="Q332" i="37"/>
  <c r="P332" i="37"/>
  <c r="O332" i="37"/>
  <c r="N332" i="37"/>
  <c r="M332" i="37"/>
  <c r="L332" i="37"/>
  <c r="K332" i="37"/>
  <c r="J332" i="37"/>
  <c r="I332" i="37"/>
  <c r="H332" i="37"/>
  <c r="G332" i="37"/>
  <c r="F332" i="37"/>
  <c r="W355" i="37"/>
  <c r="V355" i="37"/>
  <c r="U355" i="37"/>
  <c r="T355" i="37"/>
  <c r="S355" i="37"/>
  <c r="R355" i="37"/>
  <c r="Q355" i="37"/>
  <c r="P355" i="37"/>
  <c r="O355" i="37"/>
  <c r="N355" i="37"/>
  <c r="M355" i="37"/>
  <c r="L355" i="37"/>
  <c r="K355" i="37"/>
  <c r="J355" i="37"/>
  <c r="I355" i="37"/>
  <c r="H355" i="37"/>
  <c r="G355" i="37"/>
  <c r="F355" i="37"/>
  <c r="W354" i="37"/>
  <c r="V354" i="37"/>
  <c r="U354" i="37"/>
  <c r="T354" i="37"/>
  <c r="S354" i="37"/>
  <c r="R354" i="37"/>
  <c r="Q354" i="37"/>
  <c r="P354" i="37"/>
  <c r="O354" i="37"/>
  <c r="N354" i="37"/>
  <c r="M354" i="37"/>
  <c r="L354" i="37"/>
  <c r="K354" i="37"/>
  <c r="J354" i="37"/>
  <c r="I354" i="37"/>
  <c r="H354" i="37"/>
  <c r="G354" i="37"/>
  <c r="F354" i="37"/>
  <c r="W353" i="37"/>
  <c r="V353" i="37"/>
  <c r="U353" i="37"/>
  <c r="T353" i="37"/>
  <c r="S353" i="37"/>
  <c r="R353" i="37"/>
  <c r="Q353" i="37"/>
  <c r="P353" i="37"/>
  <c r="O353" i="37"/>
  <c r="N353" i="37"/>
  <c r="M353" i="37"/>
  <c r="L353" i="37"/>
  <c r="K353" i="37"/>
  <c r="J353" i="37"/>
  <c r="I353" i="37"/>
  <c r="H353" i="37"/>
  <c r="G353" i="37"/>
  <c r="F353" i="37"/>
  <c r="W352" i="37"/>
  <c r="V352" i="37"/>
  <c r="U352" i="37"/>
  <c r="T352" i="37"/>
  <c r="S352" i="37"/>
  <c r="R352" i="37"/>
  <c r="Q352" i="37"/>
  <c r="P352" i="37"/>
  <c r="O352" i="37"/>
  <c r="N352" i="37"/>
  <c r="M352" i="37"/>
  <c r="L352" i="37"/>
  <c r="K352" i="37"/>
  <c r="J352" i="37"/>
  <c r="I352" i="37"/>
  <c r="H352" i="37"/>
  <c r="G352" i="37"/>
  <c r="F352" i="37"/>
  <c r="W351" i="37"/>
  <c r="V351" i="37"/>
  <c r="U351" i="37"/>
  <c r="T351" i="37"/>
  <c r="S351" i="37"/>
  <c r="R351" i="37"/>
  <c r="Q351" i="37"/>
  <c r="P351" i="37"/>
  <c r="O351" i="37"/>
  <c r="N351" i="37"/>
  <c r="M351" i="37"/>
  <c r="L351" i="37"/>
  <c r="K351" i="37"/>
  <c r="J351" i="37"/>
  <c r="I351" i="37"/>
  <c r="H351" i="37"/>
  <c r="G351" i="37"/>
  <c r="F351" i="37"/>
  <c r="W350" i="37"/>
  <c r="V350" i="37"/>
  <c r="U350" i="37"/>
  <c r="T350" i="37"/>
  <c r="S350" i="37"/>
  <c r="R350" i="37"/>
  <c r="Q350" i="37"/>
  <c r="P350" i="37"/>
  <c r="O350" i="37"/>
  <c r="N350" i="37"/>
  <c r="M350" i="37"/>
  <c r="L350" i="37"/>
  <c r="K350" i="37"/>
  <c r="J350" i="37"/>
  <c r="I350" i="37"/>
  <c r="H350" i="37"/>
  <c r="G350" i="37"/>
  <c r="F350" i="37"/>
  <c r="W349" i="37"/>
  <c r="V349" i="37"/>
  <c r="U349" i="37"/>
  <c r="T349" i="37"/>
  <c r="S349" i="37"/>
  <c r="R349" i="37"/>
  <c r="Q349" i="37"/>
  <c r="P349" i="37"/>
  <c r="O349" i="37"/>
  <c r="N349" i="37"/>
  <c r="M349" i="37"/>
  <c r="L349" i="37"/>
  <c r="K349" i="37"/>
  <c r="J349" i="37"/>
  <c r="I349" i="37"/>
  <c r="H349" i="37"/>
  <c r="G349" i="37"/>
  <c r="F349" i="37"/>
  <c r="W348" i="37"/>
  <c r="V348" i="37"/>
  <c r="U348" i="37"/>
  <c r="T348" i="37"/>
  <c r="S348" i="37"/>
  <c r="R348" i="37"/>
  <c r="Q348" i="37"/>
  <c r="P348" i="37"/>
  <c r="O348" i="37"/>
  <c r="N348" i="37"/>
  <c r="M348" i="37"/>
  <c r="L348" i="37"/>
  <c r="K348" i="37"/>
  <c r="J348" i="37"/>
  <c r="I348" i="37"/>
  <c r="H348" i="37"/>
  <c r="G348" i="37"/>
  <c r="F348" i="37"/>
  <c r="W347" i="37"/>
  <c r="V347" i="37"/>
  <c r="U347" i="37"/>
  <c r="T347" i="37"/>
  <c r="S347" i="37"/>
  <c r="R347" i="37"/>
  <c r="Q347" i="37"/>
  <c r="P347" i="37"/>
  <c r="O347" i="37"/>
  <c r="N347" i="37"/>
  <c r="M347" i="37"/>
  <c r="L347" i="37"/>
  <c r="K347" i="37"/>
  <c r="J347" i="37"/>
  <c r="I347" i="37"/>
  <c r="H347" i="37"/>
  <c r="G347" i="37"/>
  <c r="F347" i="37"/>
  <c r="W368" i="37"/>
  <c r="V368" i="37"/>
  <c r="U368" i="37"/>
  <c r="T368" i="37"/>
  <c r="S368" i="37"/>
  <c r="R368" i="37"/>
  <c r="Q368" i="37"/>
  <c r="P368" i="37"/>
  <c r="O368" i="37"/>
  <c r="N368" i="37"/>
  <c r="M368" i="37"/>
  <c r="L368" i="37"/>
  <c r="K368" i="37"/>
  <c r="J368" i="37"/>
  <c r="I368" i="37"/>
  <c r="H368" i="37"/>
  <c r="G368" i="37"/>
  <c r="F368" i="37"/>
  <c r="W367" i="37"/>
  <c r="V367" i="37"/>
  <c r="U367" i="37"/>
  <c r="T367" i="37"/>
  <c r="S367" i="37"/>
  <c r="R367" i="37"/>
  <c r="Q367" i="37"/>
  <c r="P367" i="37"/>
  <c r="O367" i="37"/>
  <c r="N367" i="37"/>
  <c r="M367" i="37"/>
  <c r="L367" i="37"/>
  <c r="K367" i="37"/>
  <c r="J367" i="37"/>
  <c r="I367" i="37"/>
  <c r="H367" i="37"/>
  <c r="G367" i="37"/>
  <c r="F367" i="37"/>
  <c r="W366" i="37"/>
  <c r="V366" i="37"/>
  <c r="U366" i="37"/>
  <c r="T366" i="37"/>
  <c r="S366" i="37"/>
  <c r="R366" i="37"/>
  <c r="Q366" i="37"/>
  <c r="P366" i="37"/>
  <c r="O366" i="37"/>
  <c r="N366" i="37"/>
  <c r="M366" i="37"/>
  <c r="L366" i="37"/>
  <c r="K366" i="37"/>
  <c r="J366" i="37"/>
  <c r="I366" i="37"/>
  <c r="H366" i="37"/>
  <c r="G366" i="37"/>
  <c r="F366" i="37"/>
  <c r="W365" i="37"/>
  <c r="V365" i="37"/>
  <c r="U365" i="37"/>
  <c r="T365" i="37"/>
  <c r="S365" i="37"/>
  <c r="R365" i="37"/>
  <c r="Q365" i="37"/>
  <c r="P365" i="37"/>
  <c r="O365" i="37"/>
  <c r="N365" i="37"/>
  <c r="M365" i="37"/>
  <c r="L365" i="37"/>
  <c r="K365" i="37"/>
  <c r="J365" i="37"/>
  <c r="I365" i="37"/>
  <c r="H365" i="37"/>
  <c r="G365" i="37"/>
  <c r="F365" i="37"/>
  <c r="W364" i="37"/>
  <c r="V364" i="37"/>
  <c r="U364" i="37"/>
  <c r="T364" i="37"/>
  <c r="S364" i="37"/>
  <c r="R364" i="37"/>
  <c r="Q364" i="37"/>
  <c r="P364" i="37"/>
  <c r="O364" i="37"/>
  <c r="N364" i="37"/>
  <c r="M364" i="37"/>
  <c r="L364" i="37"/>
  <c r="K364" i="37"/>
  <c r="J364" i="37"/>
  <c r="I364" i="37"/>
  <c r="H364" i="37"/>
  <c r="G364" i="37"/>
  <c r="F364" i="37"/>
  <c r="W363" i="37"/>
  <c r="V363" i="37"/>
  <c r="U363" i="37"/>
  <c r="T363" i="37"/>
  <c r="S363" i="37"/>
  <c r="R363" i="37"/>
  <c r="Q363" i="37"/>
  <c r="P363" i="37"/>
  <c r="O363" i="37"/>
  <c r="N363" i="37"/>
  <c r="M363" i="37"/>
  <c r="L363" i="37"/>
  <c r="K363" i="37"/>
  <c r="J363" i="37"/>
  <c r="I363" i="37"/>
  <c r="H363" i="37"/>
  <c r="G363" i="37"/>
  <c r="F363" i="37"/>
  <c r="W362" i="37"/>
  <c r="V362" i="37"/>
  <c r="U362" i="37"/>
  <c r="T362" i="37"/>
  <c r="S362" i="37"/>
  <c r="R362" i="37"/>
  <c r="Q362" i="37"/>
  <c r="P362" i="37"/>
  <c r="O362" i="37"/>
  <c r="N362" i="37"/>
  <c r="M362" i="37"/>
  <c r="L362" i="37"/>
  <c r="K362" i="37"/>
  <c r="J362" i="37"/>
  <c r="I362" i="37"/>
  <c r="H362" i="37"/>
  <c r="G362" i="37"/>
  <c r="F362" i="37"/>
  <c r="W385" i="37"/>
  <c r="V385" i="37"/>
  <c r="U385" i="37"/>
  <c r="T385" i="37"/>
  <c r="S385" i="37"/>
  <c r="R385" i="37"/>
  <c r="Q385" i="37"/>
  <c r="P385" i="37"/>
  <c r="O385" i="37"/>
  <c r="N385" i="37"/>
  <c r="M385" i="37"/>
  <c r="L385" i="37"/>
  <c r="K385" i="37"/>
  <c r="J385" i="37"/>
  <c r="I385" i="37"/>
  <c r="H385" i="37"/>
  <c r="G385" i="37"/>
  <c r="F385" i="37"/>
  <c r="W384" i="37"/>
  <c r="V384" i="37"/>
  <c r="U384" i="37"/>
  <c r="T384" i="37"/>
  <c r="S384" i="37"/>
  <c r="R384" i="37"/>
  <c r="Q384" i="37"/>
  <c r="P384" i="37"/>
  <c r="O384" i="37"/>
  <c r="N384" i="37"/>
  <c r="M384" i="37"/>
  <c r="L384" i="37"/>
  <c r="K384" i="37"/>
  <c r="J384" i="37"/>
  <c r="I384" i="37"/>
  <c r="H384" i="37"/>
  <c r="G384" i="37"/>
  <c r="F384" i="37"/>
  <c r="W383" i="37"/>
  <c r="V383" i="37"/>
  <c r="U383" i="37"/>
  <c r="T383" i="37"/>
  <c r="S383" i="37"/>
  <c r="R383" i="37"/>
  <c r="Q383" i="37"/>
  <c r="P383" i="37"/>
  <c r="O383" i="37"/>
  <c r="N383" i="37"/>
  <c r="M383" i="37"/>
  <c r="L383" i="37"/>
  <c r="K383" i="37"/>
  <c r="J383" i="37"/>
  <c r="I383" i="37"/>
  <c r="H383" i="37"/>
  <c r="G383" i="37"/>
  <c r="F383" i="37"/>
  <c r="W382" i="37"/>
  <c r="V382" i="37"/>
  <c r="U382" i="37"/>
  <c r="T382" i="37"/>
  <c r="S382" i="37"/>
  <c r="R382" i="37"/>
  <c r="Q382" i="37"/>
  <c r="P382" i="37"/>
  <c r="O382" i="37"/>
  <c r="N382" i="37"/>
  <c r="M382" i="37"/>
  <c r="L382" i="37"/>
  <c r="K382" i="37"/>
  <c r="J382" i="37"/>
  <c r="I382" i="37"/>
  <c r="H382" i="37"/>
  <c r="G382" i="37"/>
  <c r="F382" i="37"/>
  <c r="W381" i="37"/>
  <c r="V381" i="37"/>
  <c r="U381" i="37"/>
  <c r="T381" i="37"/>
  <c r="S381" i="37"/>
  <c r="R381" i="37"/>
  <c r="Q381" i="37"/>
  <c r="P381" i="37"/>
  <c r="O381" i="37"/>
  <c r="N381" i="37"/>
  <c r="M381" i="37"/>
  <c r="L381" i="37"/>
  <c r="K381" i="37"/>
  <c r="J381" i="37"/>
  <c r="I381" i="37"/>
  <c r="H381" i="37"/>
  <c r="G381" i="37"/>
  <c r="F381" i="37"/>
  <c r="W380" i="37"/>
  <c r="V380" i="37"/>
  <c r="U380" i="37"/>
  <c r="T380" i="37"/>
  <c r="S380" i="37"/>
  <c r="R380" i="37"/>
  <c r="Q380" i="37"/>
  <c r="P380" i="37"/>
  <c r="O380" i="37"/>
  <c r="N380" i="37"/>
  <c r="M380" i="37"/>
  <c r="L380" i="37"/>
  <c r="K380" i="37"/>
  <c r="J380" i="37"/>
  <c r="I380" i="37"/>
  <c r="H380" i="37"/>
  <c r="G380" i="37"/>
  <c r="F380" i="37"/>
  <c r="W379" i="37"/>
  <c r="V379" i="37"/>
  <c r="U379" i="37"/>
  <c r="T379" i="37"/>
  <c r="S379" i="37"/>
  <c r="R379" i="37"/>
  <c r="Q379" i="37"/>
  <c r="P379" i="37"/>
  <c r="O379" i="37"/>
  <c r="N379" i="37"/>
  <c r="M379" i="37"/>
  <c r="L379" i="37"/>
  <c r="K379" i="37"/>
  <c r="J379" i="37"/>
  <c r="I379" i="37"/>
  <c r="H379" i="37"/>
  <c r="G379" i="37"/>
  <c r="F379" i="37"/>
  <c r="W378" i="37"/>
  <c r="V378" i="37"/>
  <c r="U378" i="37"/>
  <c r="T378" i="37"/>
  <c r="S378" i="37"/>
  <c r="R378" i="37"/>
  <c r="Q378" i="37"/>
  <c r="P378" i="37"/>
  <c r="O378" i="37"/>
  <c r="N378" i="37"/>
  <c r="M378" i="37"/>
  <c r="L378" i="37"/>
  <c r="K378" i="37"/>
  <c r="J378" i="37"/>
  <c r="I378" i="37"/>
  <c r="H378" i="37"/>
  <c r="G378" i="37"/>
  <c r="F378" i="37"/>
  <c r="W377" i="37"/>
  <c r="V377" i="37"/>
  <c r="U377" i="37"/>
  <c r="T377" i="37"/>
  <c r="S377" i="37"/>
  <c r="R377" i="37"/>
  <c r="Q377" i="37"/>
  <c r="P377" i="37"/>
  <c r="O377" i="37"/>
  <c r="N377" i="37"/>
  <c r="M377" i="37"/>
  <c r="L377" i="37"/>
  <c r="K377" i="37"/>
  <c r="J377" i="37"/>
  <c r="I377" i="37"/>
  <c r="H377" i="37"/>
  <c r="G377" i="37"/>
  <c r="F377" i="37"/>
  <c r="W399" i="37"/>
  <c r="V399" i="37"/>
  <c r="U399" i="37"/>
  <c r="T399" i="37"/>
  <c r="S399" i="37"/>
  <c r="R399" i="37"/>
  <c r="Q399" i="37"/>
  <c r="P399" i="37"/>
  <c r="O399" i="37"/>
  <c r="N399" i="37"/>
  <c r="M399" i="37"/>
  <c r="L399" i="37"/>
  <c r="K399" i="37"/>
  <c r="J399" i="37"/>
  <c r="I399" i="37"/>
  <c r="H399" i="37"/>
  <c r="G399" i="37"/>
  <c r="F399" i="37"/>
  <c r="W398" i="37"/>
  <c r="V398" i="37"/>
  <c r="U398" i="37"/>
  <c r="T398" i="37"/>
  <c r="S398" i="37"/>
  <c r="R398" i="37"/>
  <c r="Q398" i="37"/>
  <c r="P398" i="37"/>
  <c r="O398" i="37"/>
  <c r="N398" i="37"/>
  <c r="M398" i="37"/>
  <c r="L398" i="37"/>
  <c r="K398" i="37"/>
  <c r="J398" i="37"/>
  <c r="I398" i="37"/>
  <c r="H398" i="37"/>
  <c r="G398" i="37"/>
  <c r="F398" i="37"/>
  <c r="W397" i="37"/>
  <c r="V397" i="37"/>
  <c r="U397" i="37"/>
  <c r="T397" i="37"/>
  <c r="S397" i="37"/>
  <c r="R397" i="37"/>
  <c r="Q397" i="37"/>
  <c r="P397" i="37"/>
  <c r="O397" i="37"/>
  <c r="N397" i="37"/>
  <c r="M397" i="37"/>
  <c r="L397" i="37"/>
  <c r="K397" i="37"/>
  <c r="J397" i="37"/>
  <c r="I397" i="37"/>
  <c r="H397" i="37"/>
  <c r="G397" i="37"/>
  <c r="F397" i="37"/>
  <c r="W396" i="37"/>
  <c r="V396" i="37"/>
  <c r="U396" i="37"/>
  <c r="T396" i="37"/>
  <c r="S396" i="37"/>
  <c r="R396" i="37"/>
  <c r="Q396" i="37"/>
  <c r="P396" i="37"/>
  <c r="O396" i="37"/>
  <c r="N396" i="37"/>
  <c r="M396" i="37"/>
  <c r="L396" i="37"/>
  <c r="K396" i="37"/>
  <c r="J396" i="37"/>
  <c r="I396" i="37"/>
  <c r="H396" i="37"/>
  <c r="G396" i="37"/>
  <c r="F396" i="37"/>
  <c r="W395" i="37"/>
  <c r="V395" i="37"/>
  <c r="U395" i="37"/>
  <c r="T395" i="37"/>
  <c r="S395" i="37"/>
  <c r="R395" i="37"/>
  <c r="Q395" i="37"/>
  <c r="P395" i="37"/>
  <c r="O395" i="37"/>
  <c r="N395" i="37"/>
  <c r="M395" i="37"/>
  <c r="L395" i="37"/>
  <c r="K395" i="37"/>
  <c r="J395" i="37"/>
  <c r="I395" i="37"/>
  <c r="H395" i="37"/>
  <c r="G395" i="37"/>
  <c r="F395" i="37"/>
  <c r="W394" i="37"/>
  <c r="V394" i="37"/>
  <c r="U394" i="37"/>
  <c r="T394" i="37"/>
  <c r="S394" i="37"/>
  <c r="R394" i="37"/>
  <c r="Q394" i="37"/>
  <c r="P394" i="37"/>
  <c r="O394" i="37"/>
  <c r="N394" i="37"/>
  <c r="M394" i="37"/>
  <c r="L394" i="37"/>
  <c r="K394" i="37"/>
  <c r="J394" i="37"/>
  <c r="I394" i="37"/>
  <c r="H394" i="37"/>
  <c r="G394" i="37"/>
  <c r="F394" i="37"/>
  <c r="W393" i="37"/>
  <c r="V393" i="37"/>
  <c r="U393" i="37"/>
  <c r="T393" i="37"/>
  <c r="S393" i="37"/>
  <c r="R393" i="37"/>
  <c r="Q393" i="37"/>
  <c r="P393" i="37"/>
  <c r="O393" i="37"/>
  <c r="N393" i="37"/>
  <c r="M393" i="37"/>
  <c r="L393" i="37"/>
  <c r="K393" i="37"/>
  <c r="J393" i="37"/>
  <c r="I393" i="37"/>
  <c r="H393" i="37"/>
  <c r="G393" i="37"/>
  <c r="F393" i="37"/>
  <c r="W392" i="37"/>
  <c r="V392" i="37"/>
  <c r="U392" i="37"/>
  <c r="T392" i="37"/>
  <c r="S392" i="37"/>
  <c r="R392" i="37"/>
  <c r="Q392" i="37"/>
  <c r="P392" i="37"/>
  <c r="O392" i="37"/>
  <c r="N392" i="37"/>
  <c r="M392" i="37"/>
  <c r="L392" i="37"/>
  <c r="K392" i="37"/>
  <c r="J392" i="37"/>
  <c r="I392" i="37"/>
  <c r="H392" i="37"/>
  <c r="G392" i="37"/>
  <c r="F392" i="37"/>
  <c r="W413" i="37"/>
  <c r="V413" i="37"/>
  <c r="U413" i="37"/>
  <c r="T413" i="37"/>
  <c r="S413" i="37"/>
  <c r="R413" i="37"/>
  <c r="Q413" i="37"/>
  <c r="P413" i="37"/>
  <c r="O413" i="37"/>
  <c r="N413" i="37"/>
  <c r="M413" i="37"/>
  <c r="L413" i="37"/>
  <c r="K413" i="37"/>
  <c r="J413" i="37"/>
  <c r="I413" i="37"/>
  <c r="H413" i="37"/>
  <c r="G413" i="37"/>
  <c r="F413" i="37"/>
  <c r="W412" i="37"/>
  <c r="V412" i="37"/>
  <c r="U412" i="37"/>
  <c r="T412" i="37"/>
  <c r="S412" i="37"/>
  <c r="R412" i="37"/>
  <c r="Q412" i="37"/>
  <c r="P412" i="37"/>
  <c r="O412" i="37"/>
  <c r="N412" i="37"/>
  <c r="M412" i="37"/>
  <c r="L412" i="37"/>
  <c r="K412" i="37"/>
  <c r="J412" i="37"/>
  <c r="I412" i="37"/>
  <c r="H412" i="37"/>
  <c r="G412" i="37"/>
  <c r="F412" i="37"/>
  <c r="W411" i="37"/>
  <c r="V411" i="37"/>
  <c r="U411" i="37"/>
  <c r="T411" i="37"/>
  <c r="S411" i="37"/>
  <c r="R411" i="37"/>
  <c r="Q411" i="37"/>
  <c r="P411" i="37"/>
  <c r="O411" i="37"/>
  <c r="N411" i="37"/>
  <c r="M411" i="37"/>
  <c r="L411" i="37"/>
  <c r="K411" i="37"/>
  <c r="J411" i="37"/>
  <c r="I411" i="37"/>
  <c r="H411" i="37"/>
  <c r="G411" i="37"/>
  <c r="F411" i="37"/>
  <c r="W410" i="37"/>
  <c r="V410" i="37"/>
  <c r="U410" i="37"/>
  <c r="T410" i="37"/>
  <c r="S410" i="37"/>
  <c r="R410" i="37"/>
  <c r="Q410" i="37"/>
  <c r="P410" i="37"/>
  <c r="O410" i="37"/>
  <c r="N410" i="37"/>
  <c r="M410" i="37"/>
  <c r="L410" i="37"/>
  <c r="K410" i="37"/>
  <c r="J410" i="37"/>
  <c r="I410" i="37"/>
  <c r="H410" i="37"/>
  <c r="G410" i="37"/>
  <c r="F410" i="37"/>
  <c r="W409" i="37"/>
  <c r="V409" i="37"/>
  <c r="U409" i="37"/>
  <c r="T409" i="37"/>
  <c r="S409" i="37"/>
  <c r="R409" i="37"/>
  <c r="Q409" i="37"/>
  <c r="P409" i="37"/>
  <c r="O409" i="37"/>
  <c r="N409" i="37"/>
  <c r="M409" i="37"/>
  <c r="L409" i="37"/>
  <c r="K409" i="37"/>
  <c r="J409" i="37"/>
  <c r="I409" i="37"/>
  <c r="H409" i="37"/>
  <c r="G409" i="37"/>
  <c r="F409" i="37"/>
  <c r="W408" i="37"/>
  <c r="V408" i="37"/>
  <c r="U408" i="37"/>
  <c r="T408" i="37"/>
  <c r="S408" i="37"/>
  <c r="R408" i="37"/>
  <c r="Q408" i="37"/>
  <c r="P408" i="37"/>
  <c r="O408" i="37"/>
  <c r="N408" i="37"/>
  <c r="M408" i="37"/>
  <c r="L408" i="37"/>
  <c r="K408" i="37"/>
  <c r="J408" i="37"/>
  <c r="I408" i="37"/>
  <c r="H408" i="37"/>
  <c r="G408" i="37"/>
  <c r="F408" i="37"/>
  <c r="W407" i="37"/>
  <c r="V407" i="37"/>
  <c r="U407" i="37"/>
  <c r="T407" i="37"/>
  <c r="S407" i="37"/>
  <c r="R407" i="37"/>
  <c r="Q407" i="37"/>
  <c r="P407" i="37"/>
  <c r="O407" i="37"/>
  <c r="N407" i="37"/>
  <c r="M407" i="37"/>
  <c r="L407" i="37"/>
  <c r="K407" i="37"/>
  <c r="J407" i="37"/>
  <c r="I407" i="37"/>
  <c r="H407" i="37"/>
  <c r="G407" i="37"/>
  <c r="F407" i="37"/>
  <c r="W428" i="37"/>
  <c r="V428" i="37"/>
  <c r="U428" i="37"/>
  <c r="T428" i="37"/>
  <c r="S428" i="37"/>
  <c r="R428" i="37"/>
  <c r="Q428" i="37"/>
  <c r="P428" i="37"/>
  <c r="O428" i="37"/>
  <c r="N428" i="37"/>
  <c r="M428" i="37"/>
  <c r="L428" i="37"/>
  <c r="K428" i="37"/>
  <c r="J428" i="37"/>
  <c r="I428" i="37"/>
  <c r="H428" i="37"/>
  <c r="G428" i="37"/>
  <c r="F428" i="37"/>
  <c r="W427" i="37"/>
  <c r="V427" i="37"/>
  <c r="U427" i="37"/>
  <c r="T427" i="37"/>
  <c r="S427" i="37"/>
  <c r="R427" i="37"/>
  <c r="Q427" i="37"/>
  <c r="P427" i="37"/>
  <c r="O427" i="37"/>
  <c r="N427" i="37"/>
  <c r="M427" i="37"/>
  <c r="L427" i="37"/>
  <c r="K427" i="37"/>
  <c r="J427" i="37"/>
  <c r="I427" i="37"/>
  <c r="H427" i="37"/>
  <c r="G427" i="37"/>
  <c r="F427" i="37"/>
  <c r="W426" i="37"/>
  <c r="V426" i="37"/>
  <c r="U426" i="37"/>
  <c r="T426" i="37"/>
  <c r="S426" i="37"/>
  <c r="R426" i="37"/>
  <c r="Q426" i="37"/>
  <c r="P426" i="37"/>
  <c r="O426" i="37"/>
  <c r="N426" i="37"/>
  <c r="M426" i="37"/>
  <c r="L426" i="37"/>
  <c r="K426" i="37"/>
  <c r="J426" i="37"/>
  <c r="I426" i="37"/>
  <c r="H426" i="37"/>
  <c r="G426" i="37"/>
  <c r="F426" i="37"/>
  <c r="W425" i="37"/>
  <c r="V425" i="37"/>
  <c r="U425" i="37"/>
  <c r="T425" i="37"/>
  <c r="S425" i="37"/>
  <c r="R425" i="37"/>
  <c r="Q425" i="37"/>
  <c r="P425" i="37"/>
  <c r="O425" i="37"/>
  <c r="N425" i="37"/>
  <c r="M425" i="37"/>
  <c r="L425" i="37"/>
  <c r="K425" i="37"/>
  <c r="J425" i="37"/>
  <c r="I425" i="37"/>
  <c r="H425" i="37"/>
  <c r="G425" i="37"/>
  <c r="F425" i="37"/>
  <c r="W424" i="37"/>
  <c r="V424" i="37"/>
  <c r="U424" i="37"/>
  <c r="T424" i="37"/>
  <c r="S424" i="37"/>
  <c r="R424" i="37"/>
  <c r="Q424" i="37"/>
  <c r="P424" i="37"/>
  <c r="O424" i="37"/>
  <c r="N424" i="37"/>
  <c r="M424" i="37"/>
  <c r="L424" i="37"/>
  <c r="K424" i="37"/>
  <c r="J424" i="37"/>
  <c r="I424" i="37"/>
  <c r="H424" i="37"/>
  <c r="G424" i="37"/>
  <c r="F424" i="37"/>
  <c r="W423" i="37"/>
  <c r="V423" i="37"/>
  <c r="U423" i="37"/>
  <c r="T423" i="37"/>
  <c r="S423" i="37"/>
  <c r="R423" i="37"/>
  <c r="Q423" i="37"/>
  <c r="P423" i="37"/>
  <c r="O423" i="37"/>
  <c r="N423" i="37"/>
  <c r="M423" i="37"/>
  <c r="L423" i="37"/>
  <c r="K423" i="37"/>
  <c r="J423" i="37"/>
  <c r="I423" i="37"/>
  <c r="H423" i="37"/>
  <c r="G423" i="37"/>
  <c r="F423" i="37"/>
  <c r="W422" i="37"/>
  <c r="V422" i="37"/>
  <c r="U422" i="37"/>
  <c r="T422" i="37"/>
  <c r="S422" i="37"/>
  <c r="R422" i="37"/>
  <c r="Q422" i="37"/>
  <c r="P422" i="37"/>
  <c r="O422" i="37"/>
  <c r="N422" i="37"/>
  <c r="M422" i="37"/>
  <c r="L422" i="37"/>
  <c r="K422" i="37"/>
  <c r="J422" i="37"/>
  <c r="I422" i="37"/>
  <c r="H422" i="37"/>
  <c r="G422" i="37"/>
  <c r="F422" i="37"/>
  <c r="W443" i="37"/>
  <c r="V443" i="37"/>
  <c r="U443" i="37"/>
  <c r="T443" i="37"/>
  <c r="S443" i="37"/>
  <c r="R443" i="37"/>
  <c r="Q443" i="37"/>
  <c r="P443" i="37"/>
  <c r="O443" i="37"/>
  <c r="N443" i="37"/>
  <c r="M443" i="37"/>
  <c r="L443" i="37"/>
  <c r="K443" i="37"/>
  <c r="J443" i="37"/>
  <c r="I443" i="37"/>
  <c r="H443" i="37"/>
  <c r="G443" i="37"/>
  <c r="F443" i="37"/>
  <c r="W442" i="37"/>
  <c r="V442" i="37"/>
  <c r="U442" i="37"/>
  <c r="T442" i="37"/>
  <c r="S442" i="37"/>
  <c r="R442" i="37"/>
  <c r="Q442" i="37"/>
  <c r="P442" i="37"/>
  <c r="O442" i="37"/>
  <c r="N442" i="37"/>
  <c r="M442" i="37"/>
  <c r="L442" i="37"/>
  <c r="K442" i="37"/>
  <c r="J442" i="37"/>
  <c r="I442" i="37"/>
  <c r="H442" i="37"/>
  <c r="G442" i="37"/>
  <c r="F442" i="37"/>
  <c r="W441" i="37"/>
  <c r="V441" i="37"/>
  <c r="U441" i="37"/>
  <c r="T441" i="37"/>
  <c r="S441" i="37"/>
  <c r="R441" i="37"/>
  <c r="Q441" i="37"/>
  <c r="P441" i="37"/>
  <c r="O441" i="37"/>
  <c r="N441" i="37"/>
  <c r="M441" i="37"/>
  <c r="L441" i="37"/>
  <c r="K441" i="37"/>
  <c r="J441" i="37"/>
  <c r="I441" i="37"/>
  <c r="H441" i="37"/>
  <c r="G441" i="37"/>
  <c r="F441" i="37"/>
  <c r="W440" i="37"/>
  <c r="V440" i="37"/>
  <c r="U440" i="37"/>
  <c r="T440" i="37"/>
  <c r="S440" i="37"/>
  <c r="R440" i="37"/>
  <c r="Q440" i="37"/>
  <c r="P440" i="37"/>
  <c r="O440" i="37"/>
  <c r="N440" i="37"/>
  <c r="M440" i="37"/>
  <c r="L440" i="37"/>
  <c r="K440" i="37"/>
  <c r="J440" i="37"/>
  <c r="I440" i="37"/>
  <c r="H440" i="37"/>
  <c r="G440" i="37"/>
  <c r="F440" i="37"/>
  <c r="W439" i="37"/>
  <c r="V439" i="37"/>
  <c r="U439" i="37"/>
  <c r="T439" i="37"/>
  <c r="S439" i="37"/>
  <c r="R439" i="37"/>
  <c r="Q439" i="37"/>
  <c r="P439" i="37"/>
  <c r="O439" i="37"/>
  <c r="N439" i="37"/>
  <c r="M439" i="37"/>
  <c r="L439" i="37"/>
  <c r="K439" i="37"/>
  <c r="J439" i="37"/>
  <c r="I439" i="37"/>
  <c r="H439" i="37"/>
  <c r="G439" i="37"/>
  <c r="F439" i="37"/>
  <c r="W438" i="37"/>
  <c r="V438" i="37"/>
  <c r="U438" i="37"/>
  <c r="T438" i="37"/>
  <c r="S438" i="37"/>
  <c r="R438" i="37"/>
  <c r="Q438" i="37"/>
  <c r="P438" i="37"/>
  <c r="O438" i="37"/>
  <c r="N438" i="37"/>
  <c r="M438" i="37"/>
  <c r="L438" i="37"/>
  <c r="K438" i="37"/>
  <c r="J438" i="37"/>
  <c r="I438" i="37"/>
  <c r="H438" i="37"/>
  <c r="G438" i="37"/>
  <c r="F438" i="37"/>
  <c r="W437" i="37"/>
  <c r="V437" i="37"/>
  <c r="U437" i="37"/>
  <c r="T437" i="37"/>
  <c r="S437" i="37"/>
  <c r="R437" i="37"/>
  <c r="Q437" i="37"/>
  <c r="P437" i="37"/>
  <c r="O437" i="37"/>
  <c r="N437" i="37"/>
  <c r="M437" i="37"/>
  <c r="L437" i="37"/>
  <c r="K437" i="37"/>
  <c r="J437" i="37"/>
  <c r="I437" i="37"/>
  <c r="H437" i="37"/>
  <c r="G437" i="37"/>
  <c r="F437" i="37"/>
  <c r="W461" i="37"/>
  <c r="V461" i="37"/>
  <c r="U461" i="37"/>
  <c r="T461" i="37"/>
  <c r="S461" i="37"/>
  <c r="R461" i="37"/>
  <c r="Q461" i="37"/>
  <c r="P461" i="37"/>
  <c r="O461" i="37"/>
  <c r="N461" i="37"/>
  <c r="M461" i="37"/>
  <c r="L461" i="37"/>
  <c r="K461" i="37"/>
  <c r="J461" i="37"/>
  <c r="I461" i="37"/>
  <c r="H461" i="37"/>
  <c r="G461" i="37"/>
  <c r="F461" i="37"/>
  <c r="W460" i="37"/>
  <c r="V460" i="37"/>
  <c r="U460" i="37"/>
  <c r="T460" i="37"/>
  <c r="S460" i="37"/>
  <c r="R460" i="37"/>
  <c r="Q460" i="37"/>
  <c r="P460" i="37"/>
  <c r="O460" i="37"/>
  <c r="N460" i="37"/>
  <c r="M460" i="37"/>
  <c r="L460" i="37"/>
  <c r="K460" i="37"/>
  <c r="J460" i="37"/>
  <c r="I460" i="37"/>
  <c r="H460" i="37"/>
  <c r="G460" i="37"/>
  <c r="F460" i="37"/>
  <c r="W459" i="37"/>
  <c r="V459" i="37"/>
  <c r="U459" i="37"/>
  <c r="T459" i="37"/>
  <c r="S459" i="37"/>
  <c r="R459" i="37"/>
  <c r="Q459" i="37"/>
  <c r="P459" i="37"/>
  <c r="O459" i="37"/>
  <c r="N459" i="37"/>
  <c r="M459" i="37"/>
  <c r="L459" i="37"/>
  <c r="K459" i="37"/>
  <c r="J459" i="37"/>
  <c r="I459" i="37"/>
  <c r="H459" i="37"/>
  <c r="G459" i="37"/>
  <c r="F459" i="37"/>
  <c r="W458" i="37"/>
  <c r="V458" i="37"/>
  <c r="U458" i="37"/>
  <c r="T458" i="37"/>
  <c r="S458" i="37"/>
  <c r="R458" i="37"/>
  <c r="Q458" i="37"/>
  <c r="P458" i="37"/>
  <c r="O458" i="37"/>
  <c r="N458" i="37"/>
  <c r="M458" i="37"/>
  <c r="L458" i="37"/>
  <c r="K458" i="37"/>
  <c r="J458" i="37"/>
  <c r="I458" i="37"/>
  <c r="H458" i="37"/>
  <c r="G458" i="37"/>
  <c r="F458" i="37"/>
  <c r="W457" i="37"/>
  <c r="V457" i="37"/>
  <c r="U457" i="37"/>
  <c r="T457" i="37"/>
  <c r="S457" i="37"/>
  <c r="R457" i="37"/>
  <c r="Q457" i="37"/>
  <c r="P457" i="37"/>
  <c r="O457" i="37"/>
  <c r="N457" i="37"/>
  <c r="M457" i="37"/>
  <c r="L457" i="37"/>
  <c r="K457" i="37"/>
  <c r="J457" i="37"/>
  <c r="I457" i="37"/>
  <c r="H457" i="37"/>
  <c r="G457" i="37"/>
  <c r="F457" i="37"/>
  <c r="W456" i="37"/>
  <c r="V456" i="37"/>
  <c r="U456" i="37"/>
  <c r="T456" i="37"/>
  <c r="S456" i="37"/>
  <c r="R456" i="37"/>
  <c r="Q456" i="37"/>
  <c r="P456" i="37"/>
  <c r="O456" i="37"/>
  <c r="N456" i="37"/>
  <c r="M456" i="37"/>
  <c r="L456" i="37"/>
  <c r="K456" i="37"/>
  <c r="J456" i="37"/>
  <c r="I456" i="37"/>
  <c r="H456" i="37"/>
  <c r="G456" i="37"/>
  <c r="F456" i="37"/>
  <c r="W455" i="37"/>
  <c r="V455" i="37"/>
  <c r="U455" i="37"/>
  <c r="T455" i="37"/>
  <c r="S455" i="37"/>
  <c r="R455" i="37"/>
  <c r="Q455" i="37"/>
  <c r="P455" i="37"/>
  <c r="O455" i="37"/>
  <c r="N455" i="37"/>
  <c r="M455" i="37"/>
  <c r="L455" i="37"/>
  <c r="K455" i="37"/>
  <c r="J455" i="37"/>
  <c r="I455" i="37"/>
  <c r="H455" i="37"/>
  <c r="G455" i="37"/>
  <c r="F455" i="37"/>
  <c r="W454" i="37"/>
  <c r="V454" i="37"/>
  <c r="U454" i="37"/>
  <c r="T454" i="37"/>
  <c r="S454" i="37"/>
  <c r="R454" i="37"/>
  <c r="Q454" i="37"/>
  <c r="P454" i="37"/>
  <c r="O454" i="37"/>
  <c r="N454" i="37"/>
  <c r="M454" i="37"/>
  <c r="L454" i="37"/>
  <c r="K454" i="37"/>
  <c r="J454" i="37"/>
  <c r="I454" i="37"/>
  <c r="H454" i="37"/>
  <c r="G454" i="37"/>
  <c r="F454" i="37"/>
  <c r="W453" i="37"/>
  <c r="V453" i="37"/>
  <c r="U453" i="37"/>
  <c r="T453" i="37"/>
  <c r="S453" i="37"/>
  <c r="R453" i="37"/>
  <c r="Q453" i="37"/>
  <c r="P453" i="37"/>
  <c r="O453" i="37"/>
  <c r="N453" i="37"/>
  <c r="M453" i="37"/>
  <c r="L453" i="37"/>
  <c r="K453" i="37"/>
  <c r="J453" i="37"/>
  <c r="I453" i="37"/>
  <c r="H453" i="37"/>
  <c r="G453" i="37"/>
  <c r="F453" i="37"/>
  <c r="W452" i="37"/>
  <c r="V452" i="37"/>
  <c r="U452" i="37"/>
  <c r="T452" i="37"/>
  <c r="S452" i="37"/>
  <c r="R452" i="37"/>
  <c r="Q452" i="37"/>
  <c r="P452" i="37"/>
  <c r="O452" i="37"/>
  <c r="N452" i="37"/>
  <c r="M452" i="37"/>
  <c r="L452" i="37"/>
  <c r="K452" i="37"/>
  <c r="J452" i="37"/>
  <c r="I452" i="37"/>
  <c r="H452" i="37"/>
  <c r="G452" i="37"/>
  <c r="F452" i="37"/>
  <c r="W473" i="37"/>
  <c r="V473" i="37"/>
  <c r="U473" i="37"/>
  <c r="T473" i="37"/>
  <c r="S473" i="37"/>
  <c r="R473" i="37"/>
  <c r="Q473" i="37"/>
  <c r="P473" i="37"/>
  <c r="O473" i="37"/>
  <c r="N473" i="37"/>
  <c r="M473" i="37"/>
  <c r="L473" i="37"/>
  <c r="K473" i="37"/>
  <c r="J473" i="37"/>
  <c r="I473" i="37"/>
  <c r="H473" i="37"/>
  <c r="G473" i="37"/>
  <c r="F473" i="37"/>
  <c r="W472" i="37"/>
  <c r="V472" i="37"/>
  <c r="U472" i="37"/>
  <c r="T472" i="37"/>
  <c r="S472" i="37"/>
  <c r="R472" i="37"/>
  <c r="Q472" i="37"/>
  <c r="P472" i="37"/>
  <c r="O472" i="37"/>
  <c r="N472" i="37"/>
  <c r="M472" i="37"/>
  <c r="L472" i="37"/>
  <c r="K472" i="37"/>
  <c r="J472" i="37"/>
  <c r="I472" i="37"/>
  <c r="H472" i="37"/>
  <c r="G472" i="37"/>
  <c r="F472" i="37"/>
  <c r="W471" i="37"/>
  <c r="V471" i="37"/>
  <c r="U471" i="37"/>
  <c r="T471" i="37"/>
  <c r="S471" i="37"/>
  <c r="R471" i="37"/>
  <c r="Q471" i="37"/>
  <c r="P471" i="37"/>
  <c r="O471" i="37"/>
  <c r="N471" i="37"/>
  <c r="M471" i="37"/>
  <c r="L471" i="37"/>
  <c r="K471" i="37"/>
  <c r="J471" i="37"/>
  <c r="I471" i="37"/>
  <c r="H471" i="37"/>
  <c r="G471" i="37"/>
  <c r="F471" i="37"/>
  <c r="W470" i="37"/>
  <c r="V470" i="37"/>
  <c r="U470" i="37"/>
  <c r="T470" i="37"/>
  <c r="S470" i="37"/>
  <c r="R470" i="37"/>
  <c r="Q470" i="37"/>
  <c r="P470" i="37"/>
  <c r="O470" i="37"/>
  <c r="N470" i="37"/>
  <c r="M470" i="37"/>
  <c r="L470" i="37"/>
  <c r="K470" i="37"/>
  <c r="J470" i="37"/>
  <c r="I470" i="37"/>
  <c r="H470" i="37"/>
  <c r="G470" i="37"/>
  <c r="F470" i="37"/>
  <c r="W469" i="37"/>
  <c r="V469" i="37"/>
  <c r="U469" i="37"/>
  <c r="T469" i="37"/>
  <c r="S469" i="37"/>
  <c r="R469" i="37"/>
  <c r="Q469" i="37"/>
  <c r="P469" i="37"/>
  <c r="O469" i="37"/>
  <c r="N469" i="37"/>
  <c r="M469" i="37"/>
  <c r="L469" i="37"/>
  <c r="K469" i="37"/>
  <c r="J469" i="37"/>
  <c r="I469" i="37"/>
  <c r="H469" i="37"/>
  <c r="G469" i="37"/>
  <c r="F469" i="37"/>
  <c r="W468" i="37"/>
  <c r="V468" i="37"/>
  <c r="U468" i="37"/>
  <c r="T468" i="37"/>
  <c r="S468" i="37"/>
  <c r="R468" i="37"/>
  <c r="Q468" i="37"/>
  <c r="P468" i="37"/>
  <c r="O468" i="37"/>
  <c r="N468" i="37"/>
  <c r="M468" i="37"/>
  <c r="L468" i="37"/>
  <c r="K468" i="37"/>
  <c r="J468" i="37"/>
  <c r="I468" i="37"/>
  <c r="H468" i="37"/>
  <c r="G468" i="37"/>
  <c r="F468" i="37"/>
  <c r="W467" i="37"/>
  <c r="V467" i="37"/>
  <c r="U467" i="37"/>
  <c r="T467" i="37"/>
  <c r="S467" i="37"/>
  <c r="R467" i="37"/>
  <c r="Q467" i="37"/>
  <c r="P467" i="37"/>
  <c r="O467" i="37"/>
  <c r="N467" i="37"/>
  <c r="M467" i="37"/>
  <c r="L467" i="37"/>
  <c r="K467" i="37"/>
  <c r="J467" i="37"/>
  <c r="I467" i="37"/>
  <c r="H467" i="37"/>
  <c r="G467" i="37"/>
  <c r="F467" i="37"/>
  <c r="W487" i="37"/>
  <c r="V487" i="37"/>
  <c r="U487" i="37"/>
  <c r="T487" i="37"/>
  <c r="S487" i="37"/>
  <c r="R487" i="37"/>
  <c r="Q487" i="37"/>
  <c r="P487" i="37"/>
  <c r="O487" i="37"/>
  <c r="N487" i="37"/>
  <c r="M487" i="37"/>
  <c r="L487" i="37"/>
  <c r="K487" i="37"/>
  <c r="J487" i="37"/>
  <c r="I487" i="37"/>
  <c r="H487" i="37"/>
  <c r="G487" i="37"/>
  <c r="F487" i="37"/>
  <c r="W486" i="37"/>
  <c r="V486" i="37"/>
  <c r="U486" i="37"/>
  <c r="T486" i="37"/>
  <c r="S486" i="37"/>
  <c r="R486" i="37"/>
  <c r="Q486" i="37"/>
  <c r="P486" i="37"/>
  <c r="O486" i="37"/>
  <c r="N486" i="37"/>
  <c r="M486" i="37"/>
  <c r="L486" i="37"/>
  <c r="K486" i="37"/>
  <c r="J486" i="37"/>
  <c r="I486" i="37"/>
  <c r="H486" i="37"/>
  <c r="G486" i="37"/>
  <c r="F486" i="37"/>
  <c r="W485" i="37"/>
  <c r="V485" i="37"/>
  <c r="U485" i="37"/>
  <c r="T485" i="37"/>
  <c r="S485" i="37"/>
  <c r="R485" i="37"/>
  <c r="Q485" i="37"/>
  <c r="P485" i="37"/>
  <c r="O485" i="37"/>
  <c r="N485" i="37"/>
  <c r="M485" i="37"/>
  <c r="L485" i="37"/>
  <c r="K485" i="37"/>
  <c r="J485" i="37"/>
  <c r="I485" i="37"/>
  <c r="H485" i="37"/>
  <c r="G485" i="37"/>
  <c r="F485" i="37"/>
  <c r="W484" i="37"/>
  <c r="V484" i="37"/>
  <c r="U484" i="37"/>
  <c r="T484" i="37"/>
  <c r="S484" i="37"/>
  <c r="R484" i="37"/>
  <c r="Q484" i="37"/>
  <c r="P484" i="37"/>
  <c r="O484" i="37"/>
  <c r="N484" i="37"/>
  <c r="M484" i="37"/>
  <c r="L484" i="37"/>
  <c r="K484" i="37"/>
  <c r="J484" i="37"/>
  <c r="I484" i="37"/>
  <c r="H484" i="37"/>
  <c r="G484" i="37"/>
  <c r="F484" i="37"/>
  <c r="W483" i="37"/>
  <c r="V483" i="37"/>
  <c r="U483" i="37"/>
  <c r="T483" i="37"/>
  <c r="S483" i="37"/>
  <c r="R483" i="37"/>
  <c r="Q483" i="37"/>
  <c r="P483" i="37"/>
  <c r="O483" i="37"/>
  <c r="N483" i="37"/>
  <c r="M483" i="37"/>
  <c r="L483" i="37"/>
  <c r="K483" i="37"/>
  <c r="J483" i="37"/>
  <c r="I483" i="37"/>
  <c r="H483" i="37"/>
  <c r="G483" i="37"/>
  <c r="F483" i="37"/>
  <c r="W482" i="37"/>
  <c r="V482" i="37"/>
  <c r="U482" i="37"/>
  <c r="T482" i="37"/>
  <c r="S482" i="37"/>
  <c r="R482" i="37"/>
  <c r="Q482" i="37"/>
  <c r="P482" i="37"/>
  <c r="O482" i="37"/>
  <c r="N482" i="37"/>
  <c r="M482" i="37"/>
  <c r="L482" i="37"/>
  <c r="K482" i="37"/>
  <c r="J482" i="37"/>
  <c r="I482" i="37"/>
  <c r="H482" i="37"/>
  <c r="G482" i="37"/>
  <c r="F482" i="37"/>
  <c r="W506" i="37"/>
  <c r="V506" i="37"/>
  <c r="U506" i="37"/>
  <c r="T506" i="37"/>
  <c r="S506" i="37"/>
  <c r="R506" i="37"/>
  <c r="Q506" i="37"/>
  <c r="P506" i="37"/>
  <c r="O506" i="37"/>
  <c r="N506" i="37"/>
  <c r="M506" i="37"/>
  <c r="L506" i="37"/>
  <c r="K506" i="37"/>
  <c r="J506" i="37"/>
  <c r="I506" i="37"/>
  <c r="H506" i="37"/>
  <c r="G506" i="37"/>
  <c r="F506" i="37"/>
  <c r="W505" i="37"/>
  <c r="V505" i="37"/>
  <c r="U505" i="37"/>
  <c r="T505" i="37"/>
  <c r="S505" i="37"/>
  <c r="R505" i="37"/>
  <c r="Q505" i="37"/>
  <c r="P505" i="37"/>
  <c r="O505" i="37"/>
  <c r="N505" i="37"/>
  <c r="M505" i="37"/>
  <c r="L505" i="37"/>
  <c r="K505" i="37"/>
  <c r="J505" i="37"/>
  <c r="I505" i="37"/>
  <c r="H505" i="37"/>
  <c r="G505" i="37"/>
  <c r="F505" i="37"/>
  <c r="W504" i="37"/>
  <c r="V504" i="37"/>
  <c r="U504" i="37"/>
  <c r="T504" i="37"/>
  <c r="S504" i="37"/>
  <c r="R504" i="37"/>
  <c r="Q504" i="37"/>
  <c r="P504" i="37"/>
  <c r="O504" i="37"/>
  <c r="N504" i="37"/>
  <c r="M504" i="37"/>
  <c r="L504" i="37"/>
  <c r="K504" i="37"/>
  <c r="J504" i="37"/>
  <c r="I504" i="37"/>
  <c r="H504" i="37"/>
  <c r="G504" i="37"/>
  <c r="F504" i="37"/>
  <c r="W503" i="37"/>
  <c r="V503" i="37"/>
  <c r="U503" i="37"/>
  <c r="T503" i="37"/>
  <c r="S503" i="37"/>
  <c r="R503" i="37"/>
  <c r="Q503" i="37"/>
  <c r="P503" i="37"/>
  <c r="O503" i="37"/>
  <c r="N503" i="37"/>
  <c r="M503" i="37"/>
  <c r="L503" i="37"/>
  <c r="K503" i="37"/>
  <c r="J503" i="37"/>
  <c r="I503" i="37"/>
  <c r="H503" i="37"/>
  <c r="G503" i="37"/>
  <c r="F503" i="37"/>
  <c r="W502" i="37"/>
  <c r="V502" i="37"/>
  <c r="U502" i="37"/>
  <c r="T502" i="37"/>
  <c r="S502" i="37"/>
  <c r="R502" i="37"/>
  <c r="Q502" i="37"/>
  <c r="P502" i="37"/>
  <c r="O502" i="37"/>
  <c r="N502" i="37"/>
  <c r="M502" i="37"/>
  <c r="L502" i="37"/>
  <c r="K502" i="37"/>
  <c r="J502" i="37"/>
  <c r="I502" i="37"/>
  <c r="H502" i="37"/>
  <c r="G502" i="37"/>
  <c r="F502" i="37"/>
  <c r="W501" i="37"/>
  <c r="V501" i="37"/>
  <c r="U501" i="37"/>
  <c r="T501" i="37"/>
  <c r="S501" i="37"/>
  <c r="R501" i="37"/>
  <c r="Q501" i="37"/>
  <c r="P501" i="37"/>
  <c r="O501" i="37"/>
  <c r="N501" i="37"/>
  <c r="M501" i="37"/>
  <c r="L501" i="37"/>
  <c r="K501" i="37"/>
  <c r="J501" i="37"/>
  <c r="I501" i="37"/>
  <c r="H501" i="37"/>
  <c r="G501" i="37"/>
  <c r="F501" i="37"/>
  <c r="W500" i="37"/>
  <c r="V500" i="37"/>
  <c r="U500" i="37"/>
  <c r="T500" i="37"/>
  <c r="S500" i="37"/>
  <c r="R500" i="37"/>
  <c r="Q500" i="37"/>
  <c r="P500" i="37"/>
  <c r="O500" i="37"/>
  <c r="N500" i="37"/>
  <c r="M500" i="37"/>
  <c r="L500" i="37"/>
  <c r="K500" i="37"/>
  <c r="J500" i="37"/>
  <c r="I500" i="37"/>
  <c r="H500" i="37"/>
  <c r="G500" i="37"/>
  <c r="F500" i="37"/>
  <c r="W499" i="37"/>
  <c r="V499" i="37"/>
  <c r="U499" i="37"/>
  <c r="T499" i="37"/>
  <c r="S499" i="37"/>
  <c r="R499" i="37"/>
  <c r="Q499" i="37"/>
  <c r="P499" i="37"/>
  <c r="O499" i="37"/>
  <c r="N499" i="37"/>
  <c r="M499" i="37"/>
  <c r="L499" i="37"/>
  <c r="K499" i="37"/>
  <c r="J499" i="37"/>
  <c r="I499" i="37"/>
  <c r="H499" i="37"/>
  <c r="G499" i="37"/>
  <c r="F499" i="37"/>
  <c r="W498" i="37"/>
  <c r="V498" i="37"/>
  <c r="U498" i="37"/>
  <c r="T498" i="37"/>
  <c r="S498" i="37"/>
  <c r="R498" i="37"/>
  <c r="Q498" i="37"/>
  <c r="P498" i="37"/>
  <c r="O498" i="37"/>
  <c r="N498" i="37"/>
  <c r="M498" i="37"/>
  <c r="L498" i="37"/>
  <c r="K498" i="37"/>
  <c r="J498" i="37"/>
  <c r="I498" i="37"/>
  <c r="H498" i="37"/>
  <c r="G498" i="37"/>
  <c r="F498" i="37"/>
  <c r="W497" i="37"/>
  <c r="V497" i="37"/>
  <c r="U497" i="37"/>
  <c r="T497" i="37"/>
  <c r="S497" i="37"/>
  <c r="R497" i="37"/>
  <c r="Q497" i="37"/>
  <c r="P497" i="37"/>
  <c r="O497" i="37"/>
  <c r="N497" i="37"/>
  <c r="M497" i="37"/>
  <c r="L497" i="37"/>
  <c r="K497" i="37"/>
  <c r="J497" i="37"/>
  <c r="I497" i="37"/>
  <c r="H497" i="37"/>
  <c r="G497" i="37"/>
  <c r="F497" i="37"/>
  <c r="W519" i="37"/>
  <c r="V519" i="37"/>
  <c r="U519" i="37"/>
  <c r="T519" i="37"/>
  <c r="S519" i="37"/>
  <c r="R519" i="37"/>
  <c r="Q519" i="37"/>
  <c r="P519" i="37"/>
  <c r="O519" i="37"/>
  <c r="N519" i="37"/>
  <c r="M519" i="37"/>
  <c r="L519" i="37"/>
  <c r="K519" i="37"/>
  <c r="J519" i="37"/>
  <c r="I519" i="37"/>
  <c r="H519" i="37"/>
  <c r="G519" i="37"/>
  <c r="F519" i="37"/>
  <c r="W518" i="37"/>
  <c r="V518" i="37"/>
  <c r="U518" i="37"/>
  <c r="T518" i="37"/>
  <c r="S518" i="37"/>
  <c r="R518" i="37"/>
  <c r="Q518" i="37"/>
  <c r="P518" i="37"/>
  <c r="O518" i="37"/>
  <c r="N518" i="37"/>
  <c r="M518" i="37"/>
  <c r="L518" i="37"/>
  <c r="K518" i="37"/>
  <c r="J518" i="37"/>
  <c r="I518" i="37"/>
  <c r="H518" i="37"/>
  <c r="G518" i="37"/>
  <c r="F518" i="37"/>
  <c r="W517" i="37"/>
  <c r="V517" i="37"/>
  <c r="U517" i="37"/>
  <c r="T517" i="37"/>
  <c r="S517" i="37"/>
  <c r="R517" i="37"/>
  <c r="Q517" i="37"/>
  <c r="P517" i="37"/>
  <c r="O517" i="37"/>
  <c r="N517" i="37"/>
  <c r="M517" i="37"/>
  <c r="L517" i="37"/>
  <c r="K517" i="37"/>
  <c r="J517" i="37"/>
  <c r="I517" i="37"/>
  <c r="H517" i="37"/>
  <c r="G517" i="37"/>
  <c r="F517" i="37"/>
  <c r="W516" i="37"/>
  <c r="V516" i="37"/>
  <c r="U516" i="37"/>
  <c r="T516" i="37"/>
  <c r="S516" i="37"/>
  <c r="R516" i="37"/>
  <c r="Q516" i="37"/>
  <c r="P516" i="37"/>
  <c r="O516" i="37"/>
  <c r="N516" i="37"/>
  <c r="M516" i="37"/>
  <c r="L516" i="37"/>
  <c r="K516" i="37"/>
  <c r="J516" i="37"/>
  <c r="I516" i="37"/>
  <c r="H516" i="37"/>
  <c r="G516" i="37"/>
  <c r="F516" i="37"/>
  <c r="W515" i="37"/>
  <c r="V515" i="37"/>
  <c r="U515" i="37"/>
  <c r="T515" i="37"/>
  <c r="S515" i="37"/>
  <c r="R515" i="37"/>
  <c r="Q515" i="37"/>
  <c r="P515" i="37"/>
  <c r="O515" i="37"/>
  <c r="N515" i="37"/>
  <c r="M515" i="37"/>
  <c r="L515" i="37"/>
  <c r="K515" i="37"/>
  <c r="J515" i="37"/>
  <c r="I515" i="37"/>
  <c r="H515" i="37"/>
  <c r="G515" i="37"/>
  <c r="F515" i="37"/>
  <c r="W514" i="37"/>
  <c r="V514" i="37"/>
  <c r="U514" i="37"/>
  <c r="T514" i="37"/>
  <c r="S514" i="37"/>
  <c r="R514" i="37"/>
  <c r="Q514" i="37"/>
  <c r="P514" i="37"/>
  <c r="O514" i="37"/>
  <c r="N514" i="37"/>
  <c r="M514" i="37"/>
  <c r="L514" i="37"/>
  <c r="K514" i="37"/>
  <c r="J514" i="37"/>
  <c r="I514" i="37"/>
  <c r="H514" i="37"/>
  <c r="G514" i="37"/>
  <c r="F514" i="37"/>
  <c r="W513" i="37"/>
  <c r="V513" i="37"/>
  <c r="U513" i="37"/>
  <c r="T513" i="37"/>
  <c r="S513" i="37"/>
  <c r="R513" i="37"/>
  <c r="Q513" i="37"/>
  <c r="P513" i="37"/>
  <c r="O513" i="37"/>
  <c r="N513" i="37"/>
  <c r="M513" i="37"/>
  <c r="L513" i="37"/>
  <c r="K513" i="37"/>
  <c r="J513" i="37"/>
  <c r="I513" i="37"/>
  <c r="H513" i="37"/>
  <c r="G513" i="37"/>
  <c r="F513" i="37"/>
  <c r="W512" i="37"/>
  <c r="V512" i="37"/>
  <c r="U512" i="37"/>
  <c r="T512" i="37"/>
  <c r="S512" i="37"/>
  <c r="R512" i="37"/>
  <c r="Q512" i="37"/>
  <c r="P512" i="37"/>
  <c r="O512" i="37"/>
  <c r="N512" i="37"/>
  <c r="M512" i="37"/>
  <c r="L512" i="37"/>
  <c r="K512" i="37"/>
  <c r="J512" i="37"/>
  <c r="I512" i="37"/>
  <c r="H512" i="37"/>
  <c r="G512" i="37"/>
  <c r="F512" i="37"/>
  <c r="W531" i="37"/>
  <c r="V531" i="37"/>
  <c r="U531" i="37"/>
  <c r="T531" i="37"/>
  <c r="S531" i="37"/>
  <c r="R531" i="37"/>
  <c r="Q531" i="37"/>
  <c r="P531" i="37"/>
  <c r="O531" i="37"/>
  <c r="N531" i="37"/>
  <c r="M531" i="37"/>
  <c r="L531" i="37"/>
  <c r="K531" i="37"/>
  <c r="J531" i="37"/>
  <c r="I531" i="37"/>
  <c r="H531" i="37"/>
  <c r="G531" i="37"/>
  <c r="F531" i="37"/>
  <c r="W530" i="37"/>
  <c r="V530" i="37"/>
  <c r="U530" i="37"/>
  <c r="T530" i="37"/>
  <c r="S530" i="37"/>
  <c r="R530" i="37"/>
  <c r="Q530" i="37"/>
  <c r="P530" i="37"/>
  <c r="O530" i="37"/>
  <c r="N530" i="37"/>
  <c r="M530" i="37"/>
  <c r="L530" i="37"/>
  <c r="K530" i="37"/>
  <c r="J530" i="37"/>
  <c r="I530" i="37"/>
  <c r="H530" i="37"/>
  <c r="G530" i="37"/>
  <c r="F530" i="37"/>
  <c r="W529" i="37"/>
  <c r="V529" i="37"/>
  <c r="U529" i="37"/>
  <c r="T529" i="37"/>
  <c r="S529" i="37"/>
  <c r="R529" i="37"/>
  <c r="Q529" i="37"/>
  <c r="P529" i="37"/>
  <c r="O529" i="37"/>
  <c r="N529" i="37"/>
  <c r="M529" i="37"/>
  <c r="L529" i="37"/>
  <c r="K529" i="37"/>
  <c r="J529" i="37"/>
  <c r="I529" i="37"/>
  <c r="H529" i="37"/>
  <c r="G529" i="37"/>
  <c r="F529" i="37"/>
  <c r="W528" i="37"/>
  <c r="V528" i="37"/>
  <c r="U528" i="37"/>
  <c r="T528" i="37"/>
  <c r="S528" i="37"/>
  <c r="R528" i="37"/>
  <c r="Q528" i="37"/>
  <c r="P528" i="37"/>
  <c r="O528" i="37"/>
  <c r="N528" i="37"/>
  <c r="M528" i="37"/>
  <c r="L528" i="37"/>
  <c r="K528" i="37"/>
  <c r="J528" i="37"/>
  <c r="I528" i="37"/>
  <c r="H528" i="37"/>
  <c r="G528" i="37"/>
  <c r="F528" i="37"/>
  <c r="W527" i="37"/>
  <c r="V527" i="37"/>
  <c r="U527" i="37"/>
  <c r="T527" i="37"/>
  <c r="S527" i="37"/>
  <c r="R527" i="37"/>
  <c r="Q527" i="37"/>
  <c r="P527" i="37"/>
  <c r="O527" i="37"/>
  <c r="N527" i="37"/>
  <c r="M527" i="37"/>
  <c r="L527" i="37"/>
  <c r="K527" i="37"/>
  <c r="J527" i="37"/>
  <c r="I527" i="37"/>
  <c r="H527" i="37"/>
  <c r="G527" i="37"/>
  <c r="F527" i="37"/>
  <c r="W550" i="37"/>
  <c r="V550" i="37"/>
  <c r="U550" i="37"/>
  <c r="T550" i="37"/>
  <c r="S550" i="37"/>
  <c r="R550" i="37"/>
  <c r="Q550" i="37"/>
  <c r="P550" i="37"/>
  <c r="O550" i="37"/>
  <c r="N550" i="37"/>
  <c r="M550" i="37"/>
  <c r="L550" i="37"/>
  <c r="K550" i="37"/>
  <c r="J550" i="37"/>
  <c r="I550" i="37"/>
  <c r="H550" i="37"/>
  <c r="G550" i="37"/>
  <c r="F550" i="37"/>
  <c r="W549" i="37"/>
  <c r="V549" i="37"/>
  <c r="U549" i="37"/>
  <c r="T549" i="37"/>
  <c r="S549" i="37"/>
  <c r="R549" i="37"/>
  <c r="Q549" i="37"/>
  <c r="P549" i="37"/>
  <c r="O549" i="37"/>
  <c r="N549" i="37"/>
  <c r="M549" i="37"/>
  <c r="L549" i="37"/>
  <c r="K549" i="37"/>
  <c r="J549" i="37"/>
  <c r="I549" i="37"/>
  <c r="H549" i="37"/>
  <c r="G549" i="37"/>
  <c r="F549" i="37"/>
  <c r="W548" i="37"/>
  <c r="V548" i="37"/>
  <c r="U548" i="37"/>
  <c r="T548" i="37"/>
  <c r="S548" i="37"/>
  <c r="R548" i="37"/>
  <c r="Q548" i="37"/>
  <c r="P548" i="37"/>
  <c r="O548" i="37"/>
  <c r="N548" i="37"/>
  <c r="M548" i="37"/>
  <c r="L548" i="37"/>
  <c r="K548" i="37"/>
  <c r="J548" i="37"/>
  <c r="I548" i="37"/>
  <c r="H548" i="37"/>
  <c r="G548" i="37"/>
  <c r="F548" i="37"/>
  <c r="W547" i="37"/>
  <c r="V547" i="37"/>
  <c r="U547" i="37"/>
  <c r="T547" i="37"/>
  <c r="S547" i="37"/>
  <c r="R547" i="37"/>
  <c r="Q547" i="37"/>
  <c r="P547" i="37"/>
  <c r="O547" i="37"/>
  <c r="N547" i="37"/>
  <c r="M547" i="37"/>
  <c r="L547" i="37"/>
  <c r="K547" i="37"/>
  <c r="J547" i="37"/>
  <c r="I547" i="37"/>
  <c r="H547" i="37"/>
  <c r="G547" i="37"/>
  <c r="F547" i="37"/>
  <c r="W546" i="37"/>
  <c r="V546" i="37"/>
  <c r="U546" i="37"/>
  <c r="T546" i="37"/>
  <c r="S546" i="37"/>
  <c r="R546" i="37"/>
  <c r="Q546" i="37"/>
  <c r="P546" i="37"/>
  <c r="O546" i="37"/>
  <c r="N546" i="37"/>
  <c r="M546" i="37"/>
  <c r="L546" i="37"/>
  <c r="K546" i="37"/>
  <c r="J546" i="37"/>
  <c r="I546" i="37"/>
  <c r="H546" i="37"/>
  <c r="G546" i="37"/>
  <c r="F546" i="37"/>
  <c r="W545" i="37"/>
  <c r="V545" i="37"/>
  <c r="U545" i="37"/>
  <c r="T545" i="37"/>
  <c r="S545" i="37"/>
  <c r="R545" i="37"/>
  <c r="Q545" i="37"/>
  <c r="P545" i="37"/>
  <c r="O545" i="37"/>
  <c r="N545" i="37"/>
  <c r="M545" i="37"/>
  <c r="L545" i="37"/>
  <c r="K545" i="37"/>
  <c r="J545" i="37"/>
  <c r="I545" i="37"/>
  <c r="H545" i="37"/>
  <c r="G545" i="37"/>
  <c r="F545" i="37"/>
  <c r="W544" i="37"/>
  <c r="V544" i="37"/>
  <c r="U544" i="37"/>
  <c r="T544" i="37"/>
  <c r="S544" i="37"/>
  <c r="R544" i="37"/>
  <c r="Q544" i="37"/>
  <c r="P544" i="37"/>
  <c r="O544" i="37"/>
  <c r="N544" i="37"/>
  <c r="M544" i="37"/>
  <c r="L544" i="37"/>
  <c r="K544" i="37"/>
  <c r="J544" i="37"/>
  <c r="I544" i="37"/>
  <c r="H544" i="37"/>
  <c r="G544" i="37"/>
  <c r="F544" i="37"/>
  <c r="W543" i="37"/>
  <c r="V543" i="37"/>
  <c r="U543" i="37"/>
  <c r="T543" i="37"/>
  <c r="S543" i="37"/>
  <c r="R543" i="37"/>
  <c r="Q543" i="37"/>
  <c r="P543" i="37"/>
  <c r="O543" i="37"/>
  <c r="N543" i="37"/>
  <c r="M543" i="37"/>
  <c r="L543" i="37"/>
  <c r="K543" i="37"/>
  <c r="J543" i="37"/>
  <c r="I543" i="37"/>
  <c r="H543" i="37"/>
  <c r="G543" i="37"/>
  <c r="F543" i="37"/>
  <c r="W542" i="37"/>
  <c r="V542" i="37"/>
  <c r="U542" i="37"/>
  <c r="T542" i="37"/>
  <c r="S542" i="37"/>
  <c r="R542" i="37"/>
  <c r="Q542" i="37"/>
  <c r="P542" i="37"/>
  <c r="O542" i="37"/>
  <c r="N542" i="37"/>
  <c r="M542" i="37"/>
  <c r="L542" i="37"/>
  <c r="K542" i="37"/>
  <c r="J542" i="37"/>
  <c r="I542" i="37"/>
  <c r="H542" i="37"/>
  <c r="G542" i="37"/>
  <c r="F542" i="37"/>
  <c r="W562" i="37"/>
  <c r="V562" i="37"/>
  <c r="U562" i="37"/>
  <c r="T562" i="37"/>
  <c r="S562" i="37"/>
  <c r="R562" i="37"/>
  <c r="Q562" i="37"/>
  <c r="P562" i="37"/>
  <c r="O562" i="37"/>
  <c r="N562" i="37"/>
  <c r="M562" i="37"/>
  <c r="L562" i="37"/>
  <c r="K562" i="37"/>
  <c r="J562" i="37"/>
  <c r="I562" i="37"/>
  <c r="H562" i="37"/>
  <c r="G562" i="37"/>
  <c r="F562" i="37"/>
  <c r="W561" i="37"/>
  <c r="V561" i="37"/>
  <c r="U561" i="37"/>
  <c r="T561" i="37"/>
  <c r="S561" i="37"/>
  <c r="R561" i="37"/>
  <c r="Q561" i="37"/>
  <c r="P561" i="37"/>
  <c r="O561" i="37"/>
  <c r="N561" i="37"/>
  <c r="M561" i="37"/>
  <c r="L561" i="37"/>
  <c r="K561" i="37"/>
  <c r="J561" i="37"/>
  <c r="I561" i="37"/>
  <c r="H561" i="37"/>
  <c r="G561" i="37"/>
  <c r="F561" i="37"/>
  <c r="W560" i="37"/>
  <c r="V560" i="37"/>
  <c r="U560" i="37"/>
  <c r="T560" i="37"/>
  <c r="S560" i="37"/>
  <c r="R560" i="37"/>
  <c r="Q560" i="37"/>
  <c r="P560" i="37"/>
  <c r="O560" i="37"/>
  <c r="N560" i="37"/>
  <c r="M560" i="37"/>
  <c r="L560" i="37"/>
  <c r="K560" i="37"/>
  <c r="J560" i="37"/>
  <c r="I560" i="37"/>
  <c r="H560" i="37"/>
  <c r="G560" i="37"/>
  <c r="F560" i="37"/>
  <c r="W559" i="37"/>
  <c r="V559" i="37"/>
  <c r="U559" i="37"/>
  <c r="T559" i="37"/>
  <c r="S559" i="37"/>
  <c r="R559" i="37"/>
  <c r="Q559" i="37"/>
  <c r="P559" i="37"/>
  <c r="O559" i="37"/>
  <c r="N559" i="37"/>
  <c r="M559" i="37"/>
  <c r="L559" i="37"/>
  <c r="K559" i="37"/>
  <c r="J559" i="37"/>
  <c r="I559" i="37"/>
  <c r="H559" i="37"/>
  <c r="G559" i="37"/>
  <c r="F559" i="37"/>
  <c r="W558" i="37"/>
  <c r="V558" i="37"/>
  <c r="U558" i="37"/>
  <c r="T558" i="37"/>
  <c r="S558" i="37"/>
  <c r="R558" i="37"/>
  <c r="Q558" i="37"/>
  <c r="P558" i="37"/>
  <c r="O558" i="37"/>
  <c r="N558" i="37"/>
  <c r="M558" i="37"/>
  <c r="L558" i="37"/>
  <c r="K558" i="37"/>
  <c r="J558" i="37"/>
  <c r="I558" i="37"/>
  <c r="H558" i="37"/>
  <c r="G558" i="37"/>
  <c r="F558" i="37"/>
  <c r="W557" i="37"/>
  <c r="V557" i="37"/>
  <c r="U557" i="37"/>
  <c r="T557" i="37"/>
  <c r="S557" i="37"/>
  <c r="R557" i="37"/>
  <c r="Q557" i="37"/>
  <c r="P557" i="37"/>
  <c r="O557" i="37"/>
  <c r="N557" i="37"/>
  <c r="M557" i="37"/>
  <c r="L557" i="37"/>
  <c r="K557" i="37"/>
  <c r="J557" i="37"/>
  <c r="I557" i="37"/>
  <c r="H557" i="37"/>
  <c r="G557" i="37"/>
  <c r="F557" i="37"/>
  <c r="W578" i="37"/>
  <c r="V578" i="37"/>
  <c r="U578" i="37"/>
  <c r="T578" i="37"/>
  <c r="S578" i="37"/>
  <c r="R578" i="37"/>
  <c r="Q578" i="37"/>
  <c r="P578" i="37"/>
  <c r="O578" i="37"/>
  <c r="N578" i="37"/>
  <c r="M578" i="37"/>
  <c r="L578" i="37"/>
  <c r="K578" i="37"/>
  <c r="J578" i="37"/>
  <c r="I578" i="37"/>
  <c r="H578" i="37"/>
  <c r="G578" i="37"/>
  <c r="F578" i="37"/>
  <c r="W577" i="37"/>
  <c r="V577" i="37"/>
  <c r="U577" i="37"/>
  <c r="T577" i="37"/>
  <c r="S577" i="37"/>
  <c r="R577" i="37"/>
  <c r="Q577" i="37"/>
  <c r="P577" i="37"/>
  <c r="O577" i="37"/>
  <c r="N577" i="37"/>
  <c r="M577" i="37"/>
  <c r="L577" i="37"/>
  <c r="K577" i="37"/>
  <c r="J577" i="37"/>
  <c r="I577" i="37"/>
  <c r="H577" i="37"/>
  <c r="G577" i="37"/>
  <c r="F577" i="37"/>
  <c r="W576" i="37"/>
  <c r="V576" i="37"/>
  <c r="U576" i="37"/>
  <c r="T576" i="37"/>
  <c r="S576" i="37"/>
  <c r="R576" i="37"/>
  <c r="Q576" i="37"/>
  <c r="P576" i="37"/>
  <c r="O576" i="37"/>
  <c r="N576" i="37"/>
  <c r="M576" i="37"/>
  <c r="L576" i="37"/>
  <c r="K576" i="37"/>
  <c r="J576" i="37"/>
  <c r="I576" i="37"/>
  <c r="H576" i="37"/>
  <c r="G576" i="37"/>
  <c r="F576" i="37"/>
  <c r="W575" i="37"/>
  <c r="V575" i="37"/>
  <c r="U575" i="37"/>
  <c r="T575" i="37"/>
  <c r="S575" i="37"/>
  <c r="R575" i="37"/>
  <c r="Q575" i="37"/>
  <c r="P575" i="37"/>
  <c r="O575" i="37"/>
  <c r="N575" i="37"/>
  <c r="M575" i="37"/>
  <c r="L575" i="37"/>
  <c r="K575" i="37"/>
  <c r="J575" i="37"/>
  <c r="I575" i="37"/>
  <c r="H575" i="37"/>
  <c r="G575" i="37"/>
  <c r="F575" i="37"/>
  <c r="W574" i="37"/>
  <c r="V574" i="37"/>
  <c r="U574" i="37"/>
  <c r="T574" i="37"/>
  <c r="S574" i="37"/>
  <c r="R574" i="37"/>
  <c r="Q574" i="37"/>
  <c r="P574" i="37"/>
  <c r="O574" i="37"/>
  <c r="N574" i="37"/>
  <c r="M574" i="37"/>
  <c r="L574" i="37"/>
  <c r="K574" i="37"/>
  <c r="J574" i="37"/>
  <c r="I574" i="37"/>
  <c r="H574" i="37"/>
  <c r="G574" i="37"/>
  <c r="F574" i="37"/>
  <c r="W573" i="37"/>
  <c r="V573" i="37"/>
  <c r="U573" i="37"/>
  <c r="T573" i="37"/>
  <c r="S573" i="37"/>
  <c r="R573" i="37"/>
  <c r="Q573" i="37"/>
  <c r="P573" i="37"/>
  <c r="O573" i="37"/>
  <c r="N573" i="37"/>
  <c r="M573" i="37"/>
  <c r="L573" i="37"/>
  <c r="K573" i="37"/>
  <c r="J573" i="37"/>
  <c r="I573" i="37"/>
  <c r="H573" i="37"/>
  <c r="G573" i="37"/>
  <c r="F573" i="37"/>
  <c r="W572" i="37"/>
  <c r="V572" i="37"/>
  <c r="U572" i="37"/>
  <c r="T572" i="37"/>
  <c r="S572" i="37"/>
  <c r="R572" i="37"/>
  <c r="Q572" i="37"/>
  <c r="P572" i="37"/>
  <c r="O572" i="37"/>
  <c r="N572" i="37"/>
  <c r="M572" i="37"/>
  <c r="L572" i="37"/>
  <c r="K572" i="37"/>
  <c r="J572" i="37"/>
  <c r="I572" i="37"/>
  <c r="H572" i="37"/>
  <c r="G572" i="37"/>
  <c r="F572" i="37"/>
  <c r="W593" i="37"/>
  <c r="V593" i="37"/>
  <c r="U593" i="37"/>
  <c r="T593" i="37"/>
  <c r="S593" i="37"/>
  <c r="R593" i="37"/>
  <c r="Q593" i="37"/>
  <c r="P593" i="37"/>
  <c r="O593" i="37"/>
  <c r="N593" i="37"/>
  <c r="M593" i="37"/>
  <c r="L593" i="37"/>
  <c r="K593" i="37"/>
  <c r="J593" i="37"/>
  <c r="I593" i="37"/>
  <c r="H593" i="37"/>
  <c r="G593" i="37"/>
  <c r="F593" i="37"/>
  <c r="W592" i="37"/>
  <c r="V592" i="37"/>
  <c r="U592" i="37"/>
  <c r="T592" i="37"/>
  <c r="S592" i="37"/>
  <c r="R592" i="37"/>
  <c r="Q592" i="37"/>
  <c r="P592" i="37"/>
  <c r="O592" i="37"/>
  <c r="N592" i="37"/>
  <c r="M592" i="37"/>
  <c r="L592" i="37"/>
  <c r="K592" i="37"/>
  <c r="J592" i="37"/>
  <c r="I592" i="37"/>
  <c r="H592" i="37"/>
  <c r="G592" i="37"/>
  <c r="F592" i="37"/>
  <c r="W591" i="37"/>
  <c r="V591" i="37"/>
  <c r="U591" i="37"/>
  <c r="T591" i="37"/>
  <c r="S591" i="37"/>
  <c r="R591" i="37"/>
  <c r="Q591" i="37"/>
  <c r="P591" i="37"/>
  <c r="O591" i="37"/>
  <c r="N591" i="37"/>
  <c r="M591" i="37"/>
  <c r="L591" i="37"/>
  <c r="K591" i="37"/>
  <c r="J591" i="37"/>
  <c r="I591" i="37"/>
  <c r="H591" i="37"/>
  <c r="G591" i="37"/>
  <c r="F591" i="37"/>
  <c r="W590" i="37"/>
  <c r="V590" i="37"/>
  <c r="U590" i="37"/>
  <c r="T590" i="37"/>
  <c r="S590" i="37"/>
  <c r="R590" i="37"/>
  <c r="Q590" i="37"/>
  <c r="P590" i="37"/>
  <c r="O590" i="37"/>
  <c r="N590" i="37"/>
  <c r="M590" i="37"/>
  <c r="L590" i="37"/>
  <c r="K590" i="37"/>
  <c r="J590" i="37"/>
  <c r="I590" i="37"/>
  <c r="H590" i="37"/>
  <c r="G590" i="37"/>
  <c r="F590" i="37"/>
  <c r="W589" i="37"/>
  <c r="V589" i="37"/>
  <c r="U589" i="37"/>
  <c r="T589" i="37"/>
  <c r="S589" i="37"/>
  <c r="R589" i="37"/>
  <c r="Q589" i="37"/>
  <c r="P589" i="37"/>
  <c r="O589" i="37"/>
  <c r="N589" i="37"/>
  <c r="M589" i="37"/>
  <c r="L589" i="37"/>
  <c r="K589" i="37"/>
  <c r="J589" i="37"/>
  <c r="I589" i="37"/>
  <c r="H589" i="37"/>
  <c r="G589" i="37"/>
  <c r="F589" i="37"/>
  <c r="W588" i="37"/>
  <c r="V588" i="37"/>
  <c r="U588" i="37"/>
  <c r="T588" i="37"/>
  <c r="S588" i="37"/>
  <c r="R588" i="37"/>
  <c r="Q588" i="37"/>
  <c r="P588" i="37"/>
  <c r="O588" i="37"/>
  <c r="N588" i="37"/>
  <c r="M588" i="37"/>
  <c r="L588" i="37"/>
  <c r="K588" i="37"/>
  <c r="J588" i="37"/>
  <c r="I588" i="37"/>
  <c r="H588" i="37"/>
  <c r="G588" i="37"/>
  <c r="F588" i="37"/>
  <c r="W587" i="37"/>
  <c r="V587" i="37"/>
  <c r="AQ589" i="37" s="1"/>
  <c r="AQ600" i="37" s="1"/>
  <c r="U587" i="37"/>
  <c r="T587" i="37"/>
  <c r="AO587" i="37" s="1"/>
  <c r="S587" i="37"/>
  <c r="R587" i="37"/>
  <c r="AM592" i="37" s="1"/>
  <c r="Q587" i="37"/>
  <c r="P587" i="37"/>
  <c r="AK592" i="37" s="1"/>
  <c r="O587" i="37"/>
  <c r="N587" i="37"/>
  <c r="AI589" i="37" s="1"/>
  <c r="AI600" i="37" s="1"/>
  <c r="M587" i="37"/>
  <c r="L587" i="37"/>
  <c r="AG587" i="37" s="1"/>
  <c r="K587" i="37"/>
  <c r="J587" i="37"/>
  <c r="AE592" i="37" s="1"/>
  <c r="I587" i="37"/>
  <c r="H587" i="37"/>
  <c r="AC592" i="37" s="1"/>
  <c r="G587" i="37"/>
  <c r="F587" i="37"/>
  <c r="W609" i="37"/>
  <c r="V609" i="37"/>
  <c r="U609" i="37"/>
  <c r="T609" i="37"/>
  <c r="S609" i="37"/>
  <c r="R609" i="37"/>
  <c r="Q609" i="37"/>
  <c r="P609" i="37"/>
  <c r="O609" i="37"/>
  <c r="N609" i="37"/>
  <c r="M609" i="37"/>
  <c r="L609" i="37"/>
  <c r="K609" i="37"/>
  <c r="J609" i="37"/>
  <c r="I609" i="37"/>
  <c r="H609" i="37"/>
  <c r="G609" i="37"/>
  <c r="F609" i="37"/>
  <c r="W608" i="37"/>
  <c r="V608" i="37"/>
  <c r="U608" i="37"/>
  <c r="T608" i="37"/>
  <c r="S608" i="37"/>
  <c r="R608" i="37"/>
  <c r="Q608" i="37"/>
  <c r="P608" i="37"/>
  <c r="O608" i="37"/>
  <c r="N608" i="37"/>
  <c r="M608" i="37"/>
  <c r="L608" i="37"/>
  <c r="K608" i="37"/>
  <c r="J608" i="37"/>
  <c r="I608" i="37"/>
  <c r="H608" i="37"/>
  <c r="G608" i="37"/>
  <c r="F608" i="37"/>
  <c r="W607" i="37"/>
  <c r="V607" i="37"/>
  <c r="U607" i="37"/>
  <c r="T607" i="37"/>
  <c r="S607" i="37"/>
  <c r="R607" i="37"/>
  <c r="Q607" i="37"/>
  <c r="P607" i="37"/>
  <c r="O607" i="37"/>
  <c r="N607" i="37"/>
  <c r="M607" i="37"/>
  <c r="L607" i="37"/>
  <c r="K607" i="37"/>
  <c r="J607" i="37"/>
  <c r="I607" i="37"/>
  <c r="H607" i="37"/>
  <c r="G607" i="37"/>
  <c r="F607" i="37"/>
  <c r="W606" i="37"/>
  <c r="V606" i="37"/>
  <c r="U606" i="37"/>
  <c r="T606" i="37"/>
  <c r="S606" i="37"/>
  <c r="R606" i="37"/>
  <c r="Q606" i="37"/>
  <c r="P606" i="37"/>
  <c r="O606" i="37"/>
  <c r="N606" i="37"/>
  <c r="M606" i="37"/>
  <c r="L606" i="37"/>
  <c r="K606" i="37"/>
  <c r="J606" i="37"/>
  <c r="I606" i="37"/>
  <c r="H606" i="37"/>
  <c r="G606" i="37"/>
  <c r="F606" i="37"/>
  <c r="W605" i="37"/>
  <c r="V605" i="37"/>
  <c r="U605" i="37"/>
  <c r="T605" i="37"/>
  <c r="S605" i="37"/>
  <c r="R605" i="37"/>
  <c r="Q605" i="37"/>
  <c r="P605" i="37"/>
  <c r="O605" i="37"/>
  <c r="N605" i="37"/>
  <c r="M605" i="37"/>
  <c r="L605" i="37"/>
  <c r="K605" i="37"/>
  <c r="J605" i="37"/>
  <c r="I605" i="37"/>
  <c r="H605" i="37"/>
  <c r="G605" i="37"/>
  <c r="F605" i="37"/>
  <c r="W604" i="37"/>
  <c r="V604" i="37"/>
  <c r="U604" i="37"/>
  <c r="T604" i="37"/>
  <c r="S604" i="37"/>
  <c r="R604" i="37"/>
  <c r="Q604" i="37"/>
  <c r="P604" i="37"/>
  <c r="O604" i="37"/>
  <c r="N604" i="37"/>
  <c r="M604" i="37"/>
  <c r="L604" i="37"/>
  <c r="K604" i="37"/>
  <c r="J604" i="37"/>
  <c r="I604" i="37"/>
  <c r="H604" i="37"/>
  <c r="G604" i="37"/>
  <c r="F604" i="37"/>
  <c r="W603" i="37"/>
  <c r="V603" i="37"/>
  <c r="U603" i="37"/>
  <c r="T603" i="37"/>
  <c r="S603" i="37"/>
  <c r="R603" i="37"/>
  <c r="Q603" i="37"/>
  <c r="P603" i="37"/>
  <c r="O603" i="37"/>
  <c r="N603" i="37"/>
  <c r="M603" i="37"/>
  <c r="L603" i="37"/>
  <c r="K603" i="37"/>
  <c r="J603" i="37"/>
  <c r="I603" i="37"/>
  <c r="H603" i="37"/>
  <c r="G603" i="37"/>
  <c r="F603" i="37"/>
  <c r="W602" i="37"/>
  <c r="AR608" i="37" s="1"/>
  <c r="V602" i="37"/>
  <c r="AQ605" i="37" s="1"/>
  <c r="U602" i="37"/>
  <c r="AP608" i="37" s="1"/>
  <c r="T602" i="37"/>
  <c r="AO603" i="37" s="1"/>
  <c r="S602" i="37"/>
  <c r="AN608" i="37" s="1"/>
  <c r="R602" i="37"/>
  <c r="Q602" i="37"/>
  <c r="AL608" i="37" s="1"/>
  <c r="P602" i="37"/>
  <c r="AK602" i="37" s="1"/>
  <c r="O602" i="37"/>
  <c r="AJ608" i="37" s="1"/>
  <c r="N602" i="37"/>
  <c r="AI605" i="37" s="1"/>
  <c r="M602" i="37"/>
  <c r="AH608" i="37" s="1"/>
  <c r="L602" i="37"/>
  <c r="AG603" i="37" s="1"/>
  <c r="K602" i="37"/>
  <c r="AF608" i="37" s="1"/>
  <c r="J602" i="37"/>
  <c r="I602" i="37"/>
  <c r="AD608" i="37" s="1"/>
  <c r="H602" i="37"/>
  <c r="AC602" i="37" s="1"/>
  <c r="G602" i="37"/>
  <c r="F602" i="37"/>
  <c r="W625" i="37"/>
  <c r="V625" i="37"/>
  <c r="U625" i="37"/>
  <c r="T625" i="37"/>
  <c r="S625" i="37"/>
  <c r="R625" i="37"/>
  <c r="Q625" i="37"/>
  <c r="P625" i="37"/>
  <c r="O625" i="37"/>
  <c r="N625" i="37"/>
  <c r="M625" i="37"/>
  <c r="L625" i="37"/>
  <c r="K625" i="37"/>
  <c r="J625" i="37"/>
  <c r="I625" i="37"/>
  <c r="H625" i="37"/>
  <c r="G625" i="37"/>
  <c r="F625" i="37"/>
  <c r="W624" i="37"/>
  <c r="V624" i="37"/>
  <c r="U624" i="37"/>
  <c r="T624" i="37"/>
  <c r="S624" i="37"/>
  <c r="R624" i="37"/>
  <c r="Q624" i="37"/>
  <c r="P624" i="37"/>
  <c r="O624" i="37"/>
  <c r="N624" i="37"/>
  <c r="M624" i="37"/>
  <c r="L624" i="37"/>
  <c r="K624" i="37"/>
  <c r="J624" i="37"/>
  <c r="I624" i="37"/>
  <c r="H624" i="37"/>
  <c r="G624" i="37"/>
  <c r="F624" i="37"/>
  <c r="W623" i="37"/>
  <c r="V623" i="37"/>
  <c r="U623" i="37"/>
  <c r="T623" i="37"/>
  <c r="S623" i="37"/>
  <c r="R623" i="37"/>
  <c r="Q623" i="37"/>
  <c r="P623" i="37"/>
  <c r="O623" i="37"/>
  <c r="N623" i="37"/>
  <c r="M623" i="37"/>
  <c r="L623" i="37"/>
  <c r="K623" i="37"/>
  <c r="J623" i="37"/>
  <c r="I623" i="37"/>
  <c r="H623" i="37"/>
  <c r="G623" i="37"/>
  <c r="F623" i="37"/>
  <c r="W622" i="37"/>
  <c r="V622" i="37"/>
  <c r="U622" i="37"/>
  <c r="T622" i="37"/>
  <c r="S622" i="37"/>
  <c r="R622" i="37"/>
  <c r="Q622" i="37"/>
  <c r="P622" i="37"/>
  <c r="O622" i="37"/>
  <c r="N622" i="37"/>
  <c r="M622" i="37"/>
  <c r="L622" i="37"/>
  <c r="K622" i="37"/>
  <c r="J622" i="37"/>
  <c r="I622" i="37"/>
  <c r="H622" i="37"/>
  <c r="G622" i="37"/>
  <c r="F622" i="37"/>
  <c r="W621" i="37"/>
  <c r="V621" i="37"/>
  <c r="U621" i="37"/>
  <c r="T621" i="37"/>
  <c r="S621" i="37"/>
  <c r="R621" i="37"/>
  <c r="Q621" i="37"/>
  <c r="P621" i="37"/>
  <c r="O621" i="37"/>
  <c r="N621" i="37"/>
  <c r="M621" i="37"/>
  <c r="L621" i="37"/>
  <c r="K621" i="37"/>
  <c r="J621" i="37"/>
  <c r="I621" i="37"/>
  <c r="H621" i="37"/>
  <c r="G621" i="37"/>
  <c r="F621" i="37"/>
  <c r="W620" i="37"/>
  <c r="V620" i="37"/>
  <c r="U620" i="37"/>
  <c r="T620" i="37"/>
  <c r="S620" i="37"/>
  <c r="R620" i="37"/>
  <c r="Q620" i="37"/>
  <c r="P620" i="37"/>
  <c r="O620" i="37"/>
  <c r="N620" i="37"/>
  <c r="M620" i="37"/>
  <c r="L620" i="37"/>
  <c r="K620" i="37"/>
  <c r="J620" i="37"/>
  <c r="I620" i="37"/>
  <c r="H620" i="37"/>
  <c r="G620" i="37"/>
  <c r="F620" i="37"/>
  <c r="W619" i="37"/>
  <c r="V619" i="37"/>
  <c r="U619" i="37"/>
  <c r="T619" i="37"/>
  <c r="S619" i="37"/>
  <c r="R619" i="37"/>
  <c r="Q619" i="37"/>
  <c r="P619" i="37"/>
  <c r="O619" i="37"/>
  <c r="N619" i="37"/>
  <c r="M619" i="37"/>
  <c r="L619" i="37"/>
  <c r="K619" i="37"/>
  <c r="J619" i="37"/>
  <c r="I619" i="37"/>
  <c r="H619" i="37"/>
  <c r="G619" i="37"/>
  <c r="F619" i="37"/>
  <c r="W618" i="37"/>
  <c r="V618" i="37"/>
  <c r="U618" i="37"/>
  <c r="T618" i="37"/>
  <c r="S618" i="37"/>
  <c r="R618" i="37"/>
  <c r="Q618" i="37"/>
  <c r="P618" i="37"/>
  <c r="O618" i="37"/>
  <c r="N618" i="37"/>
  <c r="M618" i="37"/>
  <c r="L618" i="37"/>
  <c r="K618" i="37"/>
  <c r="J618" i="37"/>
  <c r="I618" i="37"/>
  <c r="H618" i="37"/>
  <c r="G618" i="37"/>
  <c r="F618" i="37"/>
  <c r="W617" i="37"/>
  <c r="AR618" i="37" s="1"/>
  <c r="V617" i="37"/>
  <c r="AQ621" i="37" s="1"/>
  <c r="U617" i="37"/>
  <c r="AP618" i="37" s="1"/>
  <c r="T617" i="37"/>
  <c r="AO617" i="37" s="1"/>
  <c r="S617" i="37"/>
  <c r="AN618" i="37" s="1"/>
  <c r="R617" i="37"/>
  <c r="AM620" i="37" s="1"/>
  <c r="Q617" i="37"/>
  <c r="AL618" i="37" s="1"/>
  <c r="P617" i="37"/>
  <c r="AK620" i="37" s="1"/>
  <c r="O617" i="37"/>
  <c r="N617" i="37"/>
  <c r="M617" i="37"/>
  <c r="L617" i="37"/>
  <c r="K617" i="37"/>
  <c r="J617" i="37"/>
  <c r="I617" i="37"/>
  <c r="H617" i="37"/>
  <c r="G617" i="37"/>
  <c r="F617" i="37"/>
  <c r="W638" i="37"/>
  <c r="V638" i="37"/>
  <c r="U638" i="37"/>
  <c r="T638" i="37"/>
  <c r="S638" i="37"/>
  <c r="R638" i="37"/>
  <c r="Q638" i="37"/>
  <c r="P638" i="37"/>
  <c r="O638" i="37"/>
  <c r="N638" i="37"/>
  <c r="M638" i="37"/>
  <c r="L638" i="37"/>
  <c r="K638" i="37"/>
  <c r="J638" i="37"/>
  <c r="I638" i="37"/>
  <c r="H638" i="37"/>
  <c r="G638" i="37"/>
  <c r="F638" i="37"/>
  <c r="W637" i="37"/>
  <c r="V637" i="37"/>
  <c r="U637" i="37"/>
  <c r="T637" i="37"/>
  <c r="S637" i="37"/>
  <c r="R637" i="37"/>
  <c r="Q637" i="37"/>
  <c r="P637" i="37"/>
  <c r="O637" i="37"/>
  <c r="N637" i="37"/>
  <c r="M637" i="37"/>
  <c r="L637" i="37"/>
  <c r="K637" i="37"/>
  <c r="J637" i="37"/>
  <c r="I637" i="37"/>
  <c r="H637" i="37"/>
  <c r="G637" i="37"/>
  <c r="F637" i="37"/>
  <c r="W636" i="37"/>
  <c r="V636" i="37"/>
  <c r="U636" i="37"/>
  <c r="T636" i="37"/>
  <c r="S636" i="37"/>
  <c r="R636" i="37"/>
  <c r="Q636" i="37"/>
  <c r="P636" i="37"/>
  <c r="O636" i="37"/>
  <c r="N636" i="37"/>
  <c r="M636" i="37"/>
  <c r="L636" i="37"/>
  <c r="K636" i="37"/>
  <c r="J636" i="37"/>
  <c r="I636" i="37"/>
  <c r="H636" i="37"/>
  <c r="G636" i="37"/>
  <c r="F636" i="37"/>
  <c r="W635" i="37"/>
  <c r="V635" i="37"/>
  <c r="U635" i="37"/>
  <c r="T635" i="37"/>
  <c r="S635" i="37"/>
  <c r="R635" i="37"/>
  <c r="Q635" i="37"/>
  <c r="P635" i="37"/>
  <c r="O635" i="37"/>
  <c r="N635" i="37"/>
  <c r="M635" i="37"/>
  <c r="L635" i="37"/>
  <c r="K635" i="37"/>
  <c r="J635" i="37"/>
  <c r="I635" i="37"/>
  <c r="H635" i="37"/>
  <c r="G635" i="37"/>
  <c r="F635" i="37"/>
  <c r="W634" i="37"/>
  <c r="V634" i="37"/>
  <c r="U634" i="37"/>
  <c r="T634" i="37"/>
  <c r="S634" i="37"/>
  <c r="R634" i="37"/>
  <c r="Q634" i="37"/>
  <c r="P634" i="37"/>
  <c r="O634" i="37"/>
  <c r="N634" i="37"/>
  <c r="M634" i="37"/>
  <c r="L634" i="37"/>
  <c r="K634" i="37"/>
  <c r="J634" i="37"/>
  <c r="I634" i="37"/>
  <c r="H634" i="37"/>
  <c r="G634" i="37"/>
  <c r="F634" i="37"/>
  <c r="W633" i="37"/>
  <c r="V633" i="37"/>
  <c r="U633" i="37"/>
  <c r="T633" i="37"/>
  <c r="S633" i="37"/>
  <c r="R633" i="37"/>
  <c r="Q633" i="37"/>
  <c r="P633" i="37"/>
  <c r="O633" i="37"/>
  <c r="N633" i="37"/>
  <c r="M633" i="37"/>
  <c r="L633" i="37"/>
  <c r="K633" i="37"/>
  <c r="J633" i="37"/>
  <c r="I633" i="37"/>
  <c r="H633" i="37"/>
  <c r="G633" i="37"/>
  <c r="F633" i="37"/>
  <c r="W632" i="37"/>
  <c r="AR634" i="37" s="1"/>
  <c r="AR645" i="37" s="1"/>
  <c r="V632" i="37"/>
  <c r="AQ632" i="37" s="1"/>
  <c r="U632" i="37"/>
  <c r="AP634" i="37" s="1"/>
  <c r="AP645" i="37" s="1"/>
  <c r="T632" i="37"/>
  <c r="AO638" i="37" s="1"/>
  <c r="S632" i="37"/>
  <c r="AN634" i="37" s="1"/>
  <c r="AN645" i="37" s="1"/>
  <c r="R632" i="37"/>
  <c r="AM638" i="37" s="1"/>
  <c r="Q632" i="37"/>
  <c r="AL634" i="37" s="1"/>
  <c r="AL645" i="37" s="1"/>
  <c r="P632" i="37"/>
  <c r="AK638" i="37" s="1"/>
  <c r="O632" i="37"/>
  <c r="AJ634" i="37" s="1"/>
  <c r="AJ645" i="37" s="1"/>
  <c r="N632" i="37"/>
  <c r="AI632" i="37" s="1"/>
  <c r="M632" i="37"/>
  <c r="AH634" i="37" s="1"/>
  <c r="AH645" i="37" s="1"/>
  <c r="L632" i="37"/>
  <c r="AG638" i="37" s="1"/>
  <c r="K632" i="37"/>
  <c r="AF634" i="37" s="1"/>
  <c r="AF645" i="37" s="1"/>
  <c r="J632" i="37"/>
  <c r="AE638" i="37" s="1"/>
  <c r="I632" i="37"/>
  <c r="AD634" i="37" s="1"/>
  <c r="AD645" i="37" s="1"/>
  <c r="H632" i="37"/>
  <c r="AC638" i="37" s="1"/>
  <c r="G632" i="37"/>
  <c r="F632" i="37"/>
  <c r="W654" i="37"/>
  <c r="V654" i="37"/>
  <c r="U654" i="37"/>
  <c r="T654" i="37"/>
  <c r="S654" i="37"/>
  <c r="R654" i="37"/>
  <c r="Q654" i="37"/>
  <c r="P654" i="37"/>
  <c r="O654" i="37"/>
  <c r="N654" i="37"/>
  <c r="M654" i="37"/>
  <c r="L654" i="37"/>
  <c r="K654" i="37"/>
  <c r="J654" i="37"/>
  <c r="I654" i="37"/>
  <c r="H654" i="37"/>
  <c r="G654" i="37"/>
  <c r="F654" i="37"/>
  <c r="W653" i="37"/>
  <c r="V653" i="37"/>
  <c r="U653" i="37"/>
  <c r="T653" i="37"/>
  <c r="S653" i="37"/>
  <c r="R653" i="37"/>
  <c r="Q653" i="37"/>
  <c r="P653" i="37"/>
  <c r="O653" i="37"/>
  <c r="N653" i="37"/>
  <c r="M653" i="37"/>
  <c r="L653" i="37"/>
  <c r="K653" i="37"/>
  <c r="J653" i="37"/>
  <c r="I653" i="37"/>
  <c r="H653" i="37"/>
  <c r="G653" i="37"/>
  <c r="F653" i="37"/>
  <c r="W652" i="37"/>
  <c r="V652" i="37"/>
  <c r="U652" i="37"/>
  <c r="T652" i="37"/>
  <c r="S652" i="37"/>
  <c r="R652" i="37"/>
  <c r="Q652" i="37"/>
  <c r="P652" i="37"/>
  <c r="O652" i="37"/>
  <c r="N652" i="37"/>
  <c r="M652" i="37"/>
  <c r="L652" i="37"/>
  <c r="K652" i="37"/>
  <c r="J652" i="37"/>
  <c r="I652" i="37"/>
  <c r="H652" i="37"/>
  <c r="G652" i="37"/>
  <c r="F652" i="37"/>
  <c r="W651" i="37"/>
  <c r="V651" i="37"/>
  <c r="U651" i="37"/>
  <c r="T651" i="37"/>
  <c r="S651" i="37"/>
  <c r="R651" i="37"/>
  <c r="Q651" i="37"/>
  <c r="P651" i="37"/>
  <c r="O651" i="37"/>
  <c r="N651" i="37"/>
  <c r="M651" i="37"/>
  <c r="L651" i="37"/>
  <c r="K651" i="37"/>
  <c r="J651" i="37"/>
  <c r="I651" i="37"/>
  <c r="H651" i="37"/>
  <c r="G651" i="37"/>
  <c r="F651" i="37"/>
  <c r="W650" i="37"/>
  <c r="V650" i="37"/>
  <c r="U650" i="37"/>
  <c r="T650" i="37"/>
  <c r="S650" i="37"/>
  <c r="R650" i="37"/>
  <c r="Q650" i="37"/>
  <c r="P650" i="37"/>
  <c r="O650" i="37"/>
  <c r="N650" i="37"/>
  <c r="M650" i="37"/>
  <c r="L650" i="37"/>
  <c r="K650" i="37"/>
  <c r="J650" i="37"/>
  <c r="I650" i="37"/>
  <c r="H650" i="37"/>
  <c r="G650" i="37"/>
  <c r="F650" i="37"/>
  <c r="W649" i="37"/>
  <c r="V649" i="37"/>
  <c r="U649" i="37"/>
  <c r="T649" i="37"/>
  <c r="S649" i="37"/>
  <c r="R649" i="37"/>
  <c r="Q649" i="37"/>
  <c r="P649" i="37"/>
  <c r="O649" i="37"/>
  <c r="N649" i="37"/>
  <c r="M649" i="37"/>
  <c r="L649" i="37"/>
  <c r="K649" i="37"/>
  <c r="J649" i="37"/>
  <c r="I649" i="37"/>
  <c r="H649" i="37"/>
  <c r="G649" i="37"/>
  <c r="F649" i="37"/>
  <c r="W648" i="37"/>
  <c r="V648" i="37"/>
  <c r="U648" i="37"/>
  <c r="T648" i="37"/>
  <c r="S648" i="37"/>
  <c r="R648" i="37"/>
  <c r="Q648" i="37"/>
  <c r="P648" i="37"/>
  <c r="O648" i="37"/>
  <c r="N648" i="37"/>
  <c r="M648" i="37"/>
  <c r="L648" i="37"/>
  <c r="K648" i="37"/>
  <c r="J648" i="37"/>
  <c r="I648" i="37"/>
  <c r="H648" i="37"/>
  <c r="G648" i="37"/>
  <c r="F648" i="37"/>
  <c r="W647" i="37"/>
  <c r="AR648" i="37" s="1"/>
  <c r="V647" i="37"/>
  <c r="AQ653" i="37" s="1"/>
  <c r="U647" i="37"/>
  <c r="AP648" i="37" s="1"/>
  <c r="T647" i="37"/>
  <c r="S647" i="37"/>
  <c r="AN647" i="37" s="1"/>
  <c r="R647" i="37"/>
  <c r="AM653" i="37" s="1"/>
  <c r="Q647" i="37"/>
  <c r="AL648" i="37" s="1"/>
  <c r="P647" i="37"/>
  <c r="AK648" i="37" s="1"/>
  <c r="O647" i="37"/>
  <c r="N647" i="37"/>
  <c r="M647" i="37"/>
  <c r="L647" i="37"/>
  <c r="K647" i="37"/>
  <c r="J647" i="37"/>
  <c r="I647" i="37"/>
  <c r="H647" i="37"/>
  <c r="G647" i="37"/>
  <c r="F647" i="37"/>
  <c r="W667" i="37"/>
  <c r="V667" i="37"/>
  <c r="U667" i="37"/>
  <c r="T667" i="37"/>
  <c r="S667" i="37"/>
  <c r="R667" i="37"/>
  <c r="Q667" i="37"/>
  <c r="P667" i="37"/>
  <c r="O667" i="37"/>
  <c r="N667" i="37"/>
  <c r="M667" i="37"/>
  <c r="L667" i="37"/>
  <c r="K667" i="37"/>
  <c r="J667" i="37"/>
  <c r="I667" i="37"/>
  <c r="H667" i="37"/>
  <c r="G667" i="37"/>
  <c r="F667" i="37"/>
  <c r="W666" i="37"/>
  <c r="V666" i="37"/>
  <c r="U666" i="37"/>
  <c r="T666" i="37"/>
  <c r="S666" i="37"/>
  <c r="R666" i="37"/>
  <c r="Q666" i="37"/>
  <c r="P666" i="37"/>
  <c r="O666" i="37"/>
  <c r="N666" i="37"/>
  <c r="M666" i="37"/>
  <c r="L666" i="37"/>
  <c r="K666" i="37"/>
  <c r="J666" i="37"/>
  <c r="I666" i="37"/>
  <c r="H666" i="37"/>
  <c r="G666" i="37"/>
  <c r="F666" i="37"/>
  <c r="W665" i="37"/>
  <c r="V665" i="37"/>
  <c r="U665" i="37"/>
  <c r="T665" i="37"/>
  <c r="S665" i="37"/>
  <c r="R665" i="37"/>
  <c r="Q665" i="37"/>
  <c r="P665" i="37"/>
  <c r="O665" i="37"/>
  <c r="N665" i="37"/>
  <c r="M665" i="37"/>
  <c r="L665" i="37"/>
  <c r="K665" i="37"/>
  <c r="J665" i="37"/>
  <c r="I665" i="37"/>
  <c r="H665" i="37"/>
  <c r="G665" i="37"/>
  <c r="F665" i="37"/>
  <c r="W664" i="37"/>
  <c r="V664" i="37"/>
  <c r="U664" i="37"/>
  <c r="T664" i="37"/>
  <c r="S664" i="37"/>
  <c r="R664" i="37"/>
  <c r="Q664" i="37"/>
  <c r="P664" i="37"/>
  <c r="O664" i="37"/>
  <c r="N664" i="37"/>
  <c r="M664" i="37"/>
  <c r="L664" i="37"/>
  <c r="K664" i="37"/>
  <c r="J664" i="37"/>
  <c r="I664" i="37"/>
  <c r="H664" i="37"/>
  <c r="G664" i="37"/>
  <c r="F664" i="37"/>
  <c r="W663" i="37"/>
  <c r="V663" i="37"/>
  <c r="U663" i="37"/>
  <c r="T663" i="37"/>
  <c r="S663" i="37"/>
  <c r="R663" i="37"/>
  <c r="Q663" i="37"/>
  <c r="P663" i="37"/>
  <c r="O663" i="37"/>
  <c r="N663" i="37"/>
  <c r="M663" i="37"/>
  <c r="L663" i="37"/>
  <c r="K663" i="37"/>
  <c r="J663" i="37"/>
  <c r="I663" i="37"/>
  <c r="H663" i="37"/>
  <c r="G663" i="37"/>
  <c r="F663" i="37"/>
  <c r="W662" i="37"/>
  <c r="AR662" i="37" s="1"/>
  <c r="V662" i="37"/>
  <c r="U662" i="37"/>
  <c r="AP662" i="37" s="1"/>
  <c r="T662" i="37"/>
  <c r="AO664" i="37" s="1"/>
  <c r="AO675" i="37" s="1"/>
  <c r="S662" i="37"/>
  <c r="AN662" i="37" s="1"/>
  <c r="R662" i="37"/>
  <c r="AM667" i="37" s="1"/>
  <c r="Q662" i="37"/>
  <c r="AL662" i="37" s="1"/>
  <c r="P662" i="37"/>
  <c r="O662" i="37"/>
  <c r="N662" i="37"/>
  <c r="M662" i="37"/>
  <c r="L662" i="37"/>
  <c r="K662" i="37"/>
  <c r="J662" i="37"/>
  <c r="I662" i="37"/>
  <c r="H662" i="37"/>
  <c r="G662" i="37"/>
  <c r="F662" i="37"/>
  <c r="W684" i="37"/>
  <c r="V684" i="37"/>
  <c r="U684" i="37"/>
  <c r="T684" i="37"/>
  <c r="S684" i="37"/>
  <c r="R684" i="37"/>
  <c r="Q684" i="37"/>
  <c r="P684" i="37"/>
  <c r="O684" i="37"/>
  <c r="N684" i="37"/>
  <c r="M684" i="37"/>
  <c r="L684" i="37"/>
  <c r="K684" i="37"/>
  <c r="J684" i="37"/>
  <c r="I684" i="37"/>
  <c r="H684" i="37"/>
  <c r="G684" i="37"/>
  <c r="F684" i="37"/>
  <c r="W683" i="37"/>
  <c r="V683" i="37"/>
  <c r="U683" i="37"/>
  <c r="T683" i="37"/>
  <c r="S683" i="37"/>
  <c r="R683" i="37"/>
  <c r="Q683" i="37"/>
  <c r="P683" i="37"/>
  <c r="O683" i="37"/>
  <c r="N683" i="37"/>
  <c r="M683" i="37"/>
  <c r="L683" i="37"/>
  <c r="K683" i="37"/>
  <c r="J683" i="37"/>
  <c r="I683" i="37"/>
  <c r="H683" i="37"/>
  <c r="G683" i="37"/>
  <c r="F683" i="37"/>
  <c r="W682" i="37"/>
  <c r="V682" i="37"/>
  <c r="U682" i="37"/>
  <c r="T682" i="37"/>
  <c r="S682" i="37"/>
  <c r="R682" i="37"/>
  <c r="Q682" i="37"/>
  <c r="P682" i="37"/>
  <c r="O682" i="37"/>
  <c r="N682" i="37"/>
  <c r="M682" i="37"/>
  <c r="L682" i="37"/>
  <c r="K682" i="37"/>
  <c r="J682" i="37"/>
  <c r="I682" i="37"/>
  <c r="H682" i="37"/>
  <c r="G682" i="37"/>
  <c r="F682" i="37"/>
  <c r="W681" i="37"/>
  <c r="V681" i="37"/>
  <c r="U681" i="37"/>
  <c r="T681" i="37"/>
  <c r="S681" i="37"/>
  <c r="R681" i="37"/>
  <c r="Q681" i="37"/>
  <c r="P681" i="37"/>
  <c r="O681" i="37"/>
  <c r="N681" i="37"/>
  <c r="M681" i="37"/>
  <c r="L681" i="37"/>
  <c r="K681" i="37"/>
  <c r="J681" i="37"/>
  <c r="I681" i="37"/>
  <c r="H681" i="37"/>
  <c r="G681" i="37"/>
  <c r="F681" i="37"/>
  <c r="W680" i="37"/>
  <c r="V680" i="37"/>
  <c r="U680" i="37"/>
  <c r="T680" i="37"/>
  <c r="S680" i="37"/>
  <c r="R680" i="37"/>
  <c r="Q680" i="37"/>
  <c r="P680" i="37"/>
  <c r="O680" i="37"/>
  <c r="N680" i="37"/>
  <c r="M680" i="37"/>
  <c r="L680" i="37"/>
  <c r="K680" i="37"/>
  <c r="J680" i="37"/>
  <c r="I680" i="37"/>
  <c r="H680" i="37"/>
  <c r="G680" i="37"/>
  <c r="F680" i="37"/>
  <c r="W679" i="37"/>
  <c r="V679" i="37"/>
  <c r="U679" i="37"/>
  <c r="T679" i="37"/>
  <c r="S679" i="37"/>
  <c r="R679" i="37"/>
  <c r="Q679" i="37"/>
  <c r="P679" i="37"/>
  <c r="O679" i="37"/>
  <c r="N679" i="37"/>
  <c r="M679" i="37"/>
  <c r="L679" i="37"/>
  <c r="K679" i="37"/>
  <c r="J679" i="37"/>
  <c r="I679" i="37"/>
  <c r="H679" i="37"/>
  <c r="G679" i="37"/>
  <c r="F679" i="37"/>
  <c r="W678" i="37"/>
  <c r="V678" i="37"/>
  <c r="U678" i="37"/>
  <c r="T678" i="37"/>
  <c r="S678" i="37"/>
  <c r="R678" i="37"/>
  <c r="Q678" i="37"/>
  <c r="P678" i="37"/>
  <c r="O678" i="37"/>
  <c r="N678" i="37"/>
  <c r="M678" i="37"/>
  <c r="L678" i="37"/>
  <c r="K678" i="37"/>
  <c r="J678" i="37"/>
  <c r="I678" i="37"/>
  <c r="H678" i="37"/>
  <c r="G678" i="37"/>
  <c r="F678" i="37"/>
  <c r="W677" i="37"/>
  <c r="AR678" i="37" s="1"/>
  <c r="V677" i="37"/>
  <c r="AQ683" i="37" s="1"/>
  <c r="U677" i="37"/>
  <c r="AP678" i="37" s="1"/>
  <c r="T677" i="37"/>
  <c r="AO680" i="37" s="1"/>
  <c r="S677" i="37"/>
  <c r="AN678" i="37" s="1"/>
  <c r="R677" i="37"/>
  <c r="AM677" i="37" s="1"/>
  <c r="Q677" i="37"/>
  <c r="AL678" i="37" s="1"/>
  <c r="P677" i="37"/>
  <c r="AK679" i="37" s="1"/>
  <c r="AK690" i="37" s="1"/>
  <c r="O677" i="37"/>
  <c r="AJ678" i="37" s="1"/>
  <c r="N677" i="37"/>
  <c r="AI677" i="37" s="1"/>
  <c r="M677" i="37"/>
  <c r="AH678" i="37" s="1"/>
  <c r="L677" i="37"/>
  <c r="AG680" i="37" s="1"/>
  <c r="K677" i="37"/>
  <c r="AF678" i="37" s="1"/>
  <c r="J677" i="37"/>
  <c r="I677" i="37"/>
  <c r="AD678" i="37" s="1"/>
  <c r="H677" i="37"/>
  <c r="G677" i="37"/>
  <c r="F677" i="37"/>
  <c r="W698" i="37"/>
  <c r="V698" i="37"/>
  <c r="U698" i="37"/>
  <c r="T698" i="37"/>
  <c r="S698" i="37"/>
  <c r="R698" i="37"/>
  <c r="Q698" i="37"/>
  <c r="P698" i="37"/>
  <c r="O698" i="37"/>
  <c r="N698" i="37"/>
  <c r="M698" i="37"/>
  <c r="L698" i="37"/>
  <c r="K698" i="37"/>
  <c r="J698" i="37"/>
  <c r="I698" i="37"/>
  <c r="H698" i="37"/>
  <c r="G698" i="37"/>
  <c r="F698" i="37"/>
  <c r="W697" i="37"/>
  <c r="V697" i="37"/>
  <c r="U697" i="37"/>
  <c r="T697" i="37"/>
  <c r="S697" i="37"/>
  <c r="R697" i="37"/>
  <c r="Q697" i="37"/>
  <c r="P697" i="37"/>
  <c r="O697" i="37"/>
  <c r="N697" i="37"/>
  <c r="M697" i="37"/>
  <c r="L697" i="37"/>
  <c r="K697" i="37"/>
  <c r="J697" i="37"/>
  <c r="I697" i="37"/>
  <c r="H697" i="37"/>
  <c r="G697" i="37"/>
  <c r="F697" i="37"/>
  <c r="W696" i="37"/>
  <c r="V696" i="37"/>
  <c r="U696" i="37"/>
  <c r="T696" i="37"/>
  <c r="S696" i="37"/>
  <c r="R696" i="37"/>
  <c r="Q696" i="37"/>
  <c r="P696" i="37"/>
  <c r="O696" i="37"/>
  <c r="N696" i="37"/>
  <c r="M696" i="37"/>
  <c r="L696" i="37"/>
  <c r="K696" i="37"/>
  <c r="J696" i="37"/>
  <c r="I696" i="37"/>
  <c r="H696" i="37"/>
  <c r="G696" i="37"/>
  <c r="F696" i="37"/>
  <c r="W695" i="37"/>
  <c r="V695" i="37"/>
  <c r="U695" i="37"/>
  <c r="T695" i="37"/>
  <c r="S695" i="37"/>
  <c r="R695" i="37"/>
  <c r="Q695" i="37"/>
  <c r="P695" i="37"/>
  <c r="O695" i="37"/>
  <c r="N695" i="37"/>
  <c r="M695" i="37"/>
  <c r="L695" i="37"/>
  <c r="K695" i="37"/>
  <c r="J695" i="37"/>
  <c r="I695" i="37"/>
  <c r="H695" i="37"/>
  <c r="G695" i="37"/>
  <c r="F695" i="37"/>
  <c r="W694" i="37"/>
  <c r="V694" i="37"/>
  <c r="U694" i="37"/>
  <c r="T694" i="37"/>
  <c r="S694" i="37"/>
  <c r="R694" i="37"/>
  <c r="Q694" i="37"/>
  <c r="P694" i="37"/>
  <c r="O694" i="37"/>
  <c r="N694" i="37"/>
  <c r="M694" i="37"/>
  <c r="L694" i="37"/>
  <c r="K694" i="37"/>
  <c r="J694" i="37"/>
  <c r="I694" i="37"/>
  <c r="H694" i="37"/>
  <c r="G694" i="37"/>
  <c r="F694" i="37"/>
  <c r="W693" i="37"/>
  <c r="V693" i="37"/>
  <c r="U693" i="37"/>
  <c r="T693" i="37"/>
  <c r="S693" i="37"/>
  <c r="R693" i="37"/>
  <c r="Q693" i="37"/>
  <c r="P693" i="37"/>
  <c r="O693" i="37"/>
  <c r="N693" i="37"/>
  <c r="M693" i="37"/>
  <c r="L693" i="37"/>
  <c r="K693" i="37"/>
  <c r="J693" i="37"/>
  <c r="I693" i="37"/>
  <c r="H693" i="37"/>
  <c r="G693" i="37"/>
  <c r="F693" i="37"/>
  <c r="W692" i="37"/>
  <c r="AR696" i="37" s="1"/>
  <c r="V692" i="37"/>
  <c r="U692" i="37"/>
  <c r="AP692" i="37" s="1"/>
  <c r="T692" i="37"/>
  <c r="AO694" i="37" s="1"/>
  <c r="AO705" i="37" s="1"/>
  <c r="S692" i="37"/>
  <c r="AN696" i="37" s="1"/>
  <c r="R692" i="37"/>
  <c r="AM697" i="37" s="1"/>
  <c r="Q692" i="37"/>
  <c r="AL692" i="37" s="1"/>
  <c r="P692" i="37"/>
  <c r="AK693" i="37" s="1"/>
  <c r="O692" i="37"/>
  <c r="N692" i="37"/>
  <c r="M692" i="37"/>
  <c r="L692" i="37"/>
  <c r="K692" i="37"/>
  <c r="J692" i="37"/>
  <c r="I692" i="37"/>
  <c r="H692" i="37"/>
  <c r="G692" i="37"/>
  <c r="F692" i="37"/>
  <c r="W712" i="37"/>
  <c r="V712" i="37"/>
  <c r="U712" i="37"/>
  <c r="T712" i="37"/>
  <c r="S712" i="37"/>
  <c r="R712" i="37"/>
  <c r="Q712" i="37"/>
  <c r="P712" i="37"/>
  <c r="O712" i="37"/>
  <c r="N712" i="37"/>
  <c r="M712" i="37"/>
  <c r="L712" i="37"/>
  <c r="K712" i="37"/>
  <c r="J712" i="37"/>
  <c r="I712" i="37"/>
  <c r="H712" i="37"/>
  <c r="G712" i="37"/>
  <c r="F712" i="37"/>
  <c r="W711" i="37"/>
  <c r="V711" i="37"/>
  <c r="U711" i="37"/>
  <c r="T711" i="37"/>
  <c r="S711" i="37"/>
  <c r="R711" i="37"/>
  <c r="Q711" i="37"/>
  <c r="P711" i="37"/>
  <c r="O711" i="37"/>
  <c r="N711" i="37"/>
  <c r="M711" i="37"/>
  <c r="L711" i="37"/>
  <c r="K711" i="37"/>
  <c r="J711" i="37"/>
  <c r="I711" i="37"/>
  <c r="H711" i="37"/>
  <c r="G711" i="37"/>
  <c r="F711" i="37"/>
  <c r="W710" i="37"/>
  <c r="V710" i="37"/>
  <c r="U710" i="37"/>
  <c r="T710" i="37"/>
  <c r="S710" i="37"/>
  <c r="R710" i="37"/>
  <c r="Q710" i="37"/>
  <c r="P710" i="37"/>
  <c r="O710" i="37"/>
  <c r="N710" i="37"/>
  <c r="M710" i="37"/>
  <c r="L710" i="37"/>
  <c r="K710" i="37"/>
  <c r="J710" i="37"/>
  <c r="I710" i="37"/>
  <c r="H710" i="37"/>
  <c r="G710" i="37"/>
  <c r="F710" i="37"/>
  <c r="W709" i="37"/>
  <c r="V709" i="37"/>
  <c r="U709" i="37"/>
  <c r="T709" i="37"/>
  <c r="S709" i="37"/>
  <c r="R709" i="37"/>
  <c r="Q709" i="37"/>
  <c r="P709" i="37"/>
  <c r="O709" i="37"/>
  <c r="N709" i="37"/>
  <c r="M709" i="37"/>
  <c r="L709" i="37"/>
  <c r="K709" i="37"/>
  <c r="J709" i="37"/>
  <c r="I709" i="37"/>
  <c r="H709" i="37"/>
  <c r="G709" i="37"/>
  <c r="F709" i="37"/>
  <c r="W708" i="37"/>
  <c r="V708" i="37"/>
  <c r="U708" i="37"/>
  <c r="T708" i="37"/>
  <c r="S708" i="37"/>
  <c r="R708" i="37"/>
  <c r="Q708" i="37"/>
  <c r="P708" i="37"/>
  <c r="O708" i="37"/>
  <c r="N708" i="37"/>
  <c r="M708" i="37"/>
  <c r="L708" i="37"/>
  <c r="K708" i="37"/>
  <c r="J708" i="37"/>
  <c r="I708" i="37"/>
  <c r="H708" i="37"/>
  <c r="G708" i="37"/>
  <c r="F708" i="37"/>
  <c r="W707" i="37"/>
  <c r="AR711" i="37" s="1"/>
  <c r="V707" i="37"/>
  <c r="U707" i="37"/>
  <c r="AP707" i="37" s="1"/>
  <c r="T707" i="37"/>
  <c r="AO713" i="37" s="1"/>
  <c r="S707" i="37"/>
  <c r="AN711" i="37" s="1"/>
  <c r="R707" i="37"/>
  <c r="Q707" i="37"/>
  <c r="AL707" i="37" s="1"/>
  <c r="P707" i="37"/>
  <c r="O707" i="37"/>
  <c r="AJ711" i="37" s="1"/>
  <c r="N707" i="37"/>
  <c r="M707" i="37"/>
  <c r="AH707" i="37" s="1"/>
  <c r="L707" i="37"/>
  <c r="AG710" i="37" s="1"/>
  <c r="K707" i="37"/>
  <c r="AF711" i="37" s="1"/>
  <c r="J707" i="37"/>
  <c r="AE712" i="37" s="1"/>
  <c r="I707" i="37"/>
  <c r="AD707" i="37" s="1"/>
  <c r="H707" i="37"/>
  <c r="G707" i="37"/>
  <c r="F707" i="37"/>
  <c r="W734" i="37"/>
  <c r="V734" i="37"/>
  <c r="U734" i="37"/>
  <c r="T734" i="37"/>
  <c r="S734" i="37"/>
  <c r="R734" i="37"/>
  <c r="Q734" i="37"/>
  <c r="P734" i="37"/>
  <c r="O734" i="37"/>
  <c r="N734" i="37"/>
  <c r="M734" i="37"/>
  <c r="L734" i="37"/>
  <c r="K734" i="37"/>
  <c r="J734" i="37"/>
  <c r="I734" i="37"/>
  <c r="H734" i="37"/>
  <c r="G734" i="37"/>
  <c r="F734" i="37"/>
  <c r="W733" i="37"/>
  <c r="V733" i="37"/>
  <c r="U733" i="37"/>
  <c r="T733" i="37"/>
  <c r="S733" i="37"/>
  <c r="R733" i="37"/>
  <c r="Q733" i="37"/>
  <c r="P733" i="37"/>
  <c r="O733" i="37"/>
  <c r="N733" i="37"/>
  <c r="M733" i="37"/>
  <c r="L733" i="37"/>
  <c r="K733" i="37"/>
  <c r="J733" i="37"/>
  <c r="I733" i="37"/>
  <c r="H733" i="37"/>
  <c r="G733" i="37"/>
  <c r="F733" i="37"/>
  <c r="W732" i="37"/>
  <c r="V732" i="37"/>
  <c r="U732" i="37"/>
  <c r="T732" i="37"/>
  <c r="S732" i="37"/>
  <c r="R732" i="37"/>
  <c r="Q732" i="37"/>
  <c r="P732" i="37"/>
  <c r="O732" i="37"/>
  <c r="N732" i="37"/>
  <c r="M732" i="37"/>
  <c r="L732" i="37"/>
  <c r="K732" i="37"/>
  <c r="J732" i="37"/>
  <c r="I732" i="37"/>
  <c r="H732" i="37"/>
  <c r="G732" i="37"/>
  <c r="F732" i="37"/>
  <c r="W731" i="37"/>
  <c r="V731" i="37"/>
  <c r="U731" i="37"/>
  <c r="T731" i="37"/>
  <c r="S731" i="37"/>
  <c r="R731" i="37"/>
  <c r="Q731" i="37"/>
  <c r="P731" i="37"/>
  <c r="O731" i="37"/>
  <c r="N731" i="37"/>
  <c r="M731" i="37"/>
  <c r="L731" i="37"/>
  <c r="K731" i="37"/>
  <c r="J731" i="37"/>
  <c r="I731" i="37"/>
  <c r="H731" i="37"/>
  <c r="G731" i="37"/>
  <c r="F731" i="37"/>
  <c r="W730" i="37"/>
  <c r="V730" i="37"/>
  <c r="U730" i="37"/>
  <c r="T730" i="37"/>
  <c r="S730" i="37"/>
  <c r="R730" i="37"/>
  <c r="Q730" i="37"/>
  <c r="P730" i="37"/>
  <c r="O730" i="37"/>
  <c r="N730" i="37"/>
  <c r="M730" i="37"/>
  <c r="L730" i="37"/>
  <c r="K730" i="37"/>
  <c r="J730" i="37"/>
  <c r="I730" i="37"/>
  <c r="H730" i="37"/>
  <c r="G730" i="37"/>
  <c r="F730" i="37"/>
  <c r="W729" i="37"/>
  <c r="V729" i="37"/>
  <c r="U729" i="37"/>
  <c r="T729" i="37"/>
  <c r="S729" i="37"/>
  <c r="R729" i="37"/>
  <c r="Q729" i="37"/>
  <c r="P729" i="37"/>
  <c r="O729" i="37"/>
  <c r="N729" i="37"/>
  <c r="M729" i="37"/>
  <c r="L729" i="37"/>
  <c r="K729" i="37"/>
  <c r="J729" i="37"/>
  <c r="I729" i="37"/>
  <c r="H729" i="37"/>
  <c r="G729" i="37"/>
  <c r="F729" i="37"/>
  <c r="W728" i="37"/>
  <c r="V728" i="37"/>
  <c r="U728" i="37"/>
  <c r="T728" i="37"/>
  <c r="S728" i="37"/>
  <c r="R728" i="37"/>
  <c r="Q728" i="37"/>
  <c r="P728" i="37"/>
  <c r="O728" i="37"/>
  <c r="N728" i="37"/>
  <c r="M728" i="37"/>
  <c r="L728" i="37"/>
  <c r="K728" i="37"/>
  <c r="J728" i="37"/>
  <c r="I728" i="37"/>
  <c r="H728" i="37"/>
  <c r="G728" i="37"/>
  <c r="F728" i="37"/>
  <c r="W727" i="37"/>
  <c r="V727" i="37"/>
  <c r="U727" i="37"/>
  <c r="T727" i="37"/>
  <c r="S727" i="37"/>
  <c r="R727" i="37"/>
  <c r="Q727" i="37"/>
  <c r="P727" i="37"/>
  <c r="O727" i="37"/>
  <c r="N727" i="37"/>
  <c r="M727" i="37"/>
  <c r="L727" i="37"/>
  <c r="K727" i="37"/>
  <c r="J727" i="37"/>
  <c r="I727" i="37"/>
  <c r="H727" i="37"/>
  <c r="G727" i="37"/>
  <c r="F727" i="37"/>
  <c r="W726" i="37"/>
  <c r="V726" i="37"/>
  <c r="U726" i="37"/>
  <c r="T726" i="37"/>
  <c r="S726" i="37"/>
  <c r="R726" i="37"/>
  <c r="Q726" i="37"/>
  <c r="P726" i="37"/>
  <c r="O726" i="37"/>
  <c r="N726" i="37"/>
  <c r="M726" i="37"/>
  <c r="L726" i="37"/>
  <c r="K726" i="37"/>
  <c r="J726" i="37"/>
  <c r="I726" i="37"/>
  <c r="H726" i="37"/>
  <c r="G726" i="37"/>
  <c r="F726" i="37"/>
  <c r="W725" i="37"/>
  <c r="V725" i="37"/>
  <c r="U725" i="37"/>
  <c r="T725" i="37"/>
  <c r="S725" i="37"/>
  <c r="R725" i="37"/>
  <c r="Q725" i="37"/>
  <c r="P725" i="37"/>
  <c r="O725" i="37"/>
  <c r="N725" i="37"/>
  <c r="M725" i="37"/>
  <c r="L725" i="37"/>
  <c r="K725" i="37"/>
  <c r="J725" i="37"/>
  <c r="I725" i="37"/>
  <c r="H725" i="37"/>
  <c r="G725" i="37"/>
  <c r="F725" i="37"/>
  <c r="W724" i="37"/>
  <c r="V724" i="37"/>
  <c r="U724" i="37"/>
  <c r="T724" i="37"/>
  <c r="S724" i="37"/>
  <c r="R724" i="37"/>
  <c r="Q724" i="37"/>
  <c r="P724" i="37"/>
  <c r="O724" i="37"/>
  <c r="N724" i="37"/>
  <c r="M724" i="37"/>
  <c r="L724" i="37"/>
  <c r="K724" i="37"/>
  <c r="J724" i="37"/>
  <c r="I724" i="37"/>
  <c r="H724" i="37"/>
  <c r="G724" i="37"/>
  <c r="F724" i="37"/>
  <c r="W723" i="37"/>
  <c r="V723" i="37"/>
  <c r="U723" i="37"/>
  <c r="T723" i="37"/>
  <c r="S723" i="37"/>
  <c r="R723" i="37"/>
  <c r="Q723" i="37"/>
  <c r="P723" i="37"/>
  <c r="O723" i="37"/>
  <c r="N723" i="37"/>
  <c r="M723" i="37"/>
  <c r="L723" i="37"/>
  <c r="K723" i="37"/>
  <c r="J723" i="37"/>
  <c r="I723" i="37"/>
  <c r="H723" i="37"/>
  <c r="G723" i="37"/>
  <c r="F723" i="37"/>
  <c r="W722" i="37"/>
  <c r="AR722" i="37" s="1"/>
  <c r="V722" i="37"/>
  <c r="AQ722" i="37" s="1"/>
  <c r="U722" i="37"/>
  <c r="AP722" i="37" s="1"/>
  <c r="T722" i="37"/>
  <c r="AO723" i="37" s="1"/>
  <c r="S722" i="37"/>
  <c r="AN722" i="37" s="1"/>
  <c r="R722" i="37"/>
  <c r="AM722" i="37" s="1"/>
  <c r="Q722" i="37"/>
  <c r="AL722" i="37" s="1"/>
  <c r="P722" i="37"/>
  <c r="AK723" i="37" s="1"/>
  <c r="O722" i="37"/>
  <c r="AJ722" i="37" s="1"/>
  <c r="N722" i="37"/>
  <c r="AI722" i="37" s="1"/>
  <c r="M722" i="37"/>
  <c r="L722" i="37"/>
  <c r="AG723" i="37" s="1"/>
  <c r="K722" i="37"/>
  <c r="AF722" i="37" s="1"/>
  <c r="J722" i="37"/>
  <c r="AE722" i="37" s="1"/>
  <c r="I722" i="37"/>
  <c r="AD722" i="37" s="1"/>
  <c r="H722" i="37"/>
  <c r="AC723" i="37" s="1"/>
  <c r="G722" i="37"/>
  <c r="F722" i="37"/>
  <c r="W744" i="37"/>
  <c r="V744" i="37"/>
  <c r="U744" i="37"/>
  <c r="T744" i="37"/>
  <c r="S744" i="37"/>
  <c r="R744" i="37"/>
  <c r="Q744" i="37"/>
  <c r="P744" i="37"/>
  <c r="O744" i="37"/>
  <c r="N744" i="37"/>
  <c r="M744" i="37"/>
  <c r="L744" i="37"/>
  <c r="K744" i="37"/>
  <c r="J744" i="37"/>
  <c r="I744" i="37"/>
  <c r="H744" i="37"/>
  <c r="G744" i="37"/>
  <c r="F744" i="37"/>
  <c r="W743" i="37"/>
  <c r="V743" i="37"/>
  <c r="U743" i="37"/>
  <c r="T743" i="37"/>
  <c r="S743" i="37"/>
  <c r="R743" i="37"/>
  <c r="Q743" i="37"/>
  <c r="P743" i="37"/>
  <c r="O743" i="37"/>
  <c r="N743" i="37"/>
  <c r="M743" i="37"/>
  <c r="L743" i="37"/>
  <c r="K743" i="37"/>
  <c r="J743" i="37"/>
  <c r="I743" i="37"/>
  <c r="H743" i="37"/>
  <c r="G743" i="37"/>
  <c r="F743" i="37"/>
  <c r="W742" i="37"/>
  <c r="V742" i="37"/>
  <c r="U742" i="37"/>
  <c r="T742" i="37"/>
  <c r="S742" i="37"/>
  <c r="R742" i="37"/>
  <c r="Q742" i="37"/>
  <c r="P742" i="37"/>
  <c r="O742" i="37"/>
  <c r="N742" i="37"/>
  <c r="M742" i="37"/>
  <c r="L742" i="37"/>
  <c r="K742" i="37"/>
  <c r="J742" i="37"/>
  <c r="I742" i="37"/>
  <c r="H742" i="37"/>
  <c r="G742" i="37"/>
  <c r="F742" i="37"/>
  <c r="W741" i="37"/>
  <c r="V741" i="37"/>
  <c r="U741" i="37"/>
  <c r="T741" i="37"/>
  <c r="S741" i="37"/>
  <c r="R741" i="37"/>
  <c r="Q741" i="37"/>
  <c r="P741" i="37"/>
  <c r="O741" i="37"/>
  <c r="N741" i="37"/>
  <c r="M741" i="37"/>
  <c r="L741" i="37"/>
  <c r="K741" i="37"/>
  <c r="J741" i="37"/>
  <c r="I741" i="37"/>
  <c r="H741" i="37"/>
  <c r="G741" i="37"/>
  <c r="F741" i="37"/>
  <c r="W740" i="37"/>
  <c r="V740" i="37"/>
  <c r="U740" i="37"/>
  <c r="T740" i="37"/>
  <c r="S740" i="37"/>
  <c r="R740" i="37"/>
  <c r="Q740" i="37"/>
  <c r="P740" i="37"/>
  <c r="O740" i="37"/>
  <c r="N740" i="37"/>
  <c r="M740" i="37"/>
  <c r="L740" i="37"/>
  <c r="K740" i="37"/>
  <c r="J740" i="37"/>
  <c r="I740" i="37"/>
  <c r="H740" i="37"/>
  <c r="G740" i="37"/>
  <c r="F740" i="37"/>
  <c r="W739" i="37"/>
  <c r="V739" i="37"/>
  <c r="U739" i="37"/>
  <c r="T739" i="37"/>
  <c r="S739" i="37"/>
  <c r="R739" i="37"/>
  <c r="Q739" i="37"/>
  <c r="P739" i="37"/>
  <c r="O739" i="37"/>
  <c r="N739" i="37"/>
  <c r="M739" i="37"/>
  <c r="L739" i="37"/>
  <c r="K739" i="37"/>
  <c r="J739" i="37"/>
  <c r="I739" i="37"/>
  <c r="H739" i="37"/>
  <c r="G739" i="37"/>
  <c r="F739" i="37"/>
  <c r="W738" i="37"/>
  <c r="V738" i="37"/>
  <c r="U738" i="37"/>
  <c r="T738" i="37"/>
  <c r="S738" i="37"/>
  <c r="R738" i="37"/>
  <c r="Q738" i="37"/>
  <c r="P738" i="37"/>
  <c r="O738" i="37"/>
  <c r="N738" i="37"/>
  <c r="M738" i="37"/>
  <c r="L738" i="37"/>
  <c r="K738" i="37"/>
  <c r="J738" i="37"/>
  <c r="I738" i="37"/>
  <c r="H738" i="37"/>
  <c r="G738" i="37"/>
  <c r="F738" i="37"/>
  <c r="W737" i="37"/>
  <c r="AR738" i="37" s="1"/>
  <c r="V737" i="37"/>
  <c r="AQ737" i="37" s="1"/>
  <c r="U737" i="37"/>
  <c r="AP738" i="37" s="1"/>
  <c r="T737" i="37"/>
  <c r="AO737" i="37" s="1"/>
  <c r="S737" i="37"/>
  <c r="AN738" i="37" s="1"/>
  <c r="R737" i="37"/>
  <c r="AM737" i="37" s="1"/>
  <c r="Q737" i="37"/>
  <c r="AL738" i="37" s="1"/>
  <c r="P737" i="37"/>
  <c r="AK737" i="37" s="1"/>
  <c r="O737" i="37"/>
  <c r="AJ738" i="37" s="1"/>
  <c r="N737" i="37"/>
  <c r="AI737" i="37" s="1"/>
  <c r="M737" i="37"/>
  <c r="AH738" i="37" s="1"/>
  <c r="L737" i="37"/>
  <c r="AG737" i="37" s="1"/>
  <c r="K737" i="37"/>
  <c r="AF738" i="37" s="1"/>
  <c r="J737" i="37"/>
  <c r="AE737" i="37" s="1"/>
  <c r="I737" i="37"/>
  <c r="H737" i="37"/>
  <c r="AC737" i="37" s="1"/>
  <c r="G737" i="37"/>
  <c r="F737" i="37"/>
  <c r="W757" i="37"/>
  <c r="V757" i="37"/>
  <c r="U757" i="37"/>
  <c r="T757" i="37"/>
  <c r="S757" i="37"/>
  <c r="R757" i="37"/>
  <c r="Q757" i="37"/>
  <c r="P757" i="37"/>
  <c r="O757" i="37"/>
  <c r="N757" i="37"/>
  <c r="M757" i="37"/>
  <c r="L757" i="37"/>
  <c r="K757" i="37"/>
  <c r="J757" i="37"/>
  <c r="I757" i="37"/>
  <c r="H757" i="37"/>
  <c r="G757" i="37"/>
  <c r="F757" i="37"/>
  <c r="W756" i="37"/>
  <c r="V756" i="37"/>
  <c r="U756" i="37"/>
  <c r="T756" i="37"/>
  <c r="S756" i="37"/>
  <c r="R756" i="37"/>
  <c r="Q756" i="37"/>
  <c r="P756" i="37"/>
  <c r="O756" i="37"/>
  <c r="N756" i="37"/>
  <c r="M756" i="37"/>
  <c r="L756" i="37"/>
  <c r="K756" i="37"/>
  <c r="J756" i="37"/>
  <c r="I756" i="37"/>
  <c r="H756" i="37"/>
  <c r="G756" i="37"/>
  <c r="F756" i="37"/>
  <c r="W755" i="37"/>
  <c r="V755" i="37"/>
  <c r="U755" i="37"/>
  <c r="T755" i="37"/>
  <c r="S755" i="37"/>
  <c r="R755" i="37"/>
  <c r="Q755" i="37"/>
  <c r="P755" i="37"/>
  <c r="O755" i="37"/>
  <c r="N755" i="37"/>
  <c r="M755" i="37"/>
  <c r="L755" i="37"/>
  <c r="K755" i="37"/>
  <c r="J755" i="37"/>
  <c r="I755" i="37"/>
  <c r="H755" i="37"/>
  <c r="G755" i="37"/>
  <c r="F755" i="37"/>
  <c r="W754" i="37"/>
  <c r="V754" i="37"/>
  <c r="U754" i="37"/>
  <c r="T754" i="37"/>
  <c r="S754" i="37"/>
  <c r="R754" i="37"/>
  <c r="Q754" i="37"/>
  <c r="P754" i="37"/>
  <c r="O754" i="37"/>
  <c r="N754" i="37"/>
  <c r="M754" i="37"/>
  <c r="L754" i="37"/>
  <c r="K754" i="37"/>
  <c r="J754" i="37"/>
  <c r="I754" i="37"/>
  <c r="H754" i="37"/>
  <c r="G754" i="37"/>
  <c r="F754" i="37"/>
  <c r="W753" i="37"/>
  <c r="V753" i="37"/>
  <c r="U753" i="37"/>
  <c r="T753" i="37"/>
  <c r="S753" i="37"/>
  <c r="R753" i="37"/>
  <c r="Q753" i="37"/>
  <c r="P753" i="37"/>
  <c r="O753" i="37"/>
  <c r="N753" i="37"/>
  <c r="M753" i="37"/>
  <c r="L753" i="37"/>
  <c r="K753" i="37"/>
  <c r="J753" i="37"/>
  <c r="I753" i="37"/>
  <c r="H753" i="37"/>
  <c r="G753" i="37"/>
  <c r="F753" i="37"/>
  <c r="W752" i="37"/>
  <c r="AR752" i="37" s="1"/>
  <c r="V752" i="37"/>
  <c r="AQ754" i="37" s="1"/>
  <c r="AQ765" i="37" s="1"/>
  <c r="U752" i="37"/>
  <c r="AP752" i="37" s="1"/>
  <c r="T752" i="37"/>
  <c r="AO752" i="37" s="1"/>
  <c r="S752" i="37"/>
  <c r="AN752" i="37" s="1"/>
  <c r="R752" i="37"/>
  <c r="AM754" i="37" s="1"/>
  <c r="AM765" i="37" s="1"/>
  <c r="Q752" i="37"/>
  <c r="AL752" i="37" s="1"/>
  <c r="P752" i="37"/>
  <c r="AK752" i="37" s="1"/>
  <c r="O752" i="37"/>
  <c r="AJ752" i="37" s="1"/>
  <c r="N752" i="37"/>
  <c r="AI754" i="37" s="1"/>
  <c r="AI765" i="37" s="1"/>
  <c r="M752" i="37"/>
  <c r="AH752" i="37" s="1"/>
  <c r="L752" i="37"/>
  <c r="AG752" i="37" s="1"/>
  <c r="K752" i="37"/>
  <c r="AF752" i="37" s="1"/>
  <c r="J752" i="37"/>
  <c r="AE754" i="37" s="1"/>
  <c r="AE765" i="37" s="1"/>
  <c r="I752" i="37"/>
  <c r="AD752" i="37" s="1"/>
  <c r="H752" i="37"/>
  <c r="AC752" i="37" s="1"/>
  <c r="G752" i="37"/>
  <c r="F752" i="37"/>
  <c r="Y17" i="37"/>
  <c r="Y18" i="37"/>
  <c r="Y19" i="37"/>
  <c r="Y20" i="37"/>
  <c r="Y21" i="37"/>
  <c r="Y22" i="37"/>
  <c r="Y23" i="37"/>
  <c r="Y24" i="37"/>
  <c r="Y25" i="37"/>
  <c r="Y26" i="37"/>
  <c r="Y27" i="37"/>
  <c r="Y28" i="37"/>
  <c r="Y29" i="37"/>
  <c r="Y32" i="37"/>
  <c r="Y33" i="37"/>
  <c r="Y34" i="37"/>
  <c r="Y35" i="37"/>
  <c r="Y36" i="37"/>
  <c r="Y37" i="37"/>
  <c r="Y38" i="37"/>
  <c r="Y39" i="37"/>
  <c r="Y47" i="37"/>
  <c r="Y48" i="37"/>
  <c r="Y49" i="37"/>
  <c r="Y50" i="37"/>
  <c r="Y51" i="37"/>
  <c r="Y52" i="37"/>
  <c r="Y53" i="37"/>
  <c r="Y54" i="37"/>
  <c r="Y55" i="37"/>
  <c r="Y56" i="37"/>
  <c r="Y62" i="37"/>
  <c r="Y63" i="37"/>
  <c r="Y64" i="37"/>
  <c r="Y65" i="37"/>
  <c r="Y66" i="37"/>
  <c r="Y67" i="37"/>
  <c r="Y68" i="37"/>
  <c r="Y69" i="37"/>
  <c r="Y77" i="37"/>
  <c r="Y78" i="37"/>
  <c r="Y79" i="37"/>
  <c r="Y80" i="37"/>
  <c r="Y81" i="37"/>
  <c r="Y82" i="37"/>
  <c r="Y83" i="37"/>
  <c r="Y84" i="37"/>
  <c r="Y92" i="37"/>
  <c r="Y93" i="37"/>
  <c r="Y94" i="37"/>
  <c r="Y95" i="37"/>
  <c r="Y96" i="37"/>
  <c r="Y97" i="37"/>
  <c r="Y98" i="37"/>
  <c r="Y107" i="37"/>
  <c r="Y108" i="37"/>
  <c r="Y109" i="37"/>
  <c r="Y110" i="37"/>
  <c r="Y111" i="37"/>
  <c r="Y122" i="37"/>
  <c r="Y123" i="37"/>
  <c r="Y124" i="37"/>
  <c r="Y125" i="37"/>
  <c r="Y126" i="37"/>
  <c r="Y127" i="37"/>
  <c r="Y128" i="37"/>
  <c r="Y129" i="37"/>
  <c r="Y130" i="37"/>
  <c r="Y137" i="37"/>
  <c r="Y138" i="37"/>
  <c r="Y139" i="37"/>
  <c r="Y140" i="37"/>
  <c r="Y141" i="37"/>
  <c r="Y142" i="37"/>
  <c r="Y143" i="37"/>
  <c r="Y144" i="37"/>
  <c r="Y145" i="37"/>
  <c r="Y152" i="37"/>
  <c r="Y153" i="37"/>
  <c r="Y154" i="37"/>
  <c r="Y155" i="37"/>
  <c r="Y156" i="37"/>
  <c r="Y157" i="37"/>
  <c r="Y158" i="37"/>
  <c r="Y159" i="37"/>
  <c r="Y160" i="37"/>
  <c r="Y161" i="37"/>
  <c r="Y167" i="37"/>
  <c r="AA167" i="37"/>
  <c r="AB167" i="37" s="1"/>
  <c r="AC167" i="37"/>
  <c r="AD167" i="37"/>
  <c r="AE167" i="37"/>
  <c r="AF167" i="37"/>
  <c r="AG167" i="37"/>
  <c r="AH167" i="37"/>
  <c r="AI167" i="37"/>
  <c r="AJ167" i="37"/>
  <c r="AK167" i="37"/>
  <c r="AL167" i="37"/>
  <c r="AM167" i="37"/>
  <c r="AN167" i="37"/>
  <c r="AO167" i="37"/>
  <c r="AP167" i="37"/>
  <c r="AQ167" i="37"/>
  <c r="AR167" i="37"/>
  <c r="Y168" i="37"/>
  <c r="AA168" i="37"/>
  <c r="AB168" i="37"/>
  <c r="AC168" i="37"/>
  <c r="AD168" i="37"/>
  <c r="AE168" i="37"/>
  <c r="AF168" i="37"/>
  <c r="AG168" i="37"/>
  <c r="AH168" i="37"/>
  <c r="AI168" i="37"/>
  <c r="AJ168" i="37"/>
  <c r="AK168" i="37"/>
  <c r="AL168" i="37"/>
  <c r="AM168" i="37"/>
  <c r="AN168" i="37"/>
  <c r="AO168" i="37"/>
  <c r="AP168" i="37"/>
  <c r="AQ168" i="37"/>
  <c r="AR168" i="37"/>
  <c r="Y169" i="37"/>
  <c r="AA169" i="37"/>
  <c r="AB169" i="37" s="1"/>
  <c r="AC169" i="37"/>
  <c r="AD169" i="37"/>
  <c r="AD180" i="37" s="1"/>
  <c r="AE169" i="37"/>
  <c r="AE180" i="37" s="1"/>
  <c r="AF169" i="37"/>
  <c r="AF180" i="37" s="1"/>
  <c r="AG169" i="37"/>
  <c r="AG180" i="37" s="1"/>
  <c r="AH169" i="37"/>
  <c r="AH180" i="37" s="1"/>
  <c r="AI169" i="37"/>
  <c r="AI180" i="37" s="1"/>
  <c r="AJ169" i="37"/>
  <c r="AJ180" i="37" s="1"/>
  <c r="AK169" i="37"/>
  <c r="AK180" i="37" s="1"/>
  <c r="AL169" i="37"/>
  <c r="AL180" i="37" s="1"/>
  <c r="AM169" i="37"/>
  <c r="AM180" i="37" s="1"/>
  <c r="AN169" i="37"/>
  <c r="AN180" i="37" s="1"/>
  <c r="AO169" i="37"/>
  <c r="AO180" i="37" s="1"/>
  <c r="AP169" i="37"/>
  <c r="AP180" i="37" s="1"/>
  <c r="AQ169" i="37"/>
  <c r="AQ180" i="37" s="1"/>
  <c r="AR169" i="37"/>
  <c r="AR180" i="37" s="1"/>
  <c r="Y170" i="37"/>
  <c r="AA170" i="37"/>
  <c r="AB170" i="37"/>
  <c r="AC170" i="37"/>
  <c r="AD170" i="37"/>
  <c r="AE170" i="37"/>
  <c r="AF170" i="37"/>
  <c r="AG170" i="37"/>
  <c r="AH170" i="37"/>
  <c r="AI170" i="37"/>
  <c r="AJ170" i="37"/>
  <c r="AK170" i="37"/>
  <c r="AL170" i="37"/>
  <c r="AM170" i="37"/>
  <c r="AN170" i="37"/>
  <c r="AO170" i="37"/>
  <c r="AP170" i="37"/>
  <c r="AQ170" i="37"/>
  <c r="AR170" i="37"/>
  <c r="Y171" i="37"/>
  <c r="AA171" i="37"/>
  <c r="AB171" i="37" s="1"/>
  <c r="AC171" i="37"/>
  <c r="AD171" i="37"/>
  <c r="AE171" i="37"/>
  <c r="AF171" i="37"/>
  <c r="AG171" i="37"/>
  <c r="AH171" i="37"/>
  <c r="AI171" i="37"/>
  <c r="AJ171" i="37"/>
  <c r="AK171" i="37"/>
  <c r="AL171" i="37"/>
  <c r="AM171" i="37"/>
  <c r="AN171" i="37"/>
  <c r="AO171" i="37"/>
  <c r="AP171" i="37"/>
  <c r="AQ171" i="37"/>
  <c r="AR171" i="37"/>
  <c r="Y172" i="37"/>
  <c r="AA172" i="37"/>
  <c r="AB172" i="37"/>
  <c r="AC172" i="37"/>
  <c r="AD172" i="37"/>
  <c r="AE172" i="37"/>
  <c r="AF172" i="37"/>
  <c r="AG172" i="37"/>
  <c r="AH172" i="37"/>
  <c r="AI172" i="37"/>
  <c r="AJ172" i="37"/>
  <c r="AK172" i="37"/>
  <c r="AL172" i="37"/>
  <c r="AM172" i="37"/>
  <c r="AN172" i="37"/>
  <c r="AO172" i="37"/>
  <c r="AP172" i="37"/>
  <c r="AQ172" i="37"/>
  <c r="AR172" i="37"/>
  <c r="Y173" i="37"/>
  <c r="AA173" i="37"/>
  <c r="AB173" i="37" s="1"/>
  <c r="AC173" i="37"/>
  <c r="AD173" i="37"/>
  <c r="AE173" i="37"/>
  <c r="AF173" i="37"/>
  <c r="AG173" i="37"/>
  <c r="AH173" i="37"/>
  <c r="AI173" i="37"/>
  <c r="AJ173" i="37"/>
  <c r="AK173" i="37"/>
  <c r="AL173" i="37"/>
  <c r="AM173" i="37"/>
  <c r="AN173" i="37"/>
  <c r="AO173" i="37"/>
  <c r="AP173" i="37"/>
  <c r="AQ173" i="37"/>
  <c r="AR173" i="37"/>
  <c r="AC180" i="37"/>
  <c r="Y182" i="37"/>
  <c r="Y183" i="37"/>
  <c r="Y184" i="37"/>
  <c r="Y185" i="37"/>
  <c r="Y186" i="37"/>
  <c r="Y187" i="37"/>
  <c r="Y188" i="37"/>
  <c r="Y197" i="37"/>
  <c r="Y198" i="37"/>
  <c r="Y199" i="37"/>
  <c r="Y200" i="37"/>
  <c r="Y201" i="37"/>
  <c r="Y202" i="37"/>
  <c r="Y203" i="37"/>
  <c r="Y204" i="37"/>
  <c r="Y205" i="37"/>
  <c r="Y206" i="37"/>
  <c r="Y207" i="37"/>
  <c r="Y212" i="37"/>
  <c r="Y213" i="37"/>
  <c r="Y214" i="37"/>
  <c r="Y215" i="37"/>
  <c r="Y216" i="37"/>
  <c r="Y217" i="37"/>
  <c r="Y218" i="37"/>
  <c r="Y219" i="37"/>
  <c r="Y220" i="37"/>
  <c r="Y227" i="37"/>
  <c r="Y228" i="37"/>
  <c r="Y229" i="37"/>
  <c r="Y230" i="37"/>
  <c r="Y231" i="37"/>
  <c r="Y232" i="37"/>
  <c r="Y233" i="37"/>
  <c r="Y234" i="37"/>
  <c r="Y242" i="37"/>
  <c r="Y243" i="37"/>
  <c r="Y244" i="37"/>
  <c r="Y245" i="37"/>
  <c r="Y246" i="37"/>
  <c r="Y247" i="37"/>
  <c r="Y248" i="37"/>
  <c r="Y249" i="37"/>
  <c r="Y257" i="37"/>
  <c r="Y258" i="37"/>
  <c r="Y259" i="37"/>
  <c r="Y260" i="37"/>
  <c r="Y261" i="37"/>
  <c r="Y262" i="37"/>
  <c r="Y263" i="37"/>
  <c r="Y264" i="37"/>
  <c r="Y265" i="37"/>
  <c r="Y266" i="37"/>
  <c r="Y272" i="37"/>
  <c r="Y273" i="37"/>
  <c r="Y274" i="37"/>
  <c r="Y275" i="37"/>
  <c r="Y276" i="37"/>
  <c r="Y277" i="37"/>
  <c r="Y278" i="37"/>
  <c r="Y279" i="37"/>
  <c r="Y280" i="37"/>
  <c r="Y281" i="37"/>
  <c r="Y282" i="37"/>
  <c r="Y287" i="37"/>
  <c r="AA287" i="37"/>
  <c r="AB287" i="37" s="1"/>
  <c r="AC287" i="37" s="1"/>
  <c r="AD287" i="37" s="1"/>
  <c r="AE287" i="37" s="1"/>
  <c r="AF287" i="37"/>
  <c r="AG287" i="37"/>
  <c r="AH287" i="37"/>
  <c r="AI287" i="37"/>
  <c r="AJ287" i="37"/>
  <c r="AK287" i="37"/>
  <c r="AL287" i="37"/>
  <c r="AM287" i="37"/>
  <c r="AN287" i="37"/>
  <c r="AO287" i="37"/>
  <c r="AP287" i="37"/>
  <c r="AQ287" i="37"/>
  <c r="AR287" i="37"/>
  <c r="Y288" i="37"/>
  <c r="AA288" i="37"/>
  <c r="AB288" i="37" s="1"/>
  <c r="AC288" i="37" s="1"/>
  <c r="AD288" i="37" s="1"/>
  <c r="AE288" i="37" s="1"/>
  <c r="AF288" i="37"/>
  <c r="AG288" i="37"/>
  <c r="AH288" i="37"/>
  <c r="AI288" i="37"/>
  <c r="AJ288" i="37"/>
  <c r="AK288" i="37"/>
  <c r="AL288" i="37"/>
  <c r="AM288" i="37"/>
  <c r="AN288" i="37"/>
  <c r="AO288" i="37"/>
  <c r="AP288" i="37"/>
  <c r="AQ288" i="37"/>
  <c r="AR288" i="37"/>
  <c r="Y289" i="37"/>
  <c r="AA289" i="37"/>
  <c r="AB289" i="37" s="1"/>
  <c r="AC289" i="37" s="1"/>
  <c r="AF289" i="37"/>
  <c r="AF300" i="37" s="1"/>
  <c r="AG289" i="37"/>
  <c r="AG300" i="37" s="1"/>
  <c r="AH289" i="37"/>
  <c r="AH300" i="37" s="1"/>
  <c r="AI289" i="37"/>
  <c r="AI300" i="37" s="1"/>
  <c r="AJ289" i="37"/>
  <c r="AJ300" i="37" s="1"/>
  <c r="AK289" i="37"/>
  <c r="AK300" i="37" s="1"/>
  <c r="AL289" i="37"/>
  <c r="AL300" i="37" s="1"/>
  <c r="AM289" i="37"/>
  <c r="AM300" i="37" s="1"/>
  <c r="AN289" i="37"/>
  <c r="AN300" i="37" s="1"/>
  <c r="AO289" i="37"/>
  <c r="AO300" i="37" s="1"/>
  <c r="AP289" i="37"/>
  <c r="AP300" i="37" s="1"/>
  <c r="AQ289" i="37"/>
  <c r="AQ300" i="37" s="1"/>
  <c r="AR289" i="37"/>
  <c r="AR300" i="37" s="1"/>
  <c r="Y290" i="37"/>
  <c r="AA290" i="37"/>
  <c r="AB290" i="37" s="1"/>
  <c r="AC290" i="37" s="1"/>
  <c r="AD290" i="37" s="1"/>
  <c r="AE290" i="37" s="1"/>
  <c r="AF290" i="37"/>
  <c r="AG290" i="37"/>
  <c r="AH290" i="37"/>
  <c r="AI290" i="37"/>
  <c r="AJ290" i="37"/>
  <c r="AK290" i="37"/>
  <c r="AL290" i="37"/>
  <c r="AM290" i="37"/>
  <c r="AN290" i="37"/>
  <c r="AO290" i="37"/>
  <c r="AP290" i="37"/>
  <c r="AQ290" i="37"/>
  <c r="AR290" i="37"/>
  <c r="Y291" i="37"/>
  <c r="AA291" i="37"/>
  <c r="AB291" i="37" s="1"/>
  <c r="AC291" i="37" s="1"/>
  <c r="AD291" i="37" s="1"/>
  <c r="AE291" i="37" s="1"/>
  <c r="AF291" i="37"/>
  <c r="AG291" i="37"/>
  <c r="AH291" i="37"/>
  <c r="AI291" i="37"/>
  <c r="AJ291" i="37"/>
  <c r="AK291" i="37"/>
  <c r="AL291" i="37"/>
  <c r="AM291" i="37"/>
  <c r="AN291" i="37"/>
  <c r="AO291" i="37"/>
  <c r="AP291" i="37"/>
  <c r="AQ291" i="37"/>
  <c r="AR291" i="37"/>
  <c r="Y292" i="37"/>
  <c r="AA292" i="37"/>
  <c r="AB292" i="37" s="1"/>
  <c r="AC292" i="37" s="1"/>
  <c r="AD292" i="37" s="1"/>
  <c r="AE292" i="37" s="1"/>
  <c r="AF292" i="37"/>
  <c r="AG292" i="37"/>
  <c r="AH292" i="37"/>
  <c r="AI292" i="37"/>
  <c r="AJ292" i="37"/>
  <c r="AK292" i="37"/>
  <c r="AL292" i="37"/>
  <c r="AM292" i="37"/>
  <c r="AN292" i="37"/>
  <c r="AO292" i="37"/>
  <c r="AP292" i="37"/>
  <c r="AQ292" i="37"/>
  <c r="AR292" i="37"/>
  <c r="Y293" i="37"/>
  <c r="AA293" i="37"/>
  <c r="AB293" i="37" s="1"/>
  <c r="AC293" i="37" s="1"/>
  <c r="AD293" i="37" s="1"/>
  <c r="AE293" i="37" s="1"/>
  <c r="AF293" i="37"/>
  <c r="AG293" i="37"/>
  <c r="AH293" i="37"/>
  <c r="AI293" i="37"/>
  <c r="AJ293" i="37"/>
  <c r="AK293" i="37"/>
  <c r="AL293" i="37"/>
  <c r="AM293" i="37"/>
  <c r="AN293" i="37"/>
  <c r="AO293" i="37"/>
  <c r="AP293" i="37"/>
  <c r="AQ293" i="37"/>
  <c r="AR293" i="37"/>
  <c r="Y294" i="37"/>
  <c r="AA294" i="37"/>
  <c r="AB294" i="37" s="1"/>
  <c r="AC294" i="37" s="1"/>
  <c r="AD294" i="37" s="1"/>
  <c r="AE294" i="37" s="1"/>
  <c r="AF294" i="37"/>
  <c r="AG294" i="37"/>
  <c r="AH294" i="37"/>
  <c r="AI294" i="37"/>
  <c r="AJ294" i="37"/>
  <c r="AK294" i="37"/>
  <c r="AL294" i="37"/>
  <c r="AM294" i="37"/>
  <c r="AN294" i="37"/>
  <c r="AO294" i="37"/>
  <c r="AP294" i="37"/>
  <c r="AQ294" i="37"/>
  <c r="AR294" i="37"/>
  <c r="Y295" i="37"/>
  <c r="AA295" i="37"/>
  <c r="AB295" i="37" s="1"/>
  <c r="AC295" i="37" s="1"/>
  <c r="AD295" i="37" s="1"/>
  <c r="AE295" i="37" s="1"/>
  <c r="AF295" i="37"/>
  <c r="AG295" i="37"/>
  <c r="AH295" i="37"/>
  <c r="AI295" i="37"/>
  <c r="AJ295" i="37"/>
  <c r="AK295" i="37"/>
  <c r="AL295" i="37"/>
  <c r="AM295" i="37"/>
  <c r="AN295" i="37"/>
  <c r="AO295" i="37"/>
  <c r="AP295" i="37"/>
  <c r="AQ295" i="37"/>
  <c r="AR295" i="37"/>
  <c r="Y302" i="37"/>
  <c r="AA302" i="37"/>
  <c r="AB302" i="37" s="1"/>
  <c r="AC302" i="37"/>
  <c r="AD302" i="37"/>
  <c r="AE302" i="37"/>
  <c r="AF302" i="37"/>
  <c r="AG302" i="37"/>
  <c r="AH302" i="37"/>
  <c r="AI302" i="37"/>
  <c r="AJ302" i="37"/>
  <c r="AK302" i="37"/>
  <c r="AL302" i="37"/>
  <c r="AM302" i="37"/>
  <c r="AN302" i="37"/>
  <c r="AO302" i="37"/>
  <c r="AP302" i="37"/>
  <c r="AQ302" i="37"/>
  <c r="AR302" i="37"/>
  <c r="Y303" i="37"/>
  <c r="AA303" i="37"/>
  <c r="AB303" i="37"/>
  <c r="AC303" i="37"/>
  <c r="AD303" i="37"/>
  <c r="AE303" i="37"/>
  <c r="AF303" i="37"/>
  <c r="AG303" i="37"/>
  <c r="AH303" i="37"/>
  <c r="AI303" i="37"/>
  <c r="AJ303" i="37"/>
  <c r="AK303" i="37"/>
  <c r="AL303" i="37"/>
  <c r="AM303" i="37"/>
  <c r="AN303" i="37"/>
  <c r="AO303" i="37"/>
  <c r="AP303" i="37"/>
  <c r="AQ303" i="37"/>
  <c r="AR303" i="37"/>
  <c r="Y304" i="37"/>
  <c r="AA304" i="37"/>
  <c r="AB304" i="37" s="1"/>
  <c r="AC304" i="37"/>
  <c r="AC315" i="37" s="1"/>
  <c r="AD304" i="37"/>
  <c r="AD315" i="37" s="1"/>
  <c r="AE304" i="37"/>
  <c r="AE315" i="37" s="1"/>
  <c r="AF304" i="37"/>
  <c r="AF315" i="37" s="1"/>
  <c r="AG304" i="37"/>
  <c r="AG315" i="37" s="1"/>
  <c r="AH304" i="37"/>
  <c r="AH315" i="37" s="1"/>
  <c r="AI304" i="37"/>
  <c r="AI315" i="37" s="1"/>
  <c r="AJ304" i="37"/>
  <c r="AJ315" i="37" s="1"/>
  <c r="AK304" i="37"/>
  <c r="AK315" i="37" s="1"/>
  <c r="AL304" i="37"/>
  <c r="AL315" i="37" s="1"/>
  <c r="AM304" i="37"/>
  <c r="AM315" i="37" s="1"/>
  <c r="AN304" i="37"/>
  <c r="AN315" i="37" s="1"/>
  <c r="AO304" i="37"/>
  <c r="AO315" i="37" s="1"/>
  <c r="AP304" i="37"/>
  <c r="AP315" i="37" s="1"/>
  <c r="AQ304" i="37"/>
  <c r="AQ315" i="37" s="1"/>
  <c r="AR304" i="37"/>
  <c r="AR315" i="37" s="1"/>
  <c r="Y305" i="37"/>
  <c r="AA305" i="37"/>
  <c r="AB305" i="37"/>
  <c r="AC305" i="37"/>
  <c r="AD305" i="37"/>
  <c r="AE305" i="37"/>
  <c r="AF305" i="37"/>
  <c r="AG305" i="37"/>
  <c r="AH305" i="37"/>
  <c r="AI305" i="37"/>
  <c r="AJ305" i="37"/>
  <c r="AK305" i="37"/>
  <c r="AL305" i="37"/>
  <c r="AM305" i="37"/>
  <c r="AN305" i="37"/>
  <c r="AO305" i="37"/>
  <c r="AP305" i="37"/>
  <c r="AQ305" i="37"/>
  <c r="AR305" i="37"/>
  <c r="Y306" i="37"/>
  <c r="AA306" i="37"/>
  <c r="AB306" i="37" s="1"/>
  <c r="AC306" i="37"/>
  <c r="AD306" i="37"/>
  <c r="AE306" i="37"/>
  <c r="AF306" i="37"/>
  <c r="AG306" i="37"/>
  <c r="AH306" i="37"/>
  <c r="AI306" i="37"/>
  <c r="AJ306" i="37"/>
  <c r="AK306" i="37"/>
  <c r="AL306" i="37"/>
  <c r="AM306" i="37"/>
  <c r="AN306" i="37"/>
  <c r="AO306" i="37"/>
  <c r="AP306" i="37"/>
  <c r="AQ306" i="37"/>
  <c r="AR306" i="37"/>
  <c r="Y307" i="37"/>
  <c r="AA307" i="37"/>
  <c r="AB307" i="37"/>
  <c r="AC307" i="37"/>
  <c r="AD307" i="37"/>
  <c r="AE307" i="37"/>
  <c r="AF307" i="37"/>
  <c r="AG307" i="37"/>
  <c r="AH307" i="37"/>
  <c r="AI307" i="37"/>
  <c r="AJ307" i="37"/>
  <c r="AK307" i="37"/>
  <c r="AL307" i="37"/>
  <c r="AM307" i="37"/>
  <c r="AN307" i="37"/>
  <c r="AO307" i="37"/>
  <c r="AP307" i="37"/>
  <c r="AQ307" i="37"/>
  <c r="AR307" i="37"/>
  <c r="Y308" i="37"/>
  <c r="AA308" i="37"/>
  <c r="AB308" i="37" s="1"/>
  <c r="AC308" i="37"/>
  <c r="AD308" i="37"/>
  <c r="AE308" i="37"/>
  <c r="AF308" i="37"/>
  <c r="AG308" i="37"/>
  <c r="AH308" i="37"/>
  <c r="AI308" i="37"/>
  <c r="AJ308" i="37"/>
  <c r="AK308" i="37"/>
  <c r="AL308" i="37"/>
  <c r="AM308" i="37"/>
  <c r="AN308" i="37"/>
  <c r="AO308" i="37"/>
  <c r="AP308" i="37"/>
  <c r="AQ308" i="37"/>
  <c r="AR308" i="37"/>
  <c r="Y309" i="37"/>
  <c r="AA309" i="37"/>
  <c r="AB309" i="37"/>
  <c r="AC309" i="37"/>
  <c r="AD309" i="37"/>
  <c r="AE309" i="37"/>
  <c r="AF309" i="37"/>
  <c r="AG309" i="37"/>
  <c r="AH309" i="37"/>
  <c r="AI309" i="37"/>
  <c r="AJ309" i="37"/>
  <c r="AK309" i="37"/>
  <c r="AL309" i="37"/>
  <c r="AM309" i="37"/>
  <c r="AN309" i="37"/>
  <c r="AO309" i="37"/>
  <c r="AP309" i="37"/>
  <c r="AQ309" i="37"/>
  <c r="AR309" i="37"/>
  <c r="Y310" i="37"/>
  <c r="AA310" i="37"/>
  <c r="AB310" i="37" s="1"/>
  <c r="AC310" i="37"/>
  <c r="AD310" i="37"/>
  <c r="AE310" i="37"/>
  <c r="AF310" i="37"/>
  <c r="AG310" i="37"/>
  <c r="AH310" i="37"/>
  <c r="AI310" i="37"/>
  <c r="AJ310" i="37"/>
  <c r="AK310" i="37"/>
  <c r="AL310" i="37"/>
  <c r="AM310" i="37"/>
  <c r="AN310" i="37"/>
  <c r="AO310" i="37"/>
  <c r="AP310" i="37"/>
  <c r="AQ310" i="37"/>
  <c r="AR310" i="37"/>
  <c r="Y317" i="37"/>
  <c r="AA317" i="37"/>
  <c r="AB317" i="37" s="1"/>
  <c r="AC317" i="37" s="1"/>
  <c r="AD317" i="37" s="1"/>
  <c r="AE317" i="37" s="1"/>
  <c r="AF317" i="37" s="1"/>
  <c r="AG317" i="37" s="1"/>
  <c r="AH317" i="37" s="1"/>
  <c r="AI317" i="37"/>
  <c r="AJ317" i="37" s="1"/>
  <c r="AK317" i="37"/>
  <c r="AL317" i="37"/>
  <c r="AM317" i="37"/>
  <c r="AN317" i="37"/>
  <c r="AO317" i="37"/>
  <c r="AP317" i="37"/>
  <c r="AQ317" i="37"/>
  <c r="AR317" i="37"/>
  <c r="Y318" i="37"/>
  <c r="AA318" i="37"/>
  <c r="AB318" i="37" s="1"/>
  <c r="AC318" i="37" s="1"/>
  <c r="AD318" i="37" s="1"/>
  <c r="AE318" i="37" s="1"/>
  <c r="AF318" i="37" s="1"/>
  <c r="AG318" i="37" s="1"/>
  <c r="AH318" i="37" s="1"/>
  <c r="AI318" i="37" s="1"/>
  <c r="AJ318" i="37" s="1"/>
  <c r="AK318" i="37"/>
  <c r="AL318" i="37"/>
  <c r="AM318" i="37"/>
  <c r="AN318" i="37"/>
  <c r="AO318" i="37"/>
  <c r="AP318" i="37"/>
  <c r="AQ318" i="37"/>
  <c r="AR318" i="37"/>
  <c r="Y319" i="37"/>
  <c r="AA319" i="37"/>
  <c r="AB319" i="37" s="1"/>
  <c r="AC319" i="37" s="1"/>
  <c r="AD319" i="37" s="1"/>
  <c r="AK319" i="37"/>
  <c r="AK330" i="37" s="1"/>
  <c r="AL319" i="37"/>
  <c r="AL330" i="37" s="1"/>
  <c r="AM319" i="37"/>
  <c r="AM330" i="37" s="1"/>
  <c r="AN319" i="37"/>
  <c r="AN330" i="37" s="1"/>
  <c r="AO319" i="37"/>
  <c r="AO330" i="37" s="1"/>
  <c r="AP319" i="37"/>
  <c r="AP330" i="37" s="1"/>
  <c r="AQ319" i="37"/>
  <c r="AQ330" i="37" s="1"/>
  <c r="AR319" i="37"/>
  <c r="AR330" i="37" s="1"/>
  <c r="Y320" i="37"/>
  <c r="AA320" i="37"/>
  <c r="AB320" i="37" s="1"/>
  <c r="AC320" i="37" s="1"/>
  <c r="AD320" i="37" s="1"/>
  <c r="AE320" i="37" s="1"/>
  <c r="AF320" i="37" s="1"/>
  <c r="AG320" i="37" s="1"/>
  <c r="AH320" i="37" s="1"/>
  <c r="AI320" i="37" s="1"/>
  <c r="AJ320" i="37" s="1"/>
  <c r="AK320" i="37"/>
  <c r="AL320" i="37"/>
  <c r="AM320" i="37"/>
  <c r="AN320" i="37"/>
  <c r="AO320" i="37"/>
  <c r="AP320" i="37"/>
  <c r="AQ320" i="37"/>
  <c r="AR320" i="37"/>
  <c r="Y321" i="37"/>
  <c r="AA321" i="37"/>
  <c r="AB321" i="37" s="1"/>
  <c r="AC321" i="37" s="1"/>
  <c r="AD321" i="37" s="1"/>
  <c r="AE321" i="37" s="1"/>
  <c r="AF321" i="37" s="1"/>
  <c r="AG321" i="37" s="1"/>
  <c r="AH321" i="37" s="1"/>
  <c r="AI321" i="37" s="1"/>
  <c r="AJ321" i="37" s="1"/>
  <c r="AK321" i="37"/>
  <c r="AL321" i="37"/>
  <c r="AM321" i="37"/>
  <c r="AN321" i="37"/>
  <c r="AO321" i="37"/>
  <c r="AP321" i="37"/>
  <c r="AQ321" i="37"/>
  <c r="AR321" i="37"/>
  <c r="Y332" i="37"/>
  <c r="AA332" i="37"/>
  <c r="AB332" i="37" s="1"/>
  <c r="AC332" i="37" s="1"/>
  <c r="AD332" i="37"/>
  <c r="AE332" i="37"/>
  <c r="AF332" i="37" s="1"/>
  <c r="AG332" i="37"/>
  <c r="AH332" i="37"/>
  <c r="AI332" i="37"/>
  <c r="AJ332" i="37"/>
  <c r="AK332" i="37"/>
  <c r="AL332" i="37"/>
  <c r="AM332" i="37"/>
  <c r="AN332" i="37"/>
  <c r="AO332" i="37"/>
  <c r="AP332" i="37"/>
  <c r="AQ332" i="37"/>
  <c r="AR332" i="37"/>
  <c r="Y333" i="37"/>
  <c r="AA333" i="37"/>
  <c r="AB333" i="37"/>
  <c r="AC333" i="37" s="1"/>
  <c r="AD333" i="37"/>
  <c r="AE333" i="37"/>
  <c r="AF333" i="37" s="1"/>
  <c r="AG333" i="37"/>
  <c r="AH333" i="37"/>
  <c r="AI333" i="37"/>
  <c r="AJ333" i="37"/>
  <c r="AK333" i="37"/>
  <c r="AL333" i="37"/>
  <c r="AM333" i="37"/>
  <c r="AN333" i="37"/>
  <c r="AO333" i="37"/>
  <c r="AP333" i="37"/>
  <c r="AQ333" i="37"/>
  <c r="AR333" i="37"/>
  <c r="Y334" i="37"/>
  <c r="AA334" i="37"/>
  <c r="AB334" i="37" s="1"/>
  <c r="AC334" i="37" s="1"/>
  <c r="AC345" i="37" s="1"/>
  <c r="AD334" i="37"/>
  <c r="AD345" i="37" s="1"/>
  <c r="AE334" i="37"/>
  <c r="AE345" i="37" s="1"/>
  <c r="AG334" i="37"/>
  <c r="AG345" i="37" s="1"/>
  <c r="AH334" i="37"/>
  <c r="AH345" i="37" s="1"/>
  <c r="AI334" i="37"/>
  <c r="AI345" i="37" s="1"/>
  <c r="AJ334" i="37"/>
  <c r="AJ345" i="37" s="1"/>
  <c r="AK334" i="37"/>
  <c r="AK345" i="37" s="1"/>
  <c r="AL334" i="37"/>
  <c r="AL345" i="37" s="1"/>
  <c r="AM334" i="37"/>
  <c r="AM345" i="37" s="1"/>
  <c r="AN334" i="37"/>
  <c r="AN345" i="37" s="1"/>
  <c r="AO334" i="37"/>
  <c r="AO345" i="37" s="1"/>
  <c r="AP334" i="37"/>
  <c r="AP345" i="37" s="1"/>
  <c r="AQ334" i="37"/>
  <c r="AQ345" i="37" s="1"/>
  <c r="AR334" i="37"/>
  <c r="AR345" i="37" s="1"/>
  <c r="Y335" i="37"/>
  <c r="AA335" i="37"/>
  <c r="AB335" i="37"/>
  <c r="AC335" i="37" s="1"/>
  <c r="AD335" i="37"/>
  <c r="AE335" i="37"/>
  <c r="AF335" i="37" s="1"/>
  <c r="AG335" i="37"/>
  <c r="AH335" i="37"/>
  <c r="AI335" i="37"/>
  <c r="AJ335" i="37"/>
  <c r="AK335" i="37"/>
  <c r="AL335" i="37"/>
  <c r="AM335" i="37"/>
  <c r="AN335" i="37"/>
  <c r="AO335" i="37"/>
  <c r="AP335" i="37"/>
  <c r="AQ335" i="37"/>
  <c r="AR335" i="37"/>
  <c r="Y336" i="37"/>
  <c r="AA336" i="37"/>
  <c r="AB336" i="37" s="1"/>
  <c r="AC336" i="37" s="1"/>
  <c r="AD336" i="37"/>
  <c r="AE336" i="37"/>
  <c r="AF336" i="37" s="1"/>
  <c r="AG336" i="37"/>
  <c r="AH336" i="37"/>
  <c r="AI336" i="37"/>
  <c r="AJ336" i="37"/>
  <c r="AK336" i="37"/>
  <c r="AL336" i="37"/>
  <c r="AM336" i="37"/>
  <c r="AN336" i="37"/>
  <c r="AO336" i="37"/>
  <c r="AP336" i="37"/>
  <c r="AQ336" i="37"/>
  <c r="AR336" i="37"/>
  <c r="Y337" i="37"/>
  <c r="AA337" i="37"/>
  <c r="AB337" i="37"/>
  <c r="AC337" i="37" s="1"/>
  <c r="AD337" i="37"/>
  <c r="AE337" i="37"/>
  <c r="AF337" i="37" s="1"/>
  <c r="AG337" i="37"/>
  <c r="AH337" i="37"/>
  <c r="AI337" i="37"/>
  <c r="AJ337" i="37"/>
  <c r="AK337" i="37"/>
  <c r="AL337" i="37"/>
  <c r="AM337" i="37"/>
  <c r="AN337" i="37"/>
  <c r="AO337" i="37"/>
  <c r="AP337" i="37"/>
  <c r="AQ337" i="37"/>
  <c r="AR337" i="37"/>
  <c r="Y347" i="37"/>
  <c r="AA347" i="37"/>
  <c r="AB347" i="37" s="1"/>
  <c r="AC347" i="37" s="1"/>
  <c r="AD347" i="37"/>
  <c r="AE347" i="37"/>
  <c r="AF347" i="37"/>
  <c r="AG347" i="37"/>
  <c r="AH347" i="37"/>
  <c r="AI347" i="37"/>
  <c r="AJ347" i="37"/>
  <c r="AK347" i="37"/>
  <c r="AL347" i="37"/>
  <c r="AM347" i="37"/>
  <c r="AN347" i="37"/>
  <c r="AO347" i="37"/>
  <c r="AP347" i="37"/>
  <c r="AQ347" i="37"/>
  <c r="AR347" i="37"/>
  <c r="Y348" i="37"/>
  <c r="AA348" i="37"/>
  <c r="AB348" i="37"/>
  <c r="AC348" i="37" s="1"/>
  <c r="AD348" i="37"/>
  <c r="AE348" i="37"/>
  <c r="AF348" i="37"/>
  <c r="AG348" i="37"/>
  <c r="AH348" i="37"/>
  <c r="AI348" i="37"/>
  <c r="AJ348" i="37"/>
  <c r="AK348" i="37"/>
  <c r="AL348" i="37"/>
  <c r="AM348" i="37"/>
  <c r="AN348" i="37"/>
  <c r="AO348" i="37"/>
  <c r="AP348" i="37"/>
  <c r="AQ348" i="37"/>
  <c r="AR348" i="37"/>
  <c r="Y349" i="37"/>
  <c r="AA349" i="37"/>
  <c r="AB349" i="37" s="1"/>
  <c r="AC349" i="37" s="1"/>
  <c r="AC360" i="37" s="1"/>
  <c r="AD349" i="37"/>
  <c r="AD360" i="37" s="1"/>
  <c r="AE349" i="37"/>
  <c r="AE360" i="37" s="1"/>
  <c r="AF349" i="37"/>
  <c r="AF360" i="37" s="1"/>
  <c r="AG349" i="37"/>
  <c r="AG360" i="37" s="1"/>
  <c r="AH349" i="37"/>
  <c r="AH360" i="37" s="1"/>
  <c r="AI349" i="37"/>
  <c r="AI360" i="37" s="1"/>
  <c r="AJ349" i="37"/>
  <c r="AJ360" i="37" s="1"/>
  <c r="AK349" i="37"/>
  <c r="AK360" i="37" s="1"/>
  <c r="AL349" i="37"/>
  <c r="AL360" i="37" s="1"/>
  <c r="AM349" i="37"/>
  <c r="AM360" i="37" s="1"/>
  <c r="AN349" i="37"/>
  <c r="AN360" i="37" s="1"/>
  <c r="AO349" i="37"/>
  <c r="AO360" i="37" s="1"/>
  <c r="AP349" i="37"/>
  <c r="AP360" i="37" s="1"/>
  <c r="AQ349" i="37"/>
  <c r="AQ360" i="37" s="1"/>
  <c r="AR349" i="37"/>
  <c r="AR360" i="37" s="1"/>
  <c r="Y350" i="37"/>
  <c r="AA350" i="37"/>
  <c r="AB350" i="37"/>
  <c r="AC350" i="37" s="1"/>
  <c r="AD350" i="37"/>
  <c r="AE350" i="37"/>
  <c r="AF350" i="37"/>
  <c r="AG350" i="37"/>
  <c r="AH350" i="37"/>
  <c r="AI350" i="37"/>
  <c r="AJ350" i="37"/>
  <c r="AK350" i="37"/>
  <c r="AL350" i="37"/>
  <c r="AM350" i="37"/>
  <c r="AN350" i="37"/>
  <c r="AO350" i="37"/>
  <c r="AP350" i="37"/>
  <c r="AQ350" i="37"/>
  <c r="AR350" i="37"/>
  <c r="Y351" i="37"/>
  <c r="AA351" i="37"/>
  <c r="AB351" i="37" s="1"/>
  <c r="AC351" i="37" s="1"/>
  <c r="AD351" i="37"/>
  <c r="AE351" i="37"/>
  <c r="AF351" i="37"/>
  <c r="AG351" i="37"/>
  <c r="AH351" i="37"/>
  <c r="AI351" i="37"/>
  <c r="AJ351" i="37"/>
  <c r="AK351" i="37"/>
  <c r="AL351" i="37"/>
  <c r="AM351" i="37"/>
  <c r="AN351" i="37"/>
  <c r="AO351" i="37"/>
  <c r="AP351" i="37"/>
  <c r="AQ351" i="37"/>
  <c r="AR351" i="37"/>
  <c r="Y352" i="37"/>
  <c r="AA352" i="37"/>
  <c r="AB352" i="37"/>
  <c r="AC352" i="37" s="1"/>
  <c r="AD352" i="37"/>
  <c r="AE352" i="37"/>
  <c r="AF352" i="37"/>
  <c r="AG352" i="37"/>
  <c r="AH352" i="37"/>
  <c r="AI352" i="37"/>
  <c r="AJ352" i="37"/>
  <c r="AK352" i="37"/>
  <c r="AL352" i="37"/>
  <c r="AM352" i="37"/>
  <c r="AN352" i="37"/>
  <c r="AO352" i="37"/>
  <c r="AP352" i="37"/>
  <c r="AQ352" i="37"/>
  <c r="AR352" i="37"/>
  <c r="Y353" i="37"/>
  <c r="AA353" i="37"/>
  <c r="AB353" i="37" s="1"/>
  <c r="AC353" i="37" s="1"/>
  <c r="AD353" i="37"/>
  <c r="AE353" i="37"/>
  <c r="AF353" i="37"/>
  <c r="AG353" i="37"/>
  <c r="AH353" i="37"/>
  <c r="AI353" i="37"/>
  <c r="AJ353" i="37"/>
  <c r="AK353" i="37"/>
  <c r="AL353" i="37"/>
  <c r="AM353" i="37"/>
  <c r="AN353" i="37"/>
  <c r="AO353" i="37"/>
  <c r="AP353" i="37"/>
  <c r="AQ353" i="37"/>
  <c r="AR353" i="37"/>
  <c r="Y354" i="37"/>
  <c r="AA354" i="37"/>
  <c r="AB354" i="37"/>
  <c r="AC354" i="37" s="1"/>
  <c r="AD354" i="37"/>
  <c r="AE354" i="37"/>
  <c r="AF354" i="37"/>
  <c r="AG354" i="37"/>
  <c r="AH354" i="37"/>
  <c r="AI354" i="37"/>
  <c r="AJ354" i="37"/>
  <c r="AK354" i="37"/>
  <c r="AL354" i="37"/>
  <c r="AM354" i="37"/>
  <c r="AN354" i="37"/>
  <c r="AO354" i="37"/>
  <c r="AP354" i="37"/>
  <c r="AQ354" i="37"/>
  <c r="AR354" i="37"/>
  <c r="Y355" i="37"/>
  <c r="AA355" i="37"/>
  <c r="AB355" i="37" s="1"/>
  <c r="AC355" i="37" s="1"/>
  <c r="AD355" i="37"/>
  <c r="AE355" i="37"/>
  <c r="AF355" i="37"/>
  <c r="AG355" i="37"/>
  <c r="AH355" i="37"/>
  <c r="AI355" i="37"/>
  <c r="AJ355" i="37"/>
  <c r="AK355" i="37"/>
  <c r="AL355" i="37"/>
  <c r="AM355" i="37"/>
  <c r="AN355" i="37"/>
  <c r="AO355" i="37"/>
  <c r="AP355" i="37"/>
  <c r="AQ355" i="37"/>
  <c r="AR355" i="37"/>
  <c r="Y362" i="37"/>
  <c r="AA362" i="37"/>
  <c r="AB362" i="37" s="1"/>
  <c r="AC362" i="37"/>
  <c r="AD362" i="37"/>
  <c r="AE362" i="37"/>
  <c r="AF362" i="37"/>
  <c r="AG362" i="37"/>
  <c r="AH362" i="37"/>
  <c r="AI362" i="37"/>
  <c r="AJ362" i="37"/>
  <c r="AK362" i="37"/>
  <c r="AL362" i="37"/>
  <c r="AM362" i="37"/>
  <c r="AN362" i="37"/>
  <c r="AO362" i="37"/>
  <c r="AP362" i="37"/>
  <c r="AQ362" i="37"/>
  <c r="AR362" i="37"/>
  <c r="Y363" i="37"/>
  <c r="AA363" i="37"/>
  <c r="AB363" i="37"/>
  <c r="AC363" i="37"/>
  <c r="AD363" i="37"/>
  <c r="AE363" i="37"/>
  <c r="AF363" i="37"/>
  <c r="AG363" i="37"/>
  <c r="AH363" i="37"/>
  <c r="AI363" i="37"/>
  <c r="AJ363" i="37"/>
  <c r="AK363" i="37"/>
  <c r="AL363" i="37"/>
  <c r="AM363" i="37"/>
  <c r="AN363" i="37"/>
  <c r="AO363" i="37"/>
  <c r="AP363" i="37"/>
  <c r="AQ363" i="37"/>
  <c r="AR363" i="37"/>
  <c r="Y364" i="37"/>
  <c r="AA364" i="37"/>
  <c r="AB364" i="37" s="1"/>
  <c r="AC364" i="37"/>
  <c r="AD364" i="37"/>
  <c r="AD375" i="37" s="1"/>
  <c r="AE364" i="37"/>
  <c r="AE375" i="37" s="1"/>
  <c r="AF364" i="37"/>
  <c r="AF375" i="37" s="1"/>
  <c r="AG364" i="37"/>
  <c r="AG375" i="37" s="1"/>
  <c r="AH364" i="37"/>
  <c r="AH375" i="37" s="1"/>
  <c r="AI364" i="37"/>
  <c r="AI375" i="37" s="1"/>
  <c r="AJ364" i="37"/>
  <c r="AJ375" i="37" s="1"/>
  <c r="AK364" i="37"/>
  <c r="AK375" i="37" s="1"/>
  <c r="AL364" i="37"/>
  <c r="AL375" i="37" s="1"/>
  <c r="AM364" i="37"/>
  <c r="AM375" i="37" s="1"/>
  <c r="AN364" i="37"/>
  <c r="AN375" i="37" s="1"/>
  <c r="AO364" i="37"/>
  <c r="AO375" i="37" s="1"/>
  <c r="AP364" i="37"/>
  <c r="AP375" i="37" s="1"/>
  <c r="AQ364" i="37"/>
  <c r="AQ375" i="37" s="1"/>
  <c r="AR364" i="37"/>
  <c r="AR375" i="37" s="1"/>
  <c r="Y365" i="37"/>
  <c r="AA365" i="37"/>
  <c r="AB365" i="37"/>
  <c r="AC365" i="37"/>
  <c r="AD365" i="37"/>
  <c r="AE365" i="37"/>
  <c r="AF365" i="37"/>
  <c r="AG365" i="37"/>
  <c r="AH365" i="37"/>
  <c r="AI365" i="37"/>
  <c r="AJ365" i="37"/>
  <c r="AK365" i="37"/>
  <c r="AL365" i="37"/>
  <c r="AM365" i="37"/>
  <c r="AN365" i="37"/>
  <c r="AO365" i="37"/>
  <c r="AP365" i="37"/>
  <c r="AQ365" i="37"/>
  <c r="AR365" i="37"/>
  <c r="Y366" i="37"/>
  <c r="AA366" i="37"/>
  <c r="AB366" i="37" s="1"/>
  <c r="AC366" i="37"/>
  <c r="AD366" i="37"/>
  <c r="AE366" i="37"/>
  <c r="AF366" i="37"/>
  <c r="AG366" i="37"/>
  <c r="AH366" i="37"/>
  <c r="AI366" i="37"/>
  <c r="AJ366" i="37"/>
  <c r="AK366" i="37"/>
  <c r="AL366" i="37"/>
  <c r="AM366" i="37"/>
  <c r="AN366" i="37"/>
  <c r="AO366" i="37"/>
  <c r="AP366" i="37"/>
  <c r="AQ366" i="37"/>
  <c r="AR366" i="37"/>
  <c r="Y367" i="37"/>
  <c r="AA367" i="37"/>
  <c r="AB367" i="37"/>
  <c r="AC367" i="37"/>
  <c r="AD367" i="37"/>
  <c r="AE367" i="37"/>
  <c r="AF367" i="37"/>
  <c r="AG367" i="37"/>
  <c r="AH367" i="37"/>
  <c r="AI367" i="37"/>
  <c r="AJ367" i="37"/>
  <c r="AK367" i="37"/>
  <c r="AL367" i="37"/>
  <c r="AM367" i="37"/>
  <c r="AN367" i="37"/>
  <c r="AO367" i="37"/>
  <c r="AP367" i="37"/>
  <c r="AQ367" i="37"/>
  <c r="AR367" i="37"/>
  <c r="Y368" i="37"/>
  <c r="AA368" i="37"/>
  <c r="AB368" i="37" s="1"/>
  <c r="AC368" i="37"/>
  <c r="AD368" i="37"/>
  <c r="AE368" i="37"/>
  <c r="AF368" i="37"/>
  <c r="AG368" i="37"/>
  <c r="AH368" i="37"/>
  <c r="AI368" i="37"/>
  <c r="AJ368" i="37"/>
  <c r="AK368" i="37"/>
  <c r="AL368" i="37"/>
  <c r="AM368" i="37"/>
  <c r="AN368" i="37"/>
  <c r="AO368" i="37"/>
  <c r="AP368" i="37"/>
  <c r="AQ368" i="37"/>
  <c r="AR368" i="37"/>
  <c r="AC375" i="37"/>
  <c r="Y377" i="37"/>
  <c r="AA377" i="37"/>
  <c r="AB377" i="37" s="1"/>
  <c r="AC377" i="37" s="1"/>
  <c r="AD377" i="37" s="1"/>
  <c r="AE377" i="37" s="1"/>
  <c r="AF377" i="37" s="1"/>
  <c r="AG377" i="37" s="1"/>
  <c r="AH377" i="37" s="1"/>
  <c r="AI377" i="37" s="1"/>
  <c r="AJ377" i="37" s="1"/>
  <c r="AK377" i="37"/>
  <c r="AL377" i="37"/>
  <c r="AM377" i="37"/>
  <c r="AN377" i="37"/>
  <c r="AO377" i="37"/>
  <c r="AP377" i="37"/>
  <c r="AQ377" i="37"/>
  <c r="AR377" i="37"/>
  <c r="Y378" i="37"/>
  <c r="AA378" i="37"/>
  <c r="AB378" i="37" s="1"/>
  <c r="AC378" i="37" s="1"/>
  <c r="AD378" i="37" s="1"/>
  <c r="AE378" i="37" s="1"/>
  <c r="AF378" i="37" s="1"/>
  <c r="AG378" i="37" s="1"/>
  <c r="AH378" i="37" s="1"/>
  <c r="AI378" i="37" s="1"/>
  <c r="AJ378" i="37" s="1"/>
  <c r="AK378" i="37"/>
  <c r="AL378" i="37"/>
  <c r="AM378" i="37"/>
  <c r="AN378" i="37"/>
  <c r="AO378" i="37"/>
  <c r="AP378" i="37"/>
  <c r="AQ378" i="37"/>
  <c r="AR378" i="37"/>
  <c r="Y379" i="37"/>
  <c r="AA379" i="37"/>
  <c r="AB379" i="37" s="1"/>
  <c r="AC379" i="37" s="1"/>
  <c r="AK379" i="37"/>
  <c r="AK390" i="37" s="1"/>
  <c r="AL379" i="37"/>
  <c r="AL390" i="37" s="1"/>
  <c r="AM379" i="37"/>
  <c r="AM390" i="37" s="1"/>
  <c r="AN379" i="37"/>
  <c r="AN390" i="37" s="1"/>
  <c r="AO379" i="37"/>
  <c r="AO390" i="37" s="1"/>
  <c r="AP379" i="37"/>
  <c r="AP390" i="37" s="1"/>
  <c r="AQ379" i="37"/>
  <c r="AQ390" i="37" s="1"/>
  <c r="AR379" i="37"/>
  <c r="AR390" i="37" s="1"/>
  <c r="Y380" i="37"/>
  <c r="AA380" i="37"/>
  <c r="AB380" i="37" s="1"/>
  <c r="AC380" i="37" s="1"/>
  <c r="AD380" i="37" s="1"/>
  <c r="AE380" i="37" s="1"/>
  <c r="AF380" i="37" s="1"/>
  <c r="AG380" i="37" s="1"/>
  <c r="AH380" i="37" s="1"/>
  <c r="AI380" i="37" s="1"/>
  <c r="AJ380" i="37" s="1"/>
  <c r="AK380" i="37"/>
  <c r="AL380" i="37"/>
  <c r="AM380" i="37"/>
  <c r="AN380" i="37"/>
  <c r="AO380" i="37"/>
  <c r="AP380" i="37"/>
  <c r="AQ380" i="37"/>
  <c r="AR380" i="37"/>
  <c r="Y381" i="37"/>
  <c r="AA381" i="37"/>
  <c r="AB381" i="37" s="1"/>
  <c r="AC381" i="37" s="1"/>
  <c r="AD381" i="37" s="1"/>
  <c r="AE381" i="37" s="1"/>
  <c r="AF381" i="37" s="1"/>
  <c r="AG381" i="37" s="1"/>
  <c r="AH381" i="37" s="1"/>
  <c r="AI381" i="37" s="1"/>
  <c r="AJ381" i="37" s="1"/>
  <c r="AK381" i="37"/>
  <c r="AL381" i="37"/>
  <c r="AM381" i="37"/>
  <c r="AN381" i="37"/>
  <c r="AO381" i="37"/>
  <c r="AP381" i="37"/>
  <c r="AQ381" i="37"/>
  <c r="AR381" i="37"/>
  <c r="Y382" i="37"/>
  <c r="AA382" i="37"/>
  <c r="AB382" i="37" s="1"/>
  <c r="AC382" i="37" s="1"/>
  <c r="AD382" i="37" s="1"/>
  <c r="AE382" i="37" s="1"/>
  <c r="AF382" i="37" s="1"/>
  <c r="AG382" i="37" s="1"/>
  <c r="AH382" i="37" s="1"/>
  <c r="AI382" i="37" s="1"/>
  <c r="AJ382" i="37" s="1"/>
  <c r="AK382" i="37"/>
  <c r="AL382" i="37"/>
  <c r="AM382" i="37"/>
  <c r="AN382" i="37"/>
  <c r="AO382" i="37"/>
  <c r="AP382" i="37"/>
  <c r="AQ382" i="37"/>
  <c r="AR382" i="37"/>
  <c r="Y383" i="37"/>
  <c r="AA383" i="37"/>
  <c r="AB383" i="37" s="1"/>
  <c r="AC383" i="37" s="1"/>
  <c r="AD383" i="37" s="1"/>
  <c r="AE383" i="37" s="1"/>
  <c r="AF383" i="37" s="1"/>
  <c r="AG383" i="37" s="1"/>
  <c r="AH383" i="37" s="1"/>
  <c r="AI383" i="37" s="1"/>
  <c r="AJ383" i="37" s="1"/>
  <c r="AK383" i="37"/>
  <c r="AL383" i="37"/>
  <c r="AM383" i="37"/>
  <c r="AN383" i="37"/>
  <c r="AO383" i="37"/>
  <c r="AP383" i="37"/>
  <c r="AQ383" i="37"/>
  <c r="AR383" i="37"/>
  <c r="Y384" i="37"/>
  <c r="AA384" i="37"/>
  <c r="AB384" i="37" s="1"/>
  <c r="AC384" i="37" s="1"/>
  <c r="AD384" i="37" s="1"/>
  <c r="AE384" i="37" s="1"/>
  <c r="AF384" i="37" s="1"/>
  <c r="AG384" i="37" s="1"/>
  <c r="AH384" i="37" s="1"/>
  <c r="AI384" i="37" s="1"/>
  <c r="AJ384" i="37" s="1"/>
  <c r="AK384" i="37"/>
  <c r="AL384" i="37"/>
  <c r="AM384" i="37"/>
  <c r="AN384" i="37"/>
  <c r="AO384" i="37"/>
  <c r="AP384" i="37"/>
  <c r="AQ384" i="37"/>
  <c r="AR384" i="37"/>
  <c r="Y385" i="37"/>
  <c r="AA385" i="37"/>
  <c r="AB385" i="37" s="1"/>
  <c r="AC385" i="37" s="1"/>
  <c r="AD385" i="37" s="1"/>
  <c r="AE385" i="37" s="1"/>
  <c r="AF385" i="37" s="1"/>
  <c r="AG385" i="37" s="1"/>
  <c r="AH385" i="37" s="1"/>
  <c r="AI385" i="37" s="1"/>
  <c r="AJ385" i="37" s="1"/>
  <c r="AK385" i="37"/>
  <c r="AL385" i="37"/>
  <c r="AM385" i="37"/>
  <c r="AN385" i="37"/>
  <c r="AO385" i="37"/>
  <c r="AP385" i="37"/>
  <c r="AQ385" i="37"/>
  <c r="AR385" i="37"/>
  <c r="Y392" i="37"/>
  <c r="AA392" i="37"/>
  <c r="AB392" i="37" s="1"/>
  <c r="AC392" i="37" s="1"/>
  <c r="AD392" i="37" s="1"/>
  <c r="AE392" i="37" s="1"/>
  <c r="AF392" i="37" s="1"/>
  <c r="AG392" i="37" s="1"/>
  <c r="AH392" i="37" s="1"/>
  <c r="AI392" i="37" s="1"/>
  <c r="AJ392" i="37" s="1"/>
  <c r="AK392" i="37"/>
  <c r="AL392" i="37"/>
  <c r="AM392" i="37"/>
  <c r="AN392" i="37"/>
  <c r="AO392" i="37"/>
  <c r="AP392" i="37"/>
  <c r="AQ392" i="37"/>
  <c r="AR392" i="37"/>
  <c r="Y393" i="37"/>
  <c r="AA393" i="37"/>
  <c r="AB393" i="37" s="1"/>
  <c r="AC393" i="37" s="1"/>
  <c r="AD393" i="37" s="1"/>
  <c r="AE393" i="37" s="1"/>
  <c r="AF393" i="37" s="1"/>
  <c r="AG393" i="37" s="1"/>
  <c r="AH393" i="37" s="1"/>
  <c r="AI393" i="37" s="1"/>
  <c r="AJ393" i="37" s="1"/>
  <c r="AK393" i="37"/>
  <c r="AL393" i="37"/>
  <c r="AM393" i="37"/>
  <c r="AN393" i="37"/>
  <c r="AO393" i="37"/>
  <c r="AP393" i="37"/>
  <c r="AQ393" i="37"/>
  <c r="AR393" i="37"/>
  <c r="Y394" i="37"/>
  <c r="AA394" i="37"/>
  <c r="AB394" i="37" s="1"/>
  <c r="AC394" i="37" s="1"/>
  <c r="AK394" i="37"/>
  <c r="AK405" i="37" s="1"/>
  <c r="AL394" i="37"/>
  <c r="AL405" i="37" s="1"/>
  <c r="AM394" i="37"/>
  <c r="AM405" i="37" s="1"/>
  <c r="AN394" i="37"/>
  <c r="AN405" i="37" s="1"/>
  <c r="AO394" i="37"/>
  <c r="AO405" i="37" s="1"/>
  <c r="AP394" i="37"/>
  <c r="AP405" i="37" s="1"/>
  <c r="AQ394" i="37"/>
  <c r="AQ405" i="37" s="1"/>
  <c r="AR394" i="37"/>
  <c r="AR405" i="37" s="1"/>
  <c r="Y395" i="37"/>
  <c r="AA395" i="37"/>
  <c r="AB395" i="37" s="1"/>
  <c r="AC395" i="37" s="1"/>
  <c r="AD395" i="37" s="1"/>
  <c r="AE395" i="37" s="1"/>
  <c r="AF395" i="37" s="1"/>
  <c r="AG395" i="37" s="1"/>
  <c r="AH395" i="37" s="1"/>
  <c r="AI395" i="37" s="1"/>
  <c r="AJ395" i="37" s="1"/>
  <c r="AK395" i="37"/>
  <c r="AL395" i="37"/>
  <c r="AM395" i="37"/>
  <c r="AN395" i="37"/>
  <c r="AO395" i="37"/>
  <c r="AP395" i="37"/>
  <c r="AQ395" i="37"/>
  <c r="AR395" i="37"/>
  <c r="Y396" i="37"/>
  <c r="AA396" i="37"/>
  <c r="AB396" i="37" s="1"/>
  <c r="AC396" i="37" s="1"/>
  <c r="AD396" i="37" s="1"/>
  <c r="AE396" i="37" s="1"/>
  <c r="AF396" i="37" s="1"/>
  <c r="AG396" i="37" s="1"/>
  <c r="AH396" i="37" s="1"/>
  <c r="AI396" i="37" s="1"/>
  <c r="AJ396" i="37" s="1"/>
  <c r="AK396" i="37"/>
  <c r="AL396" i="37"/>
  <c r="AM396" i="37"/>
  <c r="AN396" i="37"/>
  <c r="AO396" i="37"/>
  <c r="AP396" i="37"/>
  <c r="AQ396" i="37"/>
  <c r="AR396" i="37"/>
  <c r="Y397" i="37"/>
  <c r="AA397" i="37"/>
  <c r="AB397" i="37" s="1"/>
  <c r="AC397" i="37" s="1"/>
  <c r="AD397" i="37" s="1"/>
  <c r="AE397" i="37" s="1"/>
  <c r="AF397" i="37" s="1"/>
  <c r="AG397" i="37" s="1"/>
  <c r="AH397" i="37" s="1"/>
  <c r="AI397" i="37" s="1"/>
  <c r="AJ397" i="37" s="1"/>
  <c r="AK397" i="37"/>
  <c r="AL397" i="37"/>
  <c r="AM397" i="37"/>
  <c r="AN397" i="37"/>
  <c r="AO397" i="37"/>
  <c r="AP397" i="37"/>
  <c r="AQ397" i="37"/>
  <c r="AR397" i="37"/>
  <c r="Y398" i="37"/>
  <c r="AA398" i="37"/>
  <c r="AB398" i="37" s="1"/>
  <c r="AC398" i="37" s="1"/>
  <c r="AD398" i="37" s="1"/>
  <c r="AE398" i="37" s="1"/>
  <c r="AF398" i="37" s="1"/>
  <c r="AG398" i="37" s="1"/>
  <c r="AH398" i="37" s="1"/>
  <c r="AI398" i="37" s="1"/>
  <c r="AJ398" i="37" s="1"/>
  <c r="AK398" i="37"/>
  <c r="AL398" i="37"/>
  <c r="AM398" i="37"/>
  <c r="AN398" i="37"/>
  <c r="AO398" i="37"/>
  <c r="AP398" i="37"/>
  <c r="AQ398" i="37"/>
  <c r="AR398" i="37"/>
  <c r="Y399" i="37"/>
  <c r="AA399" i="37"/>
  <c r="AB399" i="37" s="1"/>
  <c r="AC399" i="37" s="1"/>
  <c r="AD399" i="37" s="1"/>
  <c r="AE399" i="37" s="1"/>
  <c r="AF399" i="37" s="1"/>
  <c r="AG399" i="37" s="1"/>
  <c r="AH399" i="37" s="1"/>
  <c r="AI399" i="37" s="1"/>
  <c r="AJ399" i="37" s="1"/>
  <c r="AK399" i="37"/>
  <c r="AL399" i="37"/>
  <c r="AM399" i="37"/>
  <c r="AN399" i="37"/>
  <c r="AO399" i="37"/>
  <c r="AP399" i="37"/>
  <c r="AQ399" i="37"/>
  <c r="AR399" i="37"/>
  <c r="Y407" i="37"/>
  <c r="AA407" i="37"/>
  <c r="AB407" i="37"/>
  <c r="AC407" i="37"/>
  <c r="AD407" i="37"/>
  <c r="AE407" i="37"/>
  <c r="AF407" i="37"/>
  <c r="AG407" i="37"/>
  <c r="AH407" i="37"/>
  <c r="AI407" i="37"/>
  <c r="AJ407" i="37"/>
  <c r="AK407" i="37"/>
  <c r="AL407" i="37"/>
  <c r="AM407" i="37"/>
  <c r="AN407" i="37"/>
  <c r="AO407" i="37"/>
  <c r="AP407" i="37"/>
  <c r="AQ407" i="37"/>
  <c r="AR407" i="37"/>
  <c r="Y408" i="37"/>
  <c r="AA408" i="37"/>
  <c r="AB408" i="37" s="1"/>
  <c r="AC408" i="37"/>
  <c r="AD408" i="37"/>
  <c r="AE408" i="37"/>
  <c r="AF408" i="37"/>
  <c r="AG408" i="37"/>
  <c r="AH408" i="37"/>
  <c r="AI408" i="37"/>
  <c r="AJ408" i="37"/>
  <c r="AK408" i="37"/>
  <c r="AL408" i="37"/>
  <c r="AM408" i="37"/>
  <c r="AN408" i="37"/>
  <c r="AO408" i="37"/>
  <c r="AP408" i="37"/>
  <c r="AQ408" i="37"/>
  <c r="AR408" i="37"/>
  <c r="Y409" i="37"/>
  <c r="AA409" i="37"/>
  <c r="AB409" i="37"/>
  <c r="AC409" i="37"/>
  <c r="AD409" i="37"/>
  <c r="AD420" i="37" s="1"/>
  <c r="AE409" i="37"/>
  <c r="AE420" i="37" s="1"/>
  <c r="AF409" i="37"/>
  <c r="AF420" i="37" s="1"/>
  <c r="AG409" i="37"/>
  <c r="AG420" i="37" s="1"/>
  <c r="AH409" i="37"/>
  <c r="AH420" i="37" s="1"/>
  <c r="AI409" i="37"/>
  <c r="AI420" i="37" s="1"/>
  <c r="AJ409" i="37"/>
  <c r="AJ420" i="37" s="1"/>
  <c r="AK409" i="37"/>
  <c r="AK420" i="37" s="1"/>
  <c r="AL409" i="37"/>
  <c r="AL420" i="37" s="1"/>
  <c r="AM409" i="37"/>
  <c r="AM420" i="37" s="1"/>
  <c r="AN409" i="37"/>
  <c r="AN420" i="37" s="1"/>
  <c r="AO409" i="37"/>
  <c r="AO420" i="37" s="1"/>
  <c r="AP409" i="37"/>
  <c r="AP420" i="37" s="1"/>
  <c r="AQ409" i="37"/>
  <c r="AQ420" i="37" s="1"/>
  <c r="AR409" i="37"/>
  <c r="AR420" i="37" s="1"/>
  <c r="Y410" i="37"/>
  <c r="AA410" i="37"/>
  <c r="AB410" i="37" s="1"/>
  <c r="AC410" i="37"/>
  <c r="AD410" i="37"/>
  <c r="AE410" i="37"/>
  <c r="AF410" i="37"/>
  <c r="AG410" i="37"/>
  <c r="AH410" i="37"/>
  <c r="AI410" i="37"/>
  <c r="AJ410" i="37"/>
  <c r="AK410" i="37"/>
  <c r="AL410" i="37"/>
  <c r="AM410" i="37"/>
  <c r="AN410" i="37"/>
  <c r="AO410" i="37"/>
  <c r="AP410" i="37"/>
  <c r="AQ410" i="37"/>
  <c r="AR410" i="37"/>
  <c r="Y411" i="37"/>
  <c r="AA411" i="37"/>
  <c r="AB411" i="37"/>
  <c r="AC411" i="37"/>
  <c r="AD411" i="37"/>
  <c r="AE411" i="37"/>
  <c r="AF411" i="37"/>
  <c r="AG411" i="37"/>
  <c r="AH411" i="37"/>
  <c r="AI411" i="37"/>
  <c r="AJ411" i="37"/>
  <c r="AK411" i="37"/>
  <c r="AL411" i="37"/>
  <c r="AM411" i="37"/>
  <c r="AN411" i="37"/>
  <c r="AO411" i="37"/>
  <c r="AP411" i="37"/>
  <c r="AQ411" i="37"/>
  <c r="AR411" i="37"/>
  <c r="Y412" i="37"/>
  <c r="AA412" i="37"/>
  <c r="AB412" i="37" s="1"/>
  <c r="AC412" i="37"/>
  <c r="AD412" i="37"/>
  <c r="AE412" i="37"/>
  <c r="AF412" i="37"/>
  <c r="AG412" i="37"/>
  <c r="AH412" i="37"/>
  <c r="AI412" i="37"/>
  <c r="AJ412" i="37"/>
  <c r="AK412" i="37"/>
  <c r="AL412" i="37"/>
  <c r="AM412" i="37"/>
  <c r="AN412" i="37"/>
  <c r="AO412" i="37"/>
  <c r="AP412" i="37"/>
  <c r="AQ412" i="37"/>
  <c r="AR412" i="37"/>
  <c r="Y413" i="37"/>
  <c r="AA413" i="37"/>
  <c r="AB413" i="37"/>
  <c r="AC413" i="37"/>
  <c r="AD413" i="37"/>
  <c r="AE413" i="37"/>
  <c r="AF413" i="37"/>
  <c r="AG413" i="37"/>
  <c r="AH413" i="37"/>
  <c r="AI413" i="37"/>
  <c r="AJ413" i="37"/>
  <c r="AK413" i="37"/>
  <c r="AL413" i="37"/>
  <c r="AM413" i="37"/>
  <c r="AN413" i="37"/>
  <c r="AO413" i="37"/>
  <c r="AP413" i="37"/>
  <c r="AQ413" i="37"/>
  <c r="AR413" i="37"/>
  <c r="AC420" i="37"/>
  <c r="Y422" i="37"/>
  <c r="AA422" i="37"/>
  <c r="AB422" i="37" s="1"/>
  <c r="AC422" i="37" s="1"/>
  <c r="AD422" i="37" s="1"/>
  <c r="AE422" i="37" s="1"/>
  <c r="AF422" i="37" s="1"/>
  <c r="AG422" i="37" s="1"/>
  <c r="AH422" i="37" s="1"/>
  <c r="AI422" i="37" s="1"/>
  <c r="AJ422" i="37" s="1"/>
  <c r="AK422" i="37"/>
  <c r="AL422" i="37"/>
  <c r="AM422" i="37"/>
  <c r="AN422" i="37"/>
  <c r="AO422" i="37"/>
  <c r="AP422" i="37"/>
  <c r="AQ422" i="37"/>
  <c r="AR422" i="37"/>
  <c r="Y423" i="37"/>
  <c r="AA423" i="37"/>
  <c r="AB423" i="37" s="1"/>
  <c r="AC423" i="37" s="1"/>
  <c r="AD423" i="37" s="1"/>
  <c r="AE423" i="37" s="1"/>
  <c r="AF423" i="37" s="1"/>
  <c r="AG423" i="37" s="1"/>
  <c r="AH423" i="37" s="1"/>
  <c r="AI423" i="37" s="1"/>
  <c r="AJ423" i="37" s="1"/>
  <c r="AK423" i="37"/>
  <c r="AL423" i="37"/>
  <c r="AM423" i="37"/>
  <c r="AN423" i="37"/>
  <c r="AO423" i="37"/>
  <c r="AP423" i="37"/>
  <c r="AQ423" i="37"/>
  <c r="AR423" i="37"/>
  <c r="Y424" i="37"/>
  <c r="AA424" i="37"/>
  <c r="AB424" i="37" s="1"/>
  <c r="AC424" i="37" s="1"/>
  <c r="AK424" i="37"/>
  <c r="AK435" i="37" s="1"/>
  <c r="AL424" i="37"/>
  <c r="AL435" i="37" s="1"/>
  <c r="AM424" i="37"/>
  <c r="AM435" i="37" s="1"/>
  <c r="AN424" i="37"/>
  <c r="AN435" i="37" s="1"/>
  <c r="AO424" i="37"/>
  <c r="AO435" i="37" s="1"/>
  <c r="AP424" i="37"/>
  <c r="AP435" i="37" s="1"/>
  <c r="AQ424" i="37"/>
  <c r="AQ435" i="37" s="1"/>
  <c r="AR424" i="37"/>
  <c r="AR435" i="37" s="1"/>
  <c r="Y425" i="37"/>
  <c r="AA425" i="37"/>
  <c r="AB425" i="37" s="1"/>
  <c r="AC425" i="37" s="1"/>
  <c r="AD425" i="37" s="1"/>
  <c r="AE425" i="37" s="1"/>
  <c r="AF425" i="37" s="1"/>
  <c r="AG425" i="37" s="1"/>
  <c r="AH425" i="37" s="1"/>
  <c r="AI425" i="37" s="1"/>
  <c r="AJ425" i="37" s="1"/>
  <c r="AK425" i="37"/>
  <c r="AL425" i="37"/>
  <c r="AM425" i="37"/>
  <c r="AN425" i="37"/>
  <c r="AO425" i="37"/>
  <c r="AP425" i="37"/>
  <c r="AQ425" i="37"/>
  <c r="AR425" i="37"/>
  <c r="Y426" i="37"/>
  <c r="AA426" i="37"/>
  <c r="AB426" i="37" s="1"/>
  <c r="AC426" i="37" s="1"/>
  <c r="AD426" i="37" s="1"/>
  <c r="AE426" i="37" s="1"/>
  <c r="AF426" i="37" s="1"/>
  <c r="AG426" i="37" s="1"/>
  <c r="AH426" i="37" s="1"/>
  <c r="AI426" i="37" s="1"/>
  <c r="AJ426" i="37" s="1"/>
  <c r="AK426" i="37"/>
  <c r="AL426" i="37"/>
  <c r="AM426" i="37"/>
  <c r="AN426" i="37"/>
  <c r="AO426" i="37"/>
  <c r="AP426" i="37"/>
  <c r="AQ426" i="37"/>
  <c r="AR426" i="37"/>
  <c r="Y427" i="37"/>
  <c r="AA427" i="37"/>
  <c r="AB427" i="37" s="1"/>
  <c r="AC427" i="37" s="1"/>
  <c r="AD427" i="37" s="1"/>
  <c r="AE427" i="37" s="1"/>
  <c r="AF427" i="37" s="1"/>
  <c r="AG427" i="37" s="1"/>
  <c r="AH427" i="37" s="1"/>
  <c r="AI427" i="37" s="1"/>
  <c r="AJ427" i="37" s="1"/>
  <c r="AK427" i="37"/>
  <c r="AL427" i="37"/>
  <c r="AM427" i="37"/>
  <c r="AN427" i="37"/>
  <c r="AO427" i="37"/>
  <c r="AP427" i="37"/>
  <c r="AQ427" i="37"/>
  <c r="AR427" i="37"/>
  <c r="Y428" i="37"/>
  <c r="AA428" i="37"/>
  <c r="AB428" i="37" s="1"/>
  <c r="AC428" i="37" s="1"/>
  <c r="AD428" i="37" s="1"/>
  <c r="AE428" i="37" s="1"/>
  <c r="AF428" i="37" s="1"/>
  <c r="AG428" i="37" s="1"/>
  <c r="AH428" i="37" s="1"/>
  <c r="AI428" i="37" s="1"/>
  <c r="AJ428" i="37" s="1"/>
  <c r="AK428" i="37"/>
  <c r="AL428" i="37"/>
  <c r="AM428" i="37"/>
  <c r="AN428" i="37"/>
  <c r="AO428" i="37"/>
  <c r="AP428" i="37"/>
  <c r="AQ428" i="37"/>
  <c r="AR428" i="37"/>
  <c r="Y437" i="37"/>
  <c r="AA437" i="37"/>
  <c r="AB437" i="37" s="1"/>
  <c r="AC437" i="37" s="1"/>
  <c r="AD437" i="37" s="1"/>
  <c r="AE437" i="37" s="1"/>
  <c r="AF437" i="37" s="1"/>
  <c r="AG437" i="37" s="1"/>
  <c r="AH437" i="37" s="1"/>
  <c r="AI437" i="37" s="1"/>
  <c r="AJ437" i="37" s="1"/>
  <c r="AK437" i="37"/>
  <c r="AL437" i="37"/>
  <c r="AM437" i="37"/>
  <c r="AN437" i="37"/>
  <c r="AO437" i="37"/>
  <c r="AP437" i="37"/>
  <c r="AQ437" i="37"/>
  <c r="AR437" i="37"/>
  <c r="Y438" i="37"/>
  <c r="AA438" i="37"/>
  <c r="AB438" i="37" s="1"/>
  <c r="AC438" i="37" s="1"/>
  <c r="AD438" i="37" s="1"/>
  <c r="AE438" i="37" s="1"/>
  <c r="AF438" i="37" s="1"/>
  <c r="AG438" i="37" s="1"/>
  <c r="AH438" i="37" s="1"/>
  <c r="AI438" i="37" s="1"/>
  <c r="AJ438" i="37" s="1"/>
  <c r="AK438" i="37"/>
  <c r="AL438" i="37"/>
  <c r="AM438" i="37"/>
  <c r="AN438" i="37"/>
  <c r="AO438" i="37"/>
  <c r="AP438" i="37"/>
  <c r="AQ438" i="37"/>
  <c r="AR438" i="37"/>
  <c r="Y439" i="37"/>
  <c r="AA439" i="37"/>
  <c r="AB439" i="37" s="1"/>
  <c r="AC439" i="37" s="1"/>
  <c r="AK439" i="37"/>
  <c r="AK450" i="37" s="1"/>
  <c r="AL439" i="37"/>
  <c r="AL450" i="37" s="1"/>
  <c r="AM439" i="37"/>
  <c r="AM450" i="37" s="1"/>
  <c r="AN439" i="37"/>
  <c r="AN450" i="37" s="1"/>
  <c r="AO439" i="37"/>
  <c r="AO450" i="37" s="1"/>
  <c r="AP439" i="37"/>
  <c r="AP450" i="37" s="1"/>
  <c r="AQ439" i="37"/>
  <c r="AQ450" i="37" s="1"/>
  <c r="AR439" i="37"/>
  <c r="AR450" i="37" s="1"/>
  <c r="Y440" i="37"/>
  <c r="AA440" i="37"/>
  <c r="AB440" i="37" s="1"/>
  <c r="AC440" i="37" s="1"/>
  <c r="AD440" i="37" s="1"/>
  <c r="AE440" i="37" s="1"/>
  <c r="AF440" i="37" s="1"/>
  <c r="AG440" i="37" s="1"/>
  <c r="AH440" i="37" s="1"/>
  <c r="AI440" i="37" s="1"/>
  <c r="AJ440" i="37" s="1"/>
  <c r="AK440" i="37"/>
  <c r="AL440" i="37"/>
  <c r="AM440" i="37"/>
  <c r="AN440" i="37"/>
  <c r="AO440" i="37"/>
  <c r="AP440" i="37"/>
  <c r="AQ440" i="37"/>
  <c r="AR440" i="37"/>
  <c r="Y441" i="37"/>
  <c r="AA441" i="37"/>
  <c r="AB441" i="37" s="1"/>
  <c r="AC441" i="37" s="1"/>
  <c r="AD441" i="37" s="1"/>
  <c r="AE441" i="37" s="1"/>
  <c r="AF441" i="37" s="1"/>
  <c r="AG441" i="37" s="1"/>
  <c r="AH441" i="37" s="1"/>
  <c r="AI441" i="37" s="1"/>
  <c r="AJ441" i="37" s="1"/>
  <c r="AK441" i="37"/>
  <c r="AL441" i="37"/>
  <c r="AM441" i="37"/>
  <c r="AN441" i="37"/>
  <c r="AO441" i="37"/>
  <c r="AP441" i="37"/>
  <c r="AQ441" i="37"/>
  <c r="AR441" i="37"/>
  <c r="Y442" i="37"/>
  <c r="AA442" i="37"/>
  <c r="AB442" i="37" s="1"/>
  <c r="AC442" i="37" s="1"/>
  <c r="AD442" i="37" s="1"/>
  <c r="AE442" i="37" s="1"/>
  <c r="AF442" i="37" s="1"/>
  <c r="AG442" i="37" s="1"/>
  <c r="AH442" i="37" s="1"/>
  <c r="AI442" i="37" s="1"/>
  <c r="AJ442" i="37" s="1"/>
  <c r="AK442" i="37"/>
  <c r="AL442" i="37"/>
  <c r="AM442" i="37"/>
  <c r="AN442" i="37"/>
  <c r="AO442" i="37"/>
  <c r="AP442" i="37"/>
  <c r="AQ442" i="37"/>
  <c r="AR442" i="37"/>
  <c r="Y443" i="37"/>
  <c r="AA443" i="37"/>
  <c r="AB443" i="37" s="1"/>
  <c r="AC443" i="37" s="1"/>
  <c r="AD443" i="37" s="1"/>
  <c r="AE443" i="37" s="1"/>
  <c r="AF443" i="37" s="1"/>
  <c r="AG443" i="37" s="1"/>
  <c r="AH443" i="37" s="1"/>
  <c r="AI443" i="37" s="1"/>
  <c r="AJ443" i="37" s="1"/>
  <c r="AK443" i="37"/>
  <c r="AL443" i="37"/>
  <c r="AM443" i="37"/>
  <c r="AN443" i="37"/>
  <c r="AO443" i="37"/>
  <c r="AP443" i="37"/>
  <c r="AQ443" i="37"/>
  <c r="AR443" i="37"/>
  <c r="Y452" i="37"/>
  <c r="AA452" i="37"/>
  <c r="AB452" i="37"/>
  <c r="AC452" i="37"/>
  <c r="AD452" i="37"/>
  <c r="AE452" i="37"/>
  <c r="AF452" i="37"/>
  <c r="AG452" i="37"/>
  <c r="AH452" i="37"/>
  <c r="AI452" i="37"/>
  <c r="AJ452" i="37"/>
  <c r="AK452" i="37"/>
  <c r="AL452" i="37"/>
  <c r="AM452" i="37"/>
  <c r="AN452" i="37"/>
  <c r="AO452" i="37"/>
  <c r="AP452" i="37"/>
  <c r="AQ452" i="37"/>
  <c r="AR452" i="37"/>
  <c r="Y453" i="37"/>
  <c r="AA453" i="37"/>
  <c r="AB453" i="37" s="1"/>
  <c r="AC453" i="37"/>
  <c r="AD453" i="37"/>
  <c r="AE453" i="37"/>
  <c r="AF453" i="37"/>
  <c r="AG453" i="37"/>
  <c r="AH453" i="37"/>
  <c r="AI453" i="37"/>
  <c r="AJ453" i="37"/>
  <c r="AK453" i="37"/>
  <c r="AL453" i="37"/>
  <c r="AM453" i="37"/>
  <c r="AN453" i="37"/>
  <c r="AO453" i="37"/>
  <c r="AP453" i="37"/>
  <c r="AQ453" i="37"/>
  <c r="AR453" i="37"/>
  <c r="Y454" i="37"/>
  <c r="AA454" i="37"/>
  <c r="AB454" i="37"/>
  <c r="AC454" i="37"/>
  <c r="AC465" i="37" s="1"/>
  <c r="AD454" i="37"/>
  <c r="AD465" i="37" s="1"/>
  <c r="AE454" i="37"/>
  <c r="AE465" i="37" s="1"/>
  <c r="AF454" i="37"/>
  <c r="AF465" i="37" s="1"/>
  <c r="AG454" i="37"/>
  <c r="AG465" i="37" s="1"/>
  <c r="AH454" i="37"/>
  <c r="AH465" i="37" s="1"/>
  <c r="AI454" i="37"/>
  <c r="AI465" i="37" s="1"/>
  <c r="AJ454" i="37"/>
  <c r="AJ465" i="37" s="1"/>
  <c r="AK454" i="37"/>
  <c r="AK465" i="37" s="1"/>
  <c r="AL454" i="37"/>
  <c r="AL465" i="37" s="1"/>
  <c r="AM454" i="37"/>
  <c r="AM465" i="37" s="1"/>
  <c r="AN454" i="37"/>
  <c r="AN465" i="37" s="1"/>
  <c r="AO454" i="37"/>
  <c r="AO465" i="37" s="1"/>
  <c r="AP454" i="37"/>
  <c r="AP465" i="37" s="1"/>
  <c r="AQ454" i="37"/>
  <c r="AQ465" i="37" s="1"/>
  <c r="AR454" i="37"/>
  <c r="AR465" i="37" s="1"/>
  <c r="Y455" i="37"/>
  <c r="AA455" i="37"/>
  <c r="AB455" i="37" s="1"/>
  <c r="AC455" i="37"/>
  <c r="AD455" i="37"/>
  <c r="AE455" i="37"/>
  <c r="AF455" i="37"/>
  <c r="AG455" i="37"/>
  <c r="AH455" i="37"/>
  <c r="AI455" i="37"/>
  <c r="AJ455" i="37"/>
  <c r="AK455" i="37"/>
  <c r="AL455" i="37"/>
  <c r="AM455" i="37"/>
  <c r="AN455" i="37"/>
  <c r="AO455" i="37"/>
  <c r="AP455" i="37"/>
  <c r="AQ455" i="37"/>
  <c r="AR455" i="37"/>
  <c r="Y456" i="37"/>
  <c r="AA456" i="37"/>
  <c r="AB456" i="37"/>
  <c r="AC456" i="37"/>
  <c r="AD456" i="37"/>
  <c r="AE456" i="37"/>
  <c r="AF456" i="37"/>
  <c r="AG456" i="37"/>
  <c r="AH456" i="37"/>
  <c r="AI456" i="37"/>
  <c r="AJ456" i="37"/>
  <c r="AK456" i="37"/>
  <c r="AL456" i="37"/>
  <c r="AM456" i="37"/>
  <c r="AN456" i="37"/>
  <c r="AO456" i="37"/>
  <c r="AP456" i="37"/>
  <c r="AQ456" i="37"/>
  <c r="AR456" i="37"/>
  <c r="Y457" i="37"/>
  <c r="AA457" i="37"/>
  <c r="AB457" i="37" s="1"/>
  <c r="AC457" i="37"/>
  <c r="AD457" i="37"/>
  <c r="AE457" i="37"/>
  <c r="AF457" i="37"/>
  <c r="AG457" i="37"/>
  <c r="AH457" i="37"/>
  <c r="AI457" i="37"/>
  <c r="AJ457" i="37"/>
  <c r="AK457" i="37"/>
  <c r="AL457" i="37"/>
  <c r="AM457" i="37"/>
  <c r="AN457" i="37"/>
  <c r="AO457" i="37"/>
  <c r="AP457" i="37"/>
  <c r="AQ457" i="37"/>
  <c r="AR457" i="37"/>
  <c r="Y458" i="37"/>
  <c r="AA458" i="37"/>
  <c r="AB458" i="37"/>
  <c r="AC458" i="37"/>
  <c r="AD458" i="37"/>
  <c r="AE458" i="37"/>
  <c r="AF458" i="37"/>
  <c r="AG458" i="37"/>
  <c r="AH458" i="37"/>
  <c r="AI458" i="37"/>
  <c r="AJ458" i="37"/>
  <c r="AK458" i="37"/>
  <c r="AL458" i="37"/>
  <c r="AM458" i="37"/>
  <c r="AN458" i="37"/>
  <c r="AO458" i="37"/>
  <c r="AP458" i="37"/>
  <c r="AQ458" i="37"/>
  <c r="AR458" i="37"/>
  <c r="Y459" i="37"/>
  <c r="AA459" i="37"/>
  <c r="AB459" i="37" s="1"/>
  <c r="AC459" i="37"/>
  <c r="AD459" i="37"/>
  <c r="AE459" i="37"/>
  <c r="AF459" i="37"/>
  <c r="AG459" i="37"/>
  <c r="AH459" i="37"/>
  <c r="AI459" i="37"/>
  <c r="AJ459" i="37"/>
  <c r="AK459" i="37"/>
  <c r="AL459" i="37"/>
  <c r="AM459" i="37"/>
  <c r="AN459" i="37"/>
  <c r="AO459" i="37"/>
  <c r="AP459" i="37"/>
  <c r="AQ459" i="37"/>
  <c r="AR459" i="37"/>
  <c r="Y460" i="37"/>
  <c r="AA460" i="37"/>
  <c r="AB460" i="37"/>
  <c r="AC460" i="37"/>
  <c r="AD460" i="37"/>
  <c r="AE460" i="37"/>
  <c r="AF460" i="37"/>
  <c r="AG460" i="37"/>
  <c r="AH460" i="37"/>
  <c r="AI460" i="37"/>
  <c r="AJ460" i="37"/>
  <c r="AK460" i="37"/>
  <c r="AL460" i="37"/>
  <c r="AM460" i="37"/>
  <c r="AN460" i="37"/>
  <c r="AO460" i="37"/>
  <c r="AP460" i="37"/>
  <c r="AQ460" i="37"/>
  <c r="AR460" i="37"/>
  <c r="Y461" i="37"/>
  <c r="AA461" i="37"/>
  <c r="AB461" i="37" s="1"/>
  <c r="AC461" i="37"/>
  <c r="AD461" i="37"/>
  <c r="AE461" i="37"/>
  <c r="AF461" i="37"/>
  <c r="AG461" i="37"/>
  <c r="AH461" i="37"/>
  <c r="AI461" i="37"/>
  <c r="AJ461" i="37"/>
  <c r="AK461" i="37"/>
  <c r="AL461" i="37"/>
  <c r="AM461" i="37"/>
  <c r="AN461" i="37"/>
  <c r="AO461" i="37"/>
  <c r="AP461" i="37"/>
  <c r="AQ461" i="37"/>
  <c r="AR461" i="37"/>
  <c r="Y467" i="37"/>
  <c r="AA467" i="37"/>
  <c r="AB467" i="37" s="1"/>
  <c r="AC467" i="37"/>
  <c r="AD467" i="37"/>
  <c r="AE467" i="37"/>
  <c r="AF467" i="37"/>
  <c r="AG467" i="37"/>
  <c r="AH467" i="37"/>
  <c r="AI467" i="37"/>
  <c r="AJ467" i="37"/>
  <c r="AK467" i="37"/>
  <c r="AL467" i="37"/>
  <c r="AM467" i="37"/>
  <c r="AN467" i="37"/>
  <c r="AO467" i="37"/>
  <c r="AP467" i="37"/>
  <c r="AQ467" i="37"/>
  <c r="AR467" i="37"/>
  <c r="Y468" i="37"/>
  <c r="AA468" i="37"/>
  <c r="AB468" i="37"/>
  <c r="AC468" i="37"/>
  <c r="AD468" i="37"/>
  <c r="AE468" i="37"/>
  <c r="AF468" i="37"/>
  <c r="AG468" i="37"/>
  <c r="AH468" i="37"/>
  <c r="AI468" i="37"/>
  <c r="AJ468" i="37"/>
  <c r="AK468" i="37"/>
  <c r="AL468" i="37"/>
  <c r="AM468" i="37"/>
  <c r="AN468" i="37"/>
  <c r="AO468" i="37"/>
  <c r="AP468" i="37"/>
  <c r="AQ468" i="37"/>
  <c r="AR468" i="37"/>
  <c r="Y469" i="37"/>
  <c r="AA469" i="37"/>
  <c r="AB469" i="37" s="1"/>
  <c r="AC469" i="37"/>
  <c r="AD469" i="37"/>
  <c r="AD480" i="37" s="1"/>
  <c r="AE469" i="37"/>
  <c r="AE480" i="37" s="1"/>
  <c r="AF469" i="37"/>
  <c r="AF480" i="37" s="1"/>
  <c r="AG469" i="37"/>
  <c r="AG480" i="37" s="1"/>
  <c r="AH469" i="37"/>
  <c r="AH480" i="37" s="1"/>
  <c r="AI469" i="37"/>
  <c r="AI480" i="37" s="1"/>
  <c r="AJ469" i="37"/>
  <c r="AJ480" i="37" s="1"/>
  <c r="AK469" i="37"/>
  <c r="AK480" i="37" s="1"/>
  <c r="AL469" i="37"/>
  <c r="AL480" i="37" s="1"/>
  <c r="AM469" i="37"/>
  <c r="AM480" i="37" s="1"/>
  <c r="AN469" i="37"/>
  <c r="AN480" i="37" s="1"/>
  <c r="AO469" i="37"/>
  <c r="AO480" i="37" s="1"/>
  <c r="AP469" i="37"/>
  <c r="AP480" i="37" s="1"/>
  <c r="AQ469" i="37"/>
  <c r="AQ480" i="37" s="1"/>
  <c r="AR469" i="37"/>
  <c r="AR480" i="37" s="1"/>
  <c r="Y470" i="37"/>
  <c r="AA470" i="37"/>
  <c r="AB470" i="37"/>
  <c r="AC470" i="37"/>
  <c r="AD470" i="37"/>
  <c r="AE470" i="37"/>
  <c r="AF470" i="37"/>
  <c r="AG470" i="37"/>
  <c r="AH470" i="37"/>
  <c r="AI470" i="37"/>
  <c r="AJ470" i="37"/>
  <c r="AK470" i="37"/>
  <c r="AL470" i="37"/>
  <c r="AM470" i="37"/>
  <c r="AN470" i="37"/>
  <c r="AO470" i="37"/>
  <c r="AP470" i="37"/>
  <c r="AQ470" i="37"/>
  <c r="AR470" i="37"/>
  <c r="Y471" i="37"/>
  <c r="AA471" i="37"/>
  <c r="AB471" i="37" s="1"/>
  <c r="AC471" i="37"/>
  <c r="AD471" i="37"/>
  <c r="AE471" i="37"/>
  <c r="AF471" i="37"/>
  <c r="AG471" i="37"/>
  <c r="AH471" i="37"/>
  <c r="AI471" i="37"/>
  <c r="AJ471" i="37"/>
  <c r="AK471" i="37"/>
  <c r="AL471" i="37"/>
  <c r="AM471" i="37"/>
  <c r="AN471" i="37"/>
  <c r="AO471" i="37"/>
  <c r="AP471" i="37"/>
  <c r="AQ471" i="37"/>
  <c r="AR471" i="37"/>
  <c r="Y472" i="37"/>
  <c r="AA472" i="37"/>
  <c r="AB472" i="37"/>
  <c r="AC472" i="37"/>
  <c r="AD472" i="37"/>
  <c r="AE472" i="37"/>
  <c r="AF472" i="37"/>
  <c r="AG472" i="37"/>
  <c r="AH472" i="37"/>
  <c r="AI472" i="37"/>
  <c r="AJ472" i="37"/>
  <c r="AK472" i="37"/>
  <c r="AL472" i="37"/>
  <c r="AM472" i="37"/>
  <c r="AN472" i="37"/>
  <c r="AO472" i="37"/>
  <c r="AP472" i="37"/>
  <c r="AQ472" i="37"/>
  <c r="AR472" i="37"/>
  <c r="Y473" i="37"/>
  <c r="AA473" i="37"/>
  <c r="AB473" i="37" s="1"/>
  <c r="AC473" i="37"/>
  <c r="AD473" i="37"/>
  <c r="AE473" i="37"/>
  <c r="AF473" i="37"/>
  <c r="AG473" i="37"/>
  <c r="AH473" i="37"/>
  <c r="AI473" i="37"/>
  <c r="AJ473" i="37"/>
  <c r="AK473" i="37"/>
  <c r="AL473" i="37"/>
  <c r="AM473" i="37"/>
  <c r="AN473" i="37"/>
  <c r="AO473" i="37"/>
  <c r="AP473" i="37"/>
  <c r="AQ473" i="37"/>
  <c r="AR473" i="37"/>
  <c r="AC480" i="37"/>
  <c r="Y482" i="37"/>
  <c r="AA482" i="37"/>
  <c r="AB482" i="37" s="1"/>
  <c r="AC482" i="37" s="1"/>
  <c r="AD482" i="37"/>
  <c r="AE482" i="37" s="1"/>
  <c r="AF482" i="37"/>
  <c r="AG482" i="37"/>
  <c r="AH482" i="37"/>
  <c r="AI482" i="37"/>
  <c r="AJ482" i="37"/>
  <c r="AK482" i="37"/>
  <c r="AL482" i="37"/>
  <c r="AM482" i="37"/>
  <c r="AN482" i="37"/>
  <c r="AO482" i="37"/>
  <c r="AP482" i="37"/>
  <c r="AQ482" i="37"/>
  <c r="AR482" i="37"/>
  <c r="Y483" i="37"/>
  <c r="AA483" i="37"/>
  <c r="AB483" i="37"/>
  <c r="AC483" i="37" s="1"/>
  <c r="AD483" i="37"/>
  <c r="AE483" i="37" s="1"/>
  <c r="AF483" i="37"/>
  <c r="AG483" i="37"/>
  <c r="AH483" i="37"/>
  <c r="AI483" i="37"/>
  <c r="AJ483" i="37"/>
  <c r="AK483" i="37"/>
  <c r="AL483" i="37"/>
  <c r="AM483" i="37"/>
  <c r="AN483" i="37"/>
  <c r="AO483" i="37"/>
  <c r="AP483" i="37"/>
  <c r="AQ483" i="37"/>
  <c r="AR483" i="37"/>
  <c r="Y484" i="37"/>
  <c r="AA484" i="37"/>
  <c r="AB484" i="37" s="1"/>
  <c r="AC484" i="37" s="1"/>
  <c r="AC495" i="37" s="1"/>
  <c r="AD484" i="37"/>
  <c r="AD495" i="37" s="1"/>
  <c r="AF484" i="37"/>
  <c r="AF495" i="37" s="1"/>
  <c r="AG484" i="37"/>
  <c r="AG495" i="37" s="1"/>
  <c r="AH484" i="37"/>
  <c r="AH495" i="37" s="1"/>
  <c r="AI484" i="37"/>
  <c r="AI495" i="37" s="1"/>
  <c r="AJ484" i="37"/>
  <c r="AJ495" i="37" s="1"/>
  <c r="AK484" i="37"/>
  <c r="AK495" i="37" s="1"/>
  <c r="AL484" i="37"/>
  <c r="AL495" i="37" s="1"/>
  <c r="AM484" i="37"/>
  <c r="AM495" i="37" s="1"/>
  <c r="AN484" i="37"/>
  <c r="AN495" i="37" s="1"/>
  <c r="AO484" i="37"/>
  <c r="AO495" i="37" s="1"/>
  <c r="AP484" i="37"/>
  <c r="AP495" i="37" s="1"/>
  <c r="AQ484" i="37"/>
  <c r="AQ495" i="37" s="1"/>
  <c r="AR484" i="37"/>
  <c r="AR495" i="37" s="1"/>
  <c r="Y485" i="37"/>
  <c r="AA485" i="37"/>
  <c r="AB485" i="37"/>
  <c r="AC485" i="37" s="1"/>
  <c r="AD485" i="37"/>
  <c r="AE485" i="37" s="1"/>
  <c r="AF485" i="37"/>
  <c r="AG485" i="37"/>
  <c r="AH485" i="37"/>
  <c r="AI485" i="37"/>
  <c r="AJ485" i="37"/>
  <c r="AK485" i="37"/>
  <c r="AL485" i="37"/>
  <c r="AM485" i="37"/>
  <c r="AN485" i="37"/>
  <c r="AO485" i="37"/>
  <c r="AP485" i="37"/>
  <c r="AQ485" i="37"/>
  <c r="AR485" i="37"/>
  <c r="Y486" i="37"/>
  <c r="AA486" i="37"/>
  <c r="AB486" i="37" s="1"/>
  <c r="AC486" i="37" s="1"/>
  <c r="AD486" i="37"/>
  <c r="AE486" i="37" s="1"/>
  <c r="AF486" i="37"/>
  <c r="AG486" i="37"/>
  <c r="AH486" i="37"/>
  <c r="AI486" i="37"/>
  <c r="AJ486" i="37"/>
  <c r="AK486" i="37"/>
  <c r="AL486" i="37"/>
  <c r="AM486" i="37"/>
  <c r="AN486" i="37"/>
  <c r="AO486" i="37"/>
  <c r="AP486" i="37"/>
  <c r="AQ486" i="37"/>
  <c r="AR486" i="37"/>
  <c r="Y487" i="37"/>
  <c r="AA487" i="37"/>
  <c r="AB487" i="37"/>
  <c r="AC487" i="37" s="1"/>
  <c r="AD487" i="37"/>
  <c r="AE487" i="37" s="1"/>
  <c r="AF487" i="37"/>
  <c r="AG487" i="37"/>
  <c r="AH487" i="37"/>
  <c r="AI487" i="37"/>
  <c r="AJ487" i="37"/>
  <c r="AK487" i="37"/>
  <c r="AL487" i="37"/>
  <c r="AM487" i="37"/>
  <c r="AN487" i="37"/>
  <c r="AO487" i="37"/>
  <c r="AP487" i="37"/>
  <c r="AQ487" i="37"/>
  <c r="AR487" i="37"/>
  <c r="Y497" i="37"/>
  <c r="AA497" i="37"/>
  <c r="AK497" i="37"/>
  <c r="AM497" i="37"/>
  <c r="AO497" i="37"/>
  <c r="AQ497" i="37"/>
  <c r="AR497" i="37"/>
  <c r="Y498" i="37"/>
  <c r="AA498" i="37"/>
  <c r="AK498" i="37"/>
  <c r="AM498" i="37"/>
  <c r="AO498" i="37"/>
  <c r="AQ498" i="37"/>
  <c r="Y499" i="37"/>
  <c r="AA499" i="37"/>
  <c r="AB499" i="37" s="1"/>
  <c r="AC499" i="37" s="1"/>
  <c r="AK499" i="37"/>
  <c r="AK510" i="37" s="1"/>
  <c r="AL499" i="37"/>
  <c r="AL510" i="37" s="1"/>
  <c r="AM499" i="37"/>
  <c r="AM510" i="37" s="1"/>
  <c r="AN499" i="37"/>
  <c r="AN510" i="37" s="1"/>
  <c r="AO499" i="37"/>
  <c r="AO510" i="37" s="1"/>
  <c r="AP499" i="37"/>
  <c r="AP510" i="37" s="1"/>
  <c r="AQ499" i="37"/>
  <c r="AQ510" i="37" s="1"/>
  <c r="AR499" i="37"/>
  <c r="AR510" i="37" s="1"/>
  <c r="Y500" i="37"/>
  <c r="AA500" i="37"/>
  <c r="AK500" i="37"/>
  <c r="AM500" i="37"/>
  <c r="AO500" i="37"/>
  <c r="AQ500" i="37"/>
  <c r="Y501" i="37"/>
  <c r="AA501" i="37"/>
  <c r="AK501" i="37"/>
  <c r="AM501" i="37"/>
  <c r="AO501" i="37"/>
  <c r="AP501" i="37"/>
  <c r="AQ501" i="37"/>
  <c r="AR501" i="37"/>
  <c r="Y502" i="37"/>
  <c r="AA502" i="37"/>
  <c r="AK502" i="37"/>
  <c r="AM502" i="37"/>
  <c r="AO502" i="37"/>
  <c r="AQ502" i="37"/>
  <c r="Y503" i="37"/>
  <c r="AA503" i="37"/>
  <c r="AB503" i="37" s="1"/>
  <c r="AC503" i="37" s="1"/>
  <c r="AD503" i="37" s="1"/>
  <c r="AE503" i="37" s="1"/>
  <c r="AF503" i="37" s="1"/>
  <c r="AG503" i="37" s="1"/>
  <c r="AH503" i="37" s="1"/>
  <c r="AI503" i="37" s="1"/>
  <c r="AJ503" i="37" s="1"/>
  <c r="AK503" i="37"/>
  <c r="AL503" i="37"/>
  <c r="AM503" i="37"/>
  <c r="AN503" i="37"/>
  <c r="AO503" i="37"/>
  <c r="AP503" i="37"/>
  <c r="AQ503" i="37"/>
  <c r="AR503" i="37"/>
  <c r="Y504" i="37"/>
  <c r="AA504" i="37"/>
  <c r="AK504" i="37"/>
  <c r="AM504" i="37"/>
  <c r="AO504" i="37"/>
  <c r="AQ504" i="37"/>
  <c r="Y505" i="37"/>
  <c r="AA505" i="37"/>
  <c r="AK505" i="37"/>
  <c r="AM505" i="37"/>
  <c r="AN505" i="37"/>
  <c r="AO505" i="37"/>
  <c r="AP505" i="37"/>
  <c r="AQ505" i="37"/>
  <c r="AR505" i="37"/>
  <c r="Y506" i="37"/>
  <c r="AA506" i="37"/>
  <c r="AK506" i="37"/>
  <c r="AM506" i="37"/>
  <c r="AO506" i="37"/>
  <c r="AQ506" i="37"/>
  <c r="Y512" i="37"/>
  <c r="AA512" i="37"/>
  <c r="AB512" i="37" s="1"/>
  <c r="AC512" i="37"/>
  <c r="AD512" i="37"/>
  <c r="AE512" i="37"/>
  <c r="AF512" i="37"/>
  <c r="AG512" i="37"/>
  <c r="AH512" i="37"/>
  <c r="AI512" i="37"/>
  <c r="AJ512" i="37"/>
  <c r="AK512" i="37"/>
  <c r="AL512" i="37"/>
  <c r="AM512" i="37"/>
  <c r="AN512" i="37"/>
  <c r="AO512" i="37"/>
  <c r="AP512" i="37"/>
  <c r="AQ512" i="37"/>
  <c r="AR512" i="37"/>
  <c r="Y513" i="37"/>
  <c r="AA513" i="37"/>
  <c r="AC513" i="37"/>
  <c r="AE513" i="37"/>
  <c r="AG513" i="37"/>
  <c r="AI513" i="37"/>
  <c r="AK513" i="37"/>
  <c r="AM513" i="37"/>
  <c r="AO513" i="37"/>
  <c r="AQ513" i="37"/>
  <c r="Y514" i="37"/>
  <c r="AA514" i="37"/>
  <c r="AC514" i="37"/>
  <c r="AE514" i="37"/>
  <c r="AE525" i="37" s="1"/>
  <c r="AG514" i="37"/>
  <c r="AG525" i="37" s="1"/>
  <c r="AI514" i="37"/>
  <c r="AI525" i="37" s="1"/>
  <c r="AK514" i="37"/>
  <c r="AK525" i="37" s="1"/>
  <c r="AM514" i="37"/>
  <c r="AM525" i="37" s="1"/>
  <c r="AO514" i="37"/>
  <c r="AO525" i="37" s="1"/>
  <c r="AQ514" i="37"/>
  <c r="AQ525" i="37" s="1"/>
  <c r="Y515" i="37"/>
  <c r="AA515" i="37"/>
  <c r="AC515" i="37"/>
  <c r="AE515" i="37"/>
  <c r="AG515" i="37"/>
  <c r="AI515" i="37"/>
  <c r="AK515" i="37"/>
  <c r="AM515" i="37"/>
  <c r="AO515" i="37"/>
  <c r="AQ515" i="37"/>
  <c r="Y516" i="37"/>
  <c r="AA516" i="37"/>
  <c r="AC516" i="37"/>
  <c r="AE516" i="37"/>
  <c r="AG516" i="37"/>
  <c r="AI516" i="37"/>
  <c r="AK516" i="37"/>
  <c r="AM516" i="37"/>
  <c r="AO516" i="37"/>
  <c r="AQ516" i="37"/>
  <c r="Y517" i="37"/>
  <c r="AA517" i="37"/>
  <c r="AC517" i="37"/>
  <c r="AE517" i="37"/>
  <c r="AG517" i="37"/>
  <c r="AI517" i="37"/>
  <c r="AK517" i="37"/>
  <c r="AM517" i="37"/>
  <c r="AO517" i="37"/>
  <c r="AQ517" i="37"/>
  <c r="Y518" i="37"/>
  <c r="AA518" i="37"/>
  <c r="AC518" i="37"/>
  <c r="AE518" i="37"/>
  <c r="AG518" i="37"/>
  <c r="AI518" i="37"/>
  <c r="AK518" i="37"/>
  <c r="AM518" i="37"/>
  <c r="AO518" i="37"/>
  <c r="AQ518" i="37"/>
  <c r="Y519" i="37"/>
  <c r="AA519" i="37"/>
  <c r="AC519" i="37"/>
  <c r="AE519" i="37"/>
  <c r="AG519" i="37"/>
  <c r="AI519" i="37"/>
  <c r="AK519" i="37"/>
  <c r="AM519" i="37"/>
  <c r="AO519" i="37"/>
  <c r="AQ519" i="37"/>
  <c r="AC525" i="37"/>
  <c r="Y527" i="37"/>
  <c r="AA527" i="37"/>
  <c r="AB527" i="37" s="1"/>
  <c r="AC527" i="37" s="1"/>
  <c r="AD527" i="37" s="1"/>
  <c r="AE527" i="37" s="1"/>
  <c r="AF527" i="37" s="1"/>
  <c r="AG527" i="37" s="1"/>
  <c r="AH527" i="37" s="1"/>
  <c r="AI527" i="37" s="1"/>
  <c r="AJ527" i="37" s="1"/>
  <c r="AK527" i="37"/>
  <c r="AL527" i="37"/>
  <c r="AM527" i="37"/>
  <c r="AN527" i="37"/>
  <c r="AO527" i="37"/>
  <c r="AP527" i="37"/>
  <c r="AQ527" i="37"/>
  <c r="AR527" i="37"/>
  <c r="Y528" i="37"/>
  <c r="AA528" i="37"/>
  <c r="AK528" i="37"/>
  <c r="AL528" i="37"/>
  <c r="AM528" i="37"/>
  <c r="AN528" i="37"/>
  <c r="AO528" i="37"/>
  <c r="AP528" i="37"/>
  <c r="AQ528" i="37"/>
  <c r="AR528" i="37"/>
  <c r="Y529" i="37"/>
  <c r="AA529" i="37"/>
  <c r="AK529" i="37"/>
  <c r="AK540" i="37" s="1"/>
  <c r="AM529" i="37"/>
  <c r="AM540" i="37" s="1"/>
  <c r="AO529" i="37"/>
  <c r="AO540" i="37" s="1"/>
  <c r="AQ529" i="37"/>
  <c r="AQ540" i="37" s="1"/>
  <c r="Y530" i="37"/>
  <c r="AA530" i="37"/>
  <c r="AK530" i="37"/>
  <c r="AM530" i="37"/>
  <c r="AO530" i="37"/>
  <c r="AQ530" i="37"/>
  <c r="Y531" i="37"/>
  <c r="AA531" i="37"/>
  <c r="AK531" i="37"/>
  <c r="AM531" i="37"/>
  <c r="AO531" i="37"/>
  <c r="AQ531" i="37"/>
  <c r="Y542" i="37"/>
  <c r="AL542" i="37"/>
  <c r="AN542" i="37"/>
  <c r="AP542" i="37"/>
  <c r="AR542" i="37"/>
  <c r="Y543" i="37"/>
  <c r="AA543" i="37"/>
  <c r="AM543" i="37"/>
  <c r="AQ543" i="37"/>
  <c r="Y544" i="37"/>
  <c r="AA544" i="37"/>
  <c r="AM544" i="37"/>
  <c r="AM555" i="37" s="1"/>
  <c r="AQ544" i="37"/>
  <c r="AQ555" i="37" s="1"/>
  <c r="Y545" i="37"/>
  <c r="AA545" i="37"/>
  <c r="AM545" i="37"/>
  <c r="AQ545" i="37"/>
  <c r="Y546" i="37"/>
  <c r="AA546" i="37"/>
  <c r="AB546" i="37" s="1"/>
  <c r="AC546" i="37" s="1"/>
  <c r="AD546" i="37" s="1"/>
  <c r="AE546" i="37" s="1"/>
  <c r="AF546" i="37" s="1"/>
  <c r="AG546" i="37" s="1"/>
  <c r="AH546" i="37" s="1"/>
  <c r="AI546" i="37" s="1"/>
  <c r="AJ546" i="37" s="1"/>
  <c r="AK546" i="37"/>
  <c r="AL546" i="37"/>
  <c r="AM546" i="37"/>
  <c r="AN546" i="37"/>
  <c r="AO546" i="37"/>
  <c r="AP546" i="37"/>
  <c r="AQ546" i="37"/>
  <c r="AR546" i="37"/>
  <c r="Y547" i="37"/>
  <c r="AK547" i="37"/>
  <c r="AO547" i="37"/>
  <c r="Y548" i="37"/>
  <c r="AK548" i="37"/>
  <c r="AO548" i="37"/>
  <c r="Y549" i="37"/>
  <c r="AA549" i="37"/>
  <c r="AK549" i="37"/>
  <c r="AO549" i="37"/>
  <c r="Y550" i="37"/>
  <c r="AA550" i="37"/>
  <c r="AB550" i="37" s="1"/>
  <c r="AL550" i="37"/>
  <c r="AN550" i="37"/>
  <c r="AP550" i="37"/>
  <c r="AR550" i="37"/>
  <c r="Y557" i="37"/>
  <c r="AC557" i="37"/>
  <c r="AG557" i="37"/>
  <c r="AK557" i="37"/>
  <c r="AO557" i="37"/>
  <c r="Y558" i="37"/>
  <c r="AC558" i="37"/>
  <c r="AG558" i="37"/>
  <c r="AK558" i="37"/>
  <c r="AO558" i="37"/>
  <c r="Y559" i="37"/>
  <c r="AD559" i="37"/>
  <c r="AD570" i="37" s="1"/>
  <c r="AF559" i="37"/>
  <c r="AF570" i="37" s="1"/>
  <c r="AH559" i="37"/>
  <c r="AH570" i="37" s="1"/>
  <c r="AJ559" i="37"/>
  <c r="AJ570" i="37" s="1"/>
  <c r="AL559" i="37"/>
  <c r="AL570" i="37" s="1"/>
  <c r="AN559" i="37"/>
  <c r="AN570" i="37" s="1"/>
  <c r="AP559" i="37"/>
  <c r="AP570" i="37" s="1"/>
  <c r="AR559" i="37"/>
  <c r="AR570" i="37" s="1"/>
  <c r="Y560" i="37"/>
  <c r="AA560" i="37"/>
  <c r="AE560" i="37"/>
  <c r="AI560" i="37"/>
  <c r="AM560" i="37"/>
  <c r="AQ560" i="37"/>
  <c r="Y561" i="37"/>
  <c r="AA561" i="37"/>
  <c r="AE561" i="37"/>
  <c r="AI561" i="37"/>
  <c r="AM561" i="37"/>
  <c r="AQ561" i="37"/>
  <c r="Y562" i="37"/>
  <c r="AA562" i="37"/>
  <c r="AE562" i="37"/>
  <c r="AI562" i="37"/>
  <c r="AM562" i="37"/>
  <c r="AQ562" i="37"/>
  <c r="Y572" i="37"/>
  <c r="AA572" i="37"/>
  <c r="AB572" i="37"/>
  <c r="AC572" i="37"/>
  <c r="AD572" i="37"/>
  <c r="AE572" i="37"/>
  <c r="AF572" i="37"/>
  <c r="AG572" i="37"/>
  <c r="AH572" i="37"/>
  <c r="AI572" i="37"/>
  <c r="AJ572" i="37"/>
  <c r="AK572" i="37"/>
  <c r="AL572" i="37"/>
  <c r="AM572" i="37"/>
  <c r="AN572" i="37"/>
  <c r="AO572" i="37"/>
  <c r="AP572" i="37"/>
  <c r="AQ572" i="37"/>
  <c r="AR572" i="37"/>
  <c r="Y573" i="37"/>
  <c r="AC573" i="37"/>
  <c r="AG573" i="37"/>
  <c r="AK573" i="37"/>
  <c r="AO573" i="37"/>
  <c r="Y574" i="37"/>
  <c r="AC574" i="37"/>
  <c r="AC585" i="37" s="1"/>
  <c r="AG574" i="37"/>
  <c r="AG585" i="37" s="1"/>
  <c r="AK574" i="37"/>
  <c r="AK585" i="37" s="1"/>
  <c r="AO574" i="37"/>
  <c r="AO585" i="37" s="1"/>
  <c r="Y575" i="37"/>
  <c r="AA575" i="37"/>
  <c r="AC575" i="37"/>
  <c r="AE575" i="37"/>
  <c r="AG575" i="37"/>
  <c r="AI575" i="37"/>
  <c r="AK575" i="37"/>
  <c r="AM575" i="37"/>
  <c r="AO575" i="37"/>
  <c r="AQ575" i="37"/>
  <c r="Y576" i="37"/>
  <c r="AA576" i="37"/>
  <c r="AB576" i="37" s="1"/>
  <c r="AC576" i="37"/>
  <c r="AD576" i="37"/>
  <c r="AE576" i="37"/>
  <c r="AF576" i="37"/>
  <c r="AG576" i="37"/>
  <c r="AH576" i="37"/>
  <c r="AI576" i="37"/>
  <c r="AJ576" i="37"/>
  <c r="AK576" i="37"/>
  <c r="AL576" i="37"/>
  <c r="AM576" i="37"/>
  <c r="AN576" i="37"/>
  <c r="AO576" i="37"/>
  <c r="AP576" i="37"/>
  <c r="AQ576" i="37"/>
  <c r="AR576" i="37"/>
  <c r="Y577" i="37"/>
  <c r="AA577" i="37"/>
  <c r="AC577" i="37"/>
  <c r="AE577" i="37"/>
  <c r="AG577" i="37"/>
  <c r="AI577" i="37"/>
  <c r="AK577" i="37"/>
  <c r="AM577" i="37"/>
  <c r="AO577" i="37"/>
  <c r="AQ577" i="37"/>
  <c r="Y578" i="37"/>
  <c r="AA578" i="37"/>
  <c r="AC578" i="37"/>
  <c r="AE578" i="37"/>
  <c r="AG578" i="37"/>
  <c r="AI578" i="37"/>
  <c r="AK578" i="37"/>
  <c r="AM578" i="37"/>
  <c r="AO578" i="37"/>
  <c r="AQ578" i="37"/>
  <c r="Y587" i="37"/>
  <c r="AC587" i="37"/>
  <c r="AK587" i="37"/>
  <c r="Y588" i="37"/>
  <c r="AD588" i="37"/>
  <c r="AF588" i="37"/>
  <c r="AH588" i="37"/>
  <c r="AJ588" i="37"/>
  <c r="AL588" i="37"/>
  <c r="AN588" i="37"/>
  <c r="AP588" i="37"/>
  <c r="AR588" i="37"/>
  <c r="Y589" i="37"/>
  <c r="AA589" i="37"/>
  <c r="AE589" i="37"/>
  <c r="AE600" i="37" s="1"/>
  <c r="AM589" i="37"/>
  <c r="AM600" i="37" s="1"/>
  <c r="Y590" i="37"/>
  <c r="AA590" i="37"/>
  <c r="AE590" i="37"/>
  <c r="AM590" i="37"/>
  <c r="Y591" i="37"/>
  <c r="AA591" i="37"/>
  <c r="AE591" i="37"/>
  <c r="AM591" i="37"/>
  <c r="Y592" i="37"/>
  <c r="AA592" i="37"/>
  <c r="AB592" i="37" s="1"/>
  <c r="AD592" i="37"/>
  <c r="AF592" i="37"/>
  <c r="AH592" i="37"/>
  <c r="AJ592" i="37"/>
  <c r="AL592" i="37"/>
  <c r="AN592" i="37"/>
  <c r="AP592" i="37"/>
  <c r="AR592" i="37"/>
  <c r="Y593" i="37"/>
  <c r="AA593" i="37"/>
  <c r="AG593" i="37"/>
  <c r="AO593" i="37"/>
  <c r="Y602" i="37"/>
  <c r="AG602" i="37"/>
  <c r="AO602" i="37"/>
  <c r="Y603" i="37"/>
  <c r="AC603" i="37"/>
  <c r="AK603" i="37"/>
  <c r="Y604" i="37"/>
  <c r="AD604" i="37"/>
  <c r="AD615" i="37" s="1"/>
  <c r="AF604" i="37"/>
  <c r="AF615" i="37" s="1"/>
  <c r="AH604" i="37"/>
  <c r="AH615" i="37" s="1"/>
  <c r="AJ604" i="37"/>
  <c r="AJ615" i="37" s="1"/>
  <c r="AL604" i="37"/>
  <c r="AL615" i="37" s="1"/>
  <c r="AN604" i="37"/>
  <c r="AN615" i="37" s="1"/>
  <c r="AP604" i="37"/>
  <c r="AP615" i="37" s="1"/>
  <c r="AR604" i="37"/>
  <c r="AR615" i="37" s="1"/>
  <c r="Y605" i="37"/>
  <c r="AE605" i="37"/>
  <c r="AM605" i="37"/>
  <c r="Y606" i="37"/>
  <c r="AE606" i="37"/>
  <c r="AM606" i="37"/>
  <c r="Y607" i="37"/>
  <c r="AE607" i="37"/>
  <c r="AM607" i="37"/>
  <c r="Y608" i="37"/>
  <c r="AE608" i="37"/>
  <c r="AM608" i="37"/>
  <c r="Y609" i="37"/>
  <c r="AE609" i="37"/>
  <c r="AM609" i="37"/>
  <c r="Y617" i="37"/>
  <c r="AK617" i="37"/>
  <c r="Y618" i="37"/>
  <c r="AK618" i="37"/>
  <c r="Y619" i="37"/>
  <c r="AK619" i="37"/>
  <c r="AK630" i="37" s="1"/>
  <c r="Y620" i="37"/>
  <c r="AQ620" i="37"/>
  <c r="Y621" i="37"/>
  <c r="AA621" i="37"/>
  <c r="AM621" i="37"/>
  <c r="Y622" i="37"/>
  <c r="AA622" i="37"/>
  <c r="AQ622" i="37"/>
  <c r="Y623" i="37"/>
  <c r="AA623" i="37"/>
  <c r="AM623" i="37"/>
  <c r="Y624" i="37"/>
  <c r="AA624" i="37"/>
  <c r="AQ624" i="37"/>
  <c r="Y625" i="37"/>
  <c r="AA625" i="37"/>
  <c r="AM625" i="37"/>
  <c r="Y632" i="37"/>
  <c r="Y633" i="37"/>
  <c r="Y634" i="37"/>
  <c r="Y635" i="37"/>
  <c r="Y636" i="37"/>
  <c r="Y637" i="37"/>
  <c r="Y638" i="37"/>
  <c r="AD638" i="37"/>
  <c r="AH638" i="37"/>
  <c r="AL638" i="37"/>
  <c r="AP638" i="37"/>
  <c r="Y647" i="37"/>
  <c r="Y648" i="37"/>
  <c r="Y649" i="37"/>
  <c r="Y650" i="37"/>
  <c r="Y651" i="37"/>
  <c r="Y652" i="37"/>
  <c r="Y653" i="37"/>
  <c r="Y654" i="37"/>
  <c r="Y662" i="37"/>
  <c r="Y663" i="37"/>
  <c r="Y664" i="37"/>
  <c r="Y665" i="37"/>
  <c r="Y666" i="37"/>
  <c r="AN666" i="37"/>
  <c r="Y667" i="37"/>
  <c r="Y677" i="37"/>
  <c r="Y678" i="37"/>
  <c r="Y679" i="37"/>
  <c r="Y680" i="37"/>
  <c r="Y681" i="37"/>
  <c r="Y682" i="37"/>
  <c r="AJ682" i="37"/>
  <c r="AR682" i="37"/>
  <c r="Y683" i="37"/>
  <c r="Y684" i="37"/>
  <c r="Y692" i="37"/>
  <c r="AN692" i="37"/>
  <c r="AR692" i="37"/>
  <c r="Y693" i="37"/>
  <c r="Y694" i="37"/>
  <c r="Y695" i="37"/>
  <c r="Y696" i="37"/>
  <c r="AP696" i="37"/>
  <c r="Y697" i="37"/>
  <c r="Y698" i="37"/>
  <c r="Y707" i="37"/>
  <c r="AF707" i="37"/>
  <c r="AJ707" i="37"/>
  <c r="AN707" i="37"/>
  <c r="AR707" i="37"/>
  <c r="Y708" i="37"/>
  <c r="Y709" i="37"/>
  <c r="Y710" i="37"/>
  <c r="Y711" i="37"/>
  <c r="AD711" i="37"/>
  <c r="AL711" i="37"/>
  <c r="Y712" i="37"/>
  <c r="Y713" i="37"/>
  <c r="Z713" i="37"/>
  <c r="AA713" i="37"/>
  <c r="Y714" i="37"/>
  <c r="Z714" i="37"/>
  <c r="AA714" i="37"/>
  <c r="Y715" i="37"/>
  <c r="Z715" i="37"/>
  <c r="AA715" i="37"/>
  <c r="Y716" i="37"/>
  <c r="Z716" i="37"/>
  <c r="AA716" i="37"/>
  <c r="Y717" i="37"/>
  <c r="Z717" i="37"/>
  <c r="AA717" i="37"/>
  <c r="Y718" i="37"/>
  <c r="Z718" i="37"/>
  <c r="AA718" i="37"/>
  <c r="Y719" i="37"/>
  <c r="Z719" i="37"/>
  <c r="AA719" i="37"/>
  <c r="Y722" i="37"/>
  <c r="Y723" i="37"/>
  <c r="AD723" i="37"/>
  <c r="AL723" i="37"/>
  <c r="Y724" i="37"/>
  <c r="Y725" i="37"/>
  <c r="AD725" i="37"/>
  <c r="AL725" i="37"/>
  <c r="AP725" i="37"/>
  <c r="Y726" i="37"/>
  <c r="Y727" i="37"/>
  <c r="AP727" i="37"/>
  <c r="Y728" i="37"/>
  <c r="Y729" i="37"/>
  <c r="AD729" i="37"/>
  <c r="AL729" i="37"/>
  <c r="AP729" i="37"/>
  <c r="Y730" i="37"/>
  <c r="Y731" i="37"/>
  <c r="AD731" i="37"/>
  <c r="AL731" i="37"/>
  <c r="Y732" i="37"/>
  <c r="Y733" i="37"/>
  <c r="AD733" i="37"/>
  <c r="AL733" i="37"/>
  <c r="AP733" i="37"/>
  <c r="Y734" i="37"/>
  <c r="Y737" i="37"/>
  <c r="AH737" i="37"/>
  <c r="AP737" i="37"/>
  <c r="Y738" i="37"/>
  <c r="Y739" i="37"/>
  <c r="AH739" i="37"/>
  <c r="AH750" i="37" s="1"/>
  <c r="AL739" i="37"/>
  <c r="AL750" i="37" s="1"/>
  <c r="AP739" i="37"/>
  <c r="AP750" i="37" s="1"/>
  <c r="Y740" i="37"/>
  <c r="Y741" i="37"/>
  <c r="AL741" i="37"/>
  <c r="Y742" i="37"/>
  <c r="Y743" i="37"/>
  <c r="AH743" i="37"/>
  <c r="AL743" i="37"/>
  <c r="AP743" i="37"/>
  <c r="Y744" i="37"/>
  <c r="Y752" i="37"/>
  <c r="Y753" i="37"/>
  <c r="Y754" i="37"/>
  <c r="Y755" i="37"/>
  <c r="Y756" i="37"/>
  <c r="Y757" i="37"/>
  <c r="Y767" i="37"/>
  <c r="Y768" i="37"/>
  <c r="Y769" i="37"/>
  <c r="Y770" i="37"/>
  <c r="Y771" i="37"/>
  <c r="Y772" i="37"/>
  <c r="W772" i="37"/>
  <c r="V772" i="37"/>
  <c r="U772" i="37"/>
  <c r="T772" i="37"/>
  <c r="S772" i="37"/>
  <c r="R772" i="37"/>
  <c r="Q772" i="37"/>
  <c r="P772" i="37"/>
  <c r="O772" i="37"/>
  <c r="N772" i="37"/>
  <c r="M772" i="37"/>
  <c r="L772" i="37"/>
  <c r="K772" i="37"/>
  <c r="J772" i="37"/>
  <c r="I772" i="37"/>
  <c r="H772" i="37"/>
  <c r="G772" i="37"/>
  <c r="F772" i="37"/>
  <c r="W771" i="37"/>
  <c r="V771" i="37"/>
  <c r="U771" i="37"/>
  <c r="T771" i="37"/>
  <c r="S771" i="37"/>
  <c r="R771" i="37"/>
  <c r="Q771" i="37"/>
  <c r="P771" i="37"/>
  <c r="O771" i="37"/>
  <c r="N771" i="37"/>
  <c r="M771" i="37"/>
  <c r="L771" i="37"/>
  <c r="K771" i="37"/>
  <c r="J771" i="37"/>
  <c r="I771" i="37"/>
  <c r="H771" i="37"/>
  <c r="G771" i="37"/>
  <c r="F771" i="37"/>
  <c r="W770" i="37"/>
  <c r="V770" i="37"/>
  <c r="U770" i="37"/>
  <c r="T770" i="37"/>
  <c r="S770" i="37"/>
  <c r="R770" i="37"/>
  <c r="Q770" i="37"/>
  <c r="P770" i="37"/>
  <c r="O770" i="37"/>
  <c r="N770" i="37"/>
  <c r="M770" i="37"/>
  <c r="L770" i="37"/>
  <c r="K770" i="37"/>
  <c r="J770" i="37"/>
  <c r="I770" i="37"/>
  <c r="H770" i="37"/>
  <c r="G770" i="37"/>
  <c r="F770" i="37"/>
  <c r="W769" i="37"/>
  <c r="V769" i="37"/>
  <c r="U769" i="37"/>
  <c r="T769" i="37"/>
  <c r="S769" i="37"/>
  <c r="R769" i="37"/>
  <c r="Q769" i="37"/>
  <c r="P769" i="37"/>
  <c r="O769" i="37"/>
  <c r="N769" i="37"/>
  <c r="M769" i="37"/>
  <c r="L769" i="37"/>
  <c r="K769" i="37"/>
  <c r="J769" i="37"/>
  <c r="I769" i="37"/>
  <c r="H769" i="37"/>
  <c r="G769" i="37"/>
  <c r="F769" i="37"/>
  <c r="W768" i="37"/>
  <c r="V768" i="37"/>
  <c r="U768" i="37"/>
  <c r="T768" i="37"/>
  <c r="S768" i="37"/>
  <c r="R768" i="37"/>
  <c r="Q768" i="37"/>
  <c r="P768" i="37"/>
  <c r="O768" i="37"/>
  <c r="N768" i="37"/>
  <c r="M768" i="37"/>
  <c r="L768" i="37"/>
  <c r="K768" i="37"/>
  <c r="J768" i="37"/>
  <c r="I768" i="37"/>
  <c r="H768" i="37"/>
  <c r="G768" i="37"/>
  <c r="F768" i="37"/>
  <c r="W767" i="37"/>
  <c r="V767" i="37"/>
  <c r="AQ767" i="37" s="1"/>
  <c r="U767" i="37"/>
  <c r="T767" i="37"/>
  <c r="S767" i="37"/>
  <c r="R767" i="37"/>
  <c r="AM767" i="37" s="1"/>
  <c r="Q767" i="37"/>
  <c r="P767" i="37"/>
  <c r="O767" i="37"/>
  <c r="N767" i="37"/>
  <c r="AI767" i="37" s="1"/>
  <c r="M767" i="37"/>
  <c r="L767" i="37"/>
  <c r="K767" i="37"/>
  <c r="J767" i="37"/>
  <c r="AE767" i="37" s="1"/>
  <c r="I767" i="37"/>
  <c r="H767" i="37"/>
  <c r="G767" i="37"/>
  <c r="F767" i="37"/>
  <c r="Y11" i="37"/>
  <c r="Y12" i="37"/>
  <c r="Y13" i="37"/>
  <c r="Y14" i="37"/>
  <c r="F3" i="37"/>
  <c r="F4" i="37"/>
  <c r="F5" i="37"/>
  <c r="F6" i="37"/>
  <c r="F7" i="37"/>
  <c r="F8" i="37"/>
  <c r="F9" i="37"/>
  <c r="F10" i="37"/>
  <c r="W282" i="37"/>
  <c r="V282" i="37"/>
  <c r="U282" i="37"/>
  <c r="T282" i="37"/>
  <c r="S282" i="37"/>
  <c r="R282" i="37"/>
  <c r="Q282" i="37"/>
  <c r="P282" i="37"/>
  <c r="O282" i="37"/>
  <c r="N282" i="37"/>
  <c r="M282" i="37"/>
  <c r="L282" i="37"/>
  <c r="K282" i="37"/>
  <c r="J282" i="37"/>
  <c r="I282" i="37"/>
  <c r="H282" i="37"/>
  <c r="G282" i="37"/>
  <c r="F282" i="37"/>
  <c r="W281" i="37"/>
  <c r="V281" i="37"/>
  <c r="U281" i="37"/>
  <c r="T281" i="37"/>
  <c r="S281" i="37"/>
  <c r="R281" i="37"/>
  <c r="Q281" i="37"/>
  <c r="P281" i="37"/>
  <c r="O281" i="37"/>
  <c r="N281" i="37"/>
  <c r="M281" i="37"/>
  <c r="L281" i="37"/>
  <c r="K281" i="37"/>
  <c r="J281" i="37"/>
  <c r="I281" i="37"/>
  <c r="H281" i="37"/>
  <c r="G281" i="37"/>
  <c r="F281" i="37"/>
  <c r="W280" i="37"/>
  <c r="V280" i="37"/>
  <c r="U280" i="37"/>
  <c r="T280" i="37"/>
  <c r="S280" i="37"/>
  <c r="R280" i="37"/>
  <c r="Q280" i="37"/>
  <c r="P280" i="37"/>
  <c r="O280" i="37"/>
  <c r="N280" i="37"/>
  <c r="M280" i="37"/>
  <c r="L280" i="37"/>
  <c r="K280" i="37"/>
  <c r="J280" i="37"/>
  <c r="I280" i="37"/>
  <c r="H280" i="37"/>
  <c r="G280" i="37"/>
  <c r="F280" i="37"/>
  <c r="W279" i="37"/>
  <c r="V279" i="37"/>
  <c r="U279" i="37"/>
  <c r="T279" i="37"/>
  <c r="S279" i="37"/>
  <c r="R279" i="37"/>
  <c r="Q279" i="37"/>
  <c r="P279" i="37"/>
  <c r="O279" i="37"/>
  <c r="N279" i="37"/>
  <c r="M279" i="37"/>
  <c r="L279" i="37"/>
  <c r="K279" i="37"/>
  <c r="J279" i="37"/>
  <c r="I279" i="37"/>
  <c r="H279" i="37"/>
  <c r="G279" i="37"/>
  <c r="F279" i="37"/>
  <c r="W278" i="37"/>
  <c r="V278" i="37"/>
  <c r="U278" i="37"/>
  <c r="T278" i="37"/>
  <c r="S278" i="37"/>
  <c r="R278" i="37"/>
  <c r="Q278" i="37"/>
  <c r="P278" i="37"/>
  <c r="O278" i="37"/>
  <c r="N278" i="37"/>
  <c r="M278" i="37"/>
  <c r="L278" i="37"/>
  <c r="K278" i="37"/>
  <c r="J278" i="37"/>
  <c r="I278" i="37"/>
  <c r="H278" i="37"/>
  <c r="G278" i="37"/>
  <c r="F278" i="37"/>
  <c r="W277" i="37"/>
  <c r="V277" i="37"/>
  <c r="U277" i="37"/>
  <c r="T277" i="37"/>
  <c r="S277" i="37"/>
  <c r="R277" i="37"/>
  <c r="Q277" i="37"/>
  <c r="P277" i="37"/>
  <c r="O277" i="37"/>
  <c r="N277" i="37"/>
  <c r="M277" i="37"/>
  <c r="L277" i="37"/>
  <c r="K277" i="37"/>
  <c r="J277" i="37"/>
  <c r="I277" i="37"/>
  <c r="H277" i="37"/>
  <c r="G277" i="37"/>
  <c r="F277" i="37"/>
  <c r="W276" i="37"/>
  <c r="V276" i="37"/>
  <c r="U276" i="37"/>
  <c r="T276" i="37"/>
  <c r="S276" i="37"/>
  <c r="R276" i="37"/>
  <c r="Q276" i="37"/>
  <c r="P276" i="37"/>
  <c r="O276" i="37"/>
  <c r="N276" i="37"/>
  <c r="M276" i="37"/>
  <c r="L276" i="37"/>
  <c r="K276" i="37"/>
  <c r="J276" i="37"/>
  <c r="I276" i="37"/>
  <c r="H276" i="37"/>
  <c r="G276" i="37"/>
  <c r="F276" i="37"/>
  <c r="W275" i="37"/>
  <c r="V275" i="37"/>
  <c r="U275" i="37"/>
  <c r="T275" i="37"/>
  <c r="S275" i="37"/>
  <c r="R275" i="37"/>
  <c r="Q275" i="37"/>
  <c r="P275" i="37"/>
  <c r="O275" i="37"/>
  <c r="N275" i="37"/>
  <c r="M275" i="37"/>
  <c r="L275" i="37"/>
  <c r="K275" i="37"/>
  <c r="J275" i="37"/>
  <c r="I275" i="37"/>
  <c r="H275" i="37"/>
  <c r="G275" i="37"/>
  <c r="F275" i="37"/>
  <c r="W274" i="37"/>
  <c r="V274" i="37"/>
  <c r="U274" i="37"/>
  <c r="T274" i="37"/>
  <c r="S274" i="37"/>
  <c r="R274" i="37"/>
  <c r="Q274" i="37"/>
  <c r="P274" i="37"/>
  <c r="O274" i="37"/>
  <c r="N274" i="37"/>
  <c r="M274" i="37"/>
  <c r="L274" i="37"/>
  <c r="K274" i="37"/>
  <c r="J274" i="37"/>
  <c r="I274" i="37"/>
  <c r="H274" i="37"/>
  <c r="G274" i="37"/>
  <c r="F274" i="37"/>
  <c r="W273" i="37"/>
  <c r="V273" i="37"/>
  <c r="U273" i="37"/>
  <c r="T273" i="37"/>
  <c r="S273" i="37"/>
  <c r="R273" i="37"/>
  <c r="Q273" i="37"/>
  <c r="P273" i="37"/>
  <c r="O273" i="37"/>
  <c r="N273" i="37"/>
  <c r="M273" i="37"/>
  <c r="L273" i="37"/>
  <c r="K273" i="37"/>
  <c r="J273" i="37"/>
  <c r="I273" i="37"/>
  <c r="H273" i="37"/>
  <c r="G273" i="37"/>
  <c r="F273" i="37"/>
  <c r="W272" i="37"/>
  <c r="V272" i="37"/>
  <c r="U272" i="37"/>
  <c r="T272" i="37"/>
  <c r="S272" i="37"/>
  <c r="R272" i="37"/>
  <c r="Q272" i="37"/>
  <c r="P272" i="37"/>
  <c r="O272" i="37"/>
  <c r="N272" i="37"/>
  <c r="M272" i="37"/>
  <c r="L272" i="37"/>
  <c r="K272" i="37"/>
  <c r="J272" i="37"/>
  <c r="I272" i="37"/>
  <c r="H272" i="37"/>
  <c r="G272" i="37"/>
  <c r="F272" i="37"/>
  <c r="W266" i="37"/>
  <c r="V266" i="37"/>
  <c r="U266" i="37"/>
  <c r="T266" i="37"/>
  <c r="S266" i="37"/>
  <c r="R266" i="37"/>
  <c r="Q266" i="37"/>
  <c r="P266" i="37"/>
  <c r="O266" i="37"/>
  <c r="N266" i="37"/>
  <c r="M266" i="37"/>
  <c r="L266" i="37"/>
  <c r="K266" i="37"/>
  <c r="J266" i="37"/>
  <c r="I266" i="37"/>
  <c r="H266" i="37"/>
  <c r="G266" i="37"/>
  <c r="F266" i="37"/>
  <c r="W265" i="37"/>
  <c r="V265" i="37"/>
  <c r="U265" i="37"/>
  <c r="T265" i="37"/>
  <c r="S265" i="37"/>
  <c r="R265" i="37"/>
  <c r="Q265" i="37"/>
  <c r="P265" i="37"/>
  <c r="O265" i="37"/>
  <c r="N265" i="37"/>
  <c r="M265" i="37"/>
  <c r="L265" i="37"/>
  <c r="K265" i="37"/>
  <c r="J265" i="37"/>
  <c r="I265" i="37"/>
  <c r="H265" i="37"/>
  <c r="G265" i="37"/>
  <c r="F265" i="37"/>
  <c r="W264" i="37"/>
  <c r="V264" i="37"/>
  <c r="U264" i="37"/>
  <c r="T264" i="37"/>
  <c r="S264" i="37"/>
  <c r="R264" i="37"/>
  <c r="Q264" i="37"/>
  <c r="P264" i="37"/>
  <c r="O264" i="37"/>
  <c r="N264" i="37"/>
  <c r="M264" i="37"/>
  <c r="L264" i="37"/>
  <c r="K264" i="37"/>
  <c r="J264" i="37"/>
  <c r="I264" i="37"/>
  <c r="H264" i="37"/>
  <c r="G264" i="37"/>
  <c r="F264" i="37"/>
  <c r="W263" i="37"/>
  <c r="V263" i="37"/>
  <c r="U263" i="37"/>
  <c r="T263" i="37"/>
  <c r="S263" i="37"/>
  <c r="R263" i="37"/>
  <c r="Q263" i="37"/>
  <c r="P263" i="37"/>
  <c r="O263" i="37"/>
  <c r="N263" i="37"/>
  <c r="M263" i="37"/>
  <c r="L263" i="37"/>
  <c r="K263" i="37"/>
  <c r="J263" i="37"/>
  <c r="I263" i="37"/>
  <c r="H263" i="37"/>
  <c r="G263" i="37"/>
  <c r="F263" i="37"/>
  <c r="W262" i="37"/>
  <c r="V262" i="37"/>
  <c r="U262" i="37"/>
  <c r="T262" i="37"/>
  <c r="S262" i="37"/>
  <c r="R262" i="37"/>
  <c r="Q262" i="37"/>
  <c r="P262" i="37"/>
  <c r="O262" i="37"/>
  <c r="N262" i="37"/>
  <c r="M262" i="37"/>
  <c r="L262" i="37"/>
  <c r="K262" i="37"/>
  <c r="J262" i="37"/>
  <c r="I262" i="37"/>
  <c r="H262" i="37"/>
  <c r="G262" i="37"/>
  <c r="F262" i="37"/>
  <c r="W261" i="37"/>
  <c r="V261" i="37"/>
  <c r="U261" i="37"/>
  <c r="T261" i="37"/>
  <c r="S261" i="37"/>
  <c r="R261" i="37"/>
  <c r="Q261" i="37"/>
  <c r="P261" i="37"/>
  <c r="O261" i="37"/>
  <c r="N261" i="37"/>
  <c r="M261" i="37"/>
  <c r="L261" i="37"/>
  <c r="K261" i="37"/>
  <c r="J261" i="37"/>
  <c r="I261" i="37"/>
  <c r="H261" i="37"/>
  <c r="G261" i="37"/>
  <c r="F261" i="37"/>
  <c r="W260" i="37"/>
  <c r="V260" i="37"/>
  <c r="U260" i="37"/>
  <c r="T260" i="37"/>
  <c r="S260" i="37"/>
  <c r="R260" i="37"/>
  <c r="Q260" i="37"/>
  <c r="P260" i="37"/>
  <c r="O260" i="37"/>
  <c r="N260" i="37"/>
  <c r="M260" i="37"/>
  <c r="L260" i="37"/>
  <c r="K260" i="37"/>
  <c r="J260" i="37"/>
  <c r="I260" i="37"/>
  <c r="H260" i="37"/>
  <c r="G260" i="37"/>
  <c r="F260" i="37"/>
  <c r="W259" i="37"/>
  <c r="V259" i="37"/>
  <c r="U259" i="37"/>
  <c r="T259" i="37"/>
  <c r="S259" i="37"/>
  <c r="R259" i="37"/>
  <c r="Q259" i="37"/>
  <c r="P259" i="37"/>
  <c r="O259" i="37"/>
  <c r="N259" i="37"/>
  <c r="M259" i="37"/>
  <c r="L259" i="37"/>
  <c r="K259" i="37"/>
  <c r="J259" i="37"/>
  <c r="I259" i="37"/>
  <c r="H259" i="37"/>
  <c r="G259" i="37"/>
  <c r="F259" i="37"/>
  <c r="W258" i="37"/>
  <c r="V258" i="37"/>
  <c r="U258" i="37"/>
  <c r="T258" i="37"/>
  <c r="S258" i="37"/>
  <c r="R258" i="37"/>
  <c r="Q258" i="37"/>
  <c r="P258" i="37"/>
  <c r="O258" i="37"/>
  <c r="N258" i="37"/>
  <c r="M258" i="37"/>
  <c r="L258" i="37"/>
  <c r="K258" i="37"/>
  <c r="J258" i="37"/>
  <c r="I258" i="37"/>
  <c r="H258" i="37"/>
  <c r="G258" i="37"/>
  <c r="F258" i="37"/>
  <c r="W257" i="37"/>
  <c r="V257" i="37"/>
  <c r="U257" i="37"/>
  <c r="T257" i="37"/>
  <c r="S257" i="37"/>
  <c r="R257" i="37"/>
  <c r="Q257" i="37"/>
  <c r="P257" i="37"/>
  <c r="O257" i="37"/>
  <c r="N257" i="37"/>
  <c r="M257" i="37"/>
  <c r="L257" i="37"/>
  <c r="K257" i="37"/>
  <c r="J257" i="37"/>
  <c r="I257" i="37"/>
  <c r="H257" i="37"/>
  <c r="G257" i="37"/>
  <c r="F257" i="37"/>
  <c r="W249" i="37"/>
  <c r="V249" i="37"/>
  <c r="U249" i="37"/>
  <c r="T249" i="37"/>
  <c r="S249" i="37"/>
  <c r="R249" i="37"/>
  <c r="Q249" i="37"/>
  <c r="P249" i="37"/>
  <c r="O249" i="37"/>
  <c r="N249" i="37"/>
  <c r="M249" i="37"/>
  <c r="L249" i="37"/>
  <c r="K249" i="37"/>
  <c r="J249" i="37"/>
  <c r="I249" i="37"/>
  <c r="H249" i="37"/>
  <c r="G249" i="37"/>
  <c r="F249" i="37"/>
  <c r="W248" i="37"/>
  <c r="V248" i="37"/>
  <c r="U248" i="37"/>
  <c r="T248" i="37"/>
  <c r="S248" i="37"/>
  <c r="R248" i="37"/>
  <c r="Q248" i="37"/>
  <c r="P248" i="37"/>
  <c r="O248" i="37"/>
  <c r="N248" i="37"/>
  <c r="M248" i="37"/>
  <c r="L248" i="37"/>
  <c r="K248" i="37"/>
  <c r="J248" i="37"/>
  <c r="I248" i="37"/>
  <c r="H248" i="37"/>
  <c r="G248" i="37"/>
  <c r="F248" i="37"/>
  <c r="W247" i="37"/>
  <c r="V247" i="37"/>
  <c r="U247" i="37"/>
  <c r="T247" i="37"/>
  <c r="S247" i="37"/>
  <c r="R247" i="37"/>
  <c r="Q247" i="37"/>
  <c r="P247" i="37"/>
  <c r="O247" i="37"/>
  <c r="N247" i="37"/>
  <c r="M247" i="37"/>
  <c r="L247" i="37"/>
  <c r="K247" i="37"/>
  <c r="J247" i="37"/>
  <c r="I247" i="37"/>
  <c r="H247" i="37"/>
  <c r="G247" i="37"/>
  <c r="F247" i="37"/>
  <c r="W246" i="37"/>
  <c r="V246" i="37"/>
  <c r="U246" i="37"/>
  <c r="T246" i="37"/>
  <c r="S246" i="37"/>
  <c r="R246" i="37"/>
  <c r="Q246" i="37"/>
  <c r="P246" i="37"/>
  <c r="O246" i="37"/>
  <c r="N246" i="37"/>
  <c r="M246" i="37"/>
  <c r="L246" i="37"/>
  <c r="K246" i="37"/>
  <c r="J246" i="37"/>
  <c r="I246" i="37"/>
  <c r="H246" i="37"/>
  <c r="G246" i="37"/>
  <c r="F246" i="37"/>
  <c r="W245" i="37"/>
  <c r="V245" i="37"/>
  <c r="U245" i="37"/>
  <c r="T245" i="37"/>
  <c r="S245" i="37"/>
  <c r="R245" i="37"/>
  <c r="Q245" i="37"/>
  <c r="P245" i="37"/>
  <c r="O245" i="37"/>
  <c r="N245" i="37"/>
  <c r="M245" i="37"/>
  <c r="L245" i="37"/>
  <c r="K245" i="37"/>
  <c r="J245" i="37"/>
  <c r="I245" i="37"/>
  <c r="H245" i="37"/>
  <c r="G245" i="37"/>
  <c r="F245" i="37"/>
  <c r="W244" i="37"/>
  <c r="V244" i="37"/>
  <c r="U244" i="37"/>
  <c r="T244" i="37"/>
  <c r="S244" i="37"/>
  <c r="R244" i="37"/>
  <c r="Q244" i="37"/>
  <c r="P244" i="37"/>
  <c r="O244" i="37"/>
  <c r="N244" i="37"/>
  <c r="M244" i="37"/>
  <c r="L244" i="37"/>
  <c r="K244" i="37"/>
  <c r="J244" i="37"/>
  <c r="I244" i="37"/>
  <c r="H244" i="37"/>
  <c r="G244" i="37"/>
  <c r="F244" i="37"/>
  <c r="W243" i="37"/>
  <c r="V243" i="37"/>
  <c r="U243" i="37"/>
  <c r="T243" i="37"/>
  <c r="S243" i="37"/>
  <c r="R243" i="37"/>
  <c r="Q243" i="37"/>
  <c r="P243" i="37"/>
  <c r="O243" i="37"/>
  <c r="N243" i="37"/>
  <c r="M243" i="37"/>
  <c r="L243" i="37"/>
  <c r="K243" i="37"/>
  <c r="J243" i="37"/>
  <c r="I243" i="37"/>
  <c r="H243" i="37"/>
  <c r="G243" i="37"/>
  <c r="F243" i="37"/>
  <c r="W242" i="37"/>
  <c r="V242" i="37"/>
  <c r="U242" i="37"/>
  <c r="T242" i="37"/>
  <c r="S242" i="37"/>
  <c r="R242" i="37"/>
  <c r="Q242" i="37"/>
  <c r="P242" i="37"/>
  <c r="O242" i="37"/>
  <c r="N242" i="37"/>
  <c r="M242" i="37"/>
  <c r="L242" i="37"/>
  <c r="K242" i="37"/>
  <c r="J242" i="37"/>
  <c r="I242" i="37"/>
  <c r="H242" i="37"/>
  <c r="G242" i="37"/>
  <c r="F242" i="37"/>
  <c r="W234" i="37"/>
  <c r="V234" i="37"/>
  <c r="U234" i="37"/>
  <c r="T234" i="37"/>
  <c r="S234" i="37"/>
  <c r="R234" i="37"/>
  <c r="Q234" i="37"/>
  <c r="P234" i="37"/>
  <c r="O234" i="37"/>
  <c r="N234" i="37"/>
  <c r="M234" i="37"/>
  <c r="L234" i="37"/>
  <c r="K234" i="37"/>
  <c r="J234" i="37"/>
  <c r="I234" i="37"/>
  <c r="H234" i="37"/>
  <c r="G234" i="37"/>
  <c r="F234" i="37"/>
  <c r="W233" i="37"/>
  <c r="V233" i="37"/>
  <c r="U233" i="37"/>
  <c r="T233" i="37"/>
  <c r="S233" i="37"/>
  <c r="R233" i="37"/>
  <c r="Q233" i="37"/>
  <c r="P233" i="37"/>
  <c r="O233" i="37"/>
  <c r="N233" i="37"/>
  <c r="M233" i="37"/>
  <c r="L233" i="37"/>
  <c r="K233" i="37"/>
  <c r="J233" i="37"/>
  <c r="I233" i="37"/>
  <c r="H233" i="37"/>
  <c r="G233" i="37"/>
  <c r="F233" i="37"/>
  <c r="W232" i="37"/>
  <c r="V232" i="37"/>
  <c r="U232" i="37"/>
  <c r="T232" i="37"/>
  <c r="S232" i="37"/>
  <c r="R232" i="37"/>
  <c r="Q232" i="37"/>
  <c r="P232" i="37"/>
  <c r="O232" i="37"/>
  <c r="N232" i="37"/>
  <c r="M232" i="37"/>
  <c r="L232" i="37"/>
  <c r="K232" i="37"/>
  <c r="J232" i="37"/>
  <c r="I232" i="37"/>
  <c r="H232" i="37"/>
  <c r="G232" i="37"/>
  <c r="F232" i="37"/>
  <c r="W231" i="37"/>
  <c r="V231" i="37"/>
  <c r="U231" i="37"/>
  <c r="T231" i="37"/>
  <c r="S231" i="37"/>
  <c r="R231" i="37"/>
  <c r="Q231" i="37"/>
  <c r="P231" i="37"/>
  <c r="O231" i="37"/>
  <c r="N231" i="37"/>
  <c r="M231" i="37"/>
  <c r="L231" i="37"/>
  <c r="K231" i="37"/>
  <c r="J231" i="37"/>
  <c r="I231" i="37"/>
  <c r="H231" i="37"/>
  <c r="G231" i="37"/>
  <c r="F231" i="37"/>
  <c r="W230" i="37"/>
  <c r="V230" i="37"/>
  <c r="U230" i="37"/>
  <c r="T230" i="37"/>
  <c r="S230" i="37"/>
  <c r="R230" i="37"/>
  <c r="Q230" i="37"/>
  <c r="P230" i="37"/>
  <c r="O230" i="37"/>
  <c r="N230" i="37"/>
  <c r="M230" i="37"/>
  <c r="L230" i="37"/>
  <c r="K230" i="37"/>
  <c r="J230" i="37"/>
  <c r="I230" i="37"/>
  <c r="H230" i="37"/>
  <c r="G230" i="37"/>
  <c r="F230" i="37"/>
  <c r="W229" i="37"/>
  <c r="V229" i="37"/>
  <c r="U229" i="37"/>
  <c r="T229" i="37"/>
  <c r="S229" i="37"/>
  <c r="R229" i="37"/>
  <c r="Q229" i="37"/>
  <c r="P229" i="37"/>
  <c r="O229" i="37"/>
  <c r="N229" i="37"/>
  <c r="M229" i="37"/>
  <c r="L229" i="37"/>
  <c r="K229" i="37"/>
  <c r="J229" i="37"/>
  <c r="I229" i="37"/>
  <c r="H229" i="37"/>
  <c r="G229" i="37"/>
  <c r="F229" i="37"/>
  <c r="W228" i="37"/>
  <c r="V228" i="37"/>
  <c r="U228" i="37"/>
  <c r="T228" i="37"/>
  <c r="S228" i="37"/>
  <c r="R228" i="37"/>
  <c r="Q228" i="37"/>
  <c r="P228" i="37"/>
  <c r="O228" i="37"/>
  <c r="N228" i="37"/>
  <c r="M228" i="37"/>
  <c r="L228" i="37"/>
  <c r="K228" i="37"/>
  <c r="J228" i="37"/>
  <c r="I228" i="37"/>
  <c r="H228" i="37"/>
  <c r="G228" i="37"/>
  <c r="F228" i="37"/>
  <c r="W227" i="37"/>
  <c r="V227" i="37"/>
  <c r="U227" i="37"/>
  <c r="T227" i="37"/>
  <c r="S227" i="37"/>
  <c r="R227" i="37"/>
  <c r="Q227" i="37"/>
  <c r="P227" i="37"/>
  <c r="O227" i="37"/>
  <c r="N227" i="37"/>
  <c r="M227" i="37"/>
  <c r="L227" i="37"/>
  <c r="K227" i="37"/>
  <c r="J227" i="37"/>
  <c r="I227" i="37"/>
  <c r="H227" i="37"/>
  <c r="G227" i="37"/>
  <c r="F227" i="37"/>
  <c r="W220" i="37"/>
  <c r="V220" i="37"/>
  <c r="U220" i="37"/>
  <c r="T220" i="37"/>
  <c r="S220" i="37"/>
  <c r="R220" i="37"/>
  <c r="Q220" i="37"/>
  <c r="P220" i="37"/>
  <c r="O220" i="37"/>
  <c r="N220" i="37"/>
  <c r="M220" i="37"/>
  <c r="L220" i="37"/>
  <c r="K220" i="37"/>
  <c r="J220" i="37"/>
  <c r="I220" i="37"/>
  <c r="H220" i="37"/>
  <c r="G220" i="37"/>
  <c r="F220" i="37"/>
  <c r="W219" i="37"/>
  <c r="V219" i="37"/>
  <c r="U219" i="37"/>
  <c r="T219" i="37"/>
  <c r="S219" i="37"/>
  <c r="R219" i="37"/>
  <c r="Q219" i="37"/>
  <c r="P219" i="37"/>
  <c r="O219" i="37"/>
  <c r="N219" i="37"/>
  <c r="M219" i="37"/>
  <c r="L219" i="37"/>
  <c r="K219" i="37"/>
  <c r="J219" i="37"/>
  <c r="I219" i="37"/>
  <c r="H219" i="37"/>
  <c r="G219" i="37"/>
  <c r="F219" i="37"/>
  <c r="W218" i="37"/>
  <c r="V218" i="37"/>
  <c r="U218" i="37"/>
  <c r="T218" i="37"/>
  <c r="S218" i="37"/>
  <c r="R218" i="37"/>
  <c r="Q218" i="37"/>
  <c r="P218" i="37"/>
  <c r="O218" i="37"/>
  <c r="N218" i="37"/>
  <c r="M218" i="37"/>
  <c r="L218" i="37"/>
  <c r="K218" i="37"/>
  <c r="J218" i="37"/>
  <c r="I218" i="37"/>
  <c r="H218" i="37"/>
  <c r="G218" i="37"/>
  <c r="F218" i="37"/>
  <c r="W217" i="37"/>
  <c r="V217" i="37"/>
  <c r="U217" i="37"/>
  <c r="T217" i="37"/>
  <c r="S217" i="37"/>
  <c r="R217" i="37"/>
  <c r="Q217" i="37"/>
  <c r="P217" i="37"/>
  <c r="O217" i="37"/>
  <c r="N217" i="37"/>
  <c r="M217" i="37"/>
  <c r="L217" i="37"/>
  <c r="K217" i="37"/>
  <c r="J217" i="37"/>
  <c r="I217" i="37"/>
  <c r="H217" i="37"/>
  <c r="G217" i="37"/>
  <c r="F217" i="37"/>
  <c r="W216" i="37"/>
  <c r="V216" i="37"/>
  <c r="U216" i="37"/>
  <c r="T216" i="37"/>
  <c r="S216" i="37"/>
  <c r="R216" i="37"/>
  <c r="Q216" i="37"/>
  <c r="P216" i="37"/>
  <c r="O216" i="37"/>
  <c r="N216" i="37"/>
  <c r="M216" i="37"/>
  <c r="L216" i="37"/>
  <c r="K216" i="37"/>
  <c r="J216" i="37"/>
  <c r="I216" i="37"/>
  <c r="H216" i="37"/>
  <c r="G216" i="37"/>
  <c r="F216" i="37"/>
  <c r="W215" i="37"/>
  <c r="V215" i="37"/>
  <c r="U215" i="37"/>
  <c r="T215" i="37"/>
  <c r="S215" i="37"/>
  <c r="R215" i="37"/>
  <c r="Q215" i="37"/>
  <c r="P215" i="37"/>
  <c r="O215" i="37"/>
  <c r="N215" i="37"/>
  <c r="M215" i="37"/>
  <c r="L215" i="37"/>
  <c r="K215" i="37"/>
  <c r="J215" i="37"/>
  <c r="I215" i="37"/>
  <c r="H215" i="37"/>
  <c r="G215" i="37"/>
  <c r="F215" i="37"/>
  <c r="W214" i="37"/>
  <c r="V214" i="37"/>
  <c r="U214" i="37"/>
  <c r="T214" i="37"/>
  <c r="S214" i="37"/>
  <c r="R214" i="37"/>
  <c r="Q214" i="37"/>
  <c r="P214" i="37"/>
  <c r="O214" i="37"/>
  <c r="N214" i="37"/>
  <c r="M214" i="37"/>
  <c r="L214" i="37"/>
  <c r="K214" i="37"/>
  <c r="J214" i="37"/>
  <c r="I214" i="37"/>
  <c r="H214" i="37"/>
  <c r="G214" i="37"/>
  <c r="F214" i="37"/>
  <c r="W213" i="37"/>
  <c r="V213" i="37"/>
  <c r="U213" i="37"/>
  <c r="T213" i="37"/>
  <c r="S213" i="37"/>
  <c r="R213" i="37"/>
  <c r="Q213" i="37"/>
  <c r="P213" i="37"/>
  <c r="O213" i="37"/>
  <c r="N213" i="37"/>
  <c r="M213" i="37"/>
  <c r="L213" i="37"/>
  <c r="K213" i="37"/>
  <c r="J213" i="37"/>
  <c r="I213" i="37"/>
  <c r="H213" i="37"/>
  <c r="G213" i="37"/>
  <c r="F213" i="37"/>
  <c r="W212" i="37"/>
  <c r="V212" i="37"/>
  <c r="U212" i="37"/>
  <c r="T212" i="37"/>
  <c r="S212" i="37"/>
  <c r="R212" i="37"/>
  <c r="Q212" i="37"/>
  <c r="P212" i="37"/>
  <c r="O212" i="37"/>
  <c r="N212" i="37"/>
  <c r="M212" i="37"/>
  <c r="L212" i="37"/>
  <c r="K212" i="37"/>
  <c r="J212" i="37"/>
  <c r="I212" i="37"/>
  <c r="H212" i="37"/>
  <c r="G212" i="37"/>
  <c r="F212" i="37"/>
  <c r="W207" i="37"/>
  <c r="V207" i="37"/>
  <c r="U207" i="37"/>
  <c r="T207" i="37"/>
  <c r="S207" i="37"/>
  <c r="R207" i="37"/>
  <c r="Q207" i="37"/>
  <c r="P207" i="37"/>
  <c r="O207" i="37"/>
  <c r="N207" i="37"/>
  <c r="M207" i="37"/>
  <c r="L207" i="37"/>
  <c r="K207" i="37"/>
  <c r="J207" i="37"/>
  <c r="I207" i="37"/>
  <c r="H207" i="37"/>
  <c r="G207" i="37"/>
  <c r="F207" i="37"/>
  <c r="W206" i="37"/>
  <c r="V206" i="37"/>
  <c r="U206" i="37"/>
  <c r="T206" i="37"/>
  <c r="S206" i="37"/>
  <c r="R206" i="37"/>
  <c r="Q206" i="37"/>
  <c r="P206" i="37"/>
  <c r="O206" i="37"/>
  <c r="N206" i="37"/>
  <c r="M206" i="37"/>
  <c r="L206" i="37"/>
  <c r="K206" i="37"/>
  <c r="J206" i="37"/>
  <c r="I206" i="37"/>
  <c r="H206" i="37"/>
  <c r="G206" i="37"/>
  <c r="F206" i="37"/>
  <c r="W205" i="37"/>
  <c r="V205" i="37"/>
  <c r="U205" i="37"/>
  <c r="T205" i="37"/>
  <c r="S205" i="37"/>
  <c r="R205" i="37"/>
  <c r="Q205" i="37"/>
  <c r="P205" i="37"/>
  <c r="O205" i="37"/>
  <c r="N205" i="37"/>
  <c r="M205" i="37"/>
  <c r="L205" i="37"/>
  <c r="K205" i="37"/>
  <c r="J205" i="37"/>
  <c r="I205" i="37"/>
  <c r="H205" i="37"/>
  <c r="G205" i="37"/>
  <c r="F205" i="37"/>
  <c r="W204" i="37"/>
  <c r="V204" i="37"/>
  <c r="U204" i="37"/>
  <c r="T204" i="37"/>
  <c r="S204" i="37"/>
  <c r="R204" i="37"/>
  <c r="Q204" i="37"/>
  <c r="P204" i="37"/>
  <c r="O204" i="37"/>
  <c r="N204" i="37"/>
  <c r="M204" i="37"/>
  <c r="L204" i="37"/>
  <c r="K204" i="37"/>
  <c r="J204" i="37"/>
  <c r="I204" i="37"/>
  <c r="H204" i="37"/>
  <c r="G204" i="37"/>
  <c r="F204" i="37"/>
  <c r="W203" i="37"/>
  <c r="V203" i="37"/>
  <c r="U203" i="37"/>
  <c r="T203" i="37"/>
  <c r="S203" i="37"/>
  <c r="R203" i="37"/>
  <c r="Q203" i="37"/>
  <c r="P203" i="37"/>
  <c r="O203" i="37"/>
  <c r="N203" i="37"/>
  <c r="M203" i="37"/>
  <c r="L203" i="37"/>
  <c r="K203" i="37"/>
  <c r="J203" i="37"/>
  <c r="I203" i="37"/>
  <c r="H203" i="37"/>
  <c r="G203" i="37"/>
  <c r="F203" i="37"/>
  <c r="W202" i="37"/>
  <c r="V202" i="37"/>
  <c r="U202" i="37"/>
  <c r="T202" i="37"/>
  <c r="S202" i="37"/>
  <c r="R202" i="37"/>
  <c r="Q202" i="37"/>
  <c r="P202" i="37"/>
  <c r="O202" i="37"/>
  <c r="N202" i="37"/>
  <c r="M202" i="37"/>
  <c r="L202" i="37"/>
  <c r="K202" i="37"/>
  <c r="J202" i="37"/>
  <c r="I202" i="37"/>
  <c r="H202" i="37"/>
  <c r="G202" i="37"/>
  <c r="F202" i="37"/>
  <c r="W201" i="37"/>
  <c r="V201" i="37"/>
  <c r="U201" i="37"/>
  <c r="T201" i="37"/>
  <c r="S201" i="37"/>
  <c r="R201" i="37"/>
  <c r="Q201" i="37"/>
  <c r="P201" i="37"/>
  <c r="O201" i="37"/>
  <c r="N201" i="37"/>
  <c r="M201" i="37"/>
  <c r="L201" i="37"/>
  <c r="K201" i="37"/>
  <c r="J201" i="37"/>
  <c r="I201" i="37"/>
  <c r="H201" i="37"/>
  <c r="G201" i="37"/>
  <c r="F201" i="37"/>
  <c r="W200" i="37"/>
  <c r="V200" i="37"/>
  <c r="U200" i="37"/>
  <c r="T200" i="37"/>
  <c r="S200" i="37"/>
  <c r="R200" i="37"/>
  <c r="Q200" i="37"/>
  <c r="P200" i="37"/>
  <c r="O200" i="37"/>
  <c r="N200" i="37"/>
  <c r="M200" i="37"/>
  <c r="L200" i="37"/>
  <c r="K200" i="37"/>
  <c r="J200" i="37"/>
  <c r="I200" i="37"/>
  <c r="H200" i="37"/>
  <c r="G200" i="37"/>
  <c r="F200" i="37"/>
  <c r="W199" i="37"/>
  <c r="V199" i="37"/>
  <c r="U199" i="37"/>
  <c r="T199" i="37"/>
  <c r="S199" i="37"/>
  <c r="R199" i="37"/>
  <c r="Q199" i="37"/>
  <c r="P199" i="37"/>
  <c r="O199" i="37"/>
  <c r="N199" i="37"/>
  <c r="M199" i="37"/>
  <c r="L199" i="37"/>
  <c r="K199" i="37"/>
  <c r="J199" i="37"/>
  <c r="I199" i="37"/>
  <c r="H199" i="37"/>
  <c r="G199" i="37"/>
  <c r="F199" i="37"/>
  <c r="W198" i="37"/>
  <c r="V198" i="37"/>
  <c r="U198" i="37"/>
  <c r="T198" i="37"/>
  <c r="S198" i="37"/>
  <c r="R198" i="37"/>
  <c r="Q198" i="37"/>
  <c r="P198" i="37"/>
  <c r="O198" i="37"/>
  <c r="N198" i="37"/>
  <c r="M198" i="37"/>
  <c r="L198" i="37"/>
  <c r="K198" i="37"/>
  <c r="J198" i="37"/>
  <c r="I198" i="37"/>
  <c r="H198" i="37"/>
  <c r="G198" i="37"/>
  <c r="F198" i="37"/>
  <c r="W197" i="37"/>
  <c r="V197" i="37"/>
  <c r="U197" i="37"/>
  <c r="T197" i="37"/>
  <c r="S197" i="37"/>
  <c r="R197" i="37"/>
  <c r="Q197" i="37"/>
  <c r="P197" i="37"/>
  <c r="O197" i="37"/>
  <c r="N197" i="37"/>
  <c r="M197" i="37"/>
  <c r="L197" i="37"/>
  <c r="K197" i="37"/>
  <c r="J197" i="37"/>
  <c r="I197" i="37"/>
  <c r="H197" i="37"/>
  <c r="G197" i="37"/>
  <c r="F197" i="37"/>
  <c r="W188" i="37"/>
  <c r="V188" i="37"/>
  <c r="U188" i="37"/>
  <c r="T188" i="37"/>
  <c r="S188" i="37"/>
  <c r="R188" i="37"/>
  <c r="Q188" i="37"/>
  <c r="P188" i="37"/>
  <c r="O188" i="37"/>
  <c r="N188" i="37"/>
  <c r="M188" i="37"/>
  <c r="L188" i="37"/>
  <c r="K188" i="37"/>
  <c r="J188" i="37"/>
  <c r="I188" i="37"/>
  <c r="H188" i="37"/>
  <c r="G188" i="37"/>
  <c r="F188" i="37"/>
  <c r="W187" i="37"/>
  <c r="V187" i="37"/>
  <c r="U187" i="37"/>
  <c r="T187" i="37"/>
  <c r="S187" i="37"/>
  <c r="R187" i="37"/>
  <c r="Q187" i="37"/>
  <c r="P187" i="37"/>
  <c r="O187" i="37"/>
  <c r="N187" i="37"/>
  <c r="M187" i="37"/>
  <c r="L187" i="37"/>
  <c r="K187" i="37"/>
  <c r="J187" i="37"/>
  <c r="I187" i="37"/>
  <c r="H187" i="37"/>
  <c r="G187" i="37"/>
  <c r="F187" i="37"/>
  <c r="W186" i="37"/>
  <c r="V186" i="37"/>
  <c r="U186" i="37"/>
  <c r="T186" i="37"/>
  <c r="S186" i="37"/>
  <c r="R186" i="37"/>
  <c r="Q186" i="37"/>
  <c r="P186" i="37"/>
  <c r="O186" i="37"/>
  <c r="N186" i="37"/>
  <c r="M186" i="37"/>
  <c r="L186" i="37"/>
  <c r="K186" i="37"/>
  <c r="J186" i="37"/>
  <c r="I186" i="37"/>
  <c r="H186" i="37"/>
  <c r="G186" i="37"/>
  <c r="F186" i="37"/>
  <c r="W185" i="37"/>
  <c r="V185" i="37"/>
  <c r="U185" i="37"/>
  <c r="T185" i="37"/>
  <c r="S185" i="37"/>
  <c r="R185" i="37"/>
  <c r="Q185" i="37"/>
  <c r="P185" i="37"/>
  <c r="O185" i="37"/>
  <c r="N185" i="37"/>
  <c r="M185" i="37"/>
  <c r="L185" i="37"/>
  <c r="K185" i="37"/>
  <c r="J185" i="37"/>
  <c r="I185" i="37"/>
  <c r="H185" i="37"/>
  <c r="G185" i="37"/>
  <c r="F185" i="37"/>
  <c r="W184" i="37"/>
  <c r="V184" i="37"/>
  <c r="U184" i="37"/>
  <c r="T184" i="37"/>
  <c r="S184" i="37"/>
  <c r="R184" i="37"/>
  <c r="Q184" i="37"/>
  <c r="P184" i="37"/>
  <c r="O184" i="37"/>
  <c r="N184" i="37"/>
  <c r="M184" i="37"/>
  <c r="L184" i="37"/>
  <c r="K184" i="37"/>
  <c r="J184" i="37"/>
  <c r="I184" i="37"/>
  <c r="H184" i="37"/>
  <c r="G184" i="37"/>
  <c r="F184" i="37"/>
  <c r="W183" i="37"/>
  <c r="V183" i="37"/>
  <c r="U183" i="37"/>
  <c r="T183" i="37"/>
  <c r="S183" i="37"/>
  <c r="R183" i="37"/>
  <c r="Q183" i="37"/>
  <c r="P183" i="37"/>
  <c r="O183" i="37"/>
  <c r="N183" i="37"/>
  <c r="M183" i="37"/>
  <c r="L183" i="37"/>
  <c r="K183" i="37"/>
  <c r="J183" i="37"/>
  <c r="I183" i="37"/>
  <c r="H183" i="37"/>
  <c r="G183" i="37"/>
  <c r="F183" i="37"/>
  <c r="W182" i="37"/>
  <c r="V182" i="37"/>
  <c r="U182" i="37"/>
  <c r="T182" i="37"/>
  <c r="S182" i="37"/>
  <c r="R182" i="37"/>
  <c r="Q182" i="37"/>
  <c r="P182" i="37"/>
  <c r="O182" i="37"/>
  <c r="N182" i="37"/>
  <c r="M182" i="37"/>
  <c r="L182" i="37"/>
  <c r="K182" i="37"/>
  <c r="J182" i="37"/>
  <c r="I182" i="37"/>
  <c r="H182" i="37"/>
  <c r="G182" i="37"/>
  <c r="F182" i="37"/>
  <c r="W161" i="37"/>
  <c r="V161" i="37"/>
  <c r="U161" i="37"/>
  <c r="T161" i="37"/>
  <c r="S161" i="37"/>
  <c r="R161" i="37"/>
  <c r="Q161" i="37"/>
  <c r="P161" i="37"/>
  <c r="O161" i="37"/>
  <c r="N161" i="37"/>
  <c r="M161" i="37"/>
  <c r="L161" i="37"/>
  <c r="K161" i="37"/>
  <c r="J161" i="37"/>
  <c r="I161" i="37"/>
  <c r="H161" i="37"/>
  <c r="G161" i="37"/>
  <c r="F161" i="37"/>
  <c r="W160" i="37"/>
  <c r="V160" i="37"/>
  <c r="U160" i="37"/>
  <c r="T160" i="37"/>
  <c r="S160" i="37"/>
  <c r="R160" i="37"/>
  <c r="Q160" i="37"/>
  <c r="P160" i="37"/>
  <c r="O160" i="37"/>
  <c r="N160" i="37"/>
  <c r="M160" i="37"/>
  <c r="L160" i="37"/>
  <c r="K160" i="37"/>
  <c r="J160" i="37"/>
  <c r="I160" i="37"/>
  <c r="H160" i="37"/>
  <c r="G160" i="37"/>
  <c r="F160" i="37"/>
  <c r="W159" i="37"/>
  <c r="V159" i="37"/>
  <c r="U159" i="37"/>
  <c r="T159" i="37"/>
  <c r="S159" i="37"/>
  <c r="R159" i="37"/>
  <c r="Q159" i="37"/>
  <c r="P159" i="37"/>
  <c r="O159" i="37"/>
  <c r="N159" i="37"/>
  <c r="M159" i="37"/>
  <c r="L159" i="37"/>
  <c r="K159" i="37"/>
  <c r="J159" i="37"/>
  <c r="I159" i="37"/>
  <c r="H159" i="37"/>
  <c r="G159" i="37"/>
  <c r="F159" i="37"/>
  <c r="W158" i="37"/>
  <c r="V158" i="37"/>
  <c r="U158" i="37"/>
  <c r="T158" i="37"/>
  <c r="S158" i="37"/>
  <c r="R158" i="37"/>
  <c r="Q158" i="37"/>
  <c r="P158" i="37"/>
  <c r="O158" i="37"/>
  <c r="N158" i="37"/>
  <c r="M158" i="37"/>
  <c r="L158" i="37"/>
  <c r="K158" i="37"/>
  <c r="J158" i="37"/>
  <c r="I158" i="37"/>
  <c r="H158" i="37"/>
  <c r="G158" i="37"/>
  <c r="F158" i="37"/>
  <c r="W157" i="37"/>
  <c r="V157" i="37"/>
  <c r="U157" i="37"/>
  <c r="T157" i="37"/>
  <c r="S157" i="37"/>
  <c r="R157" i="37"/>
  <c r="Q157" i="37"/>
  <c r="P157" i="37"/>
  <c r="O157" i="37"/>
  <c r="N157" i="37"/>
  <c r="M157" i="37"/>
  <c r="L157" i="37"/>
  <c r="K157" i="37"/>
  <c r="J157" i="37"/>
  <c r="I157" i="37"/>
  <c r="H157" i="37"/>
  <c r="G157" i="37"/>
  <c r="F157" i="37"/>
  <c r="W156" i="37"/>
  <c r="V156" i="37"/>
  <c r="U156" i="37"/>
  <c r="T156" i="37"/>
  <c r="S156" i="37"/>
  <c r="R156" i="37"/>
  <c r="Q156" i="37"/>
  <c r="P156" i="37"/>
  <c r="O156" i="37"/>
  <c r="N156" i="37"/>
  <c r="M156" i="37"/>
  <c r="L156" i="37"/>
  <c r="K156" i="37"/>
  <c r="J156" i="37"/>
  <c r="I156" i="37"/>
  <c r="H156" i="37"/>
  <c r="G156" i="37"/>
  <c r="F156" i="37"/>
  <c r="W155" i="37"/>
  <c r="V155" i="37"/>
  <c r="U155" i="37"/>
  <c r="T155" i="37"/>
  <c r="S155" i="37"/>
  <c r="R155" i="37"/>
  <c r="Q155" i="37"/>
  <c r="P155" i="37"/>
  <c r="O155" i="37"/>
  <c r="N155" i="37"/>
  <c r="M155" i="37"/>
  <c r="L155" i="37"/>
  <c r="K155" i="37"/>
  <c r="J155" i="37"/>
  <c r="I155" i="37"/>
  <c r="H155" i="37"/>
  <c r="G155" i="37"/>
  <c r="F155" i="37"/>
  <c r="W154" i="37"/>
  <c r="V154" i="37"/>
  <c r="U154" i="37"/>
  <c r="T154" i="37"/>
  <c r="S154" i="37"/>
  <c r="R154" i="37"/>
  <c r="Q154" i="37"/>
  <c r="P154" i="37"/>
  <c r="O154" i="37"/>
  <c r="N154" i="37"/>
  <c r="M154" i="37"/>
  <c r="L154" i="37"/>
  <c r="K154" i="37"/>
  <c r="J154" i="37"/>
  <c r="I154" i="37"/>
  <c r="H154" i="37"/>
  <c r="G154" i="37"/>
  <c r="F154" i="37"/>
  <c r="W153" i="37"/>
  <c r="V153" i="37"/>
  <c r="U153" i="37"/>
  <c r="T153" i="37"/>
  <c r="S153" i="37"/>
  <c r="R153" i="37"/>
  <c r="Q153" i="37"/>
  <c r="P153" i="37"/>
  <c r="O153" i="37"/>
  <c r="N153" i="37"/>
  <c r="M153" i="37"/>
  <c r="L153" i="37"/>
  <c r="K153" i="37"/>
  <c r="J153" i="37"/>
  <c r="I153" i="37"/>
  <c r="H153" i="37"/>
  <c r="G153" i="37"/>
  <c r="F153" i="37"/>
  <c r="W152" i="37"/>
  <c r="V152" i="37"/>
  <c r="U152" i="37"/>
  <c r="T152" i="37"/>
  <c r="S152" i="37"/>
  <c r="R152" i="37"/>
  <c r="Q152" i="37"/>
  <c r="P152" i="37"/>
  <c r="O152" i="37"/>
  <c r="N152" i="37"/>
  <c r="M152" i="37"/>
  <c r="L152" i="37"/>
  <c r="K152" i="37"/>
  <c r="J152" i="37"/>
  <c r="I152" i="37"/>
  <c r="H152" i="37"/>
  <c r="G152" i="37"/>
  <c r="F152" i="37"/>
  <c r="W145" i="37"/>
  <c r="V145" i="37"/>
  <c r="U145" i="37"/>
  <c r="T145" i="37"/>
  <c r="S145" i="37"/>
  <c r="R145" i="37"/>
  <c r="Q145" i="37"/>
  <c r="P145" i="37"/>
  <c r="O145" i="37"/>
  <c r="N145" i="37"/>
  <c r="M145" i="37"/>
  <c r="L145" i="37"/>
  <c r="K145" i="37"/>
  <c r="J145" i="37"/>
  <c r="I145" i="37"/>
  <c r="H145" i="37"/>
  <c r="G145" i="37"/>
  <c r="F145" i="37"/>
  <c r="W144" i="37"/>
  <c r="V144" i="37"/>
  <c r="U144" i="37"/>
  <c r="T144" i="37"/>
  <c r="S144" i="37"/>
  <c r="R144" i="37"/>
  <c r="Q144" i="37"/>
  <c r="P144" i="37"/>
  <c r="O144" i="37"/>
  <c r="N144" i="37"/>
  <c r="M144" i="37"/>
  <c r="L144" i="37"/>
  <c r="K144" i="37"/>
  <c r="J144" i="37"/>
  <c r="I144" i="37"/>
  <c r="H144" i="37"/>
  <c r="G144" i="37"/>
  <c r="F144" i="37"/>
  <c r="W143" i="37"/>
  <c r="V143" i="37"/>
  <c r="U143" i="37"/>
  <c r="T143" i="37"/>
  <c r="S143" i="37"/>
  <c r="R143" i="37"/>
  <c r="Q143" i="37"/>
  <c r="P143" i="37"/>
  <c r="O143" i="37"/>
  <c r="N143" i="37"/>
  <c r="M143" i="37"/>
  <c r="L143" i="37"/>
  <c r="K143" i="37"/>
  <c r="J143" i="37"/>
  <c r="I143" i="37"/>
  <c r="H143" i="37"/>
  <c r="G143" i="37"/>
  <c r="F143" i="37"/>
  <c r="W142" i="37"/>
  <c r="V142" i="37"/>
  <c r="U142" i="37"/>
  <c r="T142" i="37"/>
  <c r="S142" i="37"/>
  <c r="R142" i="37"/>
  <c r="Q142" i="37"/>
  <c r="P142" i="37"/>
  <c r="O142" i="37"/>
  <c r="N142" i="37"/>
  <c r="M142" i="37"/>
  <c r="L142" i="37"/>
  <c r="K142" i="37"/>
  <c r="J142" i="37"/>
  <c r="I142" i="37"/>
  <c r="H142" i="37"/>
  <c r="G142" i="37"/>
  <c r="F142" i="37"/>
  <c r="W141" i="37"/>
  <c r="V141" i="37"/>
  <c r="U141" i="37"/>
  <c r="T141" i="37"/>
  <c r="S141" i="37"/>
  <c r="R141" i="37"/>
  <c r="Q141" i="37"/>
  <c r="P141" i="37"/>
  <c r="O141" i="37"/>
  <c r="N141" i="37"/>
  <c r="M141" i="37"/>
  <c r="L141" i="37"/>
  <c r="K141" i="37"/>
  <c r="J141" i="37"/>
  <c r="I141" i="37"/>
  <c r="H141" i="37"/>
  <c r="G141" i="37"/>
  <c r="F141" i="37"/>
  <c r="W140" i="37"/>
  <c r="V140" i="37"/>
  <c r="U140" i="37"/>
  <c r="T140" i="37"/>
  <c r="S140" i="37"/>
  <c r="R140" i="37"/>
  <c r="Q140" i="37"/>
  <c r="P140" i="37"/>
  <c r="O140" i="37"/>
  <c r="N140" i="37"/>
  <c r="M140" i="37"/>
  <c r="L140" i="37"/>
  <c r="K140" i="37"/>
  <c r="J140" i="37"/>
  <c r="I140" i="37"/>
  <c r="H140" i="37"/>
  <c r="G140" i="37"/>
  <c r="F140" i="37"/>
  <c r="W139" i="37"/>
  <c r="V139" i="37"/>
  <c r="U139" i="37"/>
  <c r="T139" i="37"/>
  <c r="S139" i="37"/>
  <c r="R139" i="37"/>
  <c r="Q139" i="37"/>
  <c r="P139" i="37"/>
  <c r="O139" i="37"/>
  <c r="N139" i="37"/>
  <c r="M139" i="37"/>
  <c r="L139" i="37"/>
  <c r="K139" i="37"/>
  <c r="J139" i="37"/>
  <c r="I139" i="37"/>
  <c r="H139" i="37"/>
  <c r="G139" i="37"/>
  <c r="F139" i="37"/>
  <c r="W138" i="37"/>
  <c r="V138" i="37"/>
  <c r="U138" i="37"/>
  <c r="T138" i="37"/>
  <c r="S138" i="37"/>
  <c r="R138" i="37"/>
  <c r="Q138" i="37"/>
  <c r="P138" i="37"/>
  <c r="O138" i="37"/>
  <c r="N138" i="37"/>
  <c r="M138" i="37"/>
  <c r="L138" i="37"/>
  <c r="K138" i="37"/>
  <c r="J138" i="37"/>
  <c r="I138" i="37"/>
  <c r="H138" i="37"/>
  <c r="G138" i="37"/>
  <c r="F138" i="37"/>
  <c r="W137" i="37"/>
  <c r="V137" i="37"/>
  <c r="U137" i="37"/>
  <c r="T137" i="37"/>
  <c r="S137" i="37"/>
  <c r="R137" i="37"/>
  <c r="Q137" i="37"/>
  <c r="P137" i="37"/>
  <c r="O137" i="37"/>
  <c r="N137" i="37"/>
  <c r="M137" i="37"/>
  <c r="L137" i="37"/>
  <c r="K137" i="37"/>
  <c r="J137" i="37"/>
  <c r="I137" i="37"/>
  <c r="H137" i="37"/>
  <c r="G137" i="37"/>
  <c r="F137" i="37"/>
  <c r="W130" i="37"/>
  <c r="V130" i="37"/>
  <c r="U130" i="37"/>
  <c r="T130" i="37"/>
  <c r="S130" i="37"/>
  <c r="R130" i="37"/>
  <c r="Q130" i="37"/>
  <c r="P130" i="37"/>
  <c r="O130" i="37"/>
  <c r="N130" i="37"/>
  <c r="M130" i="37"/>
  <c r="L130" i="37"/>
  <c r="K130" i="37"/>
  <c r="J130" i="37"/>
  <c r="I130" i="37"/>
  <c r="H130" i="37"/>
  <c r="G130" i="37"/>
  <c r="F130" i="37"/>
  <c r="W129" i="37"/>
  <c r="V129" i="37"/>
  <c r="U129" i="37"/>
  <c r="T129" i="37"/>
  <c r="S129" i="37"/>
  <c r="R129" i="37"/>
  <c r="Q129" i="37"/>
  <c r="P129" i="37"/>
  <c r="O129" i="37"/>
  <c r="N129" i="37"/>
  <c r="M129" i="37"/>
  <c r="L129" i="37"/>
  <c r="K129" i="37"/>
  <c r="J129" i="37"/>
  <c r="I129" i="37"/>
  <c r="H129" i="37"/>
  <c r="G129" i="37"/>
  <c r="F129" i="37"/>
  <c r="W128" i="37"/>
  <c r="V128" i="37"/>
  <c r="U128" i="37"/>
  <c r="T128" i="37"/>
  <c r="S128" i="37"/>
  <c r="R128" i="37"/>
  <c r="Q128" i="37"/>
  <c r="P128" i="37"/>
  <c r="O128" i="37"/>
  <c r="N128" i="37"/>
  <c r="M128" i="37"/>
  <c r="L128" i="37"/>
  <c r="K128" i="37"/>
  <c r="J128" i="37"/>
  <c r="I128" i="37"/>
  <c r="H128" i="37"/>
  <c r="G128" i="37"/>
  <c r="F128" i="37"/>
  <c r="W127" i="37"/>
  <c r="V127" i="37"/>
  <c r="U127" i="37"/>
  <c r="T127" i="37"/>
  <c r="S127" i="37"/>
  <c r="R127" i="37"/>
  <c r="Q127" i="37"/>
  <c r="P127" i="37"/>
  <c r="O127" i="37"/>
  <c r="N127" i="37"/>
  <c r="M127" i="37"/>
  <c r="L127" i="37"/>
  <c r="K127" i="37"/>
  <c r="J127" i="37"/>
  <c r="I127" i="37"/>
  <c r="H127" i="37"/>
  <c r="G127" i="37"/>
  <c r="F127" i="37"/>
  <c r="W126" i="37"/>
  <c r="V126" i="37"/>
  <c r="U126" i="37"/>
  <c r="T126" i="37"/>
  <c r="S126" i="37"/>
  <c r="R126" i="37"/>
  <c r="Q126" i="37"/>
  <c r="P126" i="37"/>
  <c r="O126" i="37"/>
  <c r="N126" i="37"/>
  <c r="M126" i="37"/>
  <c r="L126" i="37"/>
  <c r="K126" i="37"/>
  <c r="J126" i="37"/>
  <c r="I126" i="37"/>
  <c r="H126" i="37"/>
  <c r="G126" i="37"/>
  <c r="F126" i="37"/>
  <c r="W125" i="37"/>
  <c r="V125" i="37"/>
  <c r="U125" i="37"/>
  <c r="T125" i="37"/>
  <c r="S125" i="37"/>
  <c r="R125" i="37"/>
  <c r="Q125" i="37"/>
  <c r="P125" i="37"/>
  <c r="O125" i="37"/>
  <c r="N125" i="37"/>
  <c r="M125" i="37"/>
  <c r="L125" i="37"/>
  <c r="K125" i="37"/>
  <c r="J125" i="37"/>
  <c r="I125" i="37"/>
  <c r="H125" i="37"/>
  <c r="G125" i="37"/>
  <c r="F125" i="37"/>
  <c r="W124" i="37"/>
  <c r="V124" i="37"/>
  <c r="U124" i="37"/>
  <c r="T124" i="37"/>
  <c r="S124" i="37"/>
  <c r="R124" i="37"/>
  <c r="Q124" i="37"/>
  <c r="P124" i="37"/>
  <c r="O124" i="37"/>
  <c r="N124" i="37"/>
  <c r="M124" i="37"/>
  <c r="L124" i="37"/>
  <c r="K124" i="37"/>
  <c r="J124" i="37"/>
  <c r="I124" i="37"/>
  <c r="H124" i="37"/>
  <c r="G124" i="37"/>
  <c r="F124" i="37"/>
  <c r="W123" i="37"/>
  <c r="V123" i="37"/>
  <c r="U123" i="37"/>
  <c r="T123" i="37"/>
  <c r="S123" i="37"/>
  <c r="R123" i="37"/>
  <c r="Q123" i="37"/>
  <c r="P123" i="37"/>
  <c r="O123" i="37"/>
  <c r="N123" i="37"/>
  <c r="M123" i="37"/>
  <c r="L123" i="37"/>
  <c r="K123" i="37"/>
  <c r="J123" i="37"/>
  <c r="I123" i="37"/>
  <c r="H123" i="37"/>
  <c r="G123" i="37"/>
  <c r="F123" i="37"/>
  <c r="W122" i="37"/>
  <c r="V122" i="37"/>
  <c r="U122" i="37"/>
  <c r="T122" i="37"/>
  <c r="S122" i="37"/>
  <c r="R122" i="37"/>
  <c r="Q122" i="37"/>
  <c r="P122" i="37"/>
  <c r="O122" i="37"/>
  <c r="N122" i="37"/>
  <c r="M122" i="37"/>
  <c r="L122" i="37"/>
  <c r="K122" i="37"/>
  <c r="J122" i="37"/>
  <c r="I122" i="37"/>
  <c r="H122" i="37"/>
  <c r="G122" i="37"/>
  <c r="F122" i="37"/>
  <c r="W111" i="37"/>
  <c r="V111" i="37"/>
  <c r="U111" i="37"/>
  <c r="T111" i="37"/>
  <c r="S111" i="37"/>
  <c r="R111" i="37"/>
  <c r="Q111" i="37"/>
  <c r="P111" i="37"/>
  <c r="O111" i="37"/>
  <c r="N111" i="37"/>
  <c r="M111" i="37"/>
  <c r="L111" i="37"/>
  <c r="K111" i="37"/>
  <c r="J111" i="37"/>
  <c r="I111" i="37"/>
  <c r="H111" i="37"/>
  <c r="G111" i="37"/>
  <c r="F111" i="37"/>
  <c r="W110" i="37"/>
  <c r="V110" i="37"/>
  <c r="U110" i="37"/>
  <c r="T110" i="37"/>
  <c r="S110" i="37"/>
  <c r="R110" i="37"/>
  <c r="Q110" i="37"/>
  <c r="P110" i="37"/>
  <c r="O110" i="37"/>
  <c r="N110" i="37"/>
  <c r="M110" i="37"/>
  <c r="L110" i="37"/>
  <c r="K110" i="37"/>
  <c r="J110" i="37"/>
  <c r="I110" i="37"/>
  <c r="H110" i="37"/>
  <c r="G110" i="37"/>
  <c r="F110" i="37"/>
  <c r="W109" i="37"/>
  <c r="V109" i="37"/>
  <c r="U109" i="37"/>
  <c r="T109" i="37"/>
  <c r="S109" i="37"/>
  <c r="R109" i="37"/>
  <c r="Q109" i="37"/>
  <c r="P109" i="37"/>
  <c r="O109" i="37"/>
  <c r="N109" i="37"/>
  <c r="M109" i="37"/>
  <c r="L109" i="37"/>
  <c r="K109" i="37"/>
  <c r="J109" i="37"/>
  <c r="I109" i="37"/>
  <c r="H109" i="37"/>
  <c r="G109" i="37"/>
  <c r="F109" i="37"/>
  <c r="W108" i="37"/>
  <c r="V108" i="37"/>
  <c r="U108" i="37"/>
  <c r="T108" i="37"/>
  <c r="S108" i="37"/>
  <c r="R108" i="37"/>
  <c r="Q108" i="37"/>
  <c r="P108" i="37"/>
  <c r="O108" i="37"/>
  <c r="N108" i="37"/>
  <c r="M108" i="37"/>
  <c r="L108" i="37"/>
  <c r="K108" i="37"/>
  <c r="J108" i="37"/>
  <c r="I108" i="37"/>
  <c r="H108" i="37"/>
  <c r="G108" i="37"/>
  <c r="F108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W98" i="37"/>
  <c r="V98" i="37"/>
  <c r="U98" i="37"/>
  <c r="T98" i="37"/>
  <c r="S98" i="37"/>
  <c r="R98" i="37"/>
  <c r="Q98" i="37"/>
  <c r="P98" i="37"/>
  <c r="O98" i="37"/>
  <c r="N98" i="37"/>
  <c r="M98" i="37"/>
  <c r="L98" i="37"/>
  <c r="K98" i="37"/>
  <c r="J98" i="37"/>
  <c r="I98" i="37"/>
  <c r="H98" i="37"/>
  <c r="G98" i="37"/>
  <c r="F98" i="37"/>
  <c r="W97" i="37"/>
  <c r="V97" i="37"/>
  <c r="U97" i="37"/>
  <c r="T97" i="37"/>
  <c r="S97" i="37"/>
  <c r="R97" i="37"/>
  <c r="Q97" i="37"/>
  <c r="P97" i="37"/>
  <c r="O97" i="37"/>
  <c r="N97" i="37"/>
  <c r="M97" i="37"/>
  <c r="L97" i="37"/>
  <c r="K97" i="37"/>
  <c r="J97" i="37"/>
  <c r="I97" i="37"/>
  <c r="H97" i="37"/>
  <c r="G97" i="37"/>
  <c r="F97" i="37"/>
  <c r="W96" i="37"/>
  <c r="V96" i="37"/>
  <c r="U96" i="37"/>
  <c r="T96" i="37"/>
  <c r="S96" i="37"/>
  <c r="R96" i="37"/>
  <c r="Q96" i="37"/>
  <c r="P96" i="37"/>
  <c r="O96" i="37"/>
  <c r="N96" i="37"/>
  <c r="M96" i="37"/>
  <c r="L96" i="37"/>
  <c r="K96" i="37"/>
  <c r="J96" i="37"/>
  <c r="I96" i="37"/>
  <c r="H96" i="37"/>
  <c r="G96" i="37"/>
  <c r="F96" i="37"/>
  <c r="W95" i="37"/>
  <c r="V95" i="37"/>
  <c r="U95" i="37"/>
  <c r="T95" i="37"/>
  <c r="S95" i="37"/>
  <c r="R95" i="37"/>
  <c r="Q95" i="37"/>
  <c r="P95" i="37"/>
  <c r="O95" i="37"/>
  <c r="N95" i="37"/>
  <c r="M95" i="37"/>
  <c r="L95" i="37"/>
  <c r="K95" i="37"/>
  <c r="J95" i="37"/>
  <c r="I95" i="37"/>
  <c r="H95" i="37"/>
  <c r="G95" i="37"/>
  <c r="F95" i="37"/>
  <c r="W94" i="37"/>
  <c r="V94" i="37"/>
  <c r="U94" i="37"/>
  <c r="T94" i="37"/>
  <c r="S94" i="37"/>
  <c r="R94" i="37"/>
  <c r="Q94" i="37"/>
  <c r="P94" i="37"/>
  <c r="O94" i="37"/>
  <c r="N94" i="37"/>
  <c r="M94" i="37"/>
  <c r="L94" i="37"/>
  <c r="K94" i="37"/>
  <c r="J94" i="37"/>
  <c r="I94" i="37"/>
  <c r="H94" i="37"/>
  <c r="G94" i="37"/>
  <c r="F94" i="37"/>
  <c r="W93" i="37"/>
  <c r="V93" i="37"/>
  <c r="U93" i="37"/>
  <c r="T93" i="37"/>
  <c r="S93" i="37"/>
  <c r="R93" i="37"/>
  <c r="Q93" i="37"/>
  <c r="P93" i="37"/>
  <c r="O93" i="37"/>
  <c r="N93" i="37"/>
  <c r="M93" i="37"/>
  <c r="L93" i="37"/>
  <c r="K93" i="37"/>
  <c r="J93" i="37"/>
  <c r="I93" i="37"/>
  <c r="H93" i="37"/>
  <c r="G93" i="37"/>
  <c r="F93" i="37"/>
  <c r="W92" i="37"/>
  <c r="V92" i="37"/>
  <c r="U92" i="37"/>
  <c r="T92" i="37"/>
  <c r="S92" i="37"/>
  <c r="R92" i="37"/>
  <c r="Q92" i="37"/>
  <c r="P92" i="37"/>
  <c r="O92" i="37"/>
  <c r="N92" i="37"/>
  <c r="M92" i="37"/>
  <c r="L92" i="37"/>
  <c r="K92" i="37"/>
  <c r="J92" i="37"/>
  <c r="I92" i="37"/>
  <c r="H92" i="37"/>
  <c r="G92" i="37"/>
  <c r="F92" i="37"/>
  <c r="W84" i="37"/>
  <c r="V84" i="37"/>
  <c r="U84" i="37"/>
  <c r="T84" i="37"/>
  <c r="S84" i="37"/>
  <c r="R84" i="37"/>
  <c r="Q84" i="37"/>
  <c r="P84" i="37"/>
  <c r="O84" i="37"/>
  <c r="N84" i="37"/>
  <c r="M84" i="37"/>
  <c r="L84" i="37"/>
  <c r="K84" i="37"/>
  <c r="J84" i="37"/>
  <c r="I84" i="37"/>
  <c r="H84" i="37"/>
  <c r="G84" i="37"/>
  <c r="F84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W80" i="37"/>
  <c r="V80" i="37"/>
  <c r="U80" i="37"/>
  <c r="T80" i="37"/>
  <c r="S80" i="37"/>
  <c r="R80" i="37"/>
  <c r="Q80" i="37"/>
  <c r="P80" i="37"/>
  <c r="O80" i="37"/>
  <c r="N80" i="37"/>
  <c r="M80" i="37"/>
  <c r="L80" i="37"/>
  <c r="K80" i="37"/>
  <c r="J80" i="37"/>
  <c r="I80" i="37"/>
  <c r="H80" i="37"/>
  <c r="G80" i="37"/>
  <c r="F80" i="37"/>
  <c r="W79" i="37"/>
  <c r="V79" i="37"/>
  <c r="U79" i="37"/>
  <c r="T79" i="37"/>
  <c r="S79" i="37"/>
  <c r="R79" i="37"/>
  <c r="Q79" i="37"/>
  <c r="P79" i="37"/>
  <c r="O79" i="37"/>
  <c r="N79" i="37"/>
  <c r="M79" i="37"/>
  <c r="L79" i="37"/>
  <c r="K79" i="37"/>
  <c r="J79" i="37"/>
  <c r="I79" i="37"/>
  <c r="H79" i="37"/>
  <c r="G79" i="37"/>
  <c r="F79" i="37"/>
  <c r="W78" i="37"/>
  <c r="V78" i="37"/>
  <c r="U78" i="37"/>
  <c r="T78" i="37"/>
  <c r="S78" i="37"/>
  <c r="R78" i="37"/>
  <c r="Q78" i="37"/>
  <c r="P78" i="37"/>
  <c r="O78" i="37"/>
  <c r="N78" i="37"/>
  <c r="M78" i="37"/>
  <c r="L78" i="37"/>
  <c r="K78" i="37"/>
  <c r="J78" i="37"/>
  <c r="I78" i="37"/>
  <c r="H78" i="37"/>
  <c r="G78" i="37"/>
  <c r="F78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W69" i="37"/>
  <c r="V69" i="37"/>
  <c r="U69" i="37"/>
  <c r="T69" i="37"/>
  <c r="S69" i="37"/>
  <c r="R69" i="37"/>
  <c r="Q69" i="37"/>
  <c r="P69" i="37"/>
  <c r="O69" i="37"/>
  <c r="N69" i="37"/>
  <c r="M69" i="37"/>
  <c r="L69" i="37"/>
  <c r="K69" i="37"/>
  <c r="J69" i="37"/>
  <c r="I69" i="37"/>
  <c r="H69" i="37"/>
  <c r="G69" i="37"/>
  <c r="F69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W63" i="37"/>
  <c r="V63" i="37"/>
  <c r="U63" i="37"/>
  <c r="T63" i="37"/>
  <c r="S63" i="37"/>
  <c r="R63" i="37"/>
  <c r="Q63" i="37"/>
  <c r="P63" i="37"/>
  <c r="O63" i="37"/>
  <c r="N63" i="37"/>
  <c r="M63" i="37"/>
  <c r="L63" i="37"/>
  <c r="K63" i="37"/>
  <c r="J63" i="37"/>
  <c r="I63" i="37"/>
  <c r="H63" i="37"/>
  <c r="G63" i="37"/>
  <c r="F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W51" i="37"/>
  <c r="V51" i="37"/>
  <c r="U51" i="37"/>
  <c r="T51" i="37"/>
  <c r="S51" i="37"/>
  <c r="R51" i="37"/>
  <c r="Q51" i="37"/>
  <c r="P51" i="37"/>
  <c r="O51" i="37"/>
  <c r="N51" i="37"/>
  <c r="M51" i="37"/>
  <c r="L51" i="37"/>
  <c r="K51" i="37"/>
  <c r="J51" i="37"/>
  <c r="I51" i="37"/>
  <c r="H51" i="37"/>
  <c r="G51" i="37"/>
  <c r="F51" i="37"/>
  <c r="W50" i="37"/>
  <c r="V50" i="37"/>
  <c r="U50" i="37"/>
  <c r="T50" i="37"/>
  <c r="S50" i="37"/>
  <c r="R50" i="37"/>
  <c r="Q50" i="37"/>
  <c r="P50" i="37"/>
  <c r="O50" i="37"/>
  <c r="N50" i="37"/>
  <c r="M50" i="37"/>
  <c r="L50" i="37"/>
  <c r="K50" i="37"/>
  <c r="J50" i="37"/>
  <c r="I50" i="37"/>
  <c r="H50" i="37"/>
  <c r="G50" i="37"/>
  <c r="F50" i="37"/>
  <c r="W49" i="37"/>
  <c r="V49" i="37"/>
  <c r="U49" i="37"/>
  <c r="T49" i="37"/>
  <c r="S49" i="37"/>
  <c r="R49" i="37"/>
  <c r="Q49" i="37"/>
  <c r="P49" i="37"/>
  <c r="O49" i="37"/>
  <c r="N49" i="37"/>
  <c r="M49" i="37"/>
  <c r="L49" i="37"/>
  <c r="K49" i="37"/>
  <c r="J49" i="37"/>
  <c r="I49" i="37"/>
  <c r="H49" i="37"/>
  <c r="G49" i="37"/>
  <c r="F49" i="37"/>
  <c r="W48" i="37"/>
  <c r="V48" i="37"/>
  <c r="U48" i="37"/>
  <c r="T48" i="37"/>
  <c r="S48" i="37"/>
  <c r="R48" i="37"/>
  <c r="Q48" i="37"/>
  <c r="P48" i="37"/>
  <c r="O48" i="37"/>
  <c r="N48" i="37"/>
  <c r="M48" i="37"/>
  <c r="L48" i="37"/>
  <c r="K48" i="37"/>
  <c r="J48" i="37"/>
  <c r="I48" i="37"/>
  <c r="H48" i="37"/>
  <c r="G48" i="37"/>
  <c r="F48" i="37"/>
  <c r="W47" i="37"/>
  <c r="V47" i="37"/>
  <c r="U47" i="37"/>
  <c r="T47" i="37"/>
  <c r="S47" i="37"/>
  <c r="R47" i="37"/>
  <c r="Q47" i="37"/>
  <c r="P47" i="37"/>
  <c r="O47" i="37"/>
  <c r="N47" i="37"/>
  <c r="M47" i="37"/>
  <c r="L47" i="37"/>
  <c r="K47" i="37"/>
  <c r="J47" i="37"/>
  <c r="I47" i="37"/>
  <c r="H47" i="37"/>
  <c r="G47" i="37"/>
  <c r="F47" i="37"/>
  <c r="W39" i="37"/>
  <c r="V39" i="37"/>
  <c r="U39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F39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G37" i="37"/>
  <c r="F37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G36" i="37"/>
  <c r="F36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G34" i="37"/>
  <c r="F34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G32" i="37"/>
  <c r="F32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M2" i="37"/>
  <c r="N2" i="37"/>
  <c r="O2" i="37"/>
  <c r="P2" i="37"/>
  <c r="Q2" i="37"/>
  <c r="R2" i="37"/>
  <c r="S2" i="37"/>
  <c r="T2" i="37"/>
  <c r="U2" i="37"/>
  <c r="V2" i="37"/>
  <c r="W2" i="37"/>
  <c r="M3" i="37"/>
  <c r="N3" i="37"/>
  <c r="O3" i="37"/>
  <c r="P3" i="37"/>
  <c r="Q3" i="37"/>
  <c r="R3" i="37"/>
  <c r="S3" i="37"/>
  <c r="T3" i="37"/>
  <c r="U3" i="37"/>
  <c r="V3" i="37"/>
  <c r="W3" i="37"/>
  <c r="M4" i="37"/>
  <c r="N4" i="37"/>
  <c r="O4" i="37"/>
  <c r="P4" i="37"/>
  <c r="Q4" i="37"/>
  <c r="R4" i="37"/>
  <c r="S4" i="37"/>
  <c r="T4" i="37"/>
  <c r="U4" i="37"/>
  <c r="V4" i="37"/>
  <c r="W4" i="37"/>
  <c r="M5" i="37"/>
  <c r="N5" i="37"/>
  <c r="O5" i="37"/>
  <c r="P5" i="37"/>
  <c r="Q5" i="37"/>
  <c r="R5" i="37"/>
  <c r="S5" i="37"/>
  <c r="T5" i="37"/>
  <c r="U5" i="37"/>
  <c r="V5" i="37"/>
  <c r="W5" i="37"/>
  <c r="M6" i="37"/>
  <c r="N6" i="37"/>
  <c r="O6" i="37"/>
  <c r="P6" i="37"/>
  <c r="Q6" i="37"/>
  <c r="R6" i="37"/>
  <c r="S6" i="37"/>
  <c r="T6" i="37"/>
  <c r="U6" i="37"/>
  <c r="V6" i="37"/>
  <c r="W6" i="37"/>
  <c r="M7" i="37"/>
  <c r="N7" i="37"/>
  <c r="O7" i="37"/>
  <c r="P7" i="37"/>
  <c r="Q7" i="37"/>
  <c r="R7" i="37"/>
  <c r="S7" i="37"/>
  <c r="T7" i="37"/>
  <c r="U7" i="37"/>
  <c r="V7" i="37"/>
  <c r="W7" i="37"/>
  <c r="M8" i="37"/>
  <c r="N8" i="37"/>
  <c r="O8" i="37"/>
  <c r="P8" i="37"/>
  <c r="Q8" i="37"/>
  <c r="R8" i="37"/>
  <c r="S8" i="37"/>
  <c r="T8" i="37"/>
  <c r="U8" i="37"/>
  <c r="V8" i="37"/>
  <c r="W8" i="37"/>
  <c r="M9" i="37"/>
  <c r="N9" i="37"/>
  <c r="O9" i="37"/>
  <c r="P9" i="37"/>
  <c r="Q9" i="37"/>
  <c r="R9" i="37"/>
  <c r="S9" i="37"/>
  <c r="T9" i="37"/>
  <c r="U9" i="37"/>
  <c r="V9" i="37"/>
  <c r="W9" i="37"/>
  <c r="M10" i="37"/>
  <c r="N10" i="37"/>
  <c r="O10" i="37"/>
  <c r="P10" i="37"/>
  <c r="Q10" i="37"/>
  <c r="R10" i="37"/>
  <c r="S10" i="37"/>
  <c r="T10" i="37"/>
  <c r="U10" i="37"/>
  <c r="V10" i="37"/>
  <c r="W10" i="37"/>
  <c r="L10" i="37"/>
  <c r="L9" i="37"/>
  <c r="L8" i="37"/>
  <c r="L7" i="37"/>
  <c r="L6" i="37"/>
  <c r="L5" i="37"/>
  <c r="L4" i="37"/>
  <c r="L3" i="37"/>
  <c r="L2" i="37"/>
  <c r="K10" i="37"/>
  <c r="K9" i="37"/>
  <c r="K8" i="37"/>
  <c r="K7" i="37"/>
  <c r="K6" i="37"/>
  <c r="K5" i="37"/>
  <c r="K4" i="37"/>
  <c r="K3" i="37"/>
  <c r="K2" i="37"/>
  <c r="J10" i="37"/>
  <c r="J9" i="37"/>
  <c r="J8" i="37"/>
  <c r="J7" i="37"/>
  <c r="J6" i="37"/>
  <c r="J5" i="37"/>
  <c r="J4" i="37"/>
  <c r="J3" i="37"/>
  <c r="J2" i="37"/>
  <c r="I10" i="37"/>
  <c r="I9" i="37"/>
  <c r="I8" i="37"/>
  <c r="I7" i="37"/>
  <c r="I6" i="37"/>
  <c r="I5" i="37"/>
  <c r="I4" i="37"/>
  <c r="I3" i="37"/>
  <c r="I2" i="37"/>
  <c r="H10" i="37"/>
  <c r="H9" i="37"/>
  <c r="H8" i="37"/>
  <c r="H7" i="37"/>
  <c r="H6" i="37"/>
  <c r="H5" i="37"/>
  <c r="H4" i="37"/>
  <c r="H3" i="37"/>
  <c r="H2" i="37"/>
  <c r="G10" i="37"/>
  <c r="G9" i="37"/>
  <c r="G8" i="37"/>
  <c r="G7" i="37"/>
  <c r="G6" i="37"/>
  <c r="G5" i="37"/>
  <c r="G4" i="37"/>
  <c r="G3" i="37"/>
  <c r="G2" i="37"/>
  <c r="AP753" i="37" l="1"/>
  <c r="AC300" i="37"/>
  <c r="AD289" i="37"/>
  <c r="AE484" i="37"/>
  <c r="AE495" i="37" s="1"/>
  <c r="AF334" i="37"/>
  <c r="AF345" i="37" s="1"/>
  <c r="AH757" i="37"/>
  <c r="AP757" i="37"/>
  <c r="AP755" i="37"/>
  <c r="E332" i="37"/>
  <c r="AC450" i="37"/>
  <c r="AD439" i="37"/>
  <c r="AD379" i="37"/>
  <c r="AC390" i="37"/>
  <c r="AD330" i="37"/>
  <c r="AE319" i="37"/>
  <c r="AD499" i="37"/>
  <c r="AD424" i="37"/>
  <c r="AC435" i="37"/>
  <c r="AC405" i="37"/>
  <c r="AH753" i="37"/>
  <c r="AD394" i="37"/>
  <c r="AC330" i="37"/>
  <c r="E473" i="37"/>
  <c r="E452" i="37"/>
  <c r="E453" i="37"/>
  <c r="E454" i="37"/>
  <c r="E455" i="37"/>
  <c r="E456" i="37"/>
  <c r="E457" i="37"/>
  <c r="E458" i="37"/>
  <c r="E459" i="37"/>
  <c r="E460" i="37"/>
  <c r="E461" i="37"/>
  <c r="E437" i="37"/>
  <c r="E438" i="37"/>
  <c r="E439" i="37"/>
  <c r="E440" i="37"/>
  <c r="E441" i="37"/>
  <c r="E442" i="37"/>
  <c r="E443" i="37"/>
  <c r="E422" i="37"/>
  <c r="E423" i="37"/>
  <c r="E424" i="37"/>
  <c r="E425" i="37"/>
  <c r="E426" i="37"/>
  <c r="E427" i="37"/>
  <c r="E428" i="37"/>
  <c r="E407" i="37"/>
  <c r="E408" i="37"/>
  <c r="E409" i="37"/>
  <c r="E410" i="37"/>
  <c r="E411" i="37"/>
  <c r="E412" i="37"/>
  <c r="E413" i="37"/>
  <c r="E392" i="37"/>
  <c r="E393" i="37"/>
  <c r="E394" i="37"/>
  <c r="E395" i="37"/>
  <c r="E396" i="37"/>
  <c r="E397" i="37"/>
  <c r="E398" i="37"/>
  <c r="E399" i="37"/>
  <c r="E377" i="37"/>
  <c r="E378" i="37"/>
  <c r="E379" i="37"/>
  <c r="E380" i="37"/>
  <c r="E381" i="37"/>
  <c r="E382" i="37"/>
  <c r="E383" i="37"/>
  <c r="E384" i="37"/>
  <c r="E385" i="37"/>
  <c r="E362" i="37"/>
  <c r="E363" i="37"/>
  <c r="E364" i="37"/>
  <c r="E365" i="37"/>
  <c r="E366" i="37"/>
  <c r="E367" i="37"/>
  <c r="E368" i="37"/>
  <c r="E347" i="37"/>
  <c r="E348" i="37"/>
  <c r="E349" i="37"/>
  <c r="E350" i="37"/>
  <c r="E351" i="37"/>
  <c r="E352" i="37"/>
  <c r="E353" i="37"/>
  <c r="E354" i="37"/>
  <c r="E355" i="37"/>
  <c r="E333" i="37"/>
  <c r="E334" i="37"/>
  <c r="E335" i="37"/>
  <c r="E336" i="37"/>
  <c r="E337" i="37"/>
  <c r="E317" i="37"/>
  <c r="E318" i="37"/>
  <c r="E319" i="37"/>
  <c r="E320" i="37"/>
  <c r="E169" i="37"/>
  <c r="E170" i="37"/>
  <c r="E171" i="37"/>
  <c r="E172" i="37"/>
  <c r="E173" i="37"/>
  <c r="AB390" i="37"/>
  <c r="AB375" i="37"/>
  <c r="AB345" i="37"/>
  <c r="AB315" i="37"/>
  <c r="AB495" i="37"/>
  <c r="AB480" i="37"/>
  <c r="AB465" i="37"/>
  <c r="AB405" i="37"/>
  <c r="AB360" i="37"/>
  <c r="AB330" i="37"/>
  <c r="AB300" i="37"/>
  <c r="AB180" i="37"/>
  <c r="AB450" i="37"/>
  <c r="AB435" i="37"/>
  <c r="AB420" i="37"/>
  <c r="AL757" i="37"/>
  <c r="AD757" i="37"/>
  <c r="AH755" i="37"/>
  <c r="AL753" i="37"/>
  <c r="AD753" i="37"/>
  <c r="E621" i="37"/>
  <c r="E622" i="37"/>
  <c r="E623" i="37"/>
  <c r="E624" i="37"/>
  <c r="E625" i="37"/>
  <c r="E589" i="37"/>
  <c r="E590" i="37"/>
  <c r="E591" i="37"/>
  <c r="E592" i="37"/>
  <c r="E593" i="37"/>
  <c r="E572" i="37"/>
  <c r="E575" i="37"/>
  <c r="E576" i="37"/>
  <c r="E577" i="37"/>
  <c r="E578" i="37"/>
  <c r="E560" i="37"/>
  <c r="E561" i="37"/>
  <c r="E562" i="37"/>
  <c r="E543" i="37"/>
  <c r="E544" i="37"/>
  <c r="E545" i="37"/>
  <c r="E546" i="37"/>
  <c r="E549" i="37"/>
  <c r="E550" i="37"/>
  <c r="E527" i="37"/>
  <c r="E528" i="37"/>
  <c r="E529" i="37"/>
  <c r="E530" i="37"/>
  <c r="E531" i="37"/>
  <c r="E512" i="37"/>
  <c r="E513" i="37"/>
  <c r="E514" i="37"/>
  <c r="E515" i="37"/>
  <c r="E516" i="37"/>
  <c r="E517" i="37"/>
  <c r="E518" i="37"/>
  <c r="E519" i="37"/>
  <c r="E497" i="37"/>
  <c r="E498" i="37"/>
  <c r="E499" i="37"/>
  <c r="E500" i="37"/>
  <c r="E501" i="37"/>
  <c r="E502" i="37"/>
  <c r="E503" i="37"/>
  <c r="E504" i="37"/>
  <c r="E505" i="37"/>
  <c r="E506" i="37"/>
  <c r="E482" i="37"/>
  <c r="E483" i="37"/>
  <c r="E484" i="37"/>
  <c r="E485" i="37"/>
  <c r="E486" i="37"/>
  <c r="E487" i="37"/>
  <c r="E467" i="37"/>
  <c r="E468" i="37"/>
  <c r="E469" i="37"/>
  <c r="E470" i="37"/>
  <c r="E471" i="37"/>
  <c r="E472" i="37"/>
  <c r="E321" i="37"/>
  <c r="E302" i="37"/>
  <c r="E303" i="37"/>
  <c r="E304" i="37"/>
  <c r="E305" i="37"/>
  <c r="E287" i="37"/>
  <c r="E288" i="37"/>
  <c r="E289" i="37"/>
  <c r="E290" i="37"/>
  <c r="E291" i="37"/>
  <c r="E292" i="37"/>
  <c r="E293" i="37"/>
  <c r="E294" i="37"/>
  <c r="E295" i="37"/>
  <c r="E167" i="37"/>
  <c r="E168" i="37"/>
  <c r="AA17" i="37"/>
  <c r="E17" i="37"/>
  <c r="AA18" i="37"/>
  <c r="E18" i="37"/>
  <c r="AA19" i="37"/>
  <c r="E19" i="37"/>
  <c r="AA20" i="37"/>
  <c r="E20" i="37"/>
  <c r="AA21" i="37"/>
  <c r="E21" i="37"/>
  <c r="AA22" i="37"/>
  <c r="E22" i="37"/>
  <c r="AA23" i="37"/>
  <c r="E23" i="37"/>
  <c r="AA24" i="37"/>
  <c r="E24" i="37"/>
  <c r="AA25" i="37"/>
  <c r="E25" i="37"/>
  <c r="AA26" i="37"/>
  <c r="E26" i="37"/>
  <c r="AA32" i="37"/>
  <c r="E32" i="37"/>
  <c r="AA33" i="37"/>
  <c r="E33" i="37"/>
  <c r="AA34" i="37"/>
  <c r="E34" i="37"/>
  <c r="AA35" i="37"/>
  <c r="E35" i="37"/>
  <c r="AA36" i="37"/>
  <c r="E36" i="37"/>
  <c r="AA37" i="37"/>
  <c r="E37" i="37"/>
  <c r="AA38" i="37"/>
  <c r="E38" i="37"/>
  <c r="AA39" i="37"/>
  <c r="E39" i="37"/>
  <c r="AA47" i="37"/>
  <c r="E47" i="37"/>
  <c r="AA48" i="37"/>
  <c r="E48" i="37"/>
  <c r="AA49" i="37"/>
  <c r="E49" i="37"/>
  <c r="AA50" i="37"/>
  <c r="E50" i="37"/>
  <c r="AA51" i="37"/>
  <c r="E51" i="37"/>
  <c r="AA52" i="37"/>
  <c r="E52" i="37"/>
  <c r="AA53" i="37"/>
  <c r="E53" i="37"/>
  <c r="AA54" i="37"/>
  <c r="E54" i="37"/>
  <c r="AA55" i="37"/>
  <c r="E55" i="37"/>
  <c r="AA56" i="37"/>
  <c r="E56" i="37"/>
  <c r="AA62" i="37"/>
  <c r="E62" i="37"/>
  <c r="AA63" i="37"/>
  <c r="E63" i="37"/>
  <c r="AA64" i="37"/>
  <c r="E64" i="37"/>
  <c r="AA65" i="37"/>
  <c r="E65" i="37"/>
  <c r="AA66" i="37"/>
  <c r="E66" i="37"/>
  <c r="AA67" i="37"/>
  <c r="E67" i="37"/>
  <c r="AA68" i="37"/>
  <c r="E68" i="37"/>
  <c r="AA69" i="37"/>
  <c r="E69" i="37"/>
  <c r="AA77" i="37"/>
  <c r="E77" i="37"/>
  <c r="AA78" i="37"/>
  <c r="E78" i="37"/>
  <c r="AA79" i="37"/>
  <c r="E79" i="37"/>
  <c r="AA80" i="37"/>
  <c r="E80" i="37"/>
  <c r="AA81" i="37"/>
  <c r="E81" i="37"/>
  <c r="AA82" i="37"/>
  <c r="E82" i="37"/>
  <c r="AA83" i="37"/>
  <c r="E83" i="37"/>
  <c r="AA84" i="37"/>
  <c r="E84" i="37"/>
  <c r="AA92" i="37"/>
  <c r="E92" i="37"/>
  <c r="AA93" i="37"/>
  <c r="E93" i="37"/>
  <c r="AA94" i="37"/>
  <c r="E94" i="37"/>
  <c r="AA95" i="37"/>
  <c r="E95" i="37"/>
  <c r="AA96" i="37"/>
  <c r="E96" i="37"/>
  <c r="AA97" i="37"/>
  <c r="E97" i="37"/>
  <c r="AA98" i="37"/>
  <c r="E98" i="37"/>
  <c r="AA107" i="37"/>
  <c r="E107" i="37"/>
  <c r="AA108" i="37"/>
  <c r="E108" i="37"/>
  <c r="AA109" i="37"/>
  <c r="E109" i="37"/>
  <c r="AA110" i="37"/>
  <c r="E110" i="37"/>
  <c r="AA111" i="37"/>
  <c r="E111" i="37"/>
  <c r="AA122" i="37"/>
  <c r="E122" i="37"/>
  <c r="AA123" i="37"/>
  <c r="E123" i="37"/>
  <c r="AA124" i="37"/>
  <c r="E124" i="37"/>
  <c r="AA125" i="37"/>
  <c r="E125" i="37"/>
  <c r="AA126" i="37"/>
  <c r="E126" i="37"/>
  <c r="AA127" i="37"/>
  <c r="E127" i="37"/>
  <c r="AA128" i="37"/>
  <c r="E128" i="37"/>
  <c r="AA129" i="37"/>
  <c r="E129" i="37"/>
  <c r="AA130" i="37"/>
  <c r="E130" i="37"/>
  <c r="AA137" i="37"/>
  <c r="E137" i="37"/>
  <c r="AA138" i="37"/>
  <c r="E138" i="37"/>
  <c r="AA139" i="37"/>
  <c r="E139" i="37"/>
  <c r="AA140" i="37"/>
  <c r="E140" i="37"/>
  <c r="AA141" i="37"/>
  <c r="E141" i="37"/>
  <c r="AA142" i="37"/>
  <c r="E142" i="37"/>
  <c r="AA143" i="37"/>
  <c r="E143" i="37"/>
  <c r="AA144" i="37"/>
  <c r="E144" i="37"/>
  <c r="AA145" i="37"/>
  <c r="E145" i="37"/>
  <c r="AA152" i="37"/>
  <c r="E152" i="37"/>
  <c r="AA153" i="37"/>
  <c r="E153" i="37"/>
  <c r="AA154" i="37"/>
  <c r="E154" i="37"/>
  <c r="AA155" i="37"/>
  <c r="E155" i="37"/>
  <c r="AA156" i="37"/>
  <c r="E156" i="37"/>
  <c r="AA157" i="37"/>
  <c r="E157" i="37"/>
  <c r="AA158" i="37"/>
  <c r="E158" i="37"/>
  <c r="AA159" i="37"/>
  <c r="E159" i="37"/>
  <c r="AA160" i="37"/>
  <c r="E160" i="37"/>
  <c r="AA161" i="37"/>
  <c r="E161" i="37"/>
  <c r="AA182" i="37"/>
  <c r="E182" i="37"/>
  <c r="AA183" i="37"/>
  <c r="E183" i="37"/>
  <c r="AA184" i="37"/>
  <c r="E184" i="37"/>
  <c r="AA185" i="37"/>
  <c r="E185" i="37"/>
  <c r="AA186" i="37"/>
  <c r="E186" i="37"/>
  <c r="AA187" i="37"/>
  <c r="E187" i="37"/>
  <c r="AA188" i="37"/>
  <c r="E188" i="37"/>
  <c r="AA197" i="37"/>
  <c r="E197" i="37"/>
  <c r="AA198" i="37"/>
  <c r="E198" i="37"/>
  <c r="AA199" i="37"/>
  <c r="E199" i="37"/>
  <c r="AA200" i="37"/>
  <c r="E200" i="37"/>
  <c r="AA201" i="37"/>
  <c r="E201" i="37"/>
  <c r="AA202" i="37"/>
  <c r="E202" i="37"/>
  <c r="AA203" i="37"/>
  <c r="E203" i="37"/>
  <c r="AA204" i="37"/>
  <c r="E204" i="37"/>
  <c r="AA205" i="37"/>
  <c r="E205" i="37"/>
  <c r="AA206" i="37"/>
  <c r="E206" i="37"/>
  <c r="AA207" i="37"/>
  <c r="E207" i="37"/>
  <c r="AA212" i="37"/>
  <c r="E212" i="37"/>
  <c r="AA213" i="37"/>
  <c r="E213" i="37"/>
  <c r="AA214" i="37"/>
  <c r="E214" i="37"/>
  <c r="AA215" i="37"/>
  <c r="E215" i="37"/>
  <c r="AA216" i="37"/>
  <c r="E216" i="37"/>
  <c r="AA217" i="37"/>
  <c r="E217" i="37"/>
  <c r="AA218" i="37"/>
  <c r="E218" i="37"/>
  <c r="AA219" i="37"/>
  <c r="E219" i="37"/>
  <c r="AA220" i="37"/>
  <c r="E220" i="37"/>
  <c r="AA227" i="37"/>
  <c r="E227" i="37"/>
  <c r="AA228" i="37"/>
  <c r="E228" i="37"/>
  <c r="AA229" i="37"/>
  <c r="E229" i="37"/>
  <c r="AA230" i="37"/>
  <c r="E230" i="37"/>
  <c r="AA231" i="37"/>
  <c r="E231" i="37"/>
  <c r="AA232" i="37"/>
  <c r="E232" i="37"/>
  <c r="AA233" i="37"/>
  <c r="E233" i="37"/>
  <c r="AA234" i="37"/>
  <c r="E234" i="37"/>
  <c r="AA242" i="37"/>
  <c r="E242" i="37"/>
  <c r="AA243" i="37"/>
  <c r="E243" i="37"/>
  <c r="AA244" i="37"/>
  <c r="E244" i="37"/>
  <c r="AA245" i="37"/>
  <c r="E245" i="37"/>
  <c r="AA246" i="37"/>
  <c r="E246" i="37"/>
  <c r="AA247" i="37"/>
  <c r="E247" i="37"/>
  <c r="AA248" i="37"/>
  <c r="E248" i="37"/>
  <c r="AA249" i="37"/>
  <c r="E249" i="37"/>
  <c r="AA257" i="37"/>
  <c r="E257" i="37"/>
  <c r="AA258" i="37"/>
  <c r="E258" i="37"/>
  <c r="AA259" i="37"/>
  <c r="E259" i="37"/>
  <c r="AA260" i="37"/>
  <c r="E260" i="37"/>
  <c r="AA261" i="37"/>
  <c r="E261" i="37"/>
  <c r="AA262" i="37"/>
  <c r="E262" i="37"/>
  <c r="AA263" i="37"/>
  <c r="E263" i="37"/>
  <c r="AA264" i="37"/>
  <c r="E264" i="37"/>
  <c r="AA265" i="37"/>
  <c r="E265" i="37"/>
  <c r="AA266" i="37"/>
  <c r="E266" i="37"/>
  <c r="AA272" i="37"/>
  <c r="E272" i="37"/>
  <c r="AA273" i="37"/>
  <c r="E273" i="37"/>
  <c r="AA274" i="37"/>
  <c r="E274" i="37"/>
  <c r="AA275" i="37"/>
  <c r="E275" i="37"/>
  <c r="AA276" i="37"/>
  <c r="E276" i="37"/>
  <c r="AA277" i="37"/>
  <c r="E277" i="37"/>
  <c r="AA278" i="37"/>
  <c r="E278" i="37"/>
  <c r="AA279" i="37"/>
  <c r="E279" i="37"/>
  <c r="AA280" i="37"/>
  <c r="E280" i="37"/>
  <c r="AA281" i="37"/>
  <c r="E281" i="37"/>
  <c r="AA282" i="37"/>
  <c r="E282" i="37"/>
  <c r="AA10" i="37"/>
  <c r="E10" i="37"/>
  <c r="AA8" i="37"/>
  <c r="E8" i="37"/>
  <c r="AA6" i="37"/>
  <c r="E6" i="37"/>
  <c r="AA4" i="37"/>
  <c r="E4" i="37"/>
  <c r="AA767" i="37"/>
  <c r="E767" i="37"/>
  <c r="AA768" i="37"/>
  <c r="E768" i="37"/>
  <c r="AA769" i="37"/>
  <c r="E769" i="37"/>
  <c r="AA770" i="37"/>
  <c r="E770" i="37"/>
  <c r="AA771" i="37"/>
  <c r="AB771" i="37" s="1"/>
  <c r="E771" i="37"/>
  <c r="AA772" i="37"/>
  <c r="E772" i="37"/>
  <c r="AA9" i="37"/>
  <c r="E9" i="37"/>
  <c r="AA7" i="37"/>
  <c r="E7" i="37"/>
  <c r="AA5" i="37"/>
  <c r="E5" i="37"/>
  <c r="AA3" i="37"/>
  <c r="E3" i="37"/>
  <c r="AA752" i="37"/>
  <c r="AB752" i="37" s="1"/>
  <c r="E752" i="37"/>
  <c r="AA753" i="37"/>
  <c r="E753" i="37"/>
  <c r="AA754" i="37"/>
  <c r="E754" i="37"/>
  <c r="AA755" i="37"/>
  <c r="E755" i="37"/>
  <c r="AA756" i="37"/>
  <c r="E756" i="37"/>
  <c r="AA757" i="37"/>
  <c r="E757" i="37"/>
  <c r="AA737" i="37"/>
  <c r="E737" i="37"/>
  <c r="AA738" i="37"/>
  <c r="AB738" i="37" s="1"/>
  <c r="E738" i="37"/>
  <c r="AA739" i="37"/>
  <c r="E739" i="37"/>
  <c r="AA740" i="37"/>
  <c r="E740" i="37"/>
  <c r="AA741" i="37"/>
  <c r="E741" i="37"/>
  <c r="AA742" i="37"/>
  <c r="E742" i="37"/>
  <c r="AA743" i="37"/>
  <c r="E743" i="37"/>
  <c r="AA744" i="37"/>
  <c r="E744" i="37"/>
  <c r="AA722" i="37"/>
  <c r="AB722" i="37" s="1"/>
  <c r="E722" i="37"/>
  <c r="AA723" i="37"/>
  <c r="E723" i="37"/>
  <c r="AA724" i="37"/>
  <c r="E724" i="37"/>
  <c r="AA725" i="37"/>
  <c r="E725" i="37"/>
  <c r="AA726" i="37"/>
  <c r="E726" i="37"/>
  <c r="AA727" i="37"/>
  <c r="E727" i="37"/>
  <c r="AA728" i="37"/>
  <c r="E728" i="37"/>
  <c r="AA729" i="37"/>
  <c r="E729" i="37"/>
  <c r="AA730" i="37"/>
  <c r="E730" i="37"/>
  <c r="AA731" i="37"/>
  <c r="E731" i="37"/>
  <c r="AA732" i="37"/>
  <c r="E732" i="37"/>
  <c r="AA733" i="37"/>
  <c r="E733" i="37"/>
  <c r="AA734" i="37"/>
  <c r="E734" i="37"/>
  <c r="AA707" i="37"/>
  <c r="AB707" i="37" s="1"/>
  <c r="E707" i="37"/>
  <c r="AA708" i="37"/>
  <c r="E708" i="37"/>
  <c r="AA709" i="37"/>
  <c r="E709" i="37"/>
  <c r="AA710" i="37"/>
  <c r="E710" i="37"/>
  <c r="AA711" i="37"/>
  <c r="AB711" i="37" s="1"/>
  <c r="E711" i="37"/>
  <c r="AA712" i="37"/>
  <c r="E712" i="37"/>
  <c r="AA692" i="37"/>
  <c r="AB692" i="37" s="1"/>
  <c r="AC692" i="37" s="1"/>
  <c r="AD692" i="37" s="1"/>
  <c r="AE692" i="37" s="1"/>
  <c r="AF692" i="37" s="1"/>
  <c r="E692" i="37"/>
  <c r="AA693" i="37"/>
  <c r="E693" i="37"/>
  <c r="AA694" i="37"/>
  <c r="E694" i="37"/>
  <c r="AA695" i="37"/>
  <c r="E695" i="37"/>
  <c r="AA696" i="37"/>
  <c r="AB696" i="37" s="1"/>
  <c r="E696" i="37"/>
  <c r="AA697" i="37"/>
  <c r="E697" i="37"/>
  <c r="AA698" i="37"/>
  <c r="E698" i="37"/>
  <c r="AA677" i="37"/>
  <c r="E677" i="37"/>
  <c r="AA678" i="37"/>
  <c r="AB678" i="37" s="1"/>
  <c r="E678" i="37"/>
  <c r="AA679" i="37"/>
  <c r="E679" i="37"/>
  <c r="AA680" i="37"/>
  <c r="E680" i="37"/>
  <c r="AA681" i="37"/>
  <c r="E681" i="37"/>
  <c r="AA682" i="37"/>
  <c r="AB682" i="37" s="1"/>
  <c r="E682" i="37"/>
  <c r="AA683" i="37"/>
  <c r="E683" i="37"/>
  <c r="AA684" i="37"/>
  <c r="E684" i="37"/>
  <c r="AA662" i="37"/>
  <c r="AB662" i="37" s="1"/>
  <c r="E662" i="37"/>
  <c r="AA663" i="37"/>
  <c r="E663" i="37"/>
  <c r="AA664" i="37"/>
  <c r="E664" i="37"/>
  <c r="AA665" i="37"/>
  <c r="E665" i="37"/>
  <c r="AA666" i="37"/>
  <c r="AB666" i="37" s="1"/>
  <c r="AC666" i="37" s="1"/>
  <c r="AD666" i="37" s="1"/>
  <c r="AE666" i="37" s="1"/>
  <c r="AF666" i="37" s="1"/>
  <c r="E666" i="37"/>
  <c r="AA667" i="37"/>
  <c r="E667" i="37"/>
  <c r="AA647" i="37"/>
  <c r="E647" i="37"/>
  <c r="AA648" i="37"/>
  <c r="AB648" i="37" s="1"/>
  <c r="AC648" i="37" s="1"/>
  <c r="AD648" i="37" s="1"/>
  <c r="AE648" i="37" s="1"/>
  <c r="AF648" i="37" s="1"/>
  <c r="E648" i="37"/>
  <c r="AA649" i="37"/>
  <c r="E649" i="37"/>
  <c r="AA650" i="37"/>
  <c r="E650" i="37"/>
  <c r="AA651" i="37"/>
  <c r="E651" i="37"/>
  <c r="AA652" i="37"/>
  <c r="E652" i="37"/>
  <c r="AA653" i="37"/>
  <c r="E653" i="37"/>
  <c r="AA654" i="37"/>
  <c r="E654" i="37"/>
  <c r="AA632" i="37"/>
  <c r="E632" i="37"/>
  <c r="AA633" i="37"/>
  <c r="E633" i="37"/>
  <c r="AA634" i="37"/>
  <c r="AB634" i="37" s="1"/>
  <c r="AB645" i="37" s="1"/>
  <c r="E634" i="37"/>
  <c r="AA635" i="37"/>
  <c r="E635" i="37"/>
  <c r="AA636" i="37"/>
  <c r="E636" i="37"/>
  <c r="AA637" i="37"/>
  <c r="E637" i="37"/>
  <c r="AA638" i="37"/>
  <c r="E638" i="37"/>
  <c r="AA617" i="37"/>
  <c r="E617" i="37"/>
  <c r="AA618" i="37"/>
  <c r="AB618" i="37" s="1"/>
  <c r="E618" i="37"/>
  <c r="AA619" i="37"/>
  <c r="E619" i="37"/>
  <c r="AA620" i="37"/>
  <c r="E620" i="37"/>
  <c r="AA602" i="37"/>
  <c r="E602" i="37"/>
  <c r="AA603" i="37"/>
  <c r="E603" i="37"/>
  <c r="AA604" i="37"/>
  <c r="AB604" i="37" s="1"/>
  <c r="E604" i="37"/>
  <c r="AA605" i="37"/>
  <c r="E605" i="37"/>
  <c r="AA606" i="37"/>
  <c r="E606" i="37"/>
  <c r="AA607" i="37"/>
  <c r="E607" i="37"/>
  <c r="AA608" i="37"/>
  <c r="AB608" i="37" s="1"/>
  <c r="E608" i="37"/>
  <c r="AA609" i="37"/>
  <c r="E609" i="37"/>
  <c r="AA587" i="37"/>
  <c r="E587" i="37"/>
  <c r="AA588" i="37"/>
  <c r="AB588" i="37" s="1"/>
  <c r="E588" i="37"/>
  <c r="AA573" i="37"/>
  <c r="E573" i="37"/>
  <c r="AA574" i="37"/>
  <c r="E574" i="37"/>
  <c r="AA557" i="37"/>
  <c r="E557" i="37"/>
  <c r="AA558" i="37"/>
  <c r="E558" i="37"/>
  <c r="AA559" i="37"/>
  <c r="AB559" i="37" s="1"/>
  <c r="E559" i="37"/>
  <c r="AA542" i="37"/>
  <c r="AB542" i="37" s="1"/>
  <c r="AC542" i="37" s="1"/>
  <c r="AD542" i="37" s="1"/>
  <c r="AE542" i="37" s="1"/>
  <c r="AF542" i="37" s="1"/>
  <c r="AG542" i="37" s="1"/>
  <c r="AH542" i="37" s="1"/>
  <c r="E542" i="37"/>
  <c r="AA547" i="37"/>
  <c r="AB547" i="37" s="1"/>
  <c r="AC547" i="37" s="1"/>
  <c r="AD547" i="37" s="1"/>
  <c r="AE547" i="37" s="1"/>
  <c r="AF547" i="37" s="1"/>
  <c r="AG547" i="37" s="1"/>
  <c r="E547" i="37"/>
  <c r="AA548" i="37"/>
  <c r="AB548" i="37" s="1"/>
  <c r="AC548" i="37" s="1"/>
  <c r="AD548" i="37" s="1"/>
  <c r="AE548" i="37" s="1"/>
  <c r="AF548" i="37" s="1"/>
  <c r="AG548" i="37" s="1"/>
  <c r="E548" i="37"/>
  <c r="E306" i="37"/>
  <c r="E307" i="37"/>
  <c r="E308" i="37"/>
  <c r="E309" i="37"/>
  <c r="E310" i="37"/>
  <c r="AE637" i="37"/>
  <c r="AE636" i="37"/>
  <c r="AE635" i="37"/>
  <c r="AE634" i="37"/>
  <c r="AE645" i="37" s="1"/>
  <c r="AE633" i="37"/>
  <c r="AM632" i="37"/>
  <c r="AQ625" i="37"/>
  <c r="AM624" i="37"/>
  <c r="AQ623" i="37"/>
  <c r="AM622" i="37"/>
  <c r="AE573" i="37"/>
  <c r="AE574" i="37"/>
  <c r="AE585" i="37" s="1"/>
  <c r="AI573" i="37"/>
  <c r="AI574" i="37"/>
  <c r="AI585" i="37" s="1"/>
  <c r="AM573" i="37"/>
  <c r="AM574" i="37"/>
  <c r="AM585" i="37" s="1"/>
  <c r="AQ573" i="37"/>
  <c r="AQ574" i="37"/>
  <c r="AQ585" i="37" s="1"/>
  <c r="AC559" i="37"/>
  <c r="AC570" i="37" s="1"/>
  <c r="AX558" i="37" s="1"/>
  <c r="AC560" i="37"/>
  <c r="AC561" i="37"/>
  <c r="AC562" i="37"/>
  <c r="AE557" i="37"/>
  <c r="AE558" i="37"/>
  <c r="AE559" i="37"/>
  <c r="AE570" i="37" s="1"/>
  <c r="AG559" i="37"/>
  <c r="AG570" i="37" s="1"/>
  <c r="BB557" i="37" s="1"/>
  <c r="AG560" i="37"/>
  <c r="AG561" i="37"/>
  <c r="AG562" i="37"/>
  <c r="AI557" i="37"/>
  <c r="AI558" i="37"/>
  <c r="AI559" i="37"/>
  <c r="AI570" i="37" s="1"/>
  <c r="AK559" i="37"/>
  <c r="AK570" i="37" s="1"/>
  <c r="BF558" i="37" s="1"/>
  <c r="AK560" i="37"/>
  <c r="AK561" i="37"/>
  <c r="AK562" i="37"/>
  <c r="AM557" i="37"/>
  <c r="AM558" i="37"/>
  <c r="AM559" i="37"/>
  <c r="AM570" i="37" s="1"/>
  <c r="AO559" i="37"/>
  <c r="AO570" i="37" s="1"/>
  <c r="BJ559" i="37" s="1"/>
  <c r="AO560" i="37"/>
  <c r="AO561" i="37"/>
  <c r="AO562" i="37"/>
  <c r="AQ557" i="37"/>
  <c r="AQ558" i="37"/>
  <c r="AQ559" i="37"/>
  <c r="AQ570" i="37" s="1"/>
  <c r="AC550" i="37"/>
  <c r="AD550" i="37" s="1"/>
  <c r="AE550" i="37" s="1"/>
  <c r="AF550" i="37" s="1"/>
  <c r="AG550" i="37" s="1"/>
  <c r="AH550" i="37" s="1"/>
  <c r="AI550" i="37" s="1"/>
  <c r="AJ550" i="37" s="1"/>
  <c r="AI542" i="37"/>
  <c r="AJ542" i="37" s="1"/>
  <c r="AK542" i="37"/>
  <c r="AK543" i="37"/>
  <c r="AK544" i="37"/>
  <c r="AK555" i="37" s="1"/>
  <c r="AK545" i="37"/>
  <c r="AK550" i="37"/>
  <c r="AM542" i="37"/>
  <c r="BH544" i="37" s="1"/>
  <c r="AM547" i="37"/>
  <c r="AM548" i="37"/>
  <c r="AM549" i="37"/>
  <c r="AM550" i="37"/>
  <c r="AO542" i="37"/>
  <c r="AO543" i="37"/>
  <c r="AO544" i="37"/>
  <c r="AO555" i="37" s="1"/>
  <c r="AO545" i="37"/>
  <c r="AO550" i="37"/>
  <c r="AQ542" i="37"/>
  <c r="BL542" i="37" s="1"/>
  <c r="AQ547" i="37"/>
  <c r="AQ548" i="37"/>
  <c r="AQ549" i="37"/>
  <c r="AQ550" i="37"/>
  <c r="F2" i="37"/>
  <c r="AO754" i="37"/>
  <c r="AO765" i="37" s="1"/>
  <c r="AK651" i="37"/>
  <c r="AK649" i="37"/>
  <c r="AK660" i="37" s="1"/>
  <c r="AO744" i="37"/>
  <c r="AO734" i="37"/>
  <c r="AO726" i="37"/>
  <c r="AO665" i="37"/>
  <c r="AO663" i="37"/>
  <c r="AO662" i="37"/>
  <c r="AM637" i="37"/>
  <c r="AM636" i="37"/>
  <c r="AM635" i="37"/>
  <c r="AM634" i="37"/>
  <c r="AM645" i="37" s="1"/>
  <c r="AM633" i="37"/>
  <c r="AE632" i="37"/>
  <c r="AO625" i="37"/>
  <c r="AK625" i="37"/>
  <c r="AO624" i="37"/>
  <c r="AK624" i="37"/>
  <c r="AO623" i="37"/>
  <c r="AK623" i="37"/>
  <c r="AO622" i="37"/>
  <c r="AK622" i="37"/>
  <c r="AO621" i="37"/>
  <c r="AK621" i="37"/>
  <c r="AO620" i="37"/>
  <c r="AO619" i="37"/>
  <c r="AO630" i="37" s="1"/>
  <c r="AO618" i="37"/>
  <c r="AC618" i="37"/>
  <c r="AD618" i="37" s="1"/>
  <c r="AE618" i="37" s="1"/>
  <c r="AF618" i="37" s="1"/>
  <c r="AG618" i="37" s="1"/>
  <c r="AH618" i="37" s="1"/>
  <c r="AQ609" i="37"/>
  <c r="AI609" i="37"/>
  <c r="AQ608" i="37"/>
  <c r="AI608" i="37"/>
  <c r="AQ607" i="37"/>
  <c r="AI607" i="37"/>
  <c r="AQ606" i="37"/>
  <c r="AI606" i="37"/>
  <c r="AK593" i="37"/>
  <c r="AC593" i="37"/>
  <c r="AQ592" i="37"/>
  <c r="AO592" i="37"/>
  <c r="AI592" i="37"/>
  <c r="AG592" i="37"/>
  <c r="AQ591" i="37"/>
  <c r="AI591" i="37"/>
  <c r="AQ590" i="37"/>
  <c r="AI590" i="37"/>
  <c r="AM617" i="37"/>
  <c r="AM618" i="37"/>
  <c r="AM619" i="37"/>
  <c r="AM630" i="37" s="1"/>
  <c r="AQ617" i="37"/>
  <c r="AQ618" i="37"/>
  <c r="AQ619" i="37"/>
  <c r="AQ630" i="37" s="1"/>
  <c r="AC604" i="37"/>
  <c r="AC615" i="37" s="1"/>
  <c r="AX602" i="37" s="1"/>
  <c r="AC605" i="37"/>
  <c r="AC606" i="37"/>
  <c r="AC607" i="37"/>
  <c r="AC608" i="37"/>
  <c r="AC609" i="37"/>
  <c r="AE602" i="37"/>
  <c r="AE603" i="37"/>
  <c r="AE604" i="37"/>
  <c r="AE615" i="37" s="1"/>
  <c r="AG604" i="37"/>
  <c r="AG615" i="37" s="1"/>
  <c r="BB604" i="37" s="1"/>
  <c r="AG605" i="37"/>
  <c r="AG606" i="37"/>
  <c r="AG607" i="37"/>
  <c r="AG608" i="37"/>
  <c r="AG609" i="37"/>
  <c r="AI602" i="37"/>
  <c r="AI603" i="37"/>
  <c r="AI604" i="37"/>
  <c r="AI615" i="37" s="1"/>
  <c r="AK604" i="37"/>
  <c r="AK615" i="37" s="1"/>
  <c r="BF602" i="37" s="1"/>
  <c r="AK605" i="37"/>
  <c r="AK606" i="37"/>
  <c r="AK607" i="37"/>
  <c r="AK608" i="37"/>
  <c r="AK609" i="37"/>
  <c r="AM602" i="37"/>
  <c r="AM603" i="37"/>
  <c r="AM604" i="37"/>
  <c r="AM615" i="37" s="1"/>
  <c r="AO604" i="37"/>
  <c r="AO615" i="37" s="1"/>
  <c r="BJ602" i="37" s="1"/>
  <c r="AO605" i="37"/>
  <c r="AO606" i="37"/>
  <c r="AO607" i="37"/>
  <c r="AO608" i="37"/>
  <c r="AO609" i="37"/>
  <c r="AQ602" i="37"/>
  <c r="AQ603" i="37"/>
  <c r="AQ604" i="37"/>
  <c r="AQ615" i="37" s="1"/>
  <c r="AC588" i="37"/>
  <c r="AC589" i="37"/>
  <c r="AC600" i="37" s="1"/>
  <c r="AC590" i="37"/>
  <c r="AC591" i="37"/>
  <c r="AE587" i="37"/>
  <c r="AE588" i="37"/>
  <c r="AE593" i="37"/>
  <c r="AG588" i="37"/>
  <c r="AG589" i="37"/>
  <c r="AG600" i="37" s="1"/>
  <c r="AG590" i="37"/>
  <c r="AG591" i="37"/>
  <c r="AI587" i="37"/>
  <c r="AI588" i="37"/>
  <c r="AI593" i="37"/>
  <c r="AK588" i="37"/>
  <c r="AK589" i="37"/>
  <c r="AK600" i="37" s="1"/>
  <c r="AK590" i="37"/>
  <c r="AK591" i="37"/>
  <c r="AM587" i="37"/>
  <c r="AM588" i="37"/>
  <c r="AM593" i="37"/>
  <c r="AO588" i="37"/>
  <c r="AO589" i="37"/>
  <c r="AO600" i="37" s="1"/>
  <c r="AO590" i="37"/>
  <c r="AO591" i="37"/>
  <c r="AQ587" i="37"/>
  <c r="AQ588" i="37"/>
  <c r="AQ593" i="37"/>
  <c r="AB587" i="37"/>
  <c r="AB589" i="37"/>
  <c r="AB591" i="37"/>
  <c r="AD587" i="37"/>
  <c r="AD589" i="37"/>
  <c r="AD600" i="37" s="1"/>
  <c r="AD591" i="37"/>
  <c r="AF587" i="37"/>
  <c r="AF589" i="37"/>
  <c r="AF600" i="37" s="1"/>
  <c r="AF591" i="37"/>
  <c r="AH587" i="37"/>
  <c r="AH589" i="37"/>
  <c r="AH600" i="37" s="1"/>
  <c r="AJ587" i="37"/>
  <c r="AJ589" i="37"/>
  <c r="AJ600" i="37" s="1"/>
  <c r="AL587" i="37"/>
  <c r="AL589" i="37"/>
  <c r="AL600" i="37" s="1"/>
  <c r="AN587" i="37"/>
  <c r="AN589" i="37"/>
  <c r="AN600" i="37" s="1"/>
  <c r="AP587" i="37"/>
  <c r="AP589" i="37"/>
  <c r="AP600" i="37" s="1"/>
  <c r="AR587" i="37"/>
  <c r="AR589" i="37"/>
  <c r="AR600" i="37" s="1"/>
  <c r="AB573" i="37"/>
  <c r="AB575" i="37"/>
  <c r="AB577" i="37"/>
  <c r="AD573" i="37"/>
  <c r="AD575" i="37"/>
  <c r="AD577" i="37"/>
  <c r="AF573" i="37"/>
  <c r="AF575" i="37"/>
  <c r="AF577" i="37"/>
  <c r="AH573" i="37"/>
  <c r="AH575" i="37"/>
  <c r="AH577" i="37"/>
  <c r="AJ573" i="37"/>
  <c r="AJ575" i="37"/>
  <c r="AJ577" i="37"/>
  <c r="AL573" i="37"/>
  <c r="AL575" i="37"/>
  <c r="AL577" i="37"/>
  <c r="AN573" i="37"/>
  <c r="AN575" i="37"/>
  <c r="AN577" i="37"/>
  <c r="AP573" i="37"/>
  <c r="AP575" i="37"/>
  <c r="AP577" i="37"/>
  <c r="AR573" i="37"/>
  <c r="AR575" i="37"/>
  <c r="AR577" i="37"/>
  <c r="AB558" i="37"/>
  <c r="AB560" i="37"/>
  <c r="AB562" i="37"/>
  <c r="AD558" i="37"/>
  <c r="AD560" i="37"/>
  <c r="AD562" i="37"/>
  <c r="AF558" i="37"/>
  <c r="AF560" i="37"/>
  <c r="AF562" i="37"/>
  <c r="AH558" i="37"/>
  <c r="AH560" i="37"/>
  <c r="AH562" i="37"/>
  <c r="AJ558" i="37"/>
  <c r="AJ560" i="37"/>
  <c r="AJ562" i="37"/>
  <c r="AL558" i="37"/>
  <c r="AL560" i="37"/>
  <c r="AL562" i="37"/>
  <c r="AN558" i="37"/>
  <c r="AN560" i="37"/>
  <c r="AN562" i="37"/>
  <c r="AP558" i="37"/>
  <c r="AP560" i="37"/>
  <c r="AP562" i="37"/>
  <c r="AR558" i="37"/>
  <c r="AR560" i="37"/>
  <c r="AR562" i="37"/>
  <c r="AB543" i="37"/>
  <c r="AC543" i="37" s="1"/>
  <c r="AD543" i="37" s="1"/>
  <c r="AE543" i="37" s="1"/>
  <c r="AF543" i="37" s="1"/>
  <c r="AG543" i="37" s="1"/>
  <c r="AB545" i="37"/>
  <c r="AC545" i="37" s="1"/>
  <c r="AD545" i="37" s="1"/>
  <c r="AE545" i="37" s="1"/>
  <c r="AB549" i="37"/>
  <c r="AC549" i="37" s="1"/>
  <c r="AD549" i="37" s="1"/>
  <c r="AE549" i="37" s="1"/>
  <c r="AF549" i="37" s="1"/>
  <c r="AG549" i="37" s="1"/>
  <c r="AH549" i="37" s="1"/>
  <c r="AI549" i="37" s="1"/>
  <c r="AF545" i="37"/>
  <c r="AG545" i="37" s="1"/>
  <c r="AH543" i="37"/>
  <c r="AI543" i="37" s="1"/>
  <c r="AH545" i="37"/>
  <c r="AI545" i="37" s="1"/>
  <c r="AJ545" i="37" s="1"/>
  <c r="AH547" i="37"/>
  <c r="AI547" i="37" s="1"/>
  <c r="AJ543" i="37"/>
  <c r="AJ547" i="37"/>
  <c r="AJ549" i="37"/>
  <c r="AL543" i="37"/>
  <c r="AL545" i="37"/>
  <c r="AL547" i="37"/>
  <c r="AL549" i="37"/>
  <c r="AN543" i="37"/>
  <c r="AN545" i="37"/>
  <c r="AN547" i="37"/>
  <c r="AN549" i="37"/>
  <c r="AP543" i="37"/>
  <c r="AP545" i="37"/>
  <c r="AP547" i="37"/>
  <c r="AP549" i="37"/>
  <c r="AR543" i="37"/>
  <c r="AR545" i="37"/>
  <c r="AR547" i="37"/>
  <c r="AR549" i="37"/>
  <c r="AB528" i="37"/>
  <c r="AC528" i="37" s="1"/>
  <c r="AD528" i="37" s="1"/>
  <c r="AE528" i="37" s="1"/>
  <c r="AF528" i="37" s="1"/>
  <c r="AG528" i="37" s="1"/>
  <c r="AH528" i="37" s="1"/>
  <c r="AI528" i="37" s="1"/>
  <c r="AJ528" i="37" s="1"/>
  <c r="AB529" i="37"/>
  <c r="AC529" i="37" s="1"/>
  <c r="AB531" i="37"/>
  <c r="AC531" i="37" s="1"/>
  <c r="AD529" i="37"/>
  <c r="AD531" i="37"/>
  <c r="AE531" i="37" s="1"/>
  <c r="AF531" i="37" s="1"/>
  <c r="AG531" i="37" s="1"/>
  <c r="AH531" i="37" s="1"/>
  <c r="AI531" i="37" s="1"/>
  <c r="AJ531" i="37"/>
  <c r="AL529" i="37"/>
  <c r="AL540" i="37" s="1"/>
  <c r="BG527" i="37" s="1"/>
  <c r="AL531" i="37"/>
  <c r="AN529" i="37"/>
  <c r="AN540" i="37" s="1"/>
  <c r="BI527" i="37" s="1"/>
  <c r="AN531" i="37"/>
  <c r="AP529" i="37"/>
  <c r="AP540" i="37" s="1"/>
  <c r="BK527" i="37" s="1"/>
  <c r="AP531" i="37"/>
  <c r="AR529" i="37"/>
  <c r="AR540" i="37" s="1"/>
  <c r="BM527" i="37" s="1"/>
  <c r="AR531" i="37"/>
  <c r="AB513" i="37"/>
  <c r="AB515" i="37"/>
  <c r="AB517" i="37"/>
  <c r="AB519" i="37"/>
  <c r="AB514" i="37"/>
  <c r="AB525" i="37" s="1"/>
  <c r="AW514" i="37" s="1"/>
  <c r="AB518" i="37"/>
  <c r="AD513" i="37"/>
  <c r="AD515" i="37"/>
  <c r="AD517" i="37"/>
  <c r="AD519" i="37"/>
  <c r="AD514" i="37"/>
  <c r="AD525" i="37" s="1"/>
  <c r="AY514" i="37" s="1"/>
  <c r="AD518" i="37"/>
  <c r="AF513" i="37"/>
  <c r="AF515" i="37"/>
  <c r="AF517" i="37"/>
  <c r="AF519" i="37"/>
  <c r="AF514" i="37"/>
  <c r="AF525" i="37" s="1"/>
  <c r="BA514" i="37" s="1"/>
  <c r="AF518" i="37"/>
  <c r="AH513" i="37"/>
  <c r="AH515" i="37"/>
  <c r="AH517" i="37"/>
  <c r="AH519" i="37"/>
  <c r="AH514" i="37"/>
  <c r="AH525" i="37" s="1"/>
  <c r="BC514" i="37" s="1"/>
  <c r="AH518" i="37"/>
  <c r="AJ513" i="37"/>
  <c r="AJ515" i="37"/>
  <c r="AJ517" i="37"/>
  <c r="AJ519" i="37"/>
  <c r="AJ514" i="37"/>
  <c r="AJ525" i="37" s="1"/>
  <c r="BE514" i="37" s="1"/>
  <c r="AJ518" i="37"/>
  <c r="AL513" i="37"/>
  <c r="AL515" i="37"/>
  <c r="AL517" i="37"/>
  <c r="AL519" i="37"/>
  <c r="AL514" i="37"/>
  <c r="AL525" i="37" s="1"/>
  <c r="BG514" i="37" s="1"/>
  <c r="AL518" i="37"/>
  <c r="AN513" i="37"/>
  <c r="AN515" i="37"/>
  <c r="AN517" i="37"/>
  <c r="AN519" i="37"/>
  <c r="AN514" i="37"/>
  <c r="AN525" i="37" s="1"/>
  <c r="BI514" i="37" s="1"/>
  <c r="AN518" i="37"/>
  <c r="AP513" i="37"/>
  <c r="AP515" i="37"/>
  <c r="AP517" i="37"/>
  <c r="AP519" i="37"/>
  <c r="AP514" i="37"/>
  <c r="AP525" i="37" s="1"/>
  <c r="BK514" i="37" s="1"/>
  <c r="AP518" i="37"/>
  <c r="AR513" i="37"/>
  <c r="AR515" i="37"/>
  <c r="AR517" i="37"/>
  <c r="AR519" i="37"/>
  <c r="AR514" i="37"/>
  <c r="AR525" i="37" s="1"/>
  <c r="BM514" i="37" s="1"/>
  <c r="AR518" i="37"/>
  <c r="AR757" i="37"/>
  <c r="AN757" i="37"/>
  <c r="AJ757" i="37"/>
  <c r="AF757" i="37"/>
  <c r="AB757" i="37"/>
  <c r="AL755" i="37"/>
  <c r="AD755" i="37"/>
  <c r="AR753" i="37"/>
  <c r="AN753" i="37"/>
  <c r="AJ753" i="37"/>
  <c r="AF753" i="37"/>
  <c r="AB753" i="37"/>
  <c r="AR743" i="37"/>
  <c r="AN743" i="37"/>
  <c r="AJ743" i="37"/>
  <c r="AF743" i="37"/>
  <c r="AB743" i="37"/>
  <c r="AP741" i="37"/>
  <c r="AH741" i="37"/>
  <c r="AR739" i="37"/>
  <c r="AR750" i="37" s="1"/>
  <c r="AN739" i="37"/>
  <c r="AN750" i="37" s="1"/>
  <c r="AJ739" i="37"/>
  <c r="AJ750" i="37" s="1"/>
  <c r="AF739" i="37"/>
  <c r="AF750" i="37" s="1"/>
  <c r="AB739" i="37"/>
  <c r="AL737" i="37"/>
  <c r="AD737" i="37"/>
  <c r="AR733" i="37"/>
  <c r="AN733" i="37"/>
  <c r="AJ733" i="37"/>
  <c r="AF733" i="37"/>
  <c r="AB733" i="37"/>
  <c r="AP731" i="37"/>
  <c r="AR729" i="37"/>
  <c r="AN729" i="37"/>
  <c r="AJ729" i="37"/>
  <c r="AF729" i="37"/>
  <c r="AB729" i="37"/>
  <c r="AL727" i="37"/>
  <c r="AD727" i="37"/>
  <c r="AR725" i="37"/>
  <c r="AN725" i="37"/>
  <c r="AJ725" i="37"/>
  <c r="AF725" i="37"/>
  <c r="AB725" i="37"/>
  <c r="AP723" i="37"/>
  <c r="AH723" i="37"/>
  <c r="AP711" i="37"/>
  <c r="AH711" i="37"/>
  <c r="AL696" i="37"/>
  <c r="AN682" i="37"/>
  <c r="AF682" i="37"/>
  <c r="AR666" i="37"/>
  <c r="AB652" i="37"/>
  <c r="AC652" i="37" s="1"/>
  <c r="AD652" i="37" s="1"/>
  <c r="AE652" i="37" s="1"/>
  <c r="AF652" i="37" s="1"/>
  <c r="AG652" i="37" s="1"/>
  <c r="AH652" i="37" s="1"/>
  <c r="AI652" i="37" s="1"/>
  <c r="AR638" i="37"/>
  <c r="AN638" i="37"/>
  <c r="AJ638" i="37"/>
  <c r="AF638" i="37"/>
  <c r="AB638" i="37"/>
  <c r="AR625" i="37"/>
  <c r="AP625" i="37"/>
  <c r="AN625" i="37"/>
  <c r="AR593" i="37"/>
  <c r="AP593" i="37"/>
  <c r="AN593" i="37"/>
  <c r="AL593" i="37"/>
  <c r="AJ593" i="37"/>
  <c r="AH593" i="37"/>
  <c r="AF593" i="37"/>
  <c r="AD593" i="37"/>
  <c r="AB593" i="37"/>
  <c r="AR591" i="37"/>
  <c r="AP591" i="37"/>
  <c r="AN591" i="37"/>
  <c r="AL591" i="37"/>
  <c r="AJ591" i="37"/>
  <c r="AH591" i="37"/>
  <c r="AR590" i="37"/>
  <c r="AP590" i="37"/>
  <c r="AN590" i="37"/>
  <c r="AL590" i="37"/>
  <c r="AJ590" i="37"/>
  <c r="AH590" i="37"/>
  <c r="AF590" i="37"/>
  <c r="AD590" i="37"/>
  <c r="AB590" i="37"/>
  <c r="AR578" i="37"/>
  <c r="AP578" i="37"/>
  <c r="AN578" i="37"/>
  <c r="AL578" i="37"/>
  <c r="AJ578" i="37"/>
  <c r="AH578" i="37"/>
  <c r="AF578" i="37"/>
  <c r="AD578" i="37"/>
  <c r="AB578" i="37"/>
  <c r="AR574" i="37"/>
  <c r="AR585" i="37" s="1"/>
  <c r="AP574" i="37"/>
  <c r="AP585" i="37" s="1"/>
  <c r="AN574" i="37"/>
  <c r="AN585" i="37" s="1"/>
  <c r="AL574" i="37"/>
  <c r="AL585" i="37" s="1"/>
  <c r="AJ574" i="37"/>
  <c r="AJ585" i="37" s="1"/>
  <c r="AH574" i="37"/>
  <c r="AH585" i="37" s="1"/>
  <c r="AF574" i="37"/>
  <c r="AF585" i="37" s="1"/>
  <c r="AD574" i="37"/>
  <c r="AD585" i="37" s="1"/>
  <c r="AB574" i="37"/>
  <c r="AR561" i="37"/>
  <c r="AP561" i="37"/>
  <c r="AN561" i="37"/>
  <c r="AL561" i="37"/>
  <c r="AJ561" i="37"/>
  <c r="AH561" i="37"/>
  <c r="AF561" i="37"/>
  <c r="AD561" i="37"/>
  <c r="AB561" i="37"/>
  <c r="AR557" i="37"/>
  <c r="AP557" i="37"/>
  <c r="AN557" i="37"/>
  <c r="AL557" i="37"/>
  <c r="AJ557" i="37"/>
  <c r="AH557" i="37"/>
  <c r="AF557" i="37"/>
  <c r="AD557" i="37"/>
  <c r="AB557" i="37"/>
  <c r="AR548" i="37"/>
  <c r="AP548" i="37"/>
  <c r="AN548" i="37"/>
  <c r="AL548" i="37"/>
  <c r="AH548" i="37"/>
  <c r="AI548" i="37" s="1"/>
  <c r="AJ548" i="37" s="1"/>
  <c r="AR544" i="37"/>
  <c r="AR555" i="37" s="1"/>
  <c r="AP544" i="37"/>
  <c r="AP555" i="37" s="1"/>
  <c r="AN544" i="37"/>
  <c r="AN555" i="37" s="1"/>
  <c r="AL544" i="37"/>
  <c r="AL555" i="37" s="1"/>
  <c r="AB544" i="37"/>
  <c r="AC544" i="37" s="1"/>
  <c r="AR530" i="37"/>
  <c r="AP530" i="37"/>
  <c r="AN530" i="37"/>
  <c r="AL530" i="37"/>
  <c r="AJ530" i="37"/>
  <c r="AB530" i="37"/>
  <c r="AC530" i="37" s="1"/>
  <c r="AD530" i="37" s="1"/>
  <c r="AE530" i="37" s="1"/>
  <c r="AF530" i="37" s="1"/>
  <c r="AG530" i="37" s="1"/>
  <c r="AH530" i="37" s="1"/>
  <c r="AI530" i="37" s="1"/>
  <c r="AR516" i="37"/>
  <c r="AP516" i="37"/>
  <c r="AN516" i="37"/>
  <c r="AL516" i="37"/>
  <c r="AJ516" i="37"/>
  <c r="AH516" i="37"/>
  <c r="AF516" i="37"/>
  <c r="AD516" i="37"/>
  <c r="AB516" i="37"/>
  <c r="AB498" i="37"/>
  <c r="AC498" i="37" s="1"/>
  <c r="AD498" i="37" s="1"/>
  <c r="AE498" i="37" s="1"/>
  <c r="AB500" i="37"/>
  <c r="AB502" i="37"/>
  <c r="AC502" i="37" s="1"/>
  <c r="AD502" i="37" s="1"/>
  <c r="AE502" i="37" s="1"/>
  <c r="AF502" i="37" s="1"/>
  <c r="AG502" i="37" s="1"/>
  <c r="AH502" i="37" s="1"/>
  <c r="AI502" i="37" s="1"/>
  <c r="AB504" i="37"/>
  <c r="AC504" i="37" s="1"/>
  <c r="AB506" i="37"/>
  <c r="AC506" i="37" s="1"/>
  <c r="AD506" i="37" s="1"/>
  <c r="AE506" i="37" s="1"/>
  <c r="AF506" i="37" s="1"/>
  <c r="AG506" i="37" s="1"/>
  <c r="AH506" i="37" s="1"/>
  <c r="AI506" i="37" s="1"/>
  <c r="AD504" i="37"/>
  <c r="AE504" i="37" s="1"/>
  <c r="AF504" i="37" s="1"/>
  <c r="AG504" i="37" s="1"/>
  <c r="AH504" i="37" s="1"/>
  <c r="AI504" i="37" s="1"/>
  <c r="AJ504" i="37" s="1"/>
  <c r="AF498" i="37"/>
  <c r="AG498" i="37" s="1"/>
  <c r="AH498" i="37" s="1"/>
  <c r="AI498" i="37" s="1"/>
  <c r="AJ498" i="37"/>
  <c r="AJ502" i="37"/>
  <c r="AJ506" i="37"/>
  <c r="AL498" i="37"/>
  <c r="AL500" i="37"/>
  <c r="AL502" i="37"/>
  <c r="AL504" i="37"/>
  <c r="AL506" i="37"/>
  <c r="AN498" i="37"/>
  <c r="AN500" i="37"/>
  <c r="AN502" i="37"/>
  <c r="AN504" i="37"/>
  <c r="AN506" i="37"/>
  <c r="AP498" i="37"/>
  <c r="AP500" i="37"/>
  <c r="AP502" i="37"/>
  <c r="AP504" i="37"/>
  <c r="AP506" i="37"/>
  <c r="AR498" i="37"/>
  <c r="BM497" i="37" s="1"/>
  <c r="AR500" i="37"/>
  <c r="AR502" i="37"/>
  <c r="AR504" i="37"/>
  <c r="AR506" i="37"/>
  <c r="AL505" i="37"/>
  <c r="AJ505" i="37"/>
  <c r="AB505" i="37"/>
  <c r="AC505" i="37" s="1"/>
  <c r="AD505" i="37" s="1"/>
  <c r="AE505" i="37" s="1"/>
  <c r="AF505" i="37" s="1"/>
  <c r="AG505" i="37" s="1"/>
  <c r="AH505" i="37" s="1"/>
  <c r="AI505" i="37" s="1"/>
  <c r="AN501" i="37"/>
  <c r="AL501" i="37"/>
  <c r="AJ501" i="37"/>
  <c r="AB501" i="37"/>
  <c r="AC501" i="37" s="1"/>
  <c r="AD501" i="37" s="1"/>
  <c r="AE501" i="37" s="1"/>
  <c r="AF501" i="37" s="1"/>
  <c r="AG501" i="37" s="1"/>
  <c r="AH501" i="37" s="1"/>
  <c r="AI501" i="37" s="1"/>
  <c r="AP497" i="37"/>
  <c r="AN497" i="37"/>
  <c r="AL497" i="37"/>
  <c r="AB497" i="37"/>
  <c r="AC497" i="37" s="1"/>
  <c r="AD497" i="37" s="1"/>
  <c r="AE497" i="37" s="1"/>
  <c r="AF497" i="37" s="1"/>
  <c r="AG497" i="37" s="1"/>
  <c r="AH497" i="37" s="1"/>
  <c r="AI497" i="37" s="1"/>
  <c r="AJ497" i="37" s="1"/>
  <c r="AM756" i="37"/>
  <c r="AQ753" i="37"/>
  <c r="AO753" i="37"/>
  <c r="AM753" i="37"/>
  <c r="AK753" i="37"/>
  <c r="AI753" i="37"/>
  <c r="AG753" i="37"/>
  <c r="AE753" i="37"/>
  <c r="AC753" i="37"/>
  <c r="AQ752" i="37"/>
  <c r="BL752" i="37" s="1"/>
  <c r="AQ743" i="37"/>
  <c r="AO743" i="37"/>
  <c r="AM743" i="37"/>
  <c r="AK743" i="37"/>
  <c r="AI743" i="37"/>
  <c r="AG743" i="37"/>
  <c r="AE743" i="37"/>
  <c r="AC743" i="37"/>
  <c r="AD743" i="37" s="1"/>
  <c r="AQ742" i="37"/>
  <c r="AC740" i="37"/>
  <c r="AD740" i="37" s="1"/>
  <c r="AM738" i="37"/>
  <c r="AQ733" i="37"/>
  <c r="AO733" i="37"/>
  <c r="AM733" i="37"/>
  <c r="AK733" i="37"/>
  <c r="AI733" i="37"/>
  <c r="AG733" i="37"/>
  <c r="AH733" i="37" s="1"/>
  <c r="AE733" i="37"/>
  <c r="AC733" i="37"/>
  <c r="AQ732" i="37"/>
  <c r="AC730" i="37"/>
  <c r="AM728" i="37"/>
  <c r="AQ725" i="37"/>
  <c r="AO725" i="37"/>
  <c r="AM725" i="37"/>
  <c r="AK725" i="37"/>
  <c r="AI725" i="37"/>
  <c r="AG725" i="37"/>
  <c r="AH725" i="37" s="1"/>
  <c r="AE725" i="37"/>
  <c r="AC725" i="37"/>
  <c r="AQ724" i="37"/>
  <c r="AQ735" i="37" s="1"/>
  <c r="AC722" i="37"/>
  <c r="AO719" i="37"/>
  <c r="AE718" i="37"/>
  <c r="AO717" i="37"/>
  <c r="AE716" i="37"/>
  <c r="AO715" i="37"/>
  <c r="AE714" i="37"/>
  <c r="AM678" i="37"/>
  <c r="AQ654" i="37"/>
  <c r="AQ652" i="37"/>
  <c r="AQ650" i="37"/>
  <c r="AQ638" i="37"/>
  <c r="AI638" i="37"/>
  <c r="AQ637" i="37"/>
  <c r="AI637" i="37"/>
  <c r="AQ636" i="37"/>
  <c r="AI636" i="37"/>
  <c r="AQ635" i="37"/>
  <c r="AI635" i="37"/>
  <c r="AQ634" i="37"/>
  <c r="AQ645" i="37" s="1"/>
  <c r="AI634" i="37"/>
  <c r="AI645" i="37" s="1"/>
  <c r="AQ633" i="37"/>
  <c r="BL632" i="37" s="1"/>
  <c r="AI633" i="37"/>
  <c r="AC708" i="37"/>
  <c r="AC707" i="37"/>
  <c r="AE708" i="37"/>
  <c r="AE707" i="37"/>
  <c r="AG711" i="37"/>
  <c r="AG707" i="37"/>
  <c r="AI708" i="37"/>
  <c r="AI707" i="37"/>
  <c r="AK708" i="37"/>
  <c r="AK707" i="37"/>
  <c r="AK709" i="37"/>
  <c r="AK720" i="37" s="1"/>
  <c r="AM708" i="37"/>
  <c r="AM707" i="37"/>
  <c r="AO711" i="37"/>
  <c r="AO707" i="37"/>
  <c r="AQ708" i="37"/>
  <c r="AQ707" i="37"/>
  <c r="AQ692" i="37"/>
  <c r="AQ698" i="37"/>
  <c r="AE677" i="37"/>
  <c r="AE678" i="37"/>
  <c r="AK663" i="37"/>
  <c r="AK662" i="37"/>
  <c r="AQ662" i="37"/>
  <c r="AQ667" i="37"/>
  <c r="AG648" i="37"/>
  <c r="AH648" i="37" s="1"/>
  <c r="AI648" i="37" s="1"/>
  <c r="AJ648" i="37" s="1"/>
  <c r="AM650" i="37"/>
  <c r="AM652" i="37"/>
  <c r="AM654" i="37"/>
  <c r="AO648" i="37"/>
  <c r="AO649" i="37"/>
  <c r="AO660" i="37" s="1"/>
  <c r="AO651" i="37"/>
  <c r="AC632" i="37"/>
  <c r="AC633" i="37"/>
  <c r="AC634" i="37"/>
  <c r="AC645" i="37" s="1"/>
  <c r="AC635" i="37"/>
  <c r="AC636" i="37"/>
  <c r="AC637" i="37"/>
  <c r="AG632" i="37"/>
  <c r="AG633" i="37"/>
  <c r="AG634" i="37"/>
  <c r="AG645" i="37" s="1"/>
  <c r="AG635" i="37"/>
  <c r="AG636" i="37"/>
  <c r="AG637" i="37"/>
  <c r="AK632" i="37"/>
  <c r="AK633" i="37"/>
  <c r="AK634" i="37"/>
  <c r="AK645" i="37" s="1"/>
  <c r="AK635" i="37"/>
  <c r="AK636" i="37"/>
  <c r="AK637" i="37"/>
  <c r="AO632" i="37"/>
  <c r="AO633" i="37"/>
  <c r="AO634" i="37"/>
  <c r="AO645" i="37" s="1"/>
  <c r="AO635" i="37"/>
  <c r="AO636" i="37"/>
  <c r="AO637" i="37"/>
  <c r="AI618" i="37"/>
  <c r="AJ618" i="37" s="1"/>
  <c r="AE756" i="37"/>
  <c r="AG754" i="37"/>
  <c r="AG765" i="37" s="1"/>
  <c r="AI752" i="37"/>
  <c r="AG744" i="37"/>
  <c r="AI742" i="37"/>
  <c r="AK740" i="37"/>
  <c r="AE738" i="37"/>
  <c r="AG734" i="37"/>
  <c r="AH734" i="37" s="1"/>
  <c r="AI732" i="37"/>
  <c r="AK730" i="37"/>
  <c r="AE728" i="37"/>
  <c r="AG726" i="37"/>
  <c r="AH726" i="37" s="1"/>
  <c r="AI724" i="37"/>
  <c r="AI735" i="37" s="1"/>
  <c r="AK722" i="37"/>
  <c r="AG719" i="37"/>
  <c r="AM718" i="37"/>
  <c r="AG717" i="37"/>
  <c r="AM716" i="37"/>
  <c r="AG715" i="37"/>
  <c r="AM714" i="37"/>
  <c r="AG713" i="37"/>
  <c r="AM712" i="37"/>
  <c r="AO710" i="37"/>
  <c r="AC709" i="37"/>
  <c r="AC720" i="37" s="1"/>
  <c r="AO708" i="37"/>
  <c r="AQ697" i="37"/>
  <c r="AK694" i="37"/>
  <c r="AK705" i="37" s="1"/>
  <c r="AI684" i="37"/>
  <c r="AI683" i="37"/>
  <c r="AG681" i="37"/>
  <c r="AK680" i="37"/>
  <c r="AG679" i="37"/>
  <c r="AG690" i="37" s="1"/>
  <c r="AQ678" i="37"/>
  <c r="AI678" i="37"/>
  <c r="AQ677" i="37"/>
  <c r="AQ757" i="37"/>
  <c r="AO757" i="37"/>
  <c r="AM757" i="37"/>
  <c r="AK757" i="37"/>
  <c r="AI757" i="37"/>
  <c r="AG757" i="37"/>
  <c r="AE757" i="37"/>
  <c r="AC757" i="37"/>
  <c r="AQ756" i="37"/>
  <c r="AI756" i="37"/>
  <c r="AK754" i="37"/>
  <c r="AK765" i="37" s="1"/>
  <c r="AC754" i="37"/>
  <c r="AC765" i="37" s="1"/>
  <c r="AM752" i="37"/>
  <c r="AE752" i="37"/>
  <c r="AK744" i="37"/>
  <c r="AC744" i="37"/>
  <c r="AD744" i="37" s="1"/>
  <c r="AM742" i="37"/>
  <c r="AE742" i="37"/>
  <c r="AO740" i="37"/>
  <c r="AG740" i="37"/>
  <c r="AQ739" i="37"/>
  <c r="AQ750" i="37" s="1"/>
  <c r="AO739" i="37"/>
  <c r="AO750" i="37" s="1"/>
  <c r="AM739" i="37"/>
  <c r="AM750" i="37" s="1"/>
  <c r="AK739" i="37"/>
  <c r="AK750" i="37" s="1"/>
  <c r="AI739" i="37"/>
  <c r="AI750" i="37" s="1"/>
  <c r="AG739" i="37"/>
  <c r="AG750" i="37" s="1"/>
  <c r="AE739" i="37"/>
  <c r="AE750" i="37" s="1"/>
  <c r="AC739" i="37"/>
  <c r="AQ738" i="37"/>
  <c r="BL737" i="37" s="1"/>
  <c r="AI738" i="37"/>
  <c r="AK734" i="37"/>
  <c r="AC734" i="37"/>
  <c r="AM732" i="37"/>
  <c r="AE732" i="37"/>
  <c r="AO730" i="37"/>
  <c r="AG730" i="37"/>
  <c r="AH730" i="37" s="1"/>
  <c r="AQ729" i="37"/>
  <c r="AO729" i="37"/>
  <c r="AM729" i="37"/>
  <c r="AK729" i="37"/>
  <c r="AI729" i="37"/>
  <c r="AG729" i="37"/>
  <c r="AH729" i="37" s="1"/>
  <c r="AE729" i="37"/>
  <c r="AC729" i="37"/>
  <c r="AQ728" i="37"/>
  <c r="AI728" i="37"/>
  <c r="AK726" i="37"/>
  <c r="AC726" i="37"/>
  <c r="AM724" i="37"/>
  <c r="AM735" i="37" s="1"/>
  <c r="AE724" i="37"/>
  <c r="AE735" i="37" s="1"/>
  <c r="AO722" i="37"/>
  <c r="AG722" i="37"/>
  <c r="AH722" i="37" s="1"/>
  <c r="AK719" i="37"/>
  <c r="AC719" i="37"/>
  <c r="AQ718" i="37"/>
  <c r="AI718" i="37"/>
  <c r="AK717" i="37"/>
  <c r="AC717" i="37"/>
  <c r="AQ716" i="37"/>
  <c r="AI716" i="37"/>
  <c r="AK715" i="37"/>
  <c r="AC715" i="37"/>
  <c r="AQ714" i="37"/>
  <c r="AI714" i="37"/>
  <c r="AK713" i="37"/>
  <c r="AC713" i="37"/>
  <c r="AQ712" i="37"/>
  <c r="AI712" i="37"/>
  <c r="AK710" i="37"/>
  <c r="AC710" i="37"/>
  <c r="AO709" i="37"/>
  <c r="AO720" i="37" s="1"/>
  <c r="AG709" i="37"/>
  <c r="AG720" i="37" s="1"/>
  <c r="AG708" i="37"/>
  <c r="AO695" i="37"/>
  <c r="AO693" i="37"/>
  <c r="AO692" i="37"/>
  <c r="AM692" i="37"/>
  <c r="AK692" i="37"/>
  <c r="AG692" i="37"/>
  <c r="AH692" i="37" s="1"/>
  <c r="AI692" i="37" s="1"/>
  <c r="AJ692" i="37" s="1"/>
  <c r="AQ684" i="37"/>
  <c r="AO681" i="37"/>
  <c r="AO679" i="37"/>
  <c r="AO690" i="37" s="1"/>
  <c r="AO678" i="37"/>
  <c r="AK678" i="37"/>
  <c r="AG678" i="37"/>
  <c r="AC678" i="37"/>
  <c r="AK664" i="37"/>
  <c r="AK675" i="37" s="1"/>
  <c r="AM662" i="37"/>
  <c r="AC662" i="37"/>
  <c r="AD662" i="37" s="1"/>
  <c r="AE662" i="37" s="1"/>
  <c r="AF662" i="37" s="1"/>
  <c r="AG662" i="37" s="1"/>
  <c r="AH662" i="37" s="1"/>
  <c r="AI662" i="37" s="1"/>
  <c r="AJ662" i="37" s="1"/>
  <c r="AK647" i="37"/>
  <c r="AK650" i="37"/>
  <c r="AK652" i="37"/>
  <c r="AK653" i="37"/>
  <c r="AK654" i="37"/>
  <c r="AM647" i="37"/>
  <c r="AM648" i="37"/>
  <c r="AM649" i="37"/>
  <c r="AM660" i="37" s="1"/>
  <c r="AM651" i="37"/>
  <c r="AO647" i="37"/>
  <c r="AO650" i="37"/>
  <c r="AO652" i="37"/>
  <c r="AO653" i="37"/>
  <c r="AO654" i="37"/>
  <c r="AQ647" i="37"/>
  <c r="AQ648" i="37"/>
  <c r="AQ649" i="37"/>
  <c r="AQ660" i="37" s="1"/>
  <c r="AQ651" i="37"/>
  <c r="BL482" i="37"/>
  <c r="BH482" i="37"/>
  <c r="BD482" i="37"/>
  <c r="AZ482" i="37"/>
  <c r="AW452" i="37"/>
  <c r="BM452" i="37"/>
  <c r="BK452" i="37"/>
  <c r="BI452" i="37"/>
  <c r="BG452" i="37"/>
  <c r="BE452" i="37"/>
  <c r="BC452" i="37"/>
  <c r="BA452" i="37"/>
  <c r="AY452" i="37"/>
  <c r="BL422" i="37"/>
  <c r="BH422" i="37"/>
  <c r="AW392" i="37"/>
  <c r="BM392" i="37"/>
  <c r="BK392" i="37"/>
  <c r="BI392" i="37"/>
  <c r="BG392" i="37"/>
  <c r="AA495" i="37"/>
  <c r="AV482" i="37" s="1"/>
  <c r="AR755" i="37"/>
  <c r="AN755" i="37"/>
  <c r="AJ755" i="37"/>
  <c r="AF755" i="37"/>
  <c r="AB755" i="37"/>
  <c r="AR741" i="37"/>
  <c r="AN741" i="37"/>
  <c r="AJ741" i="37"/>
  <c r="AF741" i="37"/>
  <c r="AB741" i="37"/>
  <c r="AR737" i="37"/>
  <c r="AN737" i="37"/>
  <c r="AJ737" i="37"/>
  <c r="AF737" i="37"/>
  <c r="AB737" i="37"/>
  <c r="AR731" i="37"/>
  <c r="AN731" i="37"/>
  <c r="AJ731" i="37"/>
  <c r="AF731" i="37"/>
  <c r="AB731" i="37"/>
  <c r="AR727" i="37"/>
  <c r="AN727" i="37"/>
  <c r="AJ727" i="37"/>
  <c r="AF727" i="37"/>
  <c r="AB727" i="37"/>
  <c r="AR723" i="37"/>
  <c r="AN723" i="37"/>
  <c r="AJ723" i="37"/>
  <c r="AF723" i="37"/>
  <c r="AB723" i="37"/>
  <c r="AP682" i="37"/>
  <c r="AL682" i="37"/>
  <c r="AH682" i="37"/>
  <c r="AD682" i="37"/>
  <c r="AP666" i="37"/>
  <c r="AL666" i="37"/>
  <c r="AR652" i="37"/>
  <c r="AP652" i="37"/>
  <c r="AN652" i="37"/>
  <c r="AL652" i="37"/>
  <c r="AJ652" i="37"/>
  <c r="AN648" i="37"/>
  <c r="AA480" i="37"/>
  <c r="AV467" i="37" s="1"/>
  <c r="AA420" i="37"/>
  <c r="AV407" i="37" s="1"/>
  <c r="BL512" i="37"/>
  <c r="BH512" i="37"/>
  <c r="BD512" i="37"/>
  <c r="AZ512" i="37"/>
  <c r="BL499" i="37"/>
  <c r="BJ499" i="37"/>
  <c r="BH499" i="37"/>
  <c r="BF499" i="37"/>
  <c r="BM482" i="37"/>
  <c r="BK482" i="37"/>
  <c r="BI482" i="37"/>
  <c r="BG482" i="37"/>
  <c r="BE482" i="37"/>
  <c r="BC482" i="37"/>
  <c r="BA482" i="37"/>
  <c r="AY482" i="37"/>
  <c r="AW482" i="37"/>
  <c r="BL467" i="37"/>
  <c r="BJ467" i="37"/>
  <c r="BH467" i="37"/>
  <c r="BF467" i="37"/>
  <c r="BD467" i="37"/>
  <c r="BB467" i="37"/>
  <c r="AZ467" i="37"/>
  <c r="AX467" i="37"/>
  <c r="BM422" i="37"/>
  <c r="BK422" i="37"/>
  <c r="BI422" i="37"/>
  <c r="BG422" i="37"/>
  <c r="AW422" i="37"/>
  <c r="BL407" i="37"/>
  <c r="BJ407" i="37"/>
  <c r="BH407" i="37"/>
  <c r="BF407" i="37"/>
  <c r="BD407" i="37"/>
  <c r="BB407" i="37"/>
  <c r="AZ407" i="37"/>
  <c r="AX407" i="37"/>
  <c r="BL332" i="37"/>
  <c r="BH332" i="37"/>
  <c r="BD332" i="37"/>
  <c r="AZ332" i="37"/>
  <c r="AA330" i="37"/>
  <c r="AV317" i="37" s="1"/>
  <c r="AA750" i="37"/>
  <c r="AV737" i="37" s="1"/>
  <c r="AO756" i="37"/>
  <c r="AK756" i="37"/>
  <c r="AG756" i="37"/>
  <c r="AC756" i="37"/>
  <c r="AQ755" i="37"/>
  <c r="AO755" i="37"/>
  <c r="AM755" i="37"/>
  <c r="AK755" i="37"/>
  <c r="AI755" i="37"/>
  <c r="AG755" i="37"/>
  <c r="AE755" i="37"/>
  <c r="AC755" i="37"/>
  <c r="AQ744" i="37"/>
  <c r="AM744" i="37"/>
  <c r="AI744" i="37"/>
  <c r="AE744" i="37"/>
  <c r="AO742" i="37"/>
  <c r="AK742" i="37"/>
  <c r="AG742" i="37"/>
  <c r="AC742" i="37"/>
  <c r="AD742" i="37" s="1"/>
  <c r="AQ741" i="37"/>
  <c r="AO741" i="37"/>
  <c r="AM741" i="37"/>
  <c r="AK741" i="37"/>
  <c r="AI741" i="37"/>
  <c r="AG741" i="37"/>
  <c r="AE741" i="37"/>
  <c r="AC741" i="37"/>
  <c r="AD741" i="37" s="1"/>
  <c r="AQ740" i="37"/>
  <c r="AM740" i="37"/>
  <c r="AI740" i="37"/>
  <c r="AE740" i="37"/>
  <c r="AO738" i="37"/>
  <c r="AK738" i="37"/>
  <c r="AG738" i="37"/>
  <c r="AC738" i="37"/>
  <c r="AD738" i="37" s="1"/>
  <c r="AQ734" i="37"/>
  <c r="AM734" i="37"/>
  <c r="AI734" i="37"/>
  <c r="AE734" i="37"/>
  <c r="AO732" i="37"/>
  <c r="AK732" i="37"/>
  <c r="AG732" i="37"/>
  <c r="AH732" i="37" s="1"/>
  <c r="AC732" i="37"/>
  <c r="AQ731" i="37"/>
  <c r="AO731" i="37"/>
  <c r="AM731" i="37"/>
  <c r="AK731" i="37"/>
  <c r="AI731" i="37"/>
  <c r="AG731" i="37"/>
  <c r="AH731" i="37" s="1"/>
  <c r="AE731" i="37"/>
  <c r="AC731" i="37"/>
  <c r="AQ730" i="37"/>
  <c r="AM730" i="37"/>
  <c r="AI730" i="37"/>
  <c r="AE730" i="37"/>
  <c r="AO728" i="37"/>
  <c r="AK728" i="37"/>
  <c r="AG728" i="37"/>
  <c r="AH728" i="37" s="1"/>
  <c r="AC728" i="37"/>
  <c r="AQ727" i="37"/>
  <c r="AO727" i="37"/>
  <c r="AM727" i="37"/>
  <c r="AK727" i="37"/>
  <c r="AI727" i="37"/>
  <c r="AG727" i="37"/>
  <c r="AH727" i="37" s="1"/>
  <c r="AE727" i="37"/>
  <c r="AC727" i="37"/>
  <c r="AQ726" i="37"/>
  <c r="AM726" i="37"/>
  <c r="AI726" i="37"/>
  <c r="AE726" i="37"/>
  <c r="AO724" i="37"/>
  <c r="AO735" i="37" s="1"/>
  <c r="AK724" i="37"/>
  <c r="AK735" i="37" s="1"/>
  <c r="AG724" i="37"/>
  <c r="AG735" i="37" s="1"/>
  <c r="AC724" i="37"/>
  <c r="AC735" i="37" s="1"/>
  <c r="AQ723" i="37"/>
  <c r="AM723" i="37"/>
  <c r="AI723" i="37"/>
  <c r="AE723" i="37"/>
  <c r="AQ719" i="37"/>
  <c r="AM719" i="37"/>
  <c r="AI719" i="37"/>
  <c r="AE719" i="37"/>
  <c r="AO718" i="37"/>
  <c r="AK718" i="37"/>
  <c r="AG718" i="37"/>
  <c r="AC718" i="37"/>
  <c r="AQ717" i="37"/>
  <c r="AM717" i="37"/>
  <c r="AI717" i="37"/>
  <c r="AE717" i="37"/>
  <c r="AO716" i="37"/>
  <c r="AK716" i="37"/>
  <c r="AG716" i="37"/>
  <c r="AC716" i="37"/>
  <c r="AQ715" i="37"/>
  <c r="AM715" i="37"/>
  <c r="AI715" i="37"/>
  <c r="AE715" i="37"/>
  <c r="AO714" i="37"/>
  <c r="AK714" i="37"/>
  <c r="AG714" i="37"/>
  <c r="AC714" i="37"/>
  <c r="AQ713" i="37"/>
  <c r="AM713" i="37"/>
  <c r="AI713" i="37"/>
  <c r="AE713" i="37"/>
  <c r="AO712" i="37"/>
  <c r="AK712" i="37"/>
  <c r="AG712" i="37"/>
  <c r="AC712" i="37"/>
  <c r="AQ711" i="37"/>
  <c r="AM711" i="37"/>
  <c r="AK711" i="37"/>
  <c r="AI711" i="37"/>
  <c r="AE711" i="37"/>
  <c r="AC711" i="37"/>
  <c r="AQ710" i="37"/>
  <c r="AM710" i="37"/>
  <c r="AI710" i="37"/>
  <c r="AE710" i="37"/>
  <c r="AQ709" i="37"/>
  <c r="AQ720" i="37" s="1"/>
  <c r="AM709" i="37"/>
  <c r="AM720" i="37" s="1"/>
  <c r="AI709" i="37"/>
  <c r="AI720" i="37" s="1"/>
  <c r="AE709" i="37"/>
  <c r="AE720" i="37" s="1"/>
  <c r="AM698" i="37"/>
  <c r="AK695" i="37"/>
  <c r="AM684" i="37"/>
  <c r="AE684" i="37"/>
  <c r="AM683" i="37"/>
  <c r="AE683" i="37"/>
  <c r="AK681" i="37"/>
  <c r="AK665" i="37"/>
  <c r="AA600" i="37"/>
  <c r="AV587" i="37" s="1"/>
  <c r="AA570" i="37"/>
  <c r="AV557" i="37" s="1"/>
  <c r="AC696" i="37"/>
  <c r="AD696" i="37" s="1"/>
  <c r="AE696" i="37" s="1"/>
  <c r="AF696" i="37" s="1"/>
  <c r="AG696" i="37" s="1"/>
  <c r="AH696" i="37" s="1"/>
  <c r="AI696" i="37" s="1"/>
  <c r="AJ696" i="37" s="1"/>
  <c r="AK696" i="37"/>
  <c r="AK697" i="37"/>
  <c r="AK698" i="37"/>
  <c r="AM693" i="37"/>
  <c r="AM694" i="37"/>
  <c r="AM705" i="37" s="1"/>
  <c r="AM695" i="37"/>
  <c r="AM696" i="37"/>
  <c r="AO696" i="37"/>
  <c r="AO697" i="37"/>
  <c r="AO698" i="37"/>
  <c r="AQ693" i="37"/>
  <c r="AQ694" i="37"/>
  <c r="AQ705" i="37" s="1"/>
  <c r="AQ695" i="37"/>
  <c r="AQ696" i="37"/>
  <c r="AC682" i="37"/>
  <c r="AE679" i="37"/>
  <c r="AE690" i="37" s="1"/>
  <c r="AE680" i="37"/>
  <c r="AE681" i="37"/>
  <c r="AE682" i="37"/>
  <c r="AG677" i="37"/>
  <c r="AG682" i="37"/>
  <c r="AG683" i="37"/>
  <c r="AG684" i="37"/>
  <c r="AI679" i="37"/>
  <c r="AI690" i="37" s="1"/>
  <c r="AI680" i="37"/>
  <c r="AI681" i="37"/>
  <c r="AI682" i="37"/>
  <c r="AK677" i="37"/>
  <c r="AK682" i="37"/>
  <c r="AK683" i="37"/>
  <c r="AK684" i="37"/>
  <c r="AM679" i="37"/>
  <c r="AM690" i="37" s="1"/>
  <c r="AM680" i="37"/>
  <c r="AM681" i="37"/>
  <c r="AM682" i="37"/>
  <c r="AO677" i="37"/>
  <c r="AO682" i="37"/>
  <c r="AO683" i="37"/>
  <c r="AO684" i="37"/>
  <c r="AQ679" i="37"/>
  <c r="AQ690" i="37" s="1"/>
  <c r="AQ680" i="37"/>
  <c r="AQ681" i="37"/>
  <c r="AQ682" i="37"/>
  <c r="AG666" i="37"/>
  <c r="AH666" i="37" s="1"/>
  <c r="AI666" i="37" s="1"/>
  <c r="AJ666" i="37" s="1"/>
  <c r="AK666" i="37"/>
  <c r="AK667" i="37"/>
  <c r="AM663" i="37"/>
  <c r="AM664" i="37"/>
  <c r="AM675" i="37" s="1"/>
  <c r="AM665" i="37"/>
  <c r="AM666" i="37"/>
  <c r="AO666" i="37"/>
  <c r="AO667" i="37"/>
  <c r="AQ663" i="37"/>
  <c r="AQ664" i="37"/>
  <c r="AQ675" i="37" s="1"/>
  <c r="AQ665" i="37"/>
  <c r="AQ666" i="37"/>
  <c r="AA645" i="37"/>
  <c r="AA615" i="37"/>
  <c r="AV602" i="37" s="1"/>
  <c r="AA555" i="37"/>
  <c r="AV542" i="37" s="1"/>
  <c r="AA525" i="37"/>
  <c r="AV512" i="37" s="1"/>
  <c r="BH542" i="37"/>
  <c r="BM347" i="37"/>
  <c r="BK347" i="37"/>
  <c r="BI347" i="37"/>
  <c r="BG347" i="37"/>
  <c r="BE347" i="37"/>
  <c r="BC347" i="37"/>
  <c r="BA347" i="37"/>
  <c r="AY347" i="37"/>
  <c r="AW347" i="37"/>
  <c r="BM302" i="37"/>
  <c r="BK302" i="37"/>
  <c r="BI302" i="37"/>
  <c r="BG302" i="37"/>
  <c r="BE302" i="37"/>
  <c r="BC302" i="37"/>
  <c r="BA302" i="37"/>
  <c r="AY302" i="37"/>
  <c r="AW302" i="37"/>
  <c r="BL287" i="37"/>
  <c r="BH287" i="37"/>
  <c r="BD287" i="37"/>
  <c r="AA765" i="37"/>
  <c r="AV752" i="37" s="1"/>
  <c r="BK737" i="37"/>
  <c r="BC737" i="37"/>
  <c r="AA690" i="37"/>
  <c r="AV677" i="37" s="1"/>
  <c r="AA660" i="37"/>
  <c r="AV648" i="37" s="1"/>
  <c r="AA180" i="37"/>
  <c r="AV167" i="37" s="1"/>
  <c r="AB708" i="37"/>
  <c r="AB710" i="37"/>
  <c r="AB712" i="37"/>
  <c r="AB713" i="37"/>
  <c r="AB714" i="37"/>
  <c r="AB715" i="37"/>
  <c r="AB716" i="37"/>
  <c r="AB717" i="37"/>
  <c r="AB718" i="37"/>
  <c r="AB719" i="37"/>
  <c r="AD708" i="37"/>
  <c r="AD710" i="37"/>
  <c r="AD712" i="37"/>
  <c r="AD713" i="37"/>
  <c r="AD714" i="37"/>
  <c r="AD715" i="37"/>
  <c r="AD716" i="37"/>
  <c r="AD717" i="37"/>
  <c r="AD718" i="37"/>
  <c r="AD719" i="37"/>
  <c r="AF708" i="37"/>
  <c r="AF710" i="37"/>
  <c r="AF712" i="37"/>
  <c r="AF713" i="37"/>
  <c r="AF714" i="37"/>
  <c r="AF715" i="37"/>
  <c r="AF716" i="37"/>
  <c r="AF717" i="37"/>
  <c r="AF718" i="37"/>
  <c r="AF719" i="37"/>
  <c r="AH708" i="37"/>
  <c r="AH710" i="37"/>
  <c r="AH712" i="37"/>
  <c r="AH713" i="37"/>
  <c r="AH714" i="37"/>
  <c r="AH715" i="37"/>
  <c r="AH716" i="37"/>
  <c r="AH717" i="37"/>
  <c r="AH718" i="37"/>
  <c r="AH719" i="37"/>
  <c r="AJ708" i="37"/>
  <c r="AJ710" i="37"/>
  <c r="AJ712" i="37"/>
  <c r="AJ713" i="37"/>
  <c r="AJ714" i="37"/>
  <c r="AJ715" i="37"/>
  <c r="AJ716" i="37"/>
  <c r="AJ717" i="37"/>
  <c r="AJ718" i="37"/>
  <c r="AJ719" i="37"/>
  <c r="AL708" i="37"/>
  <c r="AL710" i="37"/>
  <c r="AL712" i="37"/>
  <c r="AL713" i="37"/>
  <c r="AL714" i="37"/>
  <c r="AL715" i="37"/>
  <c r="AL716" i="37"/>
  <c r="AL717" i="37"/>
  <c r="AL718" i="37"/>
  <c r="AL719" i="37"/>
  <c r="AN708" i="37"/>
  <c r="AN710" i="37"/>
  <c r="AN712" i="37"/>
  <c r="AN713" i="37"/>
  <c r="AN714" i="37"/>
  <c r="AN715" i="37"/>
  <c r="AN716" i="37"/>
  <c r="AN717" i="37"/>
  <c r="AN718" i="37"/>
  <c r="AN719" i="37"/>
  <c r="AP708" i="37"/>
  <c r="AP710" i="37"/>
  <c r="AP712" i="37"/>
  <c r="AP713" i="37"/>
  <c r="AP714" i="37"/>
  <c r="AP715" i="37"/>
  <c r="AP716" i="37"/>
  <c r="AP717" i="37"/>
  <c r="AP718" i="37"/>
  <c r="AP719" i="37"/>
  <c r="AR708" i="37"/>
  <c r="AR710" i="37"/>
  <c r="AR712" i="37"/>
  <c r="AR713" i="37"/>
  <c r="AR714" i="37"/>
  <c r="AR715" i="37"/>
  <c r="AR716" i="37"/>
  <c r="AR717" i="37"/>
  <c r="AR718" i="37"/>
  <c r="AR719" i="37"/>
  <c r="AB693" i="37"/>
  <c r="AC693" i="37" s="1"/>
  <c r="AD693" i="37" s="1"/>
  <c r="AE693" i="37" s="1"/>
  <c r="AF693" i="37" s="1"/>
  <c r="AG693" i="37" s="1"/>
  <c r="AH693" i="37" s="1"/>
  <c r="AI693" i="37" s="1"/>
  <c r="AB695" i="37"/>
  <c r="AC695" i="37" s="1"/>
  <c r="AD695" i="37" s="1"/>
  <c r="AE695" i="37" s="1"/>
  <c r="AF695" i="37" s="1"/>
  <c r="AG695" i="37" s="1"/>
  <c r="AB697" i="37"/>
  <c r="AC697" i="37" s="1"/>
  <c r="AD697" i="37" s="1"/>
  <c r="AE697" i="37" s="1"/>
  <c r="AF697" i="37" s="1"/>
  <c r="AG697" i="37" s="1"/>
  <c r="AH697" i="37" s="1"/>
  <c r="AI697" i="37" s="1"/>
  <c r="AH695" i="37"/>
  <c r="AI695" i="37" s="1"/>
  <c r="AJ693" i="37"/>
  <c r="AJ695" i="37"/>
  <c r="AJ697" i="37"/>
  <c r="AL693" i="37"/>
  <c r="AL695" i="37"/>
  <c r="AL697" i="37"/>
  <c r="AN693" i="37"/>
  <c r="AN695" i="37"/>
  <c r="AN697" i="37"/>
  <c r="AP693" i="37"/>
  <c r="AP695" i="37"/>
  <c r="AP697" i="37"/>
  <c r="AR693" i="37"/>
  <c r="AR695" i="37"/>
  <c r="AR697" i="37"/>
  <c r="AB677" i="37"/>
  <c r="AC677" i="37" s="1"/>
  <c r="AB679" i="37"/>
  <c r="AC679" i="37" s="1"/>
  <c r="AC690" i="37" s="1"/>
  <c r="AB681" i="37"/>
  <c r="AC681" i="37" s="1"/>
  <c r="AB683" i="37"/>
  <c r="AC683" i="37" s="1"/>
  <c r="AD677" i="37"/>
  <c r="AD679" i="37"/>
  <c r="AD690" i="37" s="1"/>
  <c r="AD681" i="37"/>
  <c r="AD683" i="37"/>
  <c r="AF677" i="37"/>
  <c r="AF679" i="37"/>
  <c r="AF690" i="37" s="1"/>
  <c r="AF681" i="37"/>
  <c r="AF683" i="37"/>
  <c r="AH677" i="37"/>
  <c r="AH679" i="37"/>
  <c r="AH690" i="37" s="1"/>
  <c r="AH681" i="37"/>
  <c r="AH683" i="37"/>
  <c r="AJ677" i="37"/>
  <c r="AJ679" i="37"/>
  <c r="AJ690" i="37" s="1"/>
  <c r="AJ681" i="37"/>
  <c r="AJ683" i="37"/>
  <c r="AL677" i="37"/>
  <c r="AL679" i="37"/>
  <c r="AL690" i="37" s="1"/>
  <c r="AL681" i="37"/>
  <c r="AL683" i="37"/>
  <c r="AN677" i="37"/>
  <c r="AN679" i="37"/>
  <c r="AN690" i="37" s="1"/>
  <c r="AN681" i="37"/>
  <c r="AN683" i="37"/>
  <c r="AP677" i="37"/>
  <c r="AP679" i="37"/>
  <c r="AP690" i="37" s="1"/>
  <c r="AP681" i="37"/>
  <c r="AP683" i="37"/>
  <c r="AR677" i="37"/>
  <c r="AR679" i="37"/>
  <c r="AR690" i="37" s="1"/>
  <c r="AR681" i="37"/>
  <c r="AR683" i="37"/>
  <c r="AB663" i="37"/>
  <c r="AC663" i="37" s="1"/>
  <c r="AD663" i="37" s="1"/>
  <c r="AE663" i="37" s="1"/>
  <c r="AF663" i="37" s="1"/>
  <c r="AG663" i="37" s="1"/>
  <c r="AH663" i="37" s="1"/>
  <c r="AI663" i="37" s="1"/>
  <c r="AJ663" i="37" s="1"/>
  <c r="AB665" i="37"/>
  <c r="AC665" i="37" s="1"/>
  <c r="AD665" i="37" s="1"/>
  <c r="AE665" i="37" s="1"/>
  <c r="AF665" i="37" s="1"/>
  <c r="AG665" i="37" s="1"/>
  <c r="AH665" i="37" s="1"/>
  <c r="AI665" i="37" s="1"/>
  <c r="AB667" i="37"/>
  <c r="AC667" i="37" s="1"/>
  <c r="AD667" i="37" s="1"/>
  <c r="AE667" i="37" s="1"/>
  <c r="AF667" i="37" s="1"/>
  <c r="AG667" i="37" s="1"/>
  <c r="AH667" i="37" s="1"/>
  <c r="AI667" i="37" s="1"/>
  <c r="AJ667" i="37" s="1"/>
  <c r="AJ665" i="37"/>
  <c r="AL663" i="37"/>
  <c r="AL665" i="37"/>
  <c r="AL667" i="37"/>
  <c r="AN663" i="37"/>
  <c r="AN665" i="37"/>
  <c r="AN667" i="37"/>
  <c r="AP663" i="37"/>
  <c r="AP665" i="37"/>
  <c r="AP667" i="37"/>
  <c r="AR663" i="37"/>
  <c r="AR665" i="37"/>
  <c r="AR667" i="37"/>
  <c r="AB649" i="37"/>
  <c r="AC649" i="37" s="1"/>
  <c r="AB651" i="37"/>
  <c r="AC651" i="37" s="1"/>
  <c r="AD651" i="37" s="1"/>
  <c r="AE651" i="37" s="1"/>
  <c r="AF651" i="37" s="1"/>
  <c r="AG651" i="37" s="1"/>
  <c r="AB653" i="37"/>
  <c r="AC653" i="37" s="1"/>
  <c r="AD653" i="37" s="1"/>
  <c r="AE653" i="37" s="1"/>
  <c r="AF653" i="37" s="1"/>
  <c r="AG653" i="37" s="1"/>
  <c r="AH651" i="37"/>
  <c r="AI651" i="37" s="1"/>
  <c r="AH653" i="37"/>
  <c r="AI653" i="37" s="1"/>
  <c r="AJ653" i="37" s="1"/>
  <c r="AJ651" i="37"/>
  <c r="AL647" i="37"/>
  <c r="AL649" i="37"/>
  <c r="AL660" i="37" s="1"/>
  <c r="AL651" i="37"/>
  <c r="AL653" i="37"/>
  <c r="AN649" i="37"/>
  <c r="AN660" i="37" s="1"/>
  <c r="AN651" i="37"/>
  <c r="AN653" i="37"/>
  <c r="AP647" i="37"/>
  <c r="AP649" i="37"/>
  <c r="AP660" i="37" s="1"/>
  <c r="AP651" i="37"/>
  <c r="AP653" i="37"/>
  <c r="AR647" i="37"/>
  <c r="AR649" i="37"/>
  <c r="AR660" i="37" s="1"/>
  <c r="AR651" i="37"/>
  <c r="AR653" i="37"/>
  <c r="AB633" i="37"/>
  <c r="AB635" i="37"/>
  <c r="AB637" i="37"/>
  <c r="AD633" i="37"/>
  <c r="AD635" i="37"/>
  <c r="AD637" i="37"/>
  <c r="AF633" i="37"/>
  <c r="AF635" i="37"/>
  <c r="AF637" i="37"/>
  <c r="AH633" i="37"/>
  <c r="AH635" i="37"/>
  <c r="AH637" i="37"/>
  <c r="AJ633" i="37"/>
  <c r="AJ635" i="37"/>
  <c r="AJ637" i="37"/>
  <c r="AL633" i="37"/>
  <c r="AL635" i="37"/>
  <c r="AL637" i="37"/>
  <c r="AN633" i="37"/>
  <c r="AN635" i="37"/>
  <c r="AN637" i="37"/>
  <c r="AP633" i="37"/>
  <c r="AP635" i="37"/>
  <c r="AP637" i="37"/>
  <c r="AR633" i="37"/>
  <c r="AR635" i="37"/>
  <c r="AR637" i="37"/>
  <c r="AB617" i="37"/>
  <c r="AC617" i="37" s="1"/>
  <c r="AD617" i="37" s="1"/>
  <c r="AE617" i="37" s="1"/>
  <c r="AF617" i="37" s="1"/>
  <c r="AG617" i="37" s="1"/>
  <c r="AB619" i="37"/>
  <c r="AC619" i="37" s="1"/>
  <c r="AB621" i="37"/>
  <c r="AC621" i="37" s="1"/>
  <c r="AD621" i="37" s="1"/>
  <c r="AE621" i="37" s="1"/>
  <c r="AF621" i="37" s="1"/>
  <c r="AG621" i="37" s="1"/>
  <c r="AH621" i="37" s="1"/>
  <c r="AI621" i="37" s="1"/>
  <c r="AJ621" i="37" s="1"/>
  <c r="AB623" i="37"/>
  <c r="AC623" i="37" s="1"/>
  <c r="AD623" i="37" s="1"/>
  <c r="AE623" i="37" s="1"/>
  <c r="AB625" i="37"/>
  <c r="AC625" i="37" s="1"/>
  <c r="AD625" i="37" s="1"/>
  <c r="AE625" i="37" s="1"/>
  <c r="AF625" i="37" s="1"/>
  <c r="AG625" i="37" s="1"/>
  <c r="AH625" i="37" s="1"/>
  <c r="AI625" i="37" s="1"/>
  <c r="AJ625" i="37" s="1"/>
  <c r="AB620" i="37"/>
  <c r="AC620" i="37" s="1"/>
  <c r="AD620" i="37" s="1"/>
  <c r="AE620" i="37" s="1"/>
  <c r="AF620" i="37" s="1"/>
  <c r="AG620" i="37" s="1"/>
  <c r="AH620" i="37" s="1"/>
  <c r="AI620" i="37" s="1"/>
  <c r="AB624" i="37"/>
  <c r="AC624" i="37" s="1"/>
  <c r="AD624" i="37" s="1"/>
  <c r="AE624" i="37" s="1"/>
  <c r="AF624" i="37" s="1"/>
  <c r="AG624" i="37" s="1"/>
  <c r="AH624" i="37" s="1"/>
  <c r="AI624" i="37" s="1"/>
  <c r="AJ624" i="37" s="1"/>
  <c r="AF623" i="37"/>
  <c r="AG623" i="37" s="1"/>
  <c r="AH623" i="37" s="1"/>
  <c r="AI623" i="37" s="1"/>
  <c r="AH617" i="37"/>
  <c r="AI617" i="37" s="1"/>
  <c r="AJ617" i="37" s="1"/>
  <c r="AJ623" i="37"/>
  <c r="AJ620" i="37"/>
  <c r="AL617" i="37"/>
  <c r="AL619" i="37"/>
  <c r="AL630" i="37" s="1"/>
  <c r="AL621" i="37"/>
  <c r="AL623" i="37"/>
  <c r="AL625" i="37"/>
  <c r="AL620" i="37"/>
  <c r="AL624" i="37"/>
  <c r="AN617" i="37"/>
  <c r="AN619" i="37"/>
  <c r="AN630" i="37" s="1"/>
  <c r="AN621" i="37"/>
  <c r="AN623" i="37"/>
  <c r="AN620" i="37"/>
  <c r="AN624" i="37"/>
  <c r="AP617" i="37"/>
  <c r="AP619" i="37"/>
  <c r="AP630" i="37" s="1"/>
  <c r="AP621" i="37"/>
  <c r="AP623" i="37"/>
  <c r="AP620" i="37"/>
  <c r="AP624" i="37"/>
  <c r="AR617" i="37"/>
  <c r="AR619" i="37"/>
  <c r="AR630" i="37" s="1"/>
  <c r="AR621" i="37"/>
  <c r="AR623" i="37"/>
  <c r="AR620" i="37"/>
  <c r="AR624" i="37"/>
  <c r="AB603" i="37"/>
  <c r="AB605" i="37"/>
  <c r="AB607" i="37"/>
  <c r="AB609" i="37"/>
  <c r="AB602" i="37"/>
  <c r="AB606" i="37"/>
  <c r="AD603" i="37"/>
  <c r="AD605" i="37"/>
  <c r="AD607" i="37"/>
  <c r="AD609" i="37"/>
  <c r="AD602" i="37"/>
  <c r="AY602" i="37" s="1"/>
  <c r="AD606" i="37"/>
  <c r="AF603" i="37"/>
  <c r="AF605" i="37"/>
  <c r="AF607" i="37"/>
  <c r="AF609" i="37"/>
  <c r="AF602" i="37"/>
  <c r="BA602" i="37" s="1"/>
  <c r="AF606" i="37"/>
  <c r="AH603" i="37"/>
  <c r="AH605" i="37"/>
  <c r="AH607" i="37"/>
  <c r="AH609" i="37"/>
  <c r="AH602" i="37"/>
  <c r="BC602" i="37" s="1"/>
  <c r="AH606" i="37"/>
  <c r="AJ603" i="37"/>
  <c r="AJ605" i="37"/>
  <c r="AJ607" i="37"/>
  <c r="AJ609" i="37"/>
  <c r="AJ602" i="37"/>
  <c r="BE602" i="37" s="1"/>
  <c r="AJ606" i="37"/>
  <c r="AL603" i="37"/>
  <c r="AL605" i="37"/>
  <c r="AL607" i="37"/>
  <c r="AL609" i="37"/>
  <c r="AL602" i="37"/>
  <c r="BG602" i="37" s="1"/>
  <c r="AL606" i="37"/>
  <c r="AN603" i="37"/>
  <c r="AN605" i="37"/>
  <c r="AN607" i="37"/>
  <c r="AN609" i="37"/>
  <c r="AN602" i="37"/>
  <c r="BI602" i="37" s="1"/>
  <c r="AN606" i="37"/>
  <c r="AP603" i="37"/>
  <c r="AP605" i="37"/>
  <c r="AP607" i="37"/>
  <c r="AP609" i="37"/>
  <c r="AP602" i="37"/>
  <c r="BK602" i="37" s="1"/>
  <c r="AP606" i="37"/>
  <c r="AR603" i="37"/>
  <c r="AR605" i="37"/>
  <c r="AR607" i="37"/>
  <c r="AR609" i="37"/>
  <c r="AR602" i="37"/>
  <c r="BM602" i="37" s="1"/>
  <c r="AR606" i="37"/>
  <c r="AB3" i="37"/>
  <c r="AC3" i="37" s="1"/>
  <c r="AD3" i="37" s="1"/>
  <c r="AE3" i="37" s="1"/>
  <c r="AF3" i="37" s="1"/>
  <c r="AG3" i="37" s="1"/>
  <c r="AH3" i="37" s="1"/>
  <c r="AI3" i="37" s="1"/>
  <c r="AR756" i="37"/>
  <c r="AP756" i="37"/>
  <c r="AN756" i="37"/>
  <c r="AL756" i="37"/>
  <c r="AJ756" i="37"/>
  <c r="AH756" i="37"/>
  <c r="AF756" i="37"/>
  <c r="AD756" i="37"/>
  <c r="AB756" i="37"/>
  <c r="AR754" i="37"/>
  <c r="AR765" i="37" s="1"/>
  <c r="AP754" i="37"/>
  <c r="AP765" i="37" s="1"/>
  <c r="BK754" i="37" s="1"/>
  <c r="AN754" i="37"/>
  <c r="AN765" i="37" s="1"/>
  <c r="AL754" i="37"/>
  <c r="AL765" i="37" s="1"/>
  <c r="BG754" i="37" s="1"/>
  <c r="AJ754" i="37"/>
  <c r="AJ765" i="37" s="1"/>
  <c r="AH754" i="37"/>
  <c r="AH765" i="37" s="1"/>
  <c r="BC754" i="37" s="1"/>
  <c r="AF754" i="37"/>
  <c r="AF765" i="37" s="1"/>
  <c r="AD754" i="37"/>
  <c r="AD765" i="37" s="1"/>
  <c r="AY754" i="37" s="1"/>
  <c r="AB754" i="37"/>
  <c r="AR744" i="37"/>
  <c r="AP744" i="37"/>
  <c r="AN744" i="37"/>
  <c r="AL744" i="37"/>
  <c r="AJ744" i="37"/>
  <c r="AH744" i="37"/>
  <c r="AF744" i="37"/>
  <c r="AB744" i="37"/>
  <c r="AR742" i="37"/>
  <c r="AP742" i="37"/>
  <c r="AN742" i="37"/>
  <c r="AL742" i="37"/>
  <c r="AJ742" i="37"/>
  <c r="AH742" i="37"/>
  <c r="AF742" i="37"/>
  <c r="AB742" i="37"/>
  <c r="AR740" i="37"/>
  <c r="AP740" i="37"/>
  <c r="AN740" i="37"/>
  <c r="AL740" i="37"/>
  <c r="AJ740" i="37"/>
  <c r="AH740" i="37"/>
  <c r="AF740" i="37"/>
  <c r="AB740" i="37"/>
  <c r="AR734" i="37"/>
  <c r="AP734" i="37"/>
  <c r="AN734" i="37"/>
  <c r="AL734" i="37"/>
  <c r="AJ734" i="37"/>
  <c r="AF734" i="37"/>
  <c r="AD734" i="37"/>
  <c r="AB734" i="37"/>
  <c r="AR732" i="37"/>
  <c r="AP732" i="37"/>
  <c r="AN732" i="37"/>
  <c r="AL732" i="37"/>
  <c r="AJ732" i="37"/>
  <c r="AF732" i="37"/>
  <c r="AD732" i="37"/>
  <c r="AB732" i="37"/>
  <c r="AR730" i="37"/>
  <c r="AP730" i="37"/>
  <c r="AN730" i="37"/>
  <c r="AL730" i="37"/>
  <c r="AJ730" i="37"/>
  <c r="AF730" i="37"/>
  <c r="AD730" i="37"/>
  <c r="AB730" i="37"/>
  <c r="AR728" i="37"/>
  <c r="AP728" i="37"/>
  <c r="AN728" i="37"/>
  <c r="AL728" i="37"/>
  <c r="AJ728" i="37"/>
  <c r="AF728" i="37"/>
  <c r="AD728" i="37"/>
  <c r="AB728" i="37"/>
  <c r="AR726" i="37"/>
  <c r="AP726" i="37"/>
  <c r="AN726" i="37"/>
  <c r="AL726" i="37"/>
  <c r="AJ726" i="37"/>
  <c r="AF726" i="37"/>
  <c r="AD726" i="37"/>
  <c r="AB726" i="37"/>
  <c r="AR724" i="37"/>
  <c r="AR735" i="37" s="1"/>
  <c r="AP724" i="37"/>
  <c r="AP735" i="37" s="1"/>
  <c r="AN724" i="37"/>
  <c r="AN735" i="37" s="1"/>
  <c r="AL724" i="37"/>
  <c r="AL735" i="37" s="1"/>
  <c r="BG723" i="37" s="1"/>
  <c r="AJ724" i="37"/>
  <c r="AJ735" i="37" s="1"/>
  <c r="AF724" i="37"/>
  <c r="AF735" i="37" s="1"/>
  <c r="AD724" i="37"/>
  <c r="AD735" i="37" s="1"/>
  <c r="AY723" i="37" s="1"/>
  <c r="AB724" i="37"/>
  <c r="AB735" i="37" s="1"/>
  <c r="AR709" i="37"/>
  <c r="AR720" i="37" s="1"/>
  <c r="AP709" i="37"/>
  <c r="AP720" i="37" s="1"/>
  <c r="AN709" i="37"/>
  <c r="AN720" i="37" s="1"/>
  <c r="AL709" i="37"/>
  <c r="AL720" i="37" s="1"/>
  <c r="AJ709" i="37"/>
  <c r="AJ720" i="37" s="1"/>
  <c r="AH709" i="37"/>
  <c r="AH720" i="37" s="1"/>
  <c r="AF709" i="37"/>
  <c r="AF720" i="37" s="1"/>
  <c r="AD709" i="37"/>
  <c r="AD720" i="37" s="1"/>
  <c r="AB709" i="37"/>
  <c r="AR698" i="37"/>
  <c r="AP698" i="37"/>
  <c r="AN698" i="37"/>
  <c r="AL698" i="37"/>
  <c r="AB698" i="37"/>
  <c r="AC698" i="37" s="1"/>
  <c r="AD698" i="37" s="1"/>
  <c r="AE698" i="37" s="1"/>
  <c r="AF698" i="37" s="1"/>
  <c r="AG698" i="37" s="1"/>
  <c r="AH698" i="37" s="1"/>
  <c r="AI698" i="37" s="1"/>
  <c r="AJ698" i="37" s="1"/>
  <c r="AA705" i="37"/>
  <c r="AV692" i="37" s="1"/>
  <c r="AR694" i="37"/>
  <c r="AR705" i="37" s="1"/>
  <c r="AP694" i="37"/>
  <c r="AP705" i="37" s="1"/>
  <c r="AN694" i="37"/>
  <c r="AN705" i="37" s="1"/>
  <c r="AL694" i="37"/>
  <c r="AL705" i="37" s="1"/>
  <c r="AB694" i="37"/>
  <c r="AC694" i="37" s="1"/>
  <c r="AR684" i="37"/>
  <c r="AP684" i="37"/>
  <c r="AN684" i="37"/>
  <c r="AL684" i="37"/>
  <c r="AJ684" i="37"/>
  <c r="AH684" i="37"/>
  <c r="AF684" i="37"/>
  <c r="AD684" i="37"/>
  <c r="AB684" i="37"/>
  <c r="AC684" i="37" s="1"/>
  <c r="AR680" i="37"/>
  <c r="AP680" i="37"/>
  <c r="AN680" i="37"/>
  <c r="AL680" i="37"/>
  <c r="AJ680" i="37"/>
  <c r="AH680" i="37"/>
  <c r="AF680" i="37"/>
  <c r="AD680" i="37"/>
  <c r="AB680" i="37"/>
  <c r="AC680" i="37" s="1"/>
  <c r="AR664" i="37"/>
  <c r="AR675" i="37" s="1"/>
  <c r="AP664" i="37"/>
  <c r="AP675" i="37" s="1"/>
  <c r="AN664" i="37"/>
  <c r="AN675" i="37" s="1"/>
  <c r="AL664" i="37"/>
  <c r="AL675" i="37" s="1"/>
  <c r="AB664" i="37"/>
  <c r="AC664" i="37" s="1"/>
  <c r="AD664" i="37" s="1"/>
  <c r="AR654" i="37"/>
  <c r="AP654" i="37"/>
  <c r="AN654" i="37"/>
  <c r="AL654" i="37"/>
  <c r="AB654" i="37"/>
  <c r="AC654" i="37" s="1"/>
  <c r="AD654" i="37" s="1"/>
  <c r="AE654" i="37" s="1"/>
  <c r="AF654" i="37" s="1"/>
  <c r="AG654" i="37" s="1"/>
  <c r="AH654" i="37" s="1"/>
  <c r="AI654" i="37" s="1"/>
  <c r="AJ654" i="37" s="1"/>
  <c r="AR650" i="37"/>
  <c r="AP650" i="37"/>
  <c r="AN650" i="37"/>
  <c r="AL650" i="37"/>
  <c r="AB650" i="37"/>
  <c r="AC650" i="37" s="1"/>
  <c r="AD650" i="37" s="1"/>
  <c r="AE650" i="37" s="1"/>
  <c r="AF650" i="37" s="1"/>
  <c r="AG650" i="37" s="1"/>
  <c r="AH650" i="37" s="1"/>
  <c r="AI650" i="37" s="1"/>
  <c r="AJ650" i="37" s="1"/>
  <c r="AB647" i="37"/>
  <c r="AC647" i="37" s="1"/>
  <c r="AD647" i="37" s="1"/>
  <c r="AE647" i="37" s="1"/>
  <c r="AF647" i="37" s="1"/>
  <c r="AG647" i="37" s="1"/>
  <c r="AH647" i="37" s="1"/>
  <c r="AI647" i="37" s="1"/>
  <c r="AJ647" i="37" s="1"/>
  <c r="AR636" i="37"/>
  <c r="AP636" i="37"/>
  <c r="AN636" i="37"/>
  <c r="AL636" i="37"/>
  <c r="AJ636" i="37"/>
  <c r="AH636" i="37"/>
  <c r="AF636" i="37"/>
  <c r="AD636" i="37"/>
  <c r="AB636" i="37"/>
  <c r="AR632" i="37"/>
  <c r="AP632" i="37"/>
  <c r="AN632" i="37"/>
  <c r="AL632" i="37"/>
  <c r="AJ632" i="37"/>
  <c r="AH632" i="37"/>
  <c r="AF632" i="37"/>
  <c r="AD632" i="37"/>
  <c r="AB632" i="37"/>
  <c r="AR622" i="37"/>
  <c r="AP622" i="37"/>
  <c r="AN622" i="37"/>
  <c r="AL622" i="37"/>
  <c r="AB622" i="37"/>
  <c r="AC622" i="37" s="1"/>
  <c r="AD622" i="37" s="1"/>
  <c r="AE622" i="37" s="1"/>
  <c r="AF622" i="37" s="1"/>
  <c r="AG622" i="37" s="1"/>
  <c r="AH622" i="37" s="1"/>
  <c r="AI622" i="37" s="1"/>
  <c r="AJ622" i="37" s="1"/>
  <c r="AA510" i="37"/>
  <c r="AA720" i="37"/>
  <c r="AA540" i="37"/>
  <c r="AV527" i="37" s="1"/>
  <c r="BL452" i="37"/>
  <c r="BJ452" i="37"/>
  <c r="BH452" i="37"/>
  <c r="BF452" i="37"/>
  <c r="BD452" i="37"/>
  <c r="BB452" i="37"/>
  <c r="AZ452" i="37"/>
  <c r="AX452" i="37"/>
  <c r="BM437" i="37"/>
  <c r="BK437" i="37"/>
  <c r="BI437" i="37"/>
  <c r="BG437" i="37"/>
  <c r="AW437" i="37"/>
  <c r="BJ422" i="37"/>
  <c r="BF422" i="37"/>
  <c r="BL392" i="37"/>
  <c r="BJ392" i="37"/>
  <c r="BH392" i="37"/>
  <c r="BF392" i="37"/>
  <c r="AX392" i="37"/>
  <c r="AA375" i="37"/>
  <c r="AV362" i="37" s="1"/>
  <c r="AA345" i="37"/>
  <c r="AV332" i="37" s="1"/>
  <c r="BM377" i="37"/>
  <c r="BK377" i="37"/>
  <c r="BI377" i="37"/>
  <c r="BG377" i="37"/>
  <c r="AW377" i="37"/>
  <c r="BL362" i="37"/>
  <c r="BJ362" i="37"/>
  <c r="BH362" i="37"/>
  <c r="BF362" i="37"/>
  <c r="BD362" i="37"/>
  <c r="BB362" i="37"/>
  <c r="AZ362" i="37"/>
  <c r="AX362" i="37"/>
  <c r="BM332" i="37"/>
  <c r="BK332" i="37"/>
  <c r="BI332" i="37"/>
  <c r="BG332" i="37"/>
  <c r="BE332" i="37"/>
  <c r="BC332" i="37"/>
  <c r="BA332" i="37"/>
  <c r="AY332" i="37"/>
  <c r="AW332" i="37"/>
  <c r="BL317" i="37"/>
  <c r="BJ317" i="37"/>
  <c r="BH317" i="37"/>
  <c r="BF317" i="37"/>
  <c r="AX317" i="37"/>
  <c r="BM287" i="37"/>
  <c r="BK287" i="37"/>
  <c r="BI287" i="37"/>
  <c r="BG287" i="37"/>
  <c r="BE287" i="37"/>
  <c r="BC287" i="37"/>
  <c r="BA287" i="37"/>
  <c r="AW287" i="37"/>
  <c r="BL167" i="37"/>
  <c r="BJ167" i="37"/>
  <c r="BH167" i="37"/>
  <c r="BF167" i="37"/>
  <c r="BD167" i="37"/>
  <c r="BB167" i="37"/>
  <c r="AZ167" i="37"/>
  <c r="AX167" i="37"/>
  <c r="AR2" i="37"/>
  <c r="AN2" i="37"/>
  <c r="AO2" i="37"/>
  <c r="AK2" i="37"/>
  <c r="AA630" i="37"/>
  <c r="AV617" i="37" s="1"/>
  <c r="BB602" i="37"/>
  <c r="AA585" i="37"/>
  <c r="AV572" i="37" s="1"/>
  <c r="BJ557" i="37"/>
  <c r="BJ512" i="37"/>
  <c r="BF512" i="37"/>
  <c r="BB512" i="37"/>
  <c r="AX512" i="37"/>
  <c r="BL498" i="37"/>
  <c r="BJ498" i="37"/>
  <c r="BH498" i="37"/>
  <c r="BF498" i="37"/>
  <c r="BJ482" i="37"/>
  <c r="BF482" i="37"/>
  <c r="BB482" i="37"/>
  <c r="AX482" i="37"/>
  <c r="AA465" i="37"/>
  <c r="AV452" i="37" s="1"/>
  <c r="AA435" i="37"/>
  <c r="AV422" i="37" s="1"/>
  <c r="AP2" i="37"/>
  <c r="AL2" i="37"/>
  <c r="AA15" i="37"/>
  <c r="AA450" i="37"/>
  <c r="AV437" i="37" s="1"/>
  <c r="AA390" i="37"/>
  <c r="AV377" i="37" s="1"/>
  <c r="AA300" i="37"/>
  <c r="AV287" i="37" s="1"/>
  <c r="BF617" i="37"/>
  <c r="BJ572" i="37"/>
  <c r="BF572" i="37"/>
  <c r="BB572" i="37"/>
  <c r="AX572" i="37"/>
  <c r="BL527" i="37"/>
  <c r="BJ527" i="37"/>
  <c r="BH527" i="37"/>
  <c r="BF527" i="37"/>
  <c r="BL497" i="37"/>
  <c r="BJ497" i="37"/>
  <c r="BH497" i="37"/>
  <c r="BF497" i="37"/>
  <c r="BM467" i="37"/>
  <c r="BK467" i="37"/>
  <c r="BI467" i="37"/>
  <c r="BG467" i="37"/>
  <c r="BE467" i="37"/>
  <c r="BC467" i="37"/>
  <c r="BA467" i="37"/>
  <c r="AY467" i="37"/>
  <c r="AW467" i="37"/>
  <c r="BL437" i="37"/>
  <c r="BJ437" i="37"/>
  <c r="BH437" i="37"/>
  <c r="BF437" i="37"/>
  <c r="AX437" i="37"/>
  <c r="AA405" i="37"/>
  <c r="AV392" i="37" s="1"/>
  <c r="AA360" i="37"/>
  <c r="AV347" i="37" s="1"/>
  <c r="BJ332" i="37"/>
  <c r="BF332" i="37"/>
  <c r="BB332" i="37"/>
  <c r="AX332" i="37"/>
  <c r="AA315" i="37"/>
  <c r="AV302" i="37" s="1"/>
  <c r="BJ287" i="37"/>
  <c r="BF287" i="37"/>
  <c r="AX422" i="37"/>
  <c r="BM407" i="37"/>
  <c r="BK407" i="37"/>
  <c r="BI407" i="37"/>
  <c r="BG407" i="37"/>
  <c r="BE407" i="37"/>
  <c r="BC407" i="37"/>
  <c r="BA407" i="37"/>
  <c r="AY407" i="37"/>
  <c r="AW407" i="37"/>
  <c r="BL377" i="37"/>
  <c r="BJ377" i="37"/>
  <c r="BH377" i="37"/>
  <c r="BF377" i="37"/>
  <c r="AX377" i="37"/>
  <c r="BM362" i="37"/>
  <c r="BK362" i="37"/>
  <c r="BI362" i="37"/>
  <c r="BG362" i="37"/>
  <c r="BE362" i="37"/>
  <c r="BC362" i="37"/>
  <c r="BA362" i="37"/>
  <c r="AY362" i="37"/>
  <c r="AW362" i="37"/>
  <c r="BL347" i="37"/>
  <c r="BJ347" i="37"/>
  <c r="BH347" i="37"/>
  <c r="BF347" i="37"/>
  <c r="BD347" i="37"/>
  <c r="BB347" i="37"/>
  <c r="AZ347" i="37"/>
  <c r="AX347" i="37"/>
  <c r="BM317" i="37"/>
  <c r="BK317" i="37"/>
  <c r="BI317" i="37"/>
  <c r="BG317" i="37"/>
  <c r="AY317" i="37"/>
  <c r="AW317" i="37"/>
  <c r="BL302" i="37"/>
  <c r="BJ302" i="37"/>
  <c r="BH302" i="37"/>
  <c r="BF302" i="37"/>
  <c r="BD302" i="37"/>
  <c r="BB302" i="37"/>
  <c r="AZ302" i="37"/>
  <c r="AX302" i="37"/>
  <c r="BB287" i="37"/>
  <c r="AX287" i="37"/>
  <c r="BM167" i="37"/>
  <c r="BK167" i="37"/>
  <c r="BI167" i="37"/>
  <c r="BG167" i="37"/>
  <c r="BE167" i="37"/>
  <c r="BC167" i="37"/>
  <c r="BA167" i="37"/>
  <c r="AY167" i="37"/>
  <c r="AW167" i="37"/>
  <c r="BL753" i="37"/>
  <c r="BK739" i="37"/>
  <c r="BC739" i="37"/>
  <c r="BK738" i="37"/>
  <c r="BC738" i="37"/>
  <c r="BF619" i="37"/>
  <c r="BF618" i="37"/>
  <c r="BJ604" i="37"/>
  <c r="BJ603" i="37"/>
  <c r="BE574" i="37"/>
  <c r="BJ574" i="37"/>
  <c r="BF574" i="37"/>
  <c r="BB574" i="37"/>
  <c r="AX574" i="37"/>
  <c r="BJ573" i="37"/>
  <c r="BF573" i="37"/>
  <c r="BB573" i="37"/>
  <c r="AX573" i="37"/>
  <c r="BB559" i="37"/>
  <c r="BB558" i="37"/>
  <c r="BL544" i="37"/>
  <c r="BL543" i="37"/>
  <c r="BL529" i="37"/>
  <c r="BJ529" i="37"/>
  <c r="BH529" i="37"/>
  <c r="BF529" i="37"/>
  <c r="BL528" i="37"/>
  <c r="BJ528" i="37"/>
  <c r="BH528" i="37"/>
  <c r="BF528" i="37"/>
  <c r="BL514" i="37"/>
  <c r="BJ514" i="37"/>
  <c r="BH514" i="37"/>
  <c r="BF514" i="37"/>
  <c r="BD514" i="37"/>
  <c r="BB514" i="37"/>
  <c r="AZ514" i="37"/>
  <c r="AX514" i="37"/>
  <c r="BL513" i="37"/>
  <c r="BJ513" i="37"/>
  <c r="BH513" i="37"/>
  <c r="BF513" i="37"/>
  <c r="BD513" i="37"/>
  <c r="BB513" i="37"/>
  <c r="AZ513" i="37"/>
  <c r="AX513" i="37"/>
  <c r="BL484" i="37"/>
  <c r="BJ484" i="37"/>
  <c r="BH484" i="37"/>
  <c r="BF484" i="37"/>
  <c r="BD484" i="37"/>
  <c r="BB484" i="37"/>
  <c r="AZ484" i="37"/>
  <c r="AX484" i="37"/>
  <c r="BL483" i="37"/>
  <c r="BJ483" i="37"/>
  <c r="BH483" i="37"/>
  <c r="BF483" i="37"/>
  <c r="BD483" i="37"/>
  <c r="BB483" i="37"/>
  <c r="AZ483" i="37"/>
  <c r="AX483" i="37"/>
  <c r="BM484" i="37"/>
  <c r="BK484" i="37"/>
  <c r="BI484" i="37"/>
  <c r="BG484" i="37"/>
  <c r="BE484" i="37"/>
  <c r="BC484" i="37"/>
  <c r="BA484" i="37"/>
  <c r="AY484" i="37"/>
  <c r="AW484" i="37"/>
  <c r="BM483" i="37"/>
  <c r="BK483" i="37"/>
  <c r="BI483" i="37"/>
  <c r="BG483" i="37"/>
  <c r="BE483" i="37"/>
  <c r="BC483" i="37"/>
  <c r="BA483" i="37"/>
  <c r="AY483" i="37"/>
  <c r="AW483" i="37"/>
  <c r="BM469" i="37"/>
  <c r="BK469" i="37"/>
  <c r="BI469" i="37"/>
  <c r="BG469" i="37"/>
  <c r="BE469" i="37"/>
  <c r="BC469" i="37"/>
  <c r="BA469" i="37"/>
  <c r="AY469" i="37"/>
  <c r="AW469" i="37"/>
  <c r="BM468" i="37"/>
  <c r="BK468" i="37"/>
  <c r="BI468" i="37"/>
  <c r="BG468" i="37"/>
  <c r="BE468" i="37"/>
  <c r="BC468" i="37"/>
  <c r="BA468" i="37"/>
  <c r="AY468" i="37"/>
  <c r="AW468" i="37"/>
  <c r="BL469" i="37"/>
  <c r="BJ469" i="37"/>
  <c r="BH469" i="37"/>
  <c r="BF469" i="37"/>
  <c r="BD469" i="37"/>
  <c r="BB469" i="37"/>
  <c r="AZ469" i="37"/>
  <c r="AX469" i="37"/>
  <c r="BL468" i="37"/>
  <c r="BJ468" i="37"/>
  <c r="BH468" i="37"/>
  <c r="BF468" i="37"/>
  <c r="BD468" i="37"/>
  <c r="BB468" i="37"/>
  <c r="AZ468" i="37"/>
  <c r="AX468" i="37"/>
  <c r="BL454" i="37"/>
  <c r="BJ454" i="37"/>
  <c r="BH454" i="37"/>
  <c r="BF454" i="37"/>
  <c r="BD454" i="37"/>
  <c r="BB454" i="37"/>
  <c r="AZ454" i="37"/>
  <c r="AX454" i="37"/>
  <c r="BL453" i="37"/>
  <c r="BJ453" i="37"/>
  <c r="BH453" i="37"/>
  <c r="BF453" i="37"/>
  <c r="BD453" i="37"/>
  <c r="BB453" i="37"/>
  <c r="AZ453" i="37"/>
  <c r="AX453" i="37"/>
  <c r="BM454" i="37"/>
  <c r="BK454" i="37"/>
  <c r="BI454" i="37"/>
  <c r="BG454" i="37"/>
  <c r="BE454" i="37"/>
  <c r="BC454" i="37"/>
  <c r="BA454" i="37"/>
  <c r="AY454" i="37"/>
  <c r="AW454" i="37"/>
  <c r="BM453" i="37"/>
  <c r="BK453" i="37"/>
  <c r="BI453" i="37"/>
  <c r="BG453" i="37"/>
  <c r="BE453" i="37"/>
  <c r="BC453" i="37"/>
  <c r="BA453" i="37"/>
  <c r="AY453" i="37"/>
  <c r="AW453" i="37"/>
  <c r="BM439" i="37"/>
  <c r="BK439" i="37"/>
  <c r="BI439" i="37"/>
  <c r="BG439" i="37"/>
  <c r="AW439" i="37"/>
  <c r="BM438" i="37"/>
  <c r="BK438" i="37"/>
  <c r="BI438" i="37"/>
  <c r="BG438" i="37"/>
  <c r="AW438" i="37"/>
  <c r="BL439" i="37"/>
  <c r="BJ439" i="37"/>
  <c r="BH439" i="37"/>
  <c r="BF439" i="37"/>
  <c r="AX439" i="37"/>
  <c r="BL438" i="37"/>
  <c r="BJ438" i="37"/>
  <c r="BH438" i="37"/>
  <c r="BF438" i="37"/>
  <c r="AX438" i="37"/>
  <c r="BL424" i="37"/>
  <c r="BJ424" i="37"/>
  <c r="BH424" i="37"/>
  <c r="BF424" i="37"/>
  <c r="AX424" i="37"/>
  <c r="BL423" i="37"/>
  <c r="BJ423" i="37"/>
  <c r="BH423" i="37"/>
  <c r="BF423" i="37"/>
  <c r="AX423" i="37"/>
  <c r="BM424" i="37"/>
  <c r="BK424" i="37"/>
  <c r="BI424" i="37"/>
  <c r="BG424" i="37"/>
  <c r="AW424" i="37"/>
  <c r="BM423" i="37"/>
  <c r="BK423" i="37"/>
  <c r="BI423" i="37"/>
  <c r="BG423" i="37"/>
  <c r="AW423" i="37"/>
  <c r="BM409" i="37"/>
  <c r="BK409" i="37"/>
  <c r="BI409" i="37"/>
  <c r="BG409" i="37"/>
  <c r="BE409" i="37"/>
  <c r="BC409" i="37"/>
  <c r="BA409" i="37"/>
  <c r="AY409" i="37"/>
  <c r="AW409" i="37"/>
  <c r="BM408" i="37"/>
  <c r="BK408" i="37"/>
  <c r="BI408" i="37"/>
  <c r="BG408" i="37"/>
  <c r="BE408" i="37"/>
  <c r="BC408" i="37"/>
  <c r="BA408" i="37"/>
  <c r="AY408" i="37"/>
  <c r="AW408" i="37"/>
  <c r="BL409" i="37"/>
  <c r="BJ409" i="37"/>
  <c r="BH409" i="37"/>
  <c r="BF409" i="37"/>
  <c r="BD409" i="37"/>
  <c r="BB409" i="37"/>
  <c r="AZ409" i="37"/>
  <c r="AX409" i="37"/>
  <c r="BL408" i="37"/>
  <c r="BJ408" i="37"/>
  <c r="BH408" i="37"/>
  <c r="BF408" i="37"/>
  <c r="BD408" i="37"/>
  <c r="BB408" i="37"/>
  <c r="AZ408" i="37"/>
  <c r="AX408" i="37"/>
  <c r="BL394" i="37"/>
  <c r="BJ394" i="37"/>
  <c r="BH394" i="37"/>
  <c r="BF394" i="37"/>
  <c r="AX394" i="37"/>
  <c r="BL393" i="37"/>
  <c r="BJ393" i="37"/>
  <c r="BH393" i="37"/>
  <c r="BF393" i="37"/>
  <c r="AX393" i="37"/>
  <c r="BM394" i="37"/>
  <c r="BK394" i="37"/>
  <c r="BI394" i="37"/>
  <c r="BG394" i="37"/>
  <c r="AW394" i="37"/>
  <c r="BM393" i="37"/>
  <c r="BK393" i="37"/>
  <c r="BI393" i="37"/>
  <c r="BG393" i="37"/>
  <c r="AW393" i="37"/>
  <c r="BM379" i="37"/>
  <c r="BK379" i="37"/>
  <c r="BI379" i="37"/>
  <c r="BG379" i="37"/>
  <c r="AW379" i="37"/>
  <c r="BM378" i="37"/>
  <c r="BK378" i="37"/>
  <c r="BI378" i="37"/>
  <c r="BG378" i="37"/>
  <c r="AW378" i="37"/>
  <c r="BL379" i="37"/>
  <c r="BJ379" i="37"/>
  <c r="BH379" i="37"/>
  <c r="BF379" i="37"/>
  <c r="AX379" i="37"/>
  <c r="BL378" i="37"/>
  <c r="BJ378" i="37"/>
  <c r="BH378" i="37"/>
  <c r="BF378" i="37"/>
  <c r="AX378" i="37"/>
  <c r="BL364" i="37"/>
  <c r="BJ364" i="37"/>
  <c r="BH364" i="37"/>
  <c r="BF364" i="37"/>
  <c r="BD364" i="37"/>
  <c r="BB364" i="37"/>
  <c r="AZ364" i="37"/>
  <c r="AX364" i="37"/>
  <c r="BL363" i="37"/>
  <c r="BJ363" i="37"/>
  <c r="BH363" i="37"/>
  <c r="BF363" i="37"/>
  <c r="BD363" i="37"/>
  <c r="BB363" i="37"/>
  <c r="AZ363" i="37"/>
  <c r="AX363" i="37"/>
  <c r="BM364" i="37"/>
  <c r="BK364" i="37"/>
  <c r="BI364" i="37"/>
  <c r="BG364" i="37"/>
  <c r="BE364" i="37"/>
  <c r="BC364" i="37"/>
  <c r="BA364" i="37"/>
  <c r="AY364" i="37"/>
  <c r="AW364" i="37"/>
  <c r="BM363" i="37"/>
  <c r="BK363" i="37"/>
  <c r="BI363" i="37"/>
  <c r="BG363" i="37"/>
  <c r="BE363" i="37"/>
  <c r="BC363" i="37"/>
  <c r="BA363" i="37"/>
  <c r="AY363" i="37"/>
  <c r="AW363" i="37"/>
  <c r="BM349" i="37"/>
  <c r="BK349" i="37"/>
  <c r="BI349" i="37"/>
  <c r="BG349" i="37"/>
  <c r="BE349" i="37"/>
  <c r="BC349" i="37"/>
  <c r="BA349" i="37"/>
  <c r="AY349" i="37"/>
  <c r="AW349" i="37"/>
  <c r="BM348" i="37"/>
  <c r="BK348" i="37"/>
  <c r="BI348" i="37"/>
  <c r="BG348" i="37"/>
  <c r="BE348" i="37"/>
  <c r="BC348" i="37"/>
  <c r="BA348" i="37"/>
  <c r="AY348" i="37"/>
  <c r="AW348" i="37"/>
  <c r="BL349" i="37"/>
  <c r="BJ349" i="37"/>
  <c r="BH349" i="37"/>
  <c r="BF349" i="37"/>
  <c r="BD349" i="37"/>
  <c r="BB349" i="37"/>
  <c r="AZ349" i="37"/>
  <c r="AX349" i="37"/>
  <c r="BL348" i="37"/>
  <c r="BJ348" i="37"/>
  <c r="BH348" i="37"/>
  <c r="BF348" i="37"/>
  <c r="BD348" i="37"/>
  <c r="BB348" i="37"/>
  <c r="AZ348" i="37"/>
  <c r="AX348" i="37"/>
  <c r="BL334" i="37"/>
  <c r="BJ334" i="37"/>
  <c r="BH334" i="37"/>
  <c r="BF334" i="37"/>
  <c r="BD334" i="37"/>
  <c r="BB334" i="37"/>
  <c r="AZ334" i="37"/>
  <c r="AX334" i="37"/>
  <c r="BL333" i="37"/>
  <c r="BJ333" i="37"/>
  <c r="BH333" i="37"/>
  <c r="BF333" i="37"/>
  <c r="BD333" i="37"/>
  <c r="BB333" i="37"/>
  <c r="AZ333" i="37"/>
  <c r="AX333" i="37"/>
  <c r="BM334" i="37"/>
  <c r="BK334" i="37"/>
  <c r="BI334" i="37"/>
  <c r="BG334" i="37"/>
  <c r="BE334" i="37"/>
  <c r="BC334" i="37"/>
  <c r="BA334" i="37"/>
  <c r="AY334" i="37"/>
  <c r="AW334" i="37"/>
  <c r="BM333" i="37"/>
  <c r="BK333" i="37"/>
  <c r="BI333" i="37"/>
  <c r="BG333" i="37"/>
  <c r="BE333" i="37"/>
  <c r="BC333" i="37"/>
  <c r="BA333" i="37"/>
  <c r="AY333" i="37"/>
  <c r="AW333" i="37"/>
  <c r="BM319" i="37"/>
  <c r="BK319" i="37"/>
  <c r="BI319" i="37"/>
  <c r="BG319" i="37"/>
  <c r="AY319" i="37"/>
  <c r="AW319" i="37"/>
  <c r="BM318" i="37"/>
  <c r="BK318" i="37"/>
  <c r="BI318" i="37"/>
  <c r="BG318" i="37"/>
  <c r="AY318" i="37"/>
  <c r="AW318" i="37"/>
  <c r="BL319" i="37"/>
  <c r="BJ319" i="37"/>
  <c r="BH319" i="37"/>
  <c r="BF319" i="37"/>
  <c r="AX319" i="37"/>
  <c r="BL318" i="37"/>
  <c r="BJ318" i="37"/>
  <c r="BH318" i="37"/>
  <c r="BF318" i="37"/>
  <c r="AX318" i="37"/>
  <c r="BL304" i="37"/>
  <c r="BJ304" i="37"/>
  <c r="BH304" i="37"/>
  <c r="BF304" i="37"/>
  <c r="BD304" i="37"/>
  <c r="BB304" i="37"/>
  <c r="AZ304" i="37"/>
  <c r="AX304" i="37"/>
  <c r="BL303" i="37"/>
  <c r="BJ303" i="37"/>
  <c r="BH303" i="37"/>
  <c r="BF303" i="37"/>
  <c r="BD303" i="37"/>
  <c r="BB303" i="37"/>
  <c r="AZ303" i="37"/>
  <c r="AX303" i="37"/>
  <c r="BM304" i="37"/>
  <c r="BK304" i="37"/>
  <c r="BI304" i="37"/>
  <c r="BG304" i="37"/>
  <c r="BE304" i="37"/>
  <c r="BC304" i="37"/>
  <c r="BA304" i="37"/>
  <c r="AY304" i="37"/>
  <c r="AW304" i="37"/>
  <c r="BM303" i="37"/>
  <c r="BK303" i="37"/>
  <c r="BI303" i="37"/>
  <c r="BG303" i="37"/>
  <c r="BE303" i="37"/>
  <c r="BC303" i="37"/>
  <c r="BA303" i="37"/>
  <c r="AY303" i="37"/>
  <c r="AW303" i="37"/>
  <c r="BM289" i="37"/>
  <c r="BK289" i="37"/>
  <c r="BI289" i="37"/>
  <c r="BG289" i="37"/>
  <c r="BE289" i="37"/>
  <c r="BC289" i="37"/>
  <c r="BA289" i="37"/>
  <c r="AW289" i="37"/>
  <c r="BM288" i="37"/>
  <c r="BK288" i="37"/>
  <c r="BI288" i="37"/>
  <c r="BG288" i="37"/>
  <c r="BE288" i="37"/>
  <c r="BC288" i="37"/>
  <c r="BA288" i="37"/>
  <c r="AW288" i="37"/>
  <c r="BL289" i="37"/>
  <c r="BJ289" i="37"/>
  <c r="BH289" i="37"/>
  <c r="BF289" i="37"/>
  <c r="BD289" i="37"/>
  <c r="BB289" i="37"/>
  <c r="AX289" i="37"/>
  <c r="BL288" i="37"/>
  <c r="BJ288" i="37"/>
  <c r="BH288" i="37"/>
  <c r="BF288" i="37"/>
  <c r="BD288" i="37"/>
  <c r="BB288" i="37"/>
  <c r="AX288" i="37"/>
  <c r="BM169" i="37"/>
  <c r="BK169" i="37"/>
  <c r="BI169" i="37"/>
  <c r="BG169" i="37"/>
  <c r="BE169" i="37"/>
  <c r="BC169" i="37"/>
  <c r="BA169" i="37"/>
  <c r="AY169" i="37"/>
  <c r="AW169" i="37"/>
  <c r="BM168" i="37"/>
  <c r="BK168" i="37"/>
  <c r="BI168" i="37"/>
  <c r="BG168" i="37"/>
  <c r="BE168" i="37"/>
  <c r="BC168" i="37"/>
  <c r="BA168" i="37"/>
  <c r="AY168" i="37"/>
  <c r="AW168" i="37"/>
  <c r="BL169" i="37"/>
  <c r="BJ169" i="37"/>
  <c r="BH169" i="37"/>
  <c r="BF169" i="37"/>
  <c r="BD169" i="37"/>
  <c r="BB169" i="37"/>
  <c r="AZ169" i="37"/>
  <c r="AX169" i="37"/>
  <c r="BL168" i="37"/>
  <c r="BJ168" i="37"/>
  <c r="BH168" i="37"/>
  <c r="BF168" i="37"/>
  <c r="BD168" i="37"/>
  <c r="BB168" i="37"/>
  <c r="AZ168" i="37"/>
  <c r="AX168" i="37"/>
  <c r="AK17" i="37"/>
  <c r="AK19" i="37"/>
  <c r="AK30" i="37" s="1"/>
  <c r="AK21" i="37"/>
  <c r="AK23" i="37"/>
  <c r="AK18" i="37"/>
  <c r="AK20" i="37"/>
  <c r="AK22" i="37"/>
  <c r="AK24" i="37"/>
  <c r="AK26" i="37"/>
  <c r="AK25" i="37"/>
  <c r="AM17" i="37"/>
  <c r="AM18" i="37"/>
  <c r="AM19" i="37"/>
  <c r="AM30" i="37" s="1"/>
  <c r="AM20" i="37"/>
  <c r="AM21" i="37"/>
  <c r="AM22" i="37"/>
  <c r="AM23" i="37"/>
  <c r="AM24" i="37"/>
  <c r="AM25" i="37"/>
  <c r="AM26" i="37"/>
  <c r="AO18" i="37"/>
  <c r="AO20" i="37"/>
  <c r="AO22" i="37"/>
  <c r="AO25" i="37"/>
  <c r="AO24" i="37"/>
  <c r="AO26" i="37"/>
  <c r="AO17" i="37"/>
  <c r="AO19" i="37"/>
  <c r="AO30" i="37" s="1"/>
  <c r="AO21" i="37"/>
  <c r="AO23" i="37"/>
  <c r="AQ17" i="37"/>
  <c r="AQ18" i="37"/>
  <c r="AQ19" i="37"/>
  <c r="AQ30" i="37" s="1"/>
  <c r="AQ20" i="37"/>
  <c r="AQ21" i="37"/>
  <c r="AQ22" i="37"/>
  <c r="AQ23" i="37"/>
  <c r="AQ24" i="37"/>
  <c r="AQ25" i="37"/>
  <c r="AQ26" i="37"/>
  <c r="AC39" i="37"/>
  <c r="AC32" i="37"/>
  <c r="AC34" i="37"/>
  <c r="AC45" i="37" s="1"/>
  <c r="AC36" i="37"/>
  <c r="AC38" i="37"/>
  <c r="AC33" i="37"/>
  <c r="AC35" i="37"/>
  <c r="AC37" i="37"/>
  <c r="AE32" i="37"/>
  <c r="AE33" i="37"/>
  <c r="AE34" i="37"/>
  <c r="AE45" i="37" s="1"/>
  <c r="AE35" i="37"/>
  <c r="AE36" i="37"/>
  <c r="AE37" i="37"/>
  <c r="AE38" i="37"/>
  <c r="AE39" i="37"/>
  <c r="AG39" i="37"/>
  <c r="AG33" i="37"/>
  <c r="AG35" i="37"/>
  <c r="AG37" i="37"/>
  <c r="AG32" i="37"/>
  <c r="AG34" i="37"/>
  <c r="AG45" i="37" s="1"/>
  <c r="AG36" i="37"/>
  <c r="AG38" i="37"/>
  <c r="AI32" i="37"/>
  <c r="AI33" i="37"/>
  <c r="AI34" i="37"/>
  <c r="AI45" i="37" s="1"/>
  <c r="AI35" i="37"/>
  <c r="AI36" i="37"/>
  <c r="AI37" i="37"/>
  <c r="AI38" i="37"/>
  <c r="AI39" i="37"/>
  <c r="AK39" i="37"/>
  <c r="AK32" i="37"/>
  <c r="AK34" i="37"/>
  <c r="AK45" i="37" s="1"/>
  <c r="AK36" i="37"/>
  <c r="AK38" i="37"/>
  <c r="AK33" i="37"/>
  <c r="AK35" i="37"/>
  <c r="AK37" i="37"/>
  <c r="AM32" i="37"/>
  <c r="AM33" i="37"/>
  <c r="AM34" i="37"/>
  <c r="AM45" i="37" s="1"/>
  <c r="AM35" i="37"/>
  <c r="AM36" i="37"/>
  <c r="AM37" i="37"/>
  <c r="AM38" i="37"/>
  <c r="AM39" i="37"/>
  <c r="AO39" i="37"/>
  <c r="AO33" i="37"/>
  <c r="AO35" i="37"/>
  <c r="AO37" i="37"/>
  <c r="AO32" i="37"/>
  <c r="AO34" i="37"/>
  <c r="AO45" i="37" s="1"/>
  <c r="AO36" i="37"/>
  <c r="AO38" i="37"/>
  <c r="AQ32" i="37"/>
  <c r="AQ33" i="37"/>
  <c r="AQ34" i="37"/>
  <c r="AQ35" i="37"/>
  <c r="AQ36" i="37"/>
  <c r="AQ37" i="37"/>
  <c r="AQ38" i="37"/>
  <c r="AQ39" i="37"/>
  <c r="AK47" i="37"/>
  <c r="AK48" i="37"/>
  <c r="AK49" i="37"/>
  <c r="AK60" i="37" s="1"/>
  <c r="AK50" i="37"/>
  <c r="AK51" i="37"/>
  <c r="AK52" i="37"/>
  <c r="AK53" i="37"/>
  <c r="AK54" i="37"/>
  <c r="AK55" i="37"/>
  <c r="AK56" i="37"/>
  <c r="AM47" i="37"/>
  <c r="AM48" i="37"/>
  <c r="AM49" i="37"/>
  <c r="AM60" i="37" s="1"/>
  <c r="AM50" i="37"/>
  <c r="AM51" i="37"/>
  <c r="AM52" i="37"/>
  <c r="AM53" i="37"/>
  <c r="AM54" i="37"/>
  <c r="AM55" i="37"/>
  <c r="AM56" i="37"/>
  <c r="AO47" i="37"/>
  <c r="AO48" i="37"/>
  <c r="AO49" i="37"/>
  <c r="AO60" i="37" s="1"/>
  <c r="AO50" i="37"/>
  <c r="AO51" i="37"/>
  <c r="AO52" i="37"/>
  <c r="AO53" i="37"/>
  <c r="AO54" i="37"/>
  <c r="AO55" i="37"/>
  <c r="AO56" i="37"/>
  <c r="AQ47" i="37"/>
  <c r="AQ48" i="37"/>
  <c r="AQ49" i="37"/>
  <c r="AQ60" i="37" s="1"/>
  <c r="AQ50" i="37"/>
  <c r="AQ51" i="37"/>
  <c r="AQ52" i="37"/>
  <c r="AQ53" i="37"/>
  <c r="AQ54" i="37"/>
  <c r="AQ55" i="37"/>
  <c r="AQ56" i="37"/>
  <c r="AK62" i="37"/>
  <c r="AK63" i="37"/>
  <c r="AK64" i="37"/>
  <c r="AK75" i="37" s="1"/>
  <c r="AK65" i="37"/>
  <c r="AK66" i="37"/>
  <c r="AK67" i="37"/>
  <c r="AK68" i="37"/>
  <c r="AK69" i="37"/>
  <c r="AM62" i="37"/>
  <c r="AM63" i="37"/>
  <c r="AM64" i="37"/>
  <c r="AM75" i="37" s="1"/>
  <c r="AM65" i="37"/>
  <c r="AM66" i="37"/>
  <c r="AM67" i="37"/>
  <c r="AM68" i="37"/>
  <c r="AM69" i="37"/>
  <c r="AO62" i="37"/>
  <c r="AO63" i="37"/>
  <c r="AO64" i="37"/>
  <c r="AO75" i="37" s="1"/>
  <c r="AO65" i="37"/>
  <c r="AO66" i="37"/>
  <c r="AO67" i="37"/>
  <c r="AO68" i="37"/>
  <c r="AO69" i="37"/>
  <c r="AQ62" i="37"/>
  <c r="AQ63" i="37"/>
  <c r="AQ64" i="37"/>
  <c r="AQ75" i="37" s="1"/>
  <c r="AQ65" i="37"/>
  <c r="AQ66" i="37"/>
  <c r="AQ67" i="37"/>
  <c r="AQ68" i="37"/>
  <c r="AQ69" i="37"/>
  <c r="AK77" i="37"/>
  <c r="AK78" i="37"/>
  <c r="AK79" i="37"/>
  <c r="AK90" i="37" s="1"/>
  <c r="AK80" i="37"/>
  <c r="AK81" i="37"/>
  <c r="AK82" i="37"/>
  <c r="AK83" i="37"/>
  <c r="AK84" i="37"/>
  <c r="AM77" i="37"/>
  <c r="AM78" i="37"/>
  <c r="AM79" i="37"/>
  <c r="AM90" i="37" s="1"/>
  <c r="AM80" i="37"/>
  <c r="AM81" i="37"/>
  <c r="AM82" i="37"/>
  <c r="AM83" i="37"/>
  <c r="AM84" i="37"/>
  <c r="AO77" i="37"/>
  <c r="AO78" i="37"/>
  <c r="AO79" i="37"/>
  <c r="AO90" i="37" s="1"/>
  <c r="AO80" i="37"/>
  <c r="AO81" i="37"/>
  <c r="AO82" i="37"/>
  <c r="AO83" i="37"/>
  <c r="AO84" i="37"/>
  <c r="AQ77" i="37"/>
  <c r="AQ78" i="37"/>
  <c r="AQ79" i="37"/>
  <c r="AQ90" i="37" s="1"/>
  <c r="AQ80" i="37"/>
  <c r="AQ81" i="37"/>
  <c r="AQ82" i="37"/>
  <c r="AQ83" i="37"/>
  <c r="AQ84" i="37"/>
  <c r="AK92" i="37"/>
  <c r="AK93" i="37"/>
  <c r="AK94" i="37"/>
  <c r="AK105" i="37" s="1"/>
  <c r="AK95" i="37"/>
  <c r="AK96" i="37"/>
  <c r="AK97" i="37"/>
  <c r="AK98" i="37"/>
  <c r="AM92" i="37"/>
  <c r="AM93" i="37"/>
  <c r="AM94" i="37"/>
  <c r="AM105" i="37" s="1"/>
  <c r="AM95" i="37"/>
  <c r="AM96" i="37"/>
  <c r="AM97" i="37"/>
  <c r="AM98" i="37"/>
  <c r="AO92" i="37"/>
  <c r="AO93" i="37"/>
  <c r="AO94" i="37"/>
  <c r="AO105" i="37" s="1"/>
  <c r="AO95" i="37"/>
  <c r="AO96" i="37"/>
  <c r="AO97" i="37"/>
  <c r="AO98" i="37"/>
  <c r="AQ92" i="37"/>
  <c r="AQ93" i="37"/>
  <c r="AQ94" i="37"/>
  <c r="AQ105" i="37" s="1"/>
  <c r="AQ95" i="37"/>
  <c r="AQ96" i="37"/>
  <c r="AQ97" i="37"/>
  <c r="AQ98" i="37"/>
  <c r="AC107" i="37"/>
  <c r="AC108" i="37"/>
  <c r="AC109" i="37"/>
  <c r="AC120" i="37" s="1"/>
  <c r="AC110" i="37"/>
  <c r="AC111" i="37"/>
  <c r="AE107" i="37"/>
  <c r="AE108" i="37"/>
  <c r="AE109" i="37"/>
  <c r="AE120" i="37" s="1"/>
  <c r="AE110" i="37"/>
  <c r="AE111" i="37"/>
  <c r="AG107" i="37"/>
  <c r="AG108" i="37"/>
  <c r="AG109" i="37"/>
  <c r="AG120" i="37" s="1"/>
  <c r="AG110" i="37"/>
  <c r="AG111" i="37"/>
  <c r="AI107" i="37"/>
  <c r="AI108" i="37"/>
  <c r="AI109" i="37"/>
  <c r="AI120" i="37" s="1"/>
  <c r="AI110" i="37"/>
  <c r="AI111" i="37"/>
  <c r="AK107" i="37"/>
  <c r="AK108" i="37"/>
  <c r="AK109" i="37"/>
  <c r="AK120" i="37" s="1"/>
  <c r="AK110" i="37"/>
  <c r="AK111" i="37"/>
  <c r="AM107" i="37"/>
  <c r="AM108" i="37"/>
  <c r="AM109" i="37"/>
  <c r="AM120" i="37" s="1"/>
  <c r="AM110" i="37"/>
  <c r="AM111" i="37"/>
  <c r="AO107" i="37"/>
  <c r="AO108" i="37"/>
  <c r="AO109" i="37"/>
  <c r="AO120" i="37" s="1"/>
  <c r="AO110" i="37"/>
  <c r="AO111" i="37"/>
  <c r="AQ107" i="37"/>
  <c r="AQ108" i="37"/>
  <c r="AQ109" i="37"/>
  <c r="AQ120" i="37" s="1"/>
  <c r="AQ110" i="37"/>
  <c r="AQ111" i="37"/>
  <c r="AC122" i="37"/>
  <c r="AC123" i="37"/>
  <c r="AC124" i="37"/>
  <c r="AC135" i="37" s="1"/>
  <c r="AC125" i="37"/>
  <c r="AC126" i="37"/>
  <c r="AC127" i="37"/>
  <c r="AC128" i="37"/>
  <c r="AC129" i="37"/>
  <c r="AC130" i="37"/>
  <c r="AE122" i="37"/>
  <c r="AE123" i="37"/>
  <c r="AE124" i="37"/>
  <c r="AE135" i="37" s="1"/>
  <c r="AE125" i="37"/>
  <c r="AE126" i="37"/>
  <c r="AE127" i="37"/>
  <c r="AE128" i="37"/>
  <c r="AE129" i="37"/>
  <c r="AE130" i="37"/>
  <c r="AG122" i="37"/>
  <c r="AG123" i="37"/>
  <c r="AG124" i="37"/>
  <c r="AG135" i="37" s="1"/>
  <c r="AG125" i="37"/>
  <c r="AG126" i="37"/>
  <c r="AG127" i="37"/>
  <c r="AG128" i="37"/>
  <c r="AG129" i="37"/>
  <c r="AG130" i="37"/>
  <c r="AI122" i="37"/>
  <c r="AI123" i="37"/>
  <c r="AI124" i="37"/>
  <c r="AI135" i="37" s="1"/>
  <c r="AI125" i="37"/>
  <c r="AI126" i="37"/>
  <c r="AI127" i="37"/>
  <c r="AI128" i="37"/>
  <c r="AI129" i="37"/>
  <c r="AI130" i="37"/>
  <c r="AK122" i="37"/>
  <c r="AK123" i="37"/>
  <c r="AK124" i="37"/>
  <c r="AK135" i="37" s="1"/>
  <c r="AK125" i="37"/>
  <c r="AK126" i="37"/>
  <c r="AK127" i="37"/>
  <c r="AK128" i="37"/>
  <c r="AK129" i="37"/>
  <c r="AK130" i="37"/>
  <c r="AM122" i="37"/>
  <c r="AM123" i="37"/>
  <c r="AM124" i="37"/>
  <c r="AM135" i="37" s="1"/>
  <c r="AM125" i="37"/>
  <c r="AM126" i="37"/>
  <c r="AM127" i="37"/>
  <c r="AM128" i="37"/>
  <c r="AM129" i="37"/>
  <c r="AM130" i="37"/>
  <c r="AO122" i="37"/>
  <c r="AO123" i="37"/>
  <c r="AO124" i="37"/>
  <c r="AO135" i="37" s="1"/>
  <c r="AO125" i="37"/>
  <c r="AO126" i="37"/>
  <c r="AO127" i="37"/>
  <c r="AO128" i="37"/>
  <c r="AO129" i="37"/>
  <c r="AO130" i="37"/>
  <c r="AQ122" i="37"/>
  <c r="AQ123" i="37"/>
  <c r="AQ124" i="37"/>
  <c r="AQ135" i="37" s="1"/>
  <c r="AQ125" i="37"/>
  <c r="AQ126" i="37"/>
  <c r="AQ127" i="37"/>
  <c r="AQ128" i="37"/>
  <c r="AQ129" i="37"/>
  <c r="AQ130" i="37"/>
  <c r="AC137" i="37"/>
  <c r="AC138" i="37"/>
  <c r="AC139" i="37"/>
  <c r="AC150" i="37" s="1"/>
  <c r="AC140" i="37"/>
  <c r="AC141" i="37"/>
  <c r="AC142" i="37"/>
  <c r="AC143" i="37"/>
  <c r="AC144" i="37"/>
  <c r="AC145" i="37"/>
  <c r="AE137" i="37"/>
  <c r="AE138" i="37"/>
  <c r="AE139" i="37"/>
  <c r="AE150" i="37" s="1"/>
  <c r="AE140" i="37"/>
  <c r="AE141" i="37"/>
  <c r="AE142" i="37"/>
  <c r="AE143" i="37"/>
  <c r="AE144" i="37"/>
  <c r="AE145" i="37"/>
  <c r="AG137" i="37"/>
  <c r="AG138" i="37"/>
  <c r="AG139" i="37"/>
  <c r="AG150" i="37" s="1"/>
  <c r="AG140" i="37"/>
  <c r="AG141" i="37"/>
  <c r="AG142" i="37"/>
  <c r="AG143" i="37"/>
  <c r="AG144" i="37"/>
  <c r="AG145" i="37"/>
  <c r="AI137" i="37"/>
  <c r="AI138" i="37"/>
  <c r="AI139" i="37"/>
  <c r="AI150" i="37" s="1"/>
  <c r="AI140" i="37"/>
  <c r="AI141" i="37"/>
  <c r="AI142" i="37"/>
  <c r="AI143" i="37"/>
  <c r="AI144" i="37"/>
  <c r="AI145" i="37"/>
  <c r="AK137" i="37"/>
  <c r="AK138" i="37"/>
  <c r="AK139" i="37"/>
  <c r="AK150" i="37" s="1"/>
  <c r="AK140" i="37"/>
  <c r="AK141" i="37"/>
  <c r="AK142" i="37"/>
  <c r="AK143" i="37"/>
  <c r="AK144" i="37"/>
  <c r="AK145" i="37"/>
  <c r="AM137" i="37"/>
  <c r="AM138" i="37"/>
  <c r="AM139" i="37"/>
  <c r="AM150" i="37" s="1"/>
  <c r="AM140" i="37"/>
  <c r="AM141" i="37"/>
  <c r="AM142" i="37"/>
  <c r="AM143" i="37"/>
  <c r="AM144" i="37"/>
  <c r="AM145" i="37"/>
  <c r="AO137" i="37"/>
  <c r="AO138" i="37"/>
  <c r="AO139" i="37"/>
  <c r="AO150" i="37" s="1"/>
  <c r="AO140" i="37"/>
  <c r="AO141" i="37"/>
  <c r="AO142" i="37"/>
  <c r="AO143" i="37"/>
  <c r="AO144" i="37"/>
  <c r="AO145" i="37"/>
  <c r="AQ137" i="37"/>
  <c r="AQ138" i="37"/>
  <c r="AQ139" i="37"/>
  <c r="AQ150" i="37" s="1"/>
  <c r="AQ140" i="37"/>
  <c r="AQ141" i="37"/>
  <c r="AQ142" i="37"/>
  <c r="AQ143" i="37"/>
  <c r="AQ144" i="37"/>
  <c r="AQ145" i="37"/>
  <c r="AC152" i="37"/>
  <c r="AC153" i="37"/>
  <c r="AC154" i="37"/>
  <c r="AC165" i="37" s="1"/>
  <c r="AC155" i="37"/>
  <c r="AC156" i="37"/>
  <c r="AC157" i="37"/>
  <c r="AC158" i="37"/>
  <c r="AC159" i="37"/>
  <c r="AC160" i="37"/>
  <c r="AC161" i="37"/>
  <c r="AE152" i="37"/>
  <c r="AE153" i="37"/>
  <c r="AE154" i="37"/>
  <c r="AE165" i="37" s="1"/>
  <c r="AE155" i="37"/>
  <c r="AE156" i="37"/>
  <c r="AE157" i="37"/>
  <c r="AE158" i="37"/>
  <c r="AE159" i="37"/>
  <c r="AE160" i="37"/>
  <c r="AE161" i="37"/>
  <c r="AG152" i="37"/>
  <c r="AG153" i="37"/>
  <c r="AG154" i="37"/>
  <c r="AG165" i="37" s="1"/>
  <c r="AG155" i="37"/>
  <c r="AG156" i="37"/>
  <c r="AG157" i="37"/>
  <c r="AG158" i="37"/>
  <c r="AG159" i="37"/>
  <c r="AG160" i="37"/>
  <c r="AG161" i="37"/>
  <c r="AI152" i="37"/>
  <c r="AI153" i="37"/>
  <c r="AI154" i="37"/>
  <c r="AI165" i="37" s="1"/>
  <c r="AI155" i="37"/>
  <c r="AI156" i="37"/>
  <c r="AI157" i="37"/>
  <c r="AI158" i="37"/>
  <c r="AI159" i="37"/>
  <c r="AI160" i="37"/>
  <c r="AI161" i="37"/>
  <c r="AK152" i="37"/>
  <c r="AK153" i="37"/>
  <c r="AK154" i="37"/>
  <c r="AK165" i="37" s="1"/>
  <c r="AK155" i="37"/>
  <c r="AK156" i="37"/>
  <c r="AK157" i="37"/>
  <c r="AK158" i="37"/>
  <c r="AK159" i="37"/>
  <c r="AK160" i="37"/>
  <c r="AK161" i="37"/>
  <c r="AM152" i="37"/>
  <c r="AM153" i="37"/>
  <c r="AM154" i="37"/>
  <c r="AM165" i="37" s="1"/>
  <c r="AM155" i="37"/>
  <c r="AM156" i="37"/>
  <c r="AM157" i="37"/>
  <c r="AM158" i="37"/>
  <c r="AM159" i="37"/>
  <c r="AM160" i="37"/>
  <c r="AM161" i="37"/>
  <c r="AO152" i="37"/>
  <c r="AO153" i="37"/>
  <c r="AO154" i="37"/>
  <c r="AO165" i="37" s="1"/>
  <c r="AO155" i="37"/>
  <c r="AO156" i="37"/>
  <c r="AO157" i="37"/>
  <c r="AO158" i="37"/>
  <c r="AO159" i="37"/>
  <c r="AO160" i="37"/>
  <c r="AO161" i="37"/>
  <c r="AQ152" i="37"/>
  <c r="AQ153" i="37"/>
  <c r="AQ154" i="37"/>
  <c r="AQ165" i="37" s="1"/>
  <c r="AQ155" i="37"/>
  <c r="AQ156" i="37"/>
  <c r="AQ157" i="37"/>
  <c r="AQ158" i="37"/>
  <c r="AQ159" i="37"/>
  <c r="AQ160" i="37"/>
  <c r="AQ161" i="37"/>
  <c r="AK182" i="37"/>
  <c r="AK184" i="37"/>
  <c r="AK195" i="37" s="1"/>
  <c r="AK186" i="37"/>
  <c r="AK188" i="37"/>
  <c r="AK183" i="37"/>
  <c r="AK185" i="37"/>
  <c r="AK187" i="37"/>
  <c r="AM182" i="37"/>
  <c r="AM183" i="37"/>
  <c r="AM184" i="37"/>
  <c r="AM195" i="37" s="1"/>
  <c r="AM185" i="37"/>
  <c r="AM186" i="37"/>
  <c r="AM187" i="37"/>
  <c r="AM188" i="37"/>
  <c r="AO183" i="37"/>
  <c r="AO185" i="37"/>
  <c r="AO187" i="37"/>
  <c r="AO182" i="37"/>
  <c r="AO184" i="37"/>
  <c r="AO195" i="37" s="1"/>
  <c r="AO186" i="37"/>
  <c r="AO188" i="37"/>
  <c r="AQ182" i="37"/>
  <c r="AQ183" i="37"/>
  <c r="AQ184" i="37"/>
  <c r="AQ195" i="37" s="1"/>
  <c r="AQ185" i="37"/>
  <c r="AQ186" i="37"/>
  <c r="AQ187" i="37"/>
  <c r="AQ188" i="37"/>
  <c r="AK197" i="37"/>
  <c r="AK198" i="37"/>
  <c r="AK199" i="37"/>
  <c r="AK210" i="37" s="1"/>
  <c r="AK200" i="37"/>
  <c r="AK201" i="37"/>
  <c r="AK202" i="37"/>
  <c r="AK203" i="37"/>
  <c r="AK204" i="37"/>
  <c r="AK205" i="37"/>
  <c r="AK206" i="37"/>
  <c r="AK207" i="37"/>
  <c r="AM197" i="37"/>
  <c r="AM198" i="37"/>
  <c r="AM199" i="37"/>
  <c r="AM210" i="37" s="1"/>
  <c r="AM200" i="37"/>
  <c r="AM201" i="37"/>
  <c r="AM202" i="37"/>
  <c r="AM203" i="37"/>
  <c r="AM204" i="37"/>
  <c r="AM205" i="37"/>
  <c r="AM206" i="37"/>
  <c r="AM207" i="37"/>
  <c r="AO197" i="37"/>
  <c r="AO198" i="37"/>
  <c r="AO199" i="37"/>
  <c r="AO210" i="37" s="1"/>
  <c r="AO200" i="37"/>
  <c r="AO201" i="37"/>
  <c r="AO202" i="37"/>
  <c r="AO203" i="37"/>
  <c r="AO204" i="37"/>
  <c r="AO205" i="37"/>
  <c r="AO206" i="37"/>
  <c r="AO207" i="37"/>
  <c r="AQ197" i="37"/>
  <c r="AQ198" i="37"/>
  <c r="AQ199" i="37"/>
  <c r="AQ210" i="37" s="1"/>
  <c r="AQ200" i="37"/>
  <c r="AQ201" i="37"/>
  <c r="AQ202" i="37"/>
  <c r="AQ203" i="37"/>
  <c r="AQ204" i="37"/>
  <c r="AQ205" i="37"/>
  <c r="AQ206" i="37"/>
  <c r="AQ207" i="37"/>
  <c r="AC212" i="37"/>
  <c r="AC214" i="37"/>
  <c r="AC225" i="37" s="1"/>
  <c r="AC216" i="37"/>
  <c r="AC218" i="37"/>
  <c r="AC220" i="37"/>
  <c r="AC213" i="37"/>
  <c r="AC215" i="37"/>
  <c r="AC217" i="37"/>
  <c r="AC219" i="37"/>
  <c r="AE212" i="37"/>
  <c r="AE213" i="37"/>
  <c r="AE214" i="37"/>
  <c r="AE225" i="37" s="1"/>
  <c r="AE215" i="37"/>
  <c r="AE216" i="37"/>
  <c r="AE217" i="37"/>
  <c r="AE218" i="37"/>
  <c r="AE219" i="37"/>
  <c r="AE220" i="37"/>
  <c r="AG213" i="37"/>
  <c r="AG215" i="37"/>
  <c r="AG217" i="37"/>
  <c r="AG219" i="37"/>
  <c r="AG212" i="37"/>
  <c r="AG214" i="37"/>
  <c r="AG225" i="37" s="1"/>
  <c r="AG216" i="37"/>
  <c r="AG218" i="37"/>
  <c r="AG220" i="37"/>
  <c r="AI212" i="37"/>
  <c r="AI213" i="37"/>
  <c r="AI214" i="37"/>
  <c r="AI225" i="37" s="1"/>
  <c r="AI215" i="37"/>
  <c r="AI216" i="37"/>
  <c r="AI217" i="37"/>
  <c r="AI218" i="37"/>
  <c r="AI219" i="37"/>
  <c r="AI220" i="37"/>
  <c r="AK212" i="37"/>
  <c r="AK214" i="37"/>
  <c r="AK225" i="37" s="1"/>
  <c r="AK216" i="37"/>
  <c r="AK218" i="37"/>
  <c r="AK220" i="37"/>
  <c r="AK213" i="37"/>
  <c r="AK215" i="37"/>
  <c r="AK217" i="37"/>
  <c r="AK219" i="37"/>
  <c r="AM212" i="37"/>
  <c r="AM213" i="37"/>
  <c r="AM214" i="37"/>
  <c r="AM225" i="37" s="1"/>
  <c r="AM215" i="37"/>
  <c r="AM216" i="37"/>
  <c r="AM217" i="37"/>
  <c r="AM218" i="37"/>
  <c r="AM219" i="37"/>
  <c r="AM220" i="37"/>
  <c r="AO213" i="37"/>
  <c r="AO215" i="37"/>
  <c r="AO217" i="37"/>
  <c r="AO219" i="37"/>
  <c r="AO212" i="37"/>
  <c r="AO214" i="37"/>
  <c r="AO225" i="37" s="1"/>
  <c r="AO216" i="37"/>
  <c r="AO218" i="37"/>
  <c r="AO220" i="37"/>
  <c r="AQ212" i="37"/>
  <c r="AQ213" i="37"/>
  <c r="AQ214" i="37"/>
  <c r="AQ225" i="37" s="1"/>
  <c r="AQ215" i="37"/>
  <c r="AQ216" i="37"/>
  <c r="AQ217" i="37"/>
  <c r="AQ218" i="37"/>
  <c r="AQ219" i="37"/>
  <c r="AQ220" i="37"/>
  <c r="AK227" i="37"/>
  <c r="AK228" i="37"/>
  <c r="AK229" i="37"/>
  <c r="AK240" i="37" s="1"/>
  <c r="AK230" i="37"/>
  <c r="AK231" i="37"/>
  <c r="AK232" i="37"/>
  <c r="AK233" i="37"/>
  <c r="AK234" i="37"/>
  <c r="AM227" i="37"/>
  <c r="AM228" i="37"/>
  <c r="AM229" i="37"/>
  <c r="AM240" i="37" s="1"/>
  <c r="AM230" i="37"/>
  <c r="AM231" i="37"/>
  <c r="AM232" i="37"/>
  <c r="AM233" i="37"/>
  <c r="AM234" i="37"/>
  <c r="AO227" i="37"/>
  <c r="AO228" i="37"/>
  <c r="AO229" i="37"/>
  <c r="AO240" i="37" s="1"/>
  <c r="AO230" i="37"/>
  <c r="AO231" i="37"/>
  <c r="AO232" i="37"/>
  <c r="AO233" i="37"/>
  <c r="AO234" i="37"/>
  <c r="AQ227" i="37"/>
  <c r="AQ228" i="37"/>
  <c r="AQ229" i="37"/>
  <c r="AQ240" i="37" s="1"/>
  <c r="AQ230" i="37"/>
  <c r="AQ231" i="37"/>
  <c r="AQ232" i="37"/>
  <c r="AQ233" i="37"/>
  <c r="AQ234" i="37"/>
  <c r="AK242" i="37"/>
  <c r="AK243" i="37"/>
  <c r="AK244" i="37"/>
  <c r="AK255" i="37" s="1"/>
  <c r="AK245" i="37"/>
  <c r="AK246" i="37"/>
  <c r="AK247" i="37"/>
  <c r="AK248" i="37"/>
  <c r="AK249" i="37"/>
  <c r="AM242" i="37"/>
  <c r="AM243" i="37"/>
  <c r="AM244" i="37"/>
  <c r="AM255" i="37" s="1"/>
  <c r="AM245" i="37"/>
  <c r="AM246" i="37"/>
  <c r="AM247" i="37"/>
  <c r="AM248" i="37"/>
  <c r="AM249" i="37"/>
  <c r="AO242" i="37"/>
  <c r="AO243" i="37"/>
  <c r="AO244" i="37"/>
  <c r="AO255" i="37" s="1"/>
  <c r="AO245" i="37"/>
  <c r="AO246" i="37"/>
  <c r="AO247" i="37"/>
  <c r="AO248" i="37"/>
  <c r="AO249" i="37"/>
  <c r="AQ242" i="37"/>
  <c r="AQ243" i="37"/>
  <c r="AQ244" i="37"/>
  <c r="AQ255" i="37" s="1"/>
  <c r="AQ245" i="37"/>
  <c r="AQ246" i="37"/>
  <c r="AQ247" i="37"/>
  <c r="AQ248" i="37"/>
  <c r="AQ249" i="37"/>
  <c r="AK257" i="37"/>
  <c r="AK258" i="37"/>
  <c r="AK259" i="37"/>
  <c r="AK270" i="37" s="1"/>
  <c r="AK260" i="37"/>
  <c r="AK261" i="37"/>
  <c r="AK262" i="37"/>
  <c r="AK263" i="37"/>
  <c r="AK264" i="37"/>
  <c r="AK265" i="37"/>
  <c r="AK266" i="37"/>
  <c r="AM257" i="37"/>
  <c r="AM258" i="37"/>
  <c r="AM259" i="37"/>
  <c r="AM270" i="37" s="1"/>
  <c r="AM260" i="37"/>
  <c r="AM261" i="37"/>
  <c r="AM262" i="37"/>
  <c r="AM263" i="37"/>
  <c r="AM264" i="37"/>
  <c r="AM265" i="37"/>
  <c r="AM266" i="37"/>
  <c r="AO257" i="37"/>
  <c r="AO258" i="37"/>
  <c r="AO259" i="37"/>
  <c r="AO270" i="37" s="1"/>
  <c r="AO260" i="37"/>
  <c r="AO261" i="37"/>
  <c r="AO262" i="37"/>
  <c r="AO263" i="37"/>
  <c r="AO264" i="37"/>
  <c r="AO265" i="37"/>
  <c r="AO266" i="37"/>
  <c r="AQ257" i="37"/>
  <c r="AQ258" i="37"/>
  <c r="AQ259" i="37"/>
  <c r="AQ270" i="37" s="1"/>
  <c r="AQ260" i="37"/>
  <c r="AQ261" i="37"/>
  <c r="AQ262" i="37"/>
  <c r="AQ263" i="37"/>
  <c r="AQ264" i="37"/>
  <c r="AQ265" i="37"/>
  <c r="AQ266" i="37"/>
  <c r="AC272" i="37"/>
  <c r="AC273" i="37"/>
  <c r="AD273" i="37" s="1"/>
  <c r="AE273" i="37" s="1"/>
  <c r="AF273" i="37" s="1"/>
  <c r="AG273" i="37" s="1"/>
  <c r="AC274" i="37"/>
  <c r="AC285" i="37" s="1"/>
  <c r="AC275" i="37"/>
  <c r="AD275" i="37" s="1"/>
  <c r="AE275" i="37" s="1"/>
  <c r="AF275" i="37" s="1"/>
  <c r="AG275" i="37" s="1"/>
  <c r="AC276" i="37"/>
  <c r="AC277" i="37"/>
  <c r="AD277" i="37" s="1"/>
  <c r="AE277" i="37" s="1"/>
  <c r="AF277" i="37" s="1"/>
  <c r="AG277" i="37" s="1"/>
  <c r="AC278" i="37"/>
  <c r="AC279" i="37"/>
  <c r="AD279" i="37" s="1"/>
  <c r="AE279" i="37" s="1"/>
  <c r="AF279" i="37" s="1"/>
  <c r="AG279" i="37" s="1"/>
  <c r="AC280" i="37"/>
  <c r="AC281" i="37"/>
  <c r="AD281" i="37" s="1"/>
  <c r="AE281" i="37" s="1"/>
  <c r="AF281" i="37" s="1"/>
  <c r="AG281" i="37" s="1"/>
  <c r="AC282" i="37"/>
  <c r="AI272" i="37"/>
  <c r="AI273" i="37"/>
  <c r="AI274" i="37"/>
  <c r="AI285" i="37" s="1"/>
  <c r="AI275" i="37"/>
  <c r="AI276" i="37"/>
  <c r="AI277" i="37"/>
  <c r="AI278" i="37"/>
  <c r="AI279" i="37"/>
  <c r="AI280" i="37"/>
  <c r="AI281" i="37"/>
  <c r="AI282" i="37"/>
  <c r="AK272" i="37"/>
  <c r="AK273" i="37"/>
  <c r="AK274" i="37"/>
  <c r="AK285" i="37" s="1"/>
  <c r="AK275" i="37"/>
  <c r="AK276" i="37"/>
  <c r="AK277" i="37"/>
  <c r="AK278" i="37"/>
  <c r="AK279" i="37"/>
  <c r="AK280" i="37"/>
  <c r="AK281" i="37"/>
  <c r="AK282" i="37"/>
  <c r="AM272" i="37"/>
  <c r="AM273" i="37"/>
  <c r="AM274" i="37"/>
  <c r="AM285" i="37" s="1"/>
  <c r="AM275" i="37"/>
  <c r="AM276" i="37"/>
  <c r="AM277" i="37"/>
  <c r="AM278" i="37"/>
  <c r="AM279" i="37"/>
  <c r="AM280" i="37"/>
  <c r="AM281" i="37"/>
  <c r="AM282" i="37"/>
  <c r="AO272" i="37"/>
  <c r="AO273" i="37"/>
  <c r="AO274" i="37"/>
  <c r="AO285" i="37" s="1"/>
  <c r="AO275" i="37"/>
  <c r="AO276" i="37"/>
  <c r="AO277" i="37"/>
  <c r="AO278" i="37"/>
  <c r="AO279" i="37"/>
  <c r="AO280" i="37"/>
  <c r="AO281" i="37"/>
  <c r="AO282" i="37"/>
  <c r="AQ272" i="37"/>
  <c r="AQ273" i="37"/>
  <c r="AQ274" i="37"/>
  <c r="AQ285" i="37" s="1"/>
  <c r="AQ275" i="37"/>
  <c r="AQ276" i="37"/>
  <c r="AQ277" i="37"/>
  <c r="AQ278" i="37"/>
  <c r="AQ279" i="37"/>
  <c r="AQ280" i="37"/>
  <c r="AQ281" i="37"/>
  <c r="AQ282" i="37"/>
  <c r="AB767" i="37"/>
  <c r="AB768" i="37"/>
  <c r="AB769" i="37"/>
  <c r="AB770" i="37"/>
  <c r="AB772" i="37"/>
  <c r="AD767" i="37"/>
  <c r="AD768" i="37"/>
  <c r="AD769" i="37"/>
  <c r="AD780" i="37" s="1"/>
  <c r="AD770" i="37"/>
  <c r="AD771" i="37"/>
  <c r="AD772" i="37"/>
  <c r="AF767" i="37"/>
  <c r="AF768" i="37"/>
  <c r="AF769" i="37"/>
  <c r="AF780" i="37" s="1"/>
  <c r="AF770" i="37"/>
  <c r="AF771" i="37"/>
  <c r="AF772" i="37"/>
  <c r="AH767" i="37"/>
  <c r="AH768" i="37"/>
  <c r="AH769" i="37"/>
  <c r="AH780" i="37" s="1"/>
  <c r="AH770" i="37"/>
  <c r="AH771" i="37"/>
  <c r="AH772" i="37"/>
  <c r="AJ767" i="37"/>
  <c r="AJ768" i="37"/>
  <c r="AJ769" i="37"/>
  <c r="AJ780" i="37" s="1"/>
  <c r="AJ770" i="37"/>
  <c r="AJ771" i="37"/>
  <c r="AJ772" i="37"/>
  <c r="AL767" i="37"/>
  <c r="AL768" i="37"/>
  <c r="AL769" i="37"/>
  <c r="AL780" i="37" s="1"/>
  <c r="AL770" i="37"/>
  <c r="AL771" i="37"/>
  <c r="AL772" i="37"/>
  <c r="AN767" i="37"/>
  <c r="AN768" i="37"/>
  <c r="AN769" i="37"/>
  <c r="AN780" i="37" s="1"/>
  <c r="AN770" i="37"/>
  <c r="AN771" i="37"/>
  <c r="AN772" i="37"/>
  <c r="AP767" i="37"/>
  <c r="AP768" i="37"/>
  <c r="AP769" i="37"/>
  <c r="AP780" i="37" s="1"/>
  <c r="AP770" i="37"/>
  <c r="AP771" i="37"/>
  <c r="AP772" i="37"/>
  <c r="AR767" i="37"/>
  <c r="AR768" i="37"/>
  <c r="AR769" i="37"/>
  <c r="AR780" i="37" s="1"/>
  <c r="AR770" i="37"/>
  <c r="AR771" i="37"/>
  <c r="AR772" i="37"/>
  <c r="AK3" i="37"/>
  <c r="AO3" i="37"/>
  <c r="AB4" i="37"/>
  <c r="AK4" i="37"/>
  <c r="AK15" i="37" s="1"/>
  <c r="AO4" i="37"/>
  <c r="AO15" i="37" s="1"/>
  <c r="AB5" i="37"/>
  <c r="AC5" i="37" s="1"/>
  <c r="AD5" i="37" s="1"/>
  <c r="AE5" i="37" s="1"/>
  <c r="AF5" i="37" s="1"/>
  <c r="AG5" i="37" s="1"/>
  <c r="AH5" i="37" s="1"/>
  <c r="AI5" i="37" s="1"/>
  <c r="AK5" i="37"/>
  <c r="AO5" i="37"/>
  <c r="AB6" i="37"/>
  <c r="AC6" i="37" s="1"/>
  <c r="AD6" i="37" s="1"/>
  <c r="AE6" i="37" s="1"/>
  <c r="AF6" i="37" s="1"/>
  <c r="AG6" i="37" s="1"/>
  <c r="AH6" i="37" s="1"/>
  <c r="AI6" i="37" s="1"/>
  <c r="AJ6" i="37" s="1"/>
  <c r="AK6" i="37"/>
  <c r="AO6" i="37"/>
  <c r="AB7" i="37"/>
  <c r="AC7" i="37" s="1"/>
  <c r="AD7" i="37" s="1"/>
  <c r="AE7" i="37" s="1"/>
  <c r="AF7" i="37" s="1"/>
  <c r="AG7" i="37" s="1"/>
  <c r="AH7" i="37" s="1"/>
  <c r="AI7" i="37" s="1"/>
  <c r="AK7" i="37"/>
  <c r="AO7" i="37"/>
  <c r="AB8" i="37"/>
  <c r="AK8" i="37"/>
  <c r="AO8" i="37"/>
  <c r="AB9" i="37"/>
  <c r="AC9" i="37" s="1"/>
  <c r="AD9" i="37" s="1"/>
  <c r="AE9" i="37" s="1"/>
  <c r="AF9" i="37" s="1"/>
  <c r="AG9" i="37" s="1"/>
  <c r="AH9" i="37" s="1"/>
  <c r="AI9" i="37" s="1"/>
  <c r="AK9" i="37"/>
  <c r="AO9" i="37"/>
  <c r="AB10" i="37"/>
  <c r="AC10" i="37" s="1"/>
  <c r="AD10" i="37" s="1"/>
  <c r="AE10" i="37" s="1"/>
  <c r="AF10" i="37" s="1"/>
  <c r="AG10" i="37" s="1"/>
  <c r="AH10" i="37" s="1"/>
  <c r="AI10" i="37" s="1"/>
  <c r="AJ10" i="37" s="1"/>
  <c r="AK10" i="37"/>
  <c r="AO10" i="37"/>
  <c r="AO772" i="37"/>
  <c r="AK772" i="37"/>
  <c r="AG772" i="37"/>
  <c r="AC772" i="37"/>
  <c r="AO771" i="37"/>
  <c r="AK771" i="37"/>
  <c r="AG771" i="37"/>
  <c r="AC771" i="37"/>
  <c r="AO770" i="37"/>
  <c r="AK770" i="37"/>
  <c r="AG770" i="37"/>
  <c r="AC770" i="37"/>
  <c r="AO769" i="37"/>
  <c r="AO780" i="37" s="1"/>
  <c r="AK769" i="37"/>
  <c r="AK780" i="37" s="1"/>
  <c r="AG769" i="37"/>
  <c r="AG780" i="37" s="1"/>
  <c r="AC769" i="37"/>
  <c r="AC780" i="37" s="1"/>
  <c r="AO768" i="37"/>
  <c r="AK768" i="37"/>
  <c r="AG768" i="37"/>
  <c r="AC768" i="37"/>
  <c r="AO767" i="37"/>
  <c r="AK767" i="37"/>
  <c r="AG767" i="37"/>
  <c r="AC767" i="37"/>
  <c r="AR10" i="37"/>
  <c r="AR9" i="37"/>
  <c r="AR8" i="37"/>
  <c r="AR7" i="37"/>
  <c r="AR6" i="37"/>
  <c r="AR5" i="37"/>
  <c r="AR4" i="37"/>
  <c r="AR15" i="37" s="1"/>
  <c r="AR3" i="37"/>
  <c r="AP10" i="37"/>
  <c r="AP9" i="37"/>
  <c r="AP8" i="37"/>
  <c r="AP7" i="37"/>
  <c r="AP6" i="37"/>
  <c r="AP5" i="37"/>
  <c r="AP4" i="37"/>
  <c r="AP15" i="37" s="1"/>
  <c r="AP3" i="37"/>
  <c r="AN10" i="37"/>
  <c r="AN9" i="37"/>
  <c r="AN8" i="37"/>
  <c r="AN7" i="37"/>
  <c r="AN6" i="37"/>
  <c r="AN5" i="37"/>
  <c r="AN4" i="37"/>
  <c r="AN15" i="37" s="1"/>
  <c r="AN3" i="37"/>
  <c r="AL10" i="37"/>
  <c r="AL9" i="37"/>
  <c r="AL8" i="37"/>
  <c r="AL7" i="37"/>
  <c r="AL6" i="37"/>
  <c r="AL5" i="37"/>
  <c r="AL4" i="37"/>
  <c r="AL15" i="37" s="1"/>
  <c r="AL3" i="37"/>
  <c r="AJ9" i="37"/>
  <c r="AJ7" i="37"/>
  <c r="AJ5" i="37"/>
  <c r="AJ3" i="37"/>
  <c r="AB17" i="37"/>
  <c r="AC17" i="37" s="1"/>
  <c r="AB18" i="37"/>
  <c r="AC18" i="37" s="1"/>
  <c r="AB19" i="37"/>
  <c r="AC19" i="37" s="1"/>
  <c r="AB20" i="37"/>
  <c r="AC20" i="37" s="1"/>
  <c r="AD20" i="37" s="1"/>
  <c r="AE20" i="37" s="1"/>
  <c r="AF20" i="37" s="1"/>
  <c r="AG20" i="37" s="1"/>
  <c r="AH20" i="37" s="1"/>
  <c r="AI20" i="37" s="1"/>
  <c r="AJ20" i="37" s="1"/>
  <c r="AB21" i="37"/>
  <c r="AC21" i="37" s="1"/>
  <c r="AB22" i="37"/>
  <c r="AC22" i="37" s="1"/>
  <c r="AB23" i="37"/>
  <c r="AC23" i="37" s="1"/>
  <c r="AD23" i="37" s="1"/>
  <c r="AE23" i="37" s="1"/>
  <c r="AF23" i="37" s="1"/>
  <c r="AG23" i="37" s="1"/>
  <c r="AH23" i="37" s="1"/>
  <c r="AI23" i="37" s="1"/>
  <c r="AJ23" i="37" s="1"/>
  <c r="AB24" i="37"/>
  <c r="AC24" i="37" s="1"/>
  <c r="AD24" i="37" s="1"/>
  <c r="AE24" i="37" s="1"/>
  <c r="AF24" i="37" s="1"/>
  <c r="AG24" i="37" s="1"/>
  <c r="AH24" i="37" s="1"/>
  <c r="AI24" i="37" s="1"/>
  <c r="AJ24" i="37" s="1"/>
  <c r="AB25" i="37"/>
  <c r="AC25" i="37" s="1"/>
  <c r="AD25" i="37" s="1"/>
  <c r="AE25" i="37" s="1"/>
  <c r="AF25" i="37" s="1"/>
  <c r="AG25" i="37" s="1"/>
  <c r="AH25" i="37" s="1"/>
  <c r="AI25" i="37" s="1"/>
  <c r="AJ25" i="37" s="1"/>
  <c r="AB26" i="37"/>
  <c r="AC26" i="37" s="1"/>
  <c r="AD26" i="37" s="1"/>
  <c r="AE26" i="37" s="1"/>
  <c r="AF26" i="37" s="1"/>
  <c r="AG26" i="37" s="1"/>
  <c r="AH26" i="37" s="1"/>
  <c r="AI26" i="37" s="1"/>
  <c r="AJ26" i="37" s="1"/>
  <c r="AD17" i="37"/>
  <c r="AE17" i="37" s="1"/>
  <c r="AD18" i="37"/>
  <c r="AE18" i="37" s="1"/>
  <c r="AD21" i="37"/>
  <c r="AE21" i="37" s="1"/>
  <c r="AD22" i="37"/>
  <c r="AE22" i="37" s="1"/>
  <c r="AF22" i="37" s="1"/>
  <c r="AG22" i="37" s="1"/>
  <c r="AH22" i="37" s="1"/>
  <c r="AI22" i="37" s="1"/>
  <c r="AJ22" i="37" s="1"/>
  <c r="AF17" i="37"/>
  <c r="AG17" i="37" s="1"/>
  <c r="AH17" i="37" s="1"/>
  <c r="AI17" i="37" s="1"/>
  <c r="AJ17" i="37" s="1"/>
  <c r="AF18" i="37"/>
  <c r="AG18" i="37" s="1"/>
  <c r="AH18" i="37" s="1"/>
  <c r="AI18" i="37" s="1"/>
  <c r="AF21" i="37"/>
  <c r="AG21" i="37" s="1"/>
  <c r="AH21" i="37" s="1"/>
  <c r="AI21" i="37" s="1"/>
  <c r="AJ21" i="37" s="1"/>
  <c r="AJ18" i="37"/>
  <c r="AL17" i="37"/>
  <c r="AL18" i="37"/>
  <c r="AL19" i="37"/>
  <c r="AL30" i="37" s="1"/>
  <c r="AL20" i="37"/>
  <c r="AL21" i="37"/>
  <c r="AL22" i="37"/>
  <c r="AL23" i="37"/>
  <c r="AL24" i="37"/>
  <c r="AL25" i="37"/>
  <c r="AL26" i="37"/>
  <c r="AN17" i="37"/>
  <c r="AN18" i="37"/>
  <c r="AN19" i="37"/>
  <c r="AN30" i="37" s="1"/>
  <c r="AN20" i="37"/>
  <c r="AN21" i="37"/>
  <c r="AN22" i="37"/>
  <c r="AN23" i="37"/>
  <c r="AN24" i="37"/>
  <c r="AN25" i="37"/>
  <c r="AN26" i="37"/>
  <c r="AP17" i="37"/>
  <c r="AP18" i="37"/>
  <c r="AP19" i="37"/>
  <c r="AP30" i="37" s="1"/>
  <c r="AP20" i="37"/>
  <c r="AP21" i="37"/>
  <c r="AP22" i="37"/>
  <c r="AP23" i="37"/>
  <c r="AP24" i="37"/>
  <c r="AP25" i="37"/>
  <c r="AP26" i="37"/>
  <c r="AR17" i="37"/>
  <c r="AR18" i="37"/>
  <c r="AR19" i="37"/>
  <c r="AR30" i="37" s="1"/>
  <c r="AR20" i="37"/>
  <c r="AR21" i="37"/>
  <c r="AR22" i="37"/>
  <c r="AR23" i="37"/>
  <c r="AR24" i="37"/>
  <c r="AR25" i="37"/>
  <c r="AR26" i="37"/>
  <c r="AB32" i="37"/>
  <c r="AB33" i="37"/>
  <c r="AB34" i="37"/>
  <c r="AB35" i="37"/>
  <c r="AB36" i="37"/>
  <c r="AB37" i="37"/>
  <c r="AB38" i="37"/>
  <c r="AB39" i="37"/>
  <c r="AD32" i="37"/>
  <c r="AD33" i="37"/>
  <c r="AD34" i="37"/>
  <c r="AD45" i="37" s="1"/>
  <c r="AD35" i="37"/>
  <c r="AD36" i="37"/>
  <c r="AD37" i="37"/>
  <c r="AD38" i="37"/>
  <c r="AD39" i="37"/>
  <c r="AF32" i="37"/>
  <c r="AF33" i="37"/>
  <c r="AF34" i="37"/>
  <c r="AF45" i="37" s="1"/>
  <c r="AF35" i="37"/>
  <c r="AF36" i="37"/>
  <c r="AF37" i="37"/>
  <c r="AF38" i="37"/>
  <c r="AF39" i="37"/>
  <c r="AH32" i="37"/>
  <c r="AH33" i="37"/>
  <c r="AH34" i="37"/>
  <c r="AH45" i="37" s="1"/>
  <c r="AH35" i="37"/>
  <c r="AH36" i="37"/>
  <c r="AH37" i="37"/>
  <c r="AH38" i="37"/>
  <c r="AH39" i="37"/>
  <c r="AJ32" i="37"/>
  <c r="AJ33" i="37"/>
  <c r="AJ34" i="37"/>
  <c r="AJ45" i="37" s="1"/>
  <c r="AJ35" i="37"/>
  <c r="AJ36" i="37"/>
  <c r="AJ37" i="37"/>
  <c r="AJ38" i="37"/>
  <c r="AJ39" i="37"/>
  <c r="AL32" i="37"/>
  <c r="AL33" i="37"/>
  <c r="AL34" i="37"/>
  <c r="AL45" i="37" s="1"/>
  <c r="AL35" i="37"/>
  <c r="AL36" i="37"/>
  <c r="AL37" i="37"/>
  <c r="AL38" i="37"/>
  <c r="AL39" i="37"/>
  <c r="AN32" i="37"/>
  <c r="AN33" i="37"/>
  <c r="AN34" i="37"/>
  <c r="AN45" i="37" s="1"/>
  <c r="AN35" i="37"/>
  <c r="AN36" i="37"/>
  <c r="AN37" i="37"/>
  <c r="AN38" i="37"/>
  <c r="AN39" i="37"/>
  <c r="AP32" i="37"/>
  <c r="AP33" i="37"/>
  <c r="AP34" i="37"/>
  <c r="AP45" i="37" s="1"/>
  <c r="AP35" i="37"/>
  <c r="AP36" i="37"/>
  <c r="AP37" i="37"/>
  <c r="AP38" i="37"/>
  <c r="AP39" i="37"/>
  <c r="AR32" i="37"/>
  <c r="AR33" i="37"/>
  <c r="AR34" i="37"/>
  <c r="AR35" i="37"/>
  <c r="AR36" i="37"/>
  <c r="AR37" i="37"/>
  <c r="AR38" i="37"/>
  <c r="AR39" i="37"/>
  <c r="AB48" i="37"/>
  <c r="AC48" i="37" s="1"/>
  <c r="AD48" i="37" s="1"/>
  <c r="AE48" i="37" s="1"/>
  <c r="AB50" i="37"/>
  <c r="AC50" i="37" s="1"/>
  <c r="AD50" i="37" s="1"/>
  <c r="AE50" i="37" s="1"/>
  <c r="AB52" i="37"/>
  <c r="AC52" i="37" s="1"/>
  <c r="AD52" i="37" s="1"/>
  <c r="AE52" i="37" s="1"/>
  <c r="AB54" i="37"/>
  <c r="AC54" i="37" s="1"/>
  <c r="AD54" i="37" s="1"/>
  <c r="AE54" i="37" s="1"/>
  <c r="AB56" i="37"/>
  <c r="AC56" i="37" s="1"/>
  <c r="AD56" i="37" s="1"/>
  <c r="AE56" i="37" s="1"/>
  <c r="AB47" i="37"/>
  <c r="AC47" i="37" s="1"/>
  <c r="AD47" i="37" s="1"/>
  <c r="AE47" i="37" s="1"/>
  <c r="AB49" i="37"/>
  <c r="AC49" i="37" s="1"/>
  <c r="AB51" i="37"/>
  <c r="AC51" i="37" s="1"/>
  <c r="AD51" i="37" s="1"/>
  <c r="AE51" i="37" s="1"/>
  <c r="AF51" i="37" s="1"/>
  <c r="AG51" i="37" s="1"/>
  <c r="AH51" i="37" s="1"/>
  <c r="AI51" i="37" s="1"/>
  <c r="AJ51" i="37" s="1"/>
  <c r="AB53" i="37"/>
  <c r="AC53" i="37" s="1"/>
  <c r="AD53" i="37" s="1"/>
  <c r="AE53" i="37" s="1"/>
  <c r="AF53" i="37" s="1"/>
  <c r="AG53" i="37" s="1"/>
  <c r="AB55" i="37"/>
  <c r="AC55" i="37" s="1"/>
  <c r="AD55" i="37" s="1"/>
  <c r="AE55" i="37" s="1"/>
  <c r="AF55" i="37" s="1"/>
  <c r="AG55" i="37" s="1"/>
  <c r="AH55" i="37" s="1"/>
  <c r="AI55" i="37" s="1"/>
  <c r="AJ55" i="37" s="1"/>
  <c r="AF48" i="37"/>
  <c r="AG48" i="37" s="1"/>
  <c r="AH48" i="37" s="1"/>
  <c r="AI48" i="37" s="1"/>
  <c r="AJ48" i="37" s="1"/>
  <c r="AF50" i="37"/>
  <c r="AG50" i="37" s="1"/>
  <c r="AH50" i="37" s="1"/>
  <c r="AI50" i="37" s="1"/>
  <c r="AJ50" i="37" s="1"/>
  <c r="AF52" i="37"/>
  <c r="AG52" i="37" s="1"/>
  <c r="AH52" i="37" s="1"/>
  <c r="AI52" i="37" s="1"/>
  <c r="AJ52" i="37" s="1"/>
  <c r="AF54" i="37"/>
  <c r="AG54" i="37" s="1"/>
  <c r="AH54" i="37" s="1"/>
  <c r="AI54" i="37" s="1"/>
  <c r="AJ54" i="37" s="1"/>
  <c r="AF56" i="37"/>
  <c r="AG56" i="37" s="1"/>
  <c r="AH56" i="37" s="1"/>
  <c r="AI56" i="37" s="1"/>
  <c r="AJ56" i="37" s="1"/>
  <c r="AF47" i="37"/>
  <c r="AG47" i="37" s="1"/>
  <c r="AH47" i="37" s="1"/>
  <c r="AI47" i="37" s="1"/>
  <c r="AJ47" i="37" s="1"/>
  <c r="AH53" i="37"/>
  <c r="AI53" i="37" s="1"/>
  <c r="AJ53" i="37" s="1"/>
  <c r="AL47" i="37"/>
  <c r="AL49" i="37"/>
  <c r="AL60" i="37" s="1"/>
  <c r="AL51" i="37"/>
  <c r="AL53" i="37"/>
  <c r="AL55" i="37"/>
  <c r="AL48" i="37"/>
  <c r="AL50" i="37"/>
  <c r="AL52" i="37"/>
  <c r="AL54" i="37"/>
  <c r="AL56" i="37"/>
  <c r="AN48" i="37"/>
  <c r="AN50" i="37"/>
  <c r="AN52" i="37"/>
  <c r="AN54" i="37"/>
  <c r="AN56" i="37"/>
  <c r="AN47" i="37"/>
  <c r="AN49" i="37"/>
  <c r="AN60" i="37" s="1"/>
  <c r="AN51" i="37"/>
  <c r="AN53" i="37"/>
  <c r="AN55" i="37"/>
  <c r="AP47" i="37"/>
  <c r="AP49" i="37"/>
  <c r="AP60" i="37" s="1"/>
  <c r="AP51" i="37"/>
  <c r="AP53" i="37"/>
  <c r="AP55" i="37"/>
  <c r="AP48" i="37"/>
  <c r="AP50" i="37"/>
  <c r="AP52" i="37"/>
  <c r="AP54" i="37"/>
  <c r="AP56" i="37"/>
  <c r="AR48" i="37"/>
  <c r="AR50" i="37"/>
  <c r="AR52" i="37"/>
  <c r="AR54" i="37"/>
  <c r="AR56" i="37"/>
  <c r="AR47" i="37"/>
  <c r="AR49" i="37"/>
  <c r="AR60" i="37" s="1"/>
  <c r="AR51" i="37"/>
  <c r="AR53" i="37"/>
  <c r="AR55" i="37"/>
  <c r="AB62" i="37"/>
  <c r="AC62" i="37" s="1"/>
  <c r="AD62" i="37" s="1"/>
  <c r="AE62" i="37" s="1"/>
  <c r="AB63" i="37"/>
  <c r="AC63" i="37" s="1"/>
  <c r="AD63" i="37" s="1"/>
  <c r="AE63" i="37" s="1"/>
  <c r="AB64" i="37"/>
  <c r="AC64" i="37" s="1"/>
  <c r="AB65" i="37"/>
  <c r="AC65" i="37" s="1"/>
  <c r="AD65" i="37" s="1"/>
  <c r="AE65" i="37" s="1"/>
  <c r="AF65" i="37" s="1"/>
  <c r="AG65" i="37" s="1"/>
  <c r="AH65" i="37" s="1"/>
  <c r="AI65" i="37" s="1"/>
  <c r="AJ65" i="37" s="1"/>
  <c r="AB66" i="37"/>
  <c r="AC66" i="37" s="1"/>
  <c r="AD66" i="37" s="1"/>
  <c r="AE66" i="37" s="1"/>
  <c r="AB67" i="37"/>
  <c r="AC67" i="37" s="1"/>
  <c r="AD67" i="37" s="1"/>
  <c r="AE67" i="37" s="1"/>
  <c r="AF67" i="37" s="1"/>
  <c r="AG67" i="37" s="1"/>
  <c r="AH67" i="37" s="1"/>
  <c r="AI67" i="37" s="1"/>
  <c r="AJ67" i="37" s="1"/>
  <c r="AB68" i="37"/>
  <c r="AC68" i="37" s="1"/>
  <c r="AD68" i="37" s="1"/>
  <c r="AE68" i="37" s="1"/>
  <c r="AF68" i="37" s="1"/>
  <c r="AG68" i="37" s="1"/>
  <c r="AH68" i="37" s="1"/>
  <c r="AI68" i="37" s="1"/>
  <c r="AJ68" i="37" s="1"/>
  <c r="AB69" i="37"/>
  <c r="AC69" i="37" s="1"/>
  <c r="AD69" i="37" s="1"/>
  <c r="AE69" i="37" s="1"/>
  <c r="AF69" i="37" s="1"/>
  <c r="AG69" i="37" s="1"/>
  <c r="AH69" i="37" s="1"/>
  <c r="AI69" i="37" s="1"/>
  <c r="AJ69" i="37" s="1"/>
  <c r="AF62" i="37"/>
  <c r="AG62" i="37" s="1"/>
  <c r="AH62" i="37" s="1"/>
  <c r="AI62" i="37" s="1"/>
  <c r="AJ62" i="37" s="1"/>
  <c r="AF63" i="37"/>
  <c r="AG63" i="37" s="1"/>
  <c r="AH63" i="37" s="1"/>
  <c r="AI63" i="37" s="1"/>
  <c r="AJ63" i="37" s="1"/>
  <c r="AF66" i="37"/>
  <c r="AG66" i="37" s="1"/>
  <c r="AH66" i="37" s="1"/>
  <c r="AI66" i="37" s="1"/>
  <c r="AJ66" i="37" s="1"/>
  <c r="AL62" i="37"/>
  <c r="AL63" i="37"/>
  <c r="AL64" i="37"/>
  <c r="AL75" i="37" s="1"/>
  <c r="AL65" i="37"/>
  <c r="AL66" i="37"/>
  <c r="AL67" i="37"/>
  <c r="AL68" i="37"/>
  <c r="AL69" i="37"/>
  <c r="AN62" i="37"/>
  <c r="AN63" i="37"/>
  <c r="AN64" i="37"/>
  <c r="AN75" i="37" s="1"/>
  <c r="AN65" i="37"/>
  <c r="AN66" i="37"/>
  <c r="AN67" i="37"/>
  <c r="AN68" i="37"/>
  <c r="AN69" i="37"/>
  <c r="AP62" i="37"/>
  <c r="AP63" i="37"/>
  <c r="AP64" i="37"/>
  <c r="AP75" i="37" s="1"/>
  <c r="AP65" i="37"/>
  <c r="AP66" i="37"/>
  <c r="AP67" i="37"/>
  <c r="AP68" i="37"/>
  <c r="AP69" i="37"/>
  <c r="AR62" i="37"/>
  <c r="AR63" i="37"/>
  <c r="AR64" i="37"/>
  <c r="AR75" i="37" s="1"/>
  <c r="AR65" i="37"/>
  <c r="AR66" i="37"/>
  <c r="AR67" i="37"/>
  <c r="AR68" i="37"/>
  <c r="AR69" i="37"/>
  <c r="AB78" i="37"/>
  <c r="AC78" i="37" s="1"/>
  <c r="AD78" i="37" s="1"/>
  <c r="AE78" i="37" s="1"/>
  <c r="AF78" i="37" s="1"/>
  <c r="AG78" i="37" s="1"/>
  <c r="AH78" i="37" s="1"/>
  <c r="AI78" i="37" s="1"/>
  <c r="AJ78" i="37" s="1"/>
  <c r="AB80" i="37"/>
  <c r="AC80" i="37" s="1"/>
  <c r="AD80" i="37" s="1"/>
  <c r="AE80" i="37" s="1"/>
  <c r="AF80" i="37" s="1"/>
  <c r="AG80" i="37" s="1"/>
  <c r="AH80" i="37" s="1"/>
  <c r="AI80" i="37" s="1"/>
  <c r="AJ80" i="37" s="1"/>
  <c r="AB82" i="37"/>
  <c r="AC82" i="37" s="1"/>
  <c r="AD82" i="37" s="1"/>
  <c r="AE82" i="37" s="1"/>
  <c r="AF82" i="37" s="1"/>
  <c r="AG82" i="37" s="1"/>
  <c r="AH82" i="37" s="1"/>
  <c r="AI82" i="37" s="1"/>
  <c r="AJ82" i="37" s="1"/>
  <c r="AB84" i="37"/>
  <c r="AC84" i="37" s="1"/>
  <c r="AD84" i="37" s="1"/>
  <c r="AE84" i="37" s="1"/>
  <c r="AF84" i="37" s="1"/>
  <c r="AG84" i="37" s="1"/>
  <c r="AH84" i="37" s="1"/>
  <c r="AI84" i="37" s="1"/>
  <c r="AJ84" i="37" s="1"/>
  <c r="AB77" i="37"/>
  <c r="AC77" i="37" s="1"/>
  <c r="AD77" i="37" s="1"/>
  <c r="AE77" i="37" s="1"/>
  <c r="AF77" i="37" s="1"/>
  <c r="AG77" i="37" s="1"/>
  <c r="AH77" i="37" s="1"/>
  <c r="AI77" i="37" s="1"/>
  <c r="AJ77" i="37" s="1"/>
  <c r="AB79" i="37"/>
  <c r="AC79" i="37" s="1"/>
  <c r="AD79" i="37" s="1"/>
  <c r="AB81" i="37"/>
  <c r="AC81" i="37" s="1"/>
  <c r="AD81" i="37" s="1"/>
  <c r="AE81" i="37" s="1"/>
  <c r="AF81" i="37" s="1"/>
  <c r="AG81" i="37" s="1"/>
  <c r="AH81" i="37" s="1"/>
  <c r="AI81" i="37" s="1"/>
  <c r="AJ81" i="37" s="1"/>
  <c r="AB83" i="37"/>
  <c r="AC83" i="37" s="1"/>
  <c r="AD83" i="37" s="1"/>
  <c r="AE83" i="37" s="1"/>
  <c r="AF83" i="37" s="1"/>
  <c r="AG83" i="37" s="1"/>
  <c r="AH83" i="37" s="1"/>
  <c r="AI83" i="37" s="1"/>
  <c r="AJ83" i="37" s="1"/>
  <c r="AL77" i="37"/>
  <c r="AL79" i="37"/>
  <c r="AL90" i="37" s="1"/>
  <c r="AL81" i="37"/>
  <c r="AL83" i="37"/>
  <c r="AL78" i="37"/>
  <c r="AL80" i="37"/>
  <c r="AL82" i="37"/>
  <c r="AL84" i="37"/>
  <c r="AN78" i="37"/>
  <c r="AN80" i="37"/>
  <c r="AN82" i="37"/>
  <c r="AN84" i="37"/>
  <c r="AN77" i="37"/>
  <c r="AN79" i="37"/>
  <c r="AN90" i="37" s="1"/>
  <c r="AN81" i="37"/>
  <c r="AN83" i="37"/>
  <c r="AP77" i="37"/>
  <c r="AP79" i="37"/>
  <c r="AP90" i="37" s="1"/>
  <c r="AP81" i="37"/>
  <c r="AP83" i="37"/>
  <c r="AP78" i="37"/>
  <c r="AP80" i="37"/>
  <c r="AP82" i="37"/>
  <c r="AP84" i="37"/>
  <c r="AR78" i="37"/>
  <c r="AR80" i="37"/>
  <c r="AR82" i="37"/>
  <c r="AR84" i="37"/>
  <c r="AR77" i="37"/>
  <c r="AR79" i="37"/>
  <c r="AR90" i="37" s="1"/>
  <c r="AR81" i="37"/>
  <c r="AR83" i="37"/>
  <c r="AB92" i="37"/>
  <c r="AC92" i="37" s="1"/>
  <c r="AD92" i="37" s="1"/>
  <c r="AE92" i="37" s="1"/>
  <c r="AF92" i="37" s="1"/>
  <c r="AG92" i="37" s="1"/>
  <c r="AH92" i="37" s="1"/>
  <c r="AI92" i="37" s="1"/>
  <c r="AB93" i="37"/>
  <c r="AC93" i="37" s="1"/>
  <c r="AD93" i="37" s="1"/>
  <c r="AE93" i="37" s="1"/>
  <c r="AB94" i="37"/>
  <c r="AC94" i="37" s="1"/>
  <c r="AB95" i="37"/>
  <c r="AC95" i="37" s="1"/>
  <c r="AD95" i="37" s="1"/>
  <c r="AE95" i="37" s="1"/>
  <c r="AF95" i="37" s="1"/>
  <c r="AG95" i="37" s="1"/>
  <c r="AH95" i="37" s="1"/>
  <c r="AI95" i="37" s="1"/>
  <c r="AB96" i="37"/>
  <c r="AC96" i="37" s="1"/>
  <c r="AD96" i="37" s="1"/>
  <c r="AE96" i="37" s="1"/>
  <c r="AF96" i="37" s="1"/>
  <c r="AG96" i="37" s="1"/>
  <c r="AH96" i="37" s="1"/>
  <c r="AI96" i="37" s="1"/>
  <c r="AB97" i="37"/>
  <c r="AC97" i="37" s="1"/>
  <c r="AD97" i="37" s="1"/>
  <c r="AE97" i="37" s="1"/>
  <c r="AF97" i="37" s="1"/>
  <c r="AG97" i="37" s="1"/>
  <c r="AH97" i="37" s="1"/>
  <c r="AI97" i="37" s="1"/>
  <c r="AB98" i="37"/>
  <c r="AC98" i="37" s="1"/>
  <c r="AD98" i="37" s="1"/>
  <c r="AE98" i="37" s="1"/>
  <c r="AF98" i="37" s="1"/>
  <c r="AG98" i="37" s="1"/>
  <c r="AH98" i="37" s="1"/>
  <c r="AI98" i="37" s="1"/>
  <c r="AJ98" i="37" s="1"/>
  <c r="AF93" i="37"/>
  <c r="AG93" i="37" s="1"/>
  <c r="AH93" i="37" s="1"/>
  <c r="AI93" i="37" s="1"/>
  <c r="AJ93" i="37" s="1"/>
  <c r="AJ92" i="37"/>
  <c r="AJ95" i="37"/>
  <c r="AJ96" i="37"/>
  <c r="AJ97" i="37"/>
  <c r="AL92" i="37"/>
  <c r="AL93" i="37"/>
  <c r="AL94" i="37"/>
  <c r="AL105" i="37" s="1"/>
  <c r="AL95" i="37"/>
  <c r="AL96" i="37"/>
  <c r="AL97" i="37"/>
  <c r="AL98" i="37"/>
  <c r="AN92" i="37"/>
  <c r="AN93" i="37"/>
  <c r="AN94" i="37"/>
  <c r="AN105" i="37" s="1"/>
  <c r="AN95" i="37"/>
  <c r="AN96" i="37"/>
  <c r="AN97" i="37"/>
  <c r="AN98" i="37"/>
  <c r="AP92" i="37"/>
  <c r="AP93" i="37"/>
  <c r="AP94" i="37"/>
  <c r="AP105" i="37" s="1"/>
  <c r="AP95" i="37"/>
  <c r="AP96" i="37"/>
  <c r="AP97" i="37"/>
  <c r="AP98" i="37"/>
  <c r="AR92" i="37"/>
  <c r="AR93" i="37"/>
  <c r="AR94" i="37"/>
  <c r="AR105" i="37" s="1"/>
  <c r="AR95" i="37"/>
  <c r="AR96" i="37"/>
  <c r="AR97" i="37"/>
  <c r="AR98" i="37"/>
  <c r="AB107" i="37"/>
  <c r="AB109" i="37"/>
  <c r="AB111" i="37"/>
  <c r="AB108" i="37"/>
  <c r="AB110" i="37"/>
  <c r="AD108" i="37"/>
  <c r="AD110" i="37"/>
  <c r="AD107" i="37"/>
  <c r="AD109" i="37"/>
  <c r="AD120" i="37" s="1"/>
  <c r="AD111" i="37"/>
  <c r="AF107" i="37"/>
  <c r="AF109" i="37"/>
  <c r="AF120" i="37" s="1"/>
  <c r="AF111" i="37"/>
  <c r="AF108" i="37"/>
  <c r="AF110" i="37"/>
  <c r="AH108" i="37"/>
  <c r="AH110" i="37"/>
  <c r="AH107" i="37"/>
  <c r="AH109" i="37"/>
  <c r="AH120" i="37" s="1"/>
  <c r="AH111" i="37"/>
  <c r="AJ107" i="37"/>
  <c r="AJ109" i="37"/>
  <c r="AJ120" i="37" s="1"/>
  <c r="AJ111" i="37"/>
  <c r="AJ108" i="37"/>
  <c r="AJ110" i="37"/>
  <c r="AL108" i="37"/>
  <c r="AL110" i="37"/>
  <c r="AL107" i="37"/>
  <c r="AL109" i="37"/>
  <c r="AL120" i="37" s="1"/>
  <c r="AL111" i="37"/>
  <c r="AN107" i="37"/>
  <c r="AN109" i="37"/>
  <c r="AN120" i="37" s="1"/>
  <c r="AN111" i="37"/>
  <c r="AN108" i="37"/>
  <c r="AN110" i="37"/>
  <c r="AP108" i="37"/>
  <c r="AP110" i="37"/>
  <c r="AP107" i="37"/>
  <c r="AP109" i="37"/>
  <c r="AP120" i="37" s="1"/>
  <c r="AP111" i="37"/>
  <c r="AR107" i="37"/>
  <c r="AR109" i="37"/>
  <c r="AR120" i="37" s="1"/>
  <c r="AR111" i="37"/>
  <c r="AR108" i="37"/>
  <c r="AR110" i="37"/>
  <c r="AB122" i="37"/>
  <c r="AB123" i="37"/>
  <c r="AB124" i="37"/>
  <c r="AB125" i="37"/>
  <c r="AB126" i="37"/>
  <c r="AB127" i="37"/>
  <c r="AB128" i="37"/>
  <c r="AB129" i="37"/>
  <c r="AB130" i="37"/>
  <c r="AD122" i="37"/>
  <c r="AD123" i="37"/>
  <c r="AD124" i="37"/>
  <c r="AD135" i="37" s="1"/>
  <c r="AD125" i="37"/>
  <c r="AD126" i="37"/>
  <c r="AD127" i="37"/>
  <c r="AD128" i="37"/>
  <c r="AD129" i="37"/>
  <c r="AD130" i="37"/>
  <c r="AF122" i="37"/>
  <c r="AF123" i="37"/>
  <c r="AF124" i="37"/>
  <c r="AF135" i="37" s="1"/>
  <c r="AF125" i="37"/>
  <c r="AF126" i="37"/>
  <c r="AF127" i="37"/>
  <c r="AF128" i="37"/>
  <c r="AF129" i="37"/>
  <c r="AF130" i="37"/>
  <c r="AH122" i="37"/>
  <c r="AH123" i="37"/>
  <c r="AH124" i="37"/>
  <c r="AH135" i="37" s="1"/>
  <c r="AH125" i="37"/>
  <c r="AH126" i="37"/>
  <c r="AH127" i="37"/>
  <c r="AH128" i="37"/>
  <c r="AH129" i="37"/>
  <c r="AH130" i="37"/>
  <c r="AJ122" i="37"/>
  <c r="AJ123" i="37"/>
  <c r="AJ124" i="37"/>
  <c r="AJ135" i="37" s="1"/>
  <c r="AJ125" i="37"/>
  <c r="AJ126" i="37"/>
  <c r="AJ127" i="37"/>
  <c r="AJ128" i="37"/>
  <c r="AJ129" i="37"/>
  <c r="AJ130" i="37"/>
  <c r="AL122" i="37"/>
  <c r="AL123" i="37"/>
  <c r="AL124" i="37"/>
  <c r="AL135" i="37" s="1"/>
  <c r="AL125" i="37"/>
  <c r="AL126" i="37"/>
  <c r="AL127" i="37"/>
  <c r="AL128" i="37"/>
  <c r="AL129" i="37"/>
  <c r="AL130" i="37"/>
  <c r="AN122" i="37"/>
  <c r="AN123" i="37"/>
  <c r="AN124" i="37"/>
  <c r="AN135" i="37" s="1"/>
  <c r="AN125" i="37"/>
  <c r="AN126" i="37"/>
  <c r="AN127" i="37"/>
  <c r="AN128" i="37"/>
  <c r="AN129" i="37"/>
  <c r="AN130" i="37"/>
  <c r="AP122" i="37"/>
  <c r="AP123" i="37"/>
  <c r="AP124" i="37"/>
  <c r="AP135" i="37" s="1"/>
  <c r="AP125" i="37"/>
  <c r="AP126" i="37"/>
  <c r="AP127" i="37"/>
  <c r="AP128" i="37"/>
  <c r="AP129" i="37"/>
  <c r="AP130" i="37"/>
  <c r="AR122" i="37"/>
  <c r="AR123" i="37"/>
  <c r="AR124" i="37"/>
  <c r="AR135" i="37" s="1"/>
  <c r="AR125" i="37"/>
  <c r="AR126" i="37"/>
  <c r="AR127" i="37"/>
  <c r="AR128" i="37"/>
  <c r="AR129" i="37"/>
  <c r="AR130" i="37"/>
  <c r="AB137" i="37"/>
  <c r="AB139" i="37"/>
  <c r="AB141" i="37"/>
  <c r="AB143" i="37"/>
  <c r="AB138" i="37"/>
  <c r="AB140" i="37"/>
  <c r="AB142" i="37"/>
  <c r="AB144" i="37"/>
  <c r="AB145" i="37"/>
  <c r="AD138" i="37"/>
  <c r="AD140" i="37"/>
  <c r="AD142" i="37"/>
  <c r="AD144" i="37"/>
  <c r="AD137" i="37"/>
  <c r="AD139" i="37"/>
  <c r="AD150" i="37" s="1"/>
  <c r="AD141" i="37"/>
  <c r="AD143" i="37"/>
  <c r="AD145" i="37"/>
  <c r="AF137" i="37"/>
  <c r="AF139" i="37"/>
  <c r="AF150" i="37" s="1"/>
  <c r="AF141" i="37"/>
  <c r="AF143" i="37"/>
  <c r="AF138" i="37"/>
  <c r="AF140" i="37"/>
  <c r="AF142" i="37"/>
  <c r="AF144" i="37"/>
  <c r="AF145" i="37"/>
  <c r="AH138" i="37"/>
  <c r="AH140" i="37"/>
  <c r="AH142" i="37"/>
  <c r="AH145" i="37"/>
  <c r="AH137" i="37"/>
  <c r="AH139" i="37"/>
  <c r="AH150" i="37" s="1"/>
  <c r="AH141" i="37"/>
  <c r="AH143" i="37"/>
  <c r="AH144" i="37"/>
  <c r="AJ137" i="37"/>
  <c r="AJ139" i="37"/>
  <c r="AJ150" i="37" s="1"/>
  <c r="AJ141" i="37"/>
  <c r="AJ143" i="37"/>
  <c r="AJ144" i="37"/>
  <c r="AJ138" i="37"/>
  <c r="AJ140" i="37"/>
  <c r="AJ142" i="37"/>
  <c r="AJ145" i="37"/>
  <c r="AL138" i="37"/>
  <c r="AL140" i="37"/>
  <c r="AL142" i="37"/>
  <c r="AL137" i="37"/>
  <c r="AL139" i="37"/>
  <c r="AL150" i="37" s="1"/>
  <c r="AL141" i="37"/>
  <c r="AL143" i="37"/>
  <c r="AL145" i="37"/>
  <c r="AL144" i="37"/>
  <c r="AN137" i="37"/>
  <c r="AN139" i="37"/>
  <c r="AN150" i="37" s="1"/>
  <c r="AN141" i="37"/>
  <c r="AN143" i="37"/>
  <c r="AN138" i="37"/>
  <c r="AN140" i="37"/>
  <c r="AN142" i="37"/>
  <c r="AN144" i="37"/>
  <c r="AN145" i="37"/>
  <c r="AP138" i="37"/>
  <c r="AP140" i="37"/>
  <c r="AP142" i="37"/>
  <c r="AP145" i="37"/>
  <c r="AP137" i="37"/>
  <c r="AP139" i="37"/>
  <c r="AP150" i="37" s="1"/>
  <c r="AP141" i="37"/>
  <c r="AP143" i="37"/>
  <c r="AP144" i="37"/>
  <c r="AR137" i="37"/>
  <c r="AR139" i="37"/>
  <c r="AR150" i="37" s="1"/>
  <c r="AR141" i="37"/>
  <c r="AR143" i="37"/>
  <c r="AR144" i="37"/>
  <c r="AR138" i="37"/>
  <c r="AR140" i="37"/>
  <c r="AR142" i="37"/>
  <c r="AR145" i="37"/>
  <c r="AB152" i="37"/>
  <c r="AB153" i="37"/>
  <c r="AB154" i="37"/>
  <c r="AB155" i="37"/>
  <c r="AB156" i="37"/>
  <c r="AB157" i="37"/>
  <c r="AB158" i="37"/>
  <c r="AB159" i="37"/>
  <c r="AB160" i="37"/>
  <c r="AB161" i="37"/>
  <c r="AD152" i="37"/>
  <c r="AD153" i="37"/>
  <c r="AD154" i="37"/>
  <c r="AD165" i="37" s="1"/>
  <c r="AD155" i="37"/>
  <c r="AD156" i="37"/>
  <c r="AD157" i="37"/>
  <c r="AD158" i="37"/>
  <c r="AD159" i="37"/>
  <c r="AD160" i="37"/>
  <c r="AD161" i="37"/>
  <c r="AF152" i="37"/>
  <c r="AF153" i="37"/>
  <c r="AF154" i="37"/>
  <c r="AF165" i="37" s="1"/>
  <c r="AF155" i="37"/>
  <c r="AF156" i="37"/>
  <c r="AF157" i="37"/>
  <c r="AF158" i="37"/>
  <c r="AF159" i="37"/>
  <c r="AF160" i="37"/>
  <c r="AF161" i="37"/>
  <c r="AH152" i="37"/>
  <c r="AH153" i="37"/>
  <c r="AH154" i="37"/>
  <c r="AH165" i="37" s="1"/>
  <c r="AH155" i="37"/>
  <c r="AH156" i="37"/>
  <c r="AH157" i="37"/>
  <c r="AH158" i="37"/>
  <c r="AH159" i="37"/>
  <c r="AH160" i="37"/>
  <c r="AH161" i="37"/>
  <c r="AJ152" i="37"/>
  <c r="AJ153" i="37"/>
  <c r="AJ154" i="37"/>
  <c r="AJ165" i="37" s="1"/>
  <c r="AJ155" i="37"/>
  <c r="AJ156" i="37"/>
  <c r="AJ157" i="37"/>
  <c r="AJ158" i="37"/>
  <c r="AJ159" i="37"/>
  <c r="AJ160" i="37"/>
  <c r="AJ161" i="37"/>
  <c r="AL152" i="37"/>
  <c r="AL153" i="37"/>
  <c r="AL154" i="37"/>
  <c r="AL165" i="37" s="1"/>
  <c r="AL155" i="37"/>
  <c r="AL156" i="37"/>
  <c r="AL157" i="37"/>
  <c r="AL158" i="37"/>
  <c r="AL159" i="37"/>
  <c r="AL160" i="37"/>
  <c r="AL161" i="37"/>
  <c r="AN152" i="37"/>
  <c r="AN153" i="37"/>
  <c r="AN154" i="37"/>
  <c r="AN165" i="37" s="1"/>
  <c r="AN155" i="37"/>
  <c r="AN156" i="37"/>
  <c r="AN157" i="37"/>
  <c r="AN158" i="37"/>
  <c r="AN159" i="37"/>
  <c r="AN160" i="37"/>
  <c r="AN161" i="37"/>
  <c r="AP152" i="37"/>
  <c r="AP153" i="37"/>
  <c r="AP154" i="37"/>
  <c r="AP165" i="37" s="1"/>
  <c r="AP155" i="37"/>
  <c r="AP156" i="37"/>
  <c r="AP157" i="37"/>
  <c r="AP158" i="37"/>
  <c r="AP159" i="37"/>
  <c r="AP160" i="37"/>
  <c r="AP161" i="37"/>
  <c r="AR152" i="37"/>
  <c r="AR153" i="37"/>
  <c r="AR154" i="37"/>
  <c r="AR165" i="37" s="1"/>
  <c r="AR155" i="37"/>
  <c r="AR156" i="37"/>
  <c r="AR157" i="37"/>
  <c r="AR158" i="37"/>
  <c r="AR159" i="37"/>
  <c r="AR160" i="37"/>
  <c r="AR161" i="37"/>
  <c r="AB182" i="37"/>
  <c r="AC182" i="37" s="1"/>
  <c r="AD182" i="37" s="1"/>
  <c r="AE182" i="37" s="1"/>
  <c r="AF182" i="37" s="1"/>
  <c r="AG182" i="37" s="1"/>
  <c r="AH182" i="37" s="1"/>
  <c r="AI182" i="37" s="1"/>
  <c r="AB183" i="37"/>
  <c r="AC183" i="37" s="1"/>
  <c r="AD183" i="37" s="1"/>
  <c r="AE183" i="37" s="1"/>
  <c r="AF183" i="37" s="1"/>
  <c r="AG183" i="37" s="1"/>
  <c r="AB184" i="37"/>
  <c r="AC184" i="37" s="1"/>
  <c r="AB185" i="37"/>
  <c r="AC185" i="37" s="1"/>
  <c r="AD185" i="37" s="1"/>
  <c r="AE185" i="37" s="1"/>
  <c r="AF185" i="37" s="1"/>
  <c r="AG185" i="37" s="1"/>
  <c r="AH185" i="37" s="1"/>
  <c r="AI185" i="37" s="1"/>
  <c r="AJ185" i="37" s="1"/>
  <c r="AB186" i="37"/>
  <c r="AC186" i="37" s="1"/>
  <c r="AD186" i="37" s="1"/>
  <c r="AE186" i="37" s="1"/>
  <c r="AF186" i="37" s="1"/>
  <c r="AG186" i="37" s="1"/>
  <c r="AH186" i="37" s="1"/>
  <c r="AI186" i="37" s="1"/>
  <c r="AJ186" i="37" s="1"/>
  <c r="AB187" i="37"/>
  <c r="AC187" i="37" s="1"/>
  <c r="AD187" i="37" s="1"/>
  <c r="AE187" i="37" s="1"/>
  <c r="AF187" i="37" s="1"/>
  <c r="AG187" i="37" s="1"/>
  <c r="AH187" i="37" s="1"/>
  <c r="AI187" i="37" s="1"/>
  <c r="AJ187" i="37" s="1"/>
  <c r="AB188" i="37"/>
  <c r="AC188" i="37" s="1"/>
  <c r="AD188" i="37" s="1"/>
  <c r="AE188" i="37" s="1"/>
  <c r="AF188" i="37" s="1"/>
  <c r="AG188" i="37" s="1"/>
  <c r="AH188" i="37" s="1"/>
  <c r="AI188" i="37" s="1"/>
  <c r="AJ188" i="37" s="1"/>
  <c r="AH183" i="37"/>
  <c r="AI183" i="37" s="1"/>
  <c r="AJ182" i="37"/>
  <c r="AJ183" i="37"/>
  <c r="AL182" i="37"/>
  <c r="AL183" i="37"/>
  <c r="AL184" i="37"/>
  <c r="AL195" i="37" s="1"/>
  <c r="AL185" i="37"/>
  <c r="AL186" i="37"/>
  <c r="AL187" i="37"/>
  <c r="AL188" i="37"/>
  <c r="AN182" i="37"/>
  <c r="AN183" i="37"/>
  <c r="AN184" i="37"/>
  <c r="AN195" i="37" s="1"/>
  <c r="AN185" i="37"/>
  <c r="AN186" i="37"/>
  <c r="AN187" i="37"/>
  <c r="AN188" i="37"/>
  <c r="AP182" i="37"/>
  <c r="AP183" i="37"/>
  <c r="AP184" i="37"/>
  <c r="AP195" i="37" s="1"/>
  <c r="AP185" i="37"/>
  <c r="AP186" i="37"/>
  <c r="AP187" i="37"/>
  <c r="AP188" i="37"/>
  <c r="AR182" i="37"/>
  <c r="AR183" i="37"/>
  <c r="AR184" i="37"/>
  <c r="AR195" i="37" s="1"/>
  <c r="AR185" i="37"/>
  <c r="AR186" i="37"/>
  <c r="AR187" i="37"/>
  <c r="AR188" i="37"/>
  <c r="AB197" i="37"/>
  <c r="AC197" i="37" s="1"/>
  <c r="AD197" i="37" s="1"/>
  <c r="AE197" i="37" s="1"/>
  <c r="AF197" i="37" s="1"/>
  <c r="AG197" i="37" s="1"/>
  <c r="AH197" i="37" s="1"/>
  <c r="AI197" i="37" s="1"/>
  <c r="AJ197" i="37" s="1"/>
  <c r="AB198" i="37"/>
  <c r="AC198" i="37" s="1"/>
  <c r="AD198" i="37" s="1"/>
  <c r="AE198" i="37" s="1"/>
  <c r="AF198" i="37" s="1"/>
  <c r="AG198" i="37" s="1"/>
  <c r="AH198" i="37" s="1"/>
  <c r="AI198" i="37" s="1"/>
  <c r="AJ198" i="37" s="1"/>
  <c r="AB199" i="37"/>
  <c r="AC199" i="37" s="1"/>
  <c r="AB200" i="37"/>
  <c r="AC200" i="37" s="1"/>
  <c r="AD200" i="37" s="1"/>
  <c r="AE200" i="37" s="1"/>
  <c r="AF200" i="37" s="1"/>
  <c r="AG200" i="37" s="1"/>
  <c r="AH200" i="37" s="1"/>
  <c r="AI200" i="37" s="1"/>
  <c r="AJ200" i="37" s="1"/>
  <c r="AB201" i="37"/>
  <c r="AC201" i="37" s="1"/>
  <c r="AD201" i="37" s="1"/>
  <c r="AE201" i="37" s="1"/>
  <c r="AF201" i="37" s="1"/>
  <c r="AG201" i="37" s="1"/>
  <c r="AH201" i="37" s="1"/>
  <c r="AI201" i="37" s="1"/>
  <c r="AJ201" i="37" s="1"/>
  <c r="AB202" i="37"/>
  <c r="AC202" i="37" s="1"/>
  <c r="AD202" i="37" s="1"/>
  <c r="AE202" i="37" s="1"/>
  <c r="AF202" i="37" s="1"/>
  <c r="AG202" i="37" s="1"/>
  <c r="AH202" i="37" s="1"/>
  <c r="AI202" i="37" s="1"/>
  <c r="AJ202" i="37" s="1"/>
  <c r="AB203" i="37"/>
  <c r="AC203" i="37" s="1"/>
  <c r="AD203" i="37" s="1"/>
  <c r="AE203" i="37" s="1"/>
  <c r="AF203" i="37" s="1"/>
  <c r="AG203" i="37" s="1"/>
  <c r="AH203" i="37" s="1"/>
  <c r="AI203" i="37" s="1"/>
  <c r="AJ203" i="37" s="1"/>
  <c r="AB204" i="37"/>
  <c r="AC204" i="37" s="1"/>
  <c r="AD204" i="37" s="1"/>
  <c r="AE204" i="37" s="1"/>
  <c r="AF204" i="37" s="1"/>
  <c r="AG204" i="37" s="1"/>
  <c r="AH204" i="37" s="1"/>
  <c r="AI204" i="37" s="1"/>
  <c r="AJ204" i="37" s="1"/>
  <c r="AB205" i="37"/>
  <c r="AC205" i="37" s="1"/>
  <c r="AD205" i="37" s="1"/>
  <c r="AE205" i="37" s="1"/>
  <c r="AF205" i="37" s="1"/>
  <c r="AG205" i="37" s="1"/>
  <c r="AH205" i="37" s="1"/>
  <c r="AI205" i="37" s="1"/>
  <c r="AJ205" i="37" s="1"/>
  <c r="AB206" i="37"/>
  <c r="AC206" i="37" s="1"/>
  <c r="AD206" i="37" s="1"/>
  <c r="AE206" i="37" s="1"/>
  <c r="AF206" i="37" s="1"/>
  <c r="AG206" i="37" s="1"/>
  <c r="AH206" i="37" s="1"/>
  <c r="AI206" i="37" s="1"/>
  <c r="AJ206" i="37" s="1"/>
  <c r="AB207" i="37"/>
  <c r="AC207" i="37" s="1"/>
  <c r="AD207" i="37" s="1"/>
  <c r="AE207" i="37" s="1"/>
  <c r="AF207" i="37" s="1"/>
  <c r="AG207" i="37" s="1"/>
  <c r="AH207" i="37" s="1"/>
  <c r="AI207" i="37" s="1"/>
  <c r="AJ207" i="37" s="1"/>
  <c r="AL197" i="37"/>
  <c r="AL198" i="37"/>
  <c r="AL199" i="37"/>
  <c r="AL210" i="37" s="1"/>
  <c r="AL200" i="37"/>
  <c r="AL201" i="37"/>
  <c r="AL202" i="37"/>
  <c r="AL203" i="37"/>
  <c r="AL204" i="37"/>
  <c r="AL205" i="37"/>
  <c r="AL206" i="37"/>
  <c r="AL207" i="37"/>
  <c r="AN197" i="37"/>
  <c r="AN198" i="37"/>
  <c r="AN199" i="37"/>
  <c r="AN210" i="37" s="1"/>
  <c r="AN200" i="37"/>
  <c r="AN201" i="37"/>
  <c r="AN202" i="37"/>
  <c r="AN203" i="37"/>
  <c r="AN204" i="37"/>
  <c r="AN205" i="37"/>
  <c r="AN206" i="37"/>
  <c r="AN207" i="37"/>
  <c r="AP197" i="37"/>
  <c r="AP198" i="37"/>
  <c r="AP199" i="37"/>
  <c r="AP210" i="37" s="1"/>
  <c r="AP200" i="37"/>
  <c r="AP201" i="37"/>
  <c r="AP202" i="37"/>
  <c r="AP203" i="37"/>
  <c r="AP204" i="37"/>
  <c r="AP205" i="37"/>
  <c r="AP206" i="37"/>
  <c r="AP207" i="37"/>
  <c r="AR197" i="37"/>
  <c r="AR198" i="37"/>
  <c r="AR199" i="37"/>
  <c r="AR210" i="37" s="1"/>
  <c r="AR200" i="37"/>
  <c r="AR201" i="37"/>
  <c r="AR202" i="37"/>
  <c r="AR203" i="37"/>
  <c r="AR204" i="37"/>
  <c r="AR205" i="37"/>
  <c r="AR206" i="37"/>
  <c r="AR207" i="37"/>
  <c r="AB212" i="37"/>
  <c r="AB213" i="37"/>
  <c r="AB214" i="37"/>
  <c r="AB215" i="37"/>
  <c r="AB216" i="37"/>
  <c r="AB217" i="37"/>
  <c r="AB218" i="37"/>
  <c r="AB219" i="37"/>
  <c r="AB220" i="37"/>
  <c r="AD212" i="37"/>
  <c r="AD213" i="37"/>
  <c r="AD214" i="37"/>
  <c r="AD225" i="37" s="1"/>
  <c r="AD215" i="37"/>
  <c r="AD216" i="37"/>
  <c r="AD217" i="37"/>
  <c r="AD218" i="37"/>
  <c r="AD219" i="37"/>
  <c r="AD220" i="37"/>
  <c r="AF212" i="37"/>
  <c r="AF213" i="37"/>
  <c r="AF214" i="37"/>
  <c r="AF225" i="37" s="1"/>
  <c r="AF215" i="37"/>
  <c r="AF216" i="37"/>
  <c r="AF217" i="37"/>
  <c r="AF218" i="37"/>
  <c r="AF219" i="37"/>
  <c r="AF220" i="37"/>
  <c r="AH212" i="37"/>
  <c r="AH213" i="37"/>
  <c r="AH214" i="37"/>
  <c r="AH225" i="37" s="1"/>
  <c r="AH215" i="37"/>
  <c r="AH216" i="37"/>
  <c r="AH217" i="37"/>
  <c r="AH218" i="37"/>
  <c r="AH219" i="37"/>
  <c r="AH220" i="37"/>
  <c r="AJ212" i="37"/>
  <c r="AJ213" i="37"/>
  <c r="AJ214" i="37"/>
  <c r="AJ225" i="37" s="1"/>
  <c r="AJ215" i="37"/>
  <c r="AJ216" i="37"/>
  <c r="AJ217" i="37"/>
  <c r="AJ218" i="37"/>
  <c r="AJ219" i="37"/>
  <c r="AJ220" i="37"/>
  <c r="AL212" i="37"/>
  <c r="AL213" i="37"/>
  <c r="AL214" i="37"/>
  <c r="AL225" i="37" s="1"/>
  <c r="AL215" i="37"/>
  <c r="AL216" i="37"/>
  <c r="AL217" i="37"/>
  <c r="AL218" i="37"/>
  <c r="AL219" i="37"/>
  <c r="AL220" i="37"/>
  <c r="AN212" i="37"/>
  <c r="AN213" i="37"/>
  <c r="AN214" i="37"/>
  <c r="AN225" i="37" s="1"/>
  <c r="AN215" i="37"/>
  <c r="AN216" i="37"/>
  <c r="AN217" i="37"/>
  <c r="AN218" i="37"/>
  <c r="AN219" i="37"/>
  <c r="AN220" i="37"/>
  <c r="AP212" i="37"/>
  <c r="AP213" i="37"/>
  <c r="AP214" i="37"/>
  <c r="AP225" i="37" s="1"/>
  <c r="AP215" i="37"/>
  <c r="AP216" i="37"/>
  <c r="AP217" i="37"/>
  <c r="AP218" i="37"/>
  <c r="AP219" i="37"/>
  <c r="AP220" i="37"/>
  <c r="AR212" i="37"/>
  <c r="AR213" i="37"/>
  <c r="AR214" i="37"/>
  <c r="AR225" i="37" s="1"/>
  <c r="AR215" i="37"/>
  <c r="AR216" i="37"/>
  <c r="AR217" i="37"/>
  <c r="AR218" i="37"/>
  <c r="AR219" i="37"/>
  <c r="AR220" i="37"/>
  <c r="AB227" i="37"/>
  <c r="AC227" i="37" s="1"/>
  <c r="AD227" i="37" s="1"/>
  <c r="AE227" i="37" s="1"/>
  <c r="AB228" i="37"/>
  <c r="AC228" i="37" s="1"/>
  <c r="AD228" i="37" s="1"/>
  <c r="AE228" i="37" s="1"/>
  <c r="AB229" i="37"/>
  <c r="AC229" i="37" s="1"/>
  <c r="AB230" i="37"/>
  <c r="AC230" i="37" s="1"/>
  <c r="AD230" i="37" s="1"/>
  <c r="AE230" i="37" s="1"/>
  <c r="AF230" i="37" s="1"/>
  <c r="AG230" i="37" s="1"/>
  <c r="AH230" i="37" s="1"/>
  <c r="AI230" i="37" s="1"/>
  <c r="AJ230" i="37" s="1"/>
  <c r="AB231" i="37"/>
  <c r="AC231" i="37" s="1"/>
  <c r="AD231" i="37" s="1"/>
  <c r="AE231" i="37" s="1"/>
  <c r="AF231" i="37" s="1"/>
  <c r="AG231" i="37" s="1"/>
  <c r="AH231" i="37" s="1"/>
  <c r="AI231" i="37" s="1"/>
  <c r="AJ231" i="37" s="1"/>
  <c r="AB232" i="37"/>
  <c r="AC232" i="37" s="1"/>
  <c r="AD232" i="37" s="1"/>
  <c r="AE232" i="37" s="1"/>
  <c r="AF232" i="37" s="1"/>
  <c r="AG232" i="37" s="1"/>
  <c r="AH232" i="37" s="1"/>
  <c r="AI232" i="37" s="1"/>
  <c r="AJ232" i="37" s="1"/>
  <c r="AB233" i="37"/>
  <c r="AC233" i="37" s="1"/>
  <c r="AD233" i="37" s="1"/>
  <c r="AE233" i="37" s="1"/>
  <c r="AF233" i="37" s="1"/>
  <c r="AG233" i="37" s="1"/>
  <c r="AH233" i="37" s="1"/>
  <c r="AI233" i="37" s="1"/>
  <c r="AJ233" i="37" s="1"/>
  <c r="AB234" i="37"/>
  <c r="AC234" i="37" s="1"/>
  <c r="AD234" i="37" s="1"/>
  <c r="AE234" i="37" s="1"/>
  <c r="AF234" i="37" s="1"/>
  <c r="AG234" i="37" s="1"/>
  <c r="AH234" i="37" s="1"/>
  <c r="AI234" i="37" s="1"/>
  <c r="AJ234" i="37" s="1"/>
  <c r="AF227" i="37"/>
  <c r="AG227" i="37" s="1"/>
  <c r="AH227" i="37" s="1"/>
  <c r="AI227" i="37" s="1"/>
  <c r="AJ227" i="37" s="1"/>
  <c r="AF228" i="37"/>
  <c r="AG228" i="37" s="1"/>
  <c r="AH228" i="37" s="1"/>
  <c r="AI228" i="37" s="1"/>
  <c r="AJ228" i="37" s="1"/>
  <c r="AL227" i="37"/>
  <c r="AL228" i="37"/>
  <c r="AL229" i="37"/>
  <c r="AL240" i="37" s="1"/>
  <c r="AL230" i="37"/>
  <c r="AL231" i="37"/>
  <c r="AL232" i="37"/>
  <c r="AL233" i="37"/>
  <c r="AL234" i="37"/>
  <c r="AN227" i="37"/>
  <c r="AN228" i="37"/>
  <c r="AN229" i="37"/>
  <c r="AN240" i="37" s="1"/>
  <c r="AN230" i="37"/>
  <c r="AN231" i="37"/>
  <c r="AN232" i="37"/>
  <c r="AN233" i="37"/>
  <c r="AN234" i="37"/>
  <c r="AP227" i="37"/>
  <c r="AP228" i="37"/>
  <c r="AP229" i="37"/>
  <c r="AP240" i="37" s="1"/>
  <c r="AP230" i="37"/>
  <c r="AP231" i="37"/>
  <c r="AP232" i="37"/>
  <c r="AP233" i="37"/>
  <c r="AP234" i="37"/>
  <c r="AR227" i="37"/>
  <c r="AR228" i="37"/>
  <c r="AR229" i="37"/>
  <c r="AR240" i="37" s="1"/>
  <c r="AR230" i="37"/>
  <c r="AR231" i="37"/>
  <c r="AR232" i="37"/>
  <c r="AR233" i="37"/>
  <c r="AR234" i="37"/>
  <c r="AB242" i="37"/>
  <c r="AC242" i="37" s="1"/>
  <c r="AD242" i="37" s="1"/>
  <c r="AE242" i="37" s="1"/>
  <c r="AB243" i="37"/>
  <c r="AC243" i="37" s="1"/>
  <c r="AD243" i="37" s="1"/>
  <c r="AE243" i="37" s="1"/>
  <c r="AB244" i="37"/>
  <c r="AC244" i="37" s="1"/>
  <c r="AB245" i="37"/>
  <c r="AC245" i="37" s="1"/>
  <c r="AD245" i="37" s="1"/>
  <c r="AE245" i="37" s="1"/>
  <c r="AF245" i="37" s="1"/>
  <c r="AG245" i="37" s="1"/>
  <c r="AH245" i="37" s="1"/>
  <c r="AI245" i="37" s="1"/>
  <c r="AJ245" i="37" s="1"/>
  <c r="AB246" i="37"/>
  <c r="AC246" i="37" s="1"/>
  <c r="AD246" i="37" s="1"/>
  <c r="AE246" i="37" s="1"/>
  <c r="AB247" i="37"/>
  <c r="AC247" i="37" s="1"/>
  <c r="AD247" i="37" s="1"/>
  <c r="AE247" i="37" s="1"/>
  <c r="AF247" i="37" s="1"/>
  <c r="AG247" i="37" s="1"/>
  <c r="AH247" i="37" s="1"/>
  <c r="AI247" i="37" s="1"/>
  <c r="AJ247" i="37" s="1"/>
  <c r="AB248" i="37"/>
  <c r="AC248" i="37" s="1"/>
  <c r="AD248" i="37" s="1"/>
  <c r="AE248" i="37" s="1"/>
  <c r="AF248" i="37" s="1"/>
  <c r="AG248" i="37" s="1"/>
  <c r="AH248" i="37" s="1"/>
  <c r="AI248" i="37" s="1"/>
  <c r="AJ248" i="37" s="1"/>
  <c r="AB249" i="37"/>
  <c r="AC249" i="37" s="1"/>
  <c r="AD249" i="37" s="1"/>
  <c r="AE249" i="37" s="1"/>
  <c r="AF249" i="37" s="1"/>
  <c r="AG249" i="37" s="1"/>
  <c r="AH249" i="37" s="1"/>
  <c r="AI249" i="37" s="1"/>
  <c r="AJ249" i="37" s="1"/>
  <c r="AF242" i="37"/>
  <c r="AG242" i="37" s="1"/>
  <c r="AH242" i="37" s="1"/>
  <c r="AI242" i="37" s="1"/>
  <c r="AJ242" i="37" s="1"/>
  <c r="AF243" i="37"/>
  <c r="AG243" i="37" s="1"/>
  <c r="AH243" i="37" s="1"/>
  <c r="AI243" i="37" s="1"/>
  <c r="AF246" i="37"/>
  <c r="AG246" i="37" s="1"/>
  <c r="AH246" i="37" s="1"/>
  <c r="AI246" i="37" s="1"/>
  <c r="AJ246" i="37" s="1"/>
  <c r="AJ243" i="37"/>
  <c r="AL242" i="37"/>
  <c r="AL243" i="37"/>
  <c r="AL244" i="37"/>
  <c r="AL255" i="37" s="1"/>
  <c r="AL245" i="37"/>
  <c r="AL246" i="37"/>
  <c r="AL247" i="37"/>
  <c r="AL248" i="37"/>
  <c r="AL249" i="37"/>
  <c r="AN242" i="37"/>
  <c r="AN243" i="37"/>
  <c r="AN244" i="37"/>
  <c r="AN255" i="37" s="1"/>
  <c r="AN245" i="37"/>
  <c r="AN246" i="37"/>
  <c r="AN247" i="37"/>
  <c r="AN248" i="37"/>
  <c r="AN249" i="37"/>
  <c r="AP242" i="37"/>
  <c r="AP243" i="37"/>
  <c r="AP244" i="37"/>
  <c r="AP255" i="37" s="1"/>
  <c r="AP245" i="37"/>
  <c r="AP246" i="37"/>
  <c r="AP247" i="37"/>
  <c r="AP248" i="37"/>
  <c r="AP249" i="37"/>
  <c r="AR242" i="37"/>
  <c r="AR243" i="37"/>
  <c r="AR244" i="37"/>
  <c r="AR255" i="37" s="1"/>
  <c r="AR245" i="37"/>
  <c r="AR246" i="37"/>
  <c r="AR247" i="37"/>
  <c r="AR248" i="37"/>
  <c r="AR249" i="37"/>
  <c r="AB257" i="37"/>
  <c r="AC257" i="37" s="1"/>
  <c r="AD257" i="37" s="1"/>
  <c r="AE257" i="37" s="1"/>
  <c r="AF257" i="37" s="1"/>
  <c r="AG257" i="37" s="1"/>
  <c r="AH257" i="37" s="1"/>
  <c r="AI257" i="37" s="1"/>
  <c r="AB258" i="37"/>
  <c r="AC258" i="37" s="1"/>
  <c r="AD258" i="37" s="1"/>
  <c r="AE258" i="37" s="1"/>
  <c r="AF258" i="37" s="1"/>
  <c r="AG258" i="37" s="1"/>
  <c r="AH258" i="37" s="1"/>
  <c r="AI258" i="37" s="1"/>
  <c r="AB259" i="37"/>
  <c r="AC259" i="37" s="1"/>
  <c r="AB260" i="37"/>
  <c r="AC260" i="37" s="1"/>
  <c r="AD260" i="37" s="1"/>
  <c r="AE260" i="37" s="1"/>
  <c r="AF260" i="37" s="1"/>
  <c r="AG260" i="37" s="1"/>
  <c r="AH260" i="37" s="1"/>
  <c r="AI260" i="37" s="1"/>
  <c r="AJ260" i="37" s="1"/>
  <c r="AB261" i="37"/>
  <c r="AC261" i="37" s="1"/>
  <c r="AD261" i="37" s="1"/>
  <c r="AE261" i="37" s="1"/>
  <c r="AF261" i="37" s="1"/>
  <c r="AG261" i="37" s="1"/>
  <c r="AH261" i="37" s="1"/>
  <c r="AI261" i="37" s="1"/>
  <c r="AJ261" i="37" s="1"/>
  <c r="AB262" i="37"/>
  <c r="AC262" i="37" s="1"/>
  <c r="AD262" i="37" s="1"/>
  <c r="AE262" i="37" s="1"/>
  <c r="AF262" i="37" s="1"/>
  <c r="AG262" i="37" s="1"/>
  <c r="AH262" i="37" s="1"/>
  <c r="AI262" i="37" s="1"/>
  <c r="AJ262" i="37" s="1"/>
  <c r="AB263" i="37"/>
  <c r="AC263" i="37" s="1"/>
  <c r="AD263" i="37" s="1"/>
  <c r="AE263" i="37" s="1"/>
  <c r="AF263" i="37" s="1"/>
  <c r="AG263" i="37" s="1"/>
  <c r="AH263" i="37" s="1"/>
  <c r="AI263" i="37" s="1"/>
  <c r="AJ263" i="37" s="1"/>
  <c r="AB264" i="37"/>
  <c r="AC264" i="37" s="1"/>
  <c r="AD264" i="37" s="1"/>
  <c r="AE264" i="37" s="1"/>
  <c r="AF264" i="37" s="1"/>
  <c r="AG264" i="37" s="1"/>
  <c r="AH264" i="37" s="1"/>
  <c r="AI264" i="37" s="1"/>
  <c r="AJ264" i="37" s="1"/>
  <c r="AB265" i="37"/>
  <c r="AC265" i="37" s="1"/>
  <c r="AD265" i="37" s="1"/>
  <c r="AE265" i="37" s="1"/>
  <c r="AF265" i="37" s="1"/>
  <c r="AG265" i="37" s="1"/>
  <c r="AH265" i="37" s="1"/>
  <c r="AI265" i="37" s="1"/>
  <c r="AJ265" i="37" s="1"/>
  <c r="AB266" i="37"/>
  <c r="AC266" i="37" s="1"/>
  <c r="AD266" i="37" s="1"/>
  <c r="AE266" i="37" s="1"/>
  <c r="AF266" i="37" s="1"/>
  <c r="AG266" i="37" s="1"/>
  <c r="AH266" i="37" s="1"/>
  <c r="AI266" i="37" s="1"/>
  <c r="AJ266" i="37" s="1"/>
  <c r="AJ257" i="37"/>
  <c r="AJ258" i="37"/>
  <c r="AL257" i="37"/>
  <c r="AL258" i="37"/>
  <c r="AL259" i="37"/>
  <c r="AL270" i="37" s="1"/>
  <c r="AL260" i="37"/>
  <c r="AL261" i="37"/>
  <c r="AL262" i="37"/>
  <c r="AL263" i="37"/>
  <c r="AL264" i="37"/>
  <c r="AL265" i="37"/>
  <c r="AL266" i="37"/>
  <c r="AN257" i="37"/>
  <c r="AN258" i="37"/>
  <c r="AN259" i="37"/>
  <c r="AN270" i="37" s="1"/>
  <c r="AN260" i="37"/>
  <c r="AN261" i="37"/>
  <c r="AN262" i="37"/>
  <c r="AN263" i="37"/>
  <c r="AN264" i="37"/>
  <c r="AN265" i="37"/>
  <c r="AN266" i="37"/>
  <c r="AP257" i="37"/>
  <c r="AP258" i="37"/>
  <c r="AP259" i="37"/>
  <c r="AP270" i="37" s="1"/>
  <c r="AP260" i="37"/>
  <c r="AP261" i="37"/>
  <c r="AP262" i="37"/>
  <c r="AP263" i="37"/>
  <c r="AP264" i="37"/>
  <c r="AP265" i="37"/>
  <c r="AP266" i="37"/>
  <c r="AR257" i="37"/>
  <c r="AR258" i="37"/>
  <c r="AR259" i="37"/>
  <c r="AR270" i="37" s="1"/>
  <c r="AR260" i="37"/>
  <c r="AR261" i="37"/>
  <c r="AR262" i="37"/>
  <c r="AR263" i="37"/>
  <c r="AR264" i="37"/>
  <c r="AR265" i="37"/>
  <c r="AR266" i="37"/>
  <c r="AB272" i="37"/>
  <c r="AB273" i="37"/>
  <c r="AB274" i="37"/>
  <c r="AB275" i="37"/>
  <c r="AB276" i="37"/>
  <c r="AB277" i="37"/>
  <c r="AB278" i="37"/>
  <c r="AB279" i="37"/>
  <c r="AB280" i="37"/>
  <c r="AB281" i="37"/>
  <c r="AB282" i="37"/>
  <c r="AD272" i="37"/>
  <c r="AE272" i="37" s="1"/>
  <c r="AF272" i="37" s="1"/>
  <c r="AG272" i="37" s="1"/>
  <c r="AD274" i="37"/>
  <c r="AD285" i="37" s="1"/>
  <c r="AD276" i="37"/>
  <c r="AE276" i="37" s="1"/>
  <c r="AF276" i="37" s="1"/>
  <c r="AG276" i="37" s="1"/>
  <c r="AH276" i="37" s="1"/>
  <c r="AD278" i="37"/>
  <c r="AE278" i="37" s="1"/>
  <c r="AF278" i="37" s="1"/>
  <c r="AG278" i="37" s="1"/>
  <c r="AH278" i="37" s="1"/>
  <c r="AD280" i="37"/>
  <c r="AE280" i="37" s="1"/>
  <c r="AF280" i="37" s="1"/>
  <c r="AG280" i="37" s="1"/>
  <c r="AH280" i="37" s="1"/>
  <c r="AD282" i="37"/>
  <c r="AE282" i="37" s="1"/>
  <c r="AF282" i="37" s="1"/>
  <c r="AG282" i="37" s="1"/>
  <c r="AH282" i="37" s="1"/>
  <c r="AH272" i="37"/>
  <c r="AH273" i="37"/>
  <c r="AH275" i="37"/>
  <c r="AH277" i="37"/>
  <c r="AH279" i="37"/>
  <c r="AH281" i="37"/>
  <c r="AJ272" i="37"/>
  <c r="AJ273" i="37"/>
  <c r="AJ274" i="37"/>
  <c r="AJ285" i="37" s="1"/>
  <c r="AJ275" i="37"/>
  <c r="AJ276" i="37"/>
  <c r="AJ277" i="37"/>
  <c r="AJ278" i="37"/>
  <c r="AJ279" i="37"/>
  <c r="AJ280" i="37"/>
  <c r="AJ281" i="37"/>
  <c r="AJ282" i="37"/>
  <c r="AL272" i="37"/>
  <c r="AL273" i="37"/>
  <c r="AL274" i="37"/>
  <c r="AL285" i="37" s="1"/>
  <c r="AL275" i="37"/>
  <c r="AL276" i="37"/>
  <c r="AL277" i="37"/>
  <c r="AL278" i="37"/>
  <c r="AL279" i="37"/>
  <c r="AL280" i="37"/>
  <c r="AL281" i="37"/>
  <c r="AL282" i="37"/>
  <c r="AN272" i="37"/>
  <c r="AN273" i="37"/>
  <c r="AN274" i="37"/>
  <c r="AN285" i="37" s="1"/>
  <c r="AN275" i="37"/>
  <c r="AN276" i="37"/>
  <c r="AN277" i="37"/>
  <c r="AN278" i="37"/>
  <c r="AN279" i="37"/>
  <c r="AN280" i="37"/>
  <c r="AN281" i="37"/>
  <c r="AN282" i="37"/>
  <c r="AP272" i="37"/>
  <c r="AP273" i="37"/>
  <c r="AP274" i="37"/>
  <c r="AP285" i="37" s="1"/>
  <c r="AP275" i="37"/>
  <c r="AP276" i="37"/>
  <c r="AP277" i="37"/>
  <c r="AP278" i="37"/>
  <c r="AP279" i="37"/>
  <c r="AP280" i="37"/>
  <c r="AP281" i="37"/>
  <c r="AP282" i="37"/>
  <c r="AR272" i="37"/>
  <c r="AR273" i="37"/>
  <c r="AR274" i="37"/>
  <c r="AR285" i="37" s="1"/>
  <c r="AR275" i="37"/>
  <c r="AR276" i="37"/>
  <c r="AR277" i="37"/>
  <c r="AR278" i="37"/>
  <c r="AR279" i="37"/>
  <c r="AR280" i="37"/>
  <c r="AR281" i="37"/>
  <c r="AR282" i="37"/>
  <c r="AM2" i="37"/>
  <c r="AQ2" i="37"/>
  <c r="AM3" i="37"/>
  <c r="AQ3" i="37"/>
  <c r="AM4" i="37"/>
  <c r="AM15" i="37" s="1"/>
  <c r="AQ4" i="37"/>
  <c r="AQ15" i="37" s="1"/>
  <c r="AM5" i="37"/>
  <c r="AQ5" i="37"/>
  <c r="AM6" i="37"/>
  <c r="AQ6" i="37"/>
  <c r="AM7" i="37"/>
  <c r="AQ7" i="37"/>
  <c r="AM8" i="37"/>
  <c r="AQ8" i="37"/>
  <c r="AM9" i="37"/>
  <c r="AQ9" i="37"/>
  <c r="AM10" i="37"/>
  <c r="AQ10" i="37"/>
  <c r="AQ772" i="37"/>
  <c r="AM772" i="37"/>
  <c r="AI772" i="37"/>
  <c r="AE772" i="37"/>
  <c r="AQ771" i="37"/>
  <c r="AM771" i="37"/>
  <c r="AI771" i="37"/>
  <c r="AE771" i="37"/>
  <c r="AQ770" i="37"/>
  <c r="AM770" i="37"/>
  <c r="AI770" i="37"/>
  <c r="AE770" i="37"/>
  <c r="AQ769" i="37"/>
  <c r="AQ780" i="37" s="1"/>
  <c r="AM769" i="37"/>
  <c r="AM780" i="37" s="1"/>
  <c r="AI769" i="37"/>
  <c r="AI780" i="37" s="1"/>
  <c r="AE769" i="37"/>
  <c r="AE780" i="37" s="1"/>
  <c r="AQ768" i="37"/>
  <c r="AM768" i="37"/>
  <c r="AI768" i="37"/>
  <c r="AE768" i="37"/>
  <c r="AA255" i="37"/>
  <c r="AA735" i="37"/>
  <c r="AV724" i="37" s="1"/>
  <c r="AA225" i="37"/>
  <c r="AA195" i="37"/>
  <c r="AA45" i="37"/>
  <c r="Y10" i="37"/>
  <c r="Y9" i="37"/>
  <c r="Y8" i="37"/>
  <c r="Y7" i="37"/>
  <c r="Y6" i="37"/>
  <c r="Y5" i="37"/>
  <c r="AT4" i="37"/>
  <c r="Y4" i="37"/>
  <c r="Y3" i="37"/>
  <c r="AT3" i="37" s="1"/>
  <c r="Y2" i="37"/>
  <c r="AT2" i="37" s="1"/>
  <c r="BH752" i="37" l="1"/>
  <c r="AV169" i="37"/>
  <c r="AH724" i="37"/>
  <c r="AH735" i="37" s="1"/>
  <c r="BC722" i="37" s="1"/>
  <c r="BJ618" i="37"/>
  <c r="BA572" i="37"/>
  <c r="BE573" i="37"/>
  <c r="BI572" i="37"/>
  <c r="BM573" i="37"/>
  <c r="AC90" i="37"/>
  <c r="AD90" i="37"/>
  <c r="AY78" i="37" s="1"/>
  <c r="AD300" i="37"/>
  <c r="AE289" i="37"/>
  <c r="AE300" i="37" s="1"/>
  <c r="AE79" i="37"/>
  <c r="AX754" i="37"/>
  <c r="BL739" i="37"/>
  <c r="BL634" i="37"/>
  <c r="BI542" i="37"/>
  <c r="BM542" i="37"/>
  <c r="AC540" i="37"/>
  <c r="AA675" i="37"/>
  <c r="AV662" i="37" s="1"/>
  <c r="AX528" i="37"/>
  <c r="BI544" i="37"/>
  <c r="BM574" i="37"/>
  <c r="AC270" i="37"/>
  <c r="AX257" i="37" s="1"/>
  <c r="AD259" i="37"/>
  <c r="BK604" i="37"/>
  <c r="BG692" i="37"/>
  <c r="BK692" i="37"/>
  <c r="BE737" i="37"/>
  <c r="BM737" i="37"/>
  <c r="AY709" i="37"/>
  <c r="BC709" i="37"/>
  <c r="BG709" i="37"/>
  <c r="BK709" i="37"/>
  <c r="BF694" i="37"/>
  <c r="AE330" i="37"/>
  <c r="AF319" i="37"/>
  <c r="AE274" i="37"/>
  <c r="AD390" i="37"/>
  <c r="AE379" i="37"/>
  <c r="BI664" i="37"/>
  <c r="BM663" i="37"/>
  <c r="BM572" i="37"/>
  <c r="BF692" i="37"/>
  <c r="AY572" i="37"/>
  <c r="BC574" i="37"/>
  <c r="BG572" i="37"/>
  <c r="BK574" i="37"/>
  <c r="BJ617" i="37"/>
  <c r="AC675" i="37"/>
  <c r="AX663" i="37" s="1"/>
  <c r="AC210" i="37"/>
  <c r="AX198" i="37" s="1"/>
  <c r="AD199" i="37"/>
  <c r="AC195" i="37"/>
  <c r="AX183" i="37" s="1"/>
  <c r="AD184" i="37"/>
  <c r="AC30" i="37"/>
  <c r="AD19" i="37"/>
  <c r="AC255" i="37"/>
  <c r="AX243" i="37" s="1"/>
  <c r="AD244" i="37"/>
  <c r="AC240" i="37"/>
  <c r="AX228" i="37" s="1"/>
  <c r="AD229" i="37"/>
  <c r="AC105" i="37"/>
  <c r="AD94" i="37"/>
  <c r="AC75" i="37"/>
  <c r="AD64" i="37"/>
  <c r="AC60" i="37"/>
  <c r="AD49" i="37"/>
  <c r="AC555" i="37"/>
  <c r="AX544" i="37" s="1"/>
  <c r="AD544" i="37"/>
  <c r="AD675" i="37"/>
  <c r="AY663" i="37" s="1"/>
  <c r="AE664" i="37"/>
  <c r="AC705" i="37"/>
  <c r="AX692" i="37" s="1"/>
  <c r="AD694" i="37"/>
  <c r="AC630" i="37"/>
  <c r="AX617" i="37" s="1"/>
  <c r="AD619" i="37"/>
  <c r="AC660" i="37"/>
  <c r="AX649" i="37" s="1"/>
  <c r="AD649" i="37"/>
  <c r="AB510" i="37"/>
  <c r="AW498" i="37" s="1"/>
  <c r="AC500" i="37"/>
  <c r="AE499" i="37"/>
  <c r="AF499" i="37" s="1"/>
  <c r="AG499" i="37" s="1"/>
  <c r="AH499" i="37" s="1"/>
  <c r="AI499" i="37" s="1"/>
  <c r="AJ499" i="37" s="1"/>
  <c r="AD450" i="37"/>
  <c r="AE439" i="37"/>
  <c r="AC750" i="37"/>
  <c r="AX737" i="37" s="1"/>
  <c r="AD739" i="37"/>
  <c r="AD750" i="37" s="1"/>
  <c r="AY739" i="37" s="1"/>
  <c r="AD540" i="37"/>
  <c r="AY527" i="37" s="1"/>
  <c r="AE529" i="37"/>
  <c r="AD405" i="37"/>
  <c r="AE394" i="37"/>
  <c r="AD435" i="37"/>
  <c r="AE424" i="37"/>
  <c r="AB255" i="37"/>
  <c r="AW243" i="37" s="1"/>
  <c r="AB240" i="37"/>
  <c r="AW227" i="37" s="1"/>
  <c r="AB210" i="37"/>
  <c r="AW198" i="37" s="1"/>
  <c r="AB90" i="37"/>
  <c r="AW77" i="37" s="1"/>
  <c r="AB225" i="37"/>
  <c r="AW213" i="37" s="1"/>
  <c r="AB195" i="37"/>
  <c r="AW183" i="37" s="1"/>
  <c r="AB165" i="37"/>
  <c r="AW152" i="37" s="1"/>
  <c r="AB150" i="37"/>
  <c r="AW138" i="37" s="1"/>
  <c r="AB135" i="37"/>
  <c r="AW122" i="37" s="1"/>
  <c r="AB120" i="37"/>
  <c r="AW108" i="37" s="1"/>
  <c r="AB105" i="37"/>
  <c r="AW93" i="37" s="1"/>
  <c r="AB75" i="37"/>
  <c r="AW63" i="37" s="1"/>
  <c r="AB60" i="37"/>
  <c r="AW48" i="37" s="1"/>
  <c r="AB45" i="37"/>
  <c r="AW32" i="37" s="1"/>
  <c r="AB30" i="37"/>
  <c r="AW18" i="37" s="1"/>
  <c r="AB780" i="37"/>
  <c r="AW768" i="37" s="1"/>
  <c r="AV334" i="37"/>
  <c r="AB675" i="37"/>
  <c r="AW663" i="37" s="1"/>
  <c r="AB720" i="37"/>
  <c r="AW708" i="37" s="1"/>
  <c r="AB765" i="37"/>
  <c r="AW752" i="37" s="1"/>
  <c r="AB555" i="37"/>
  <c r="AW542" i="37" s="1"/>
  <c r="AB585" i="37"/>
  <c r="AW572" i="37" s="1"/>
  <c r="AB750" i="37"/>
  <c r="AW737" i="37" s="1"/>
  <c r="AB600" i="37"/>
  <c r="AW589" i="37" s="1"/>
  <c r="AB285" i="37"/>
  <c r="AW272" i="37" s="1"/>
  <c r="AB270" i="37"/>
  <c r="AW258" i="37" s="1"/>
  <c r="AB705" i="37"/>
  <c r="AW692" i="37" s="1"/>
  <c r="AB630" i="37"/>
  <c r="AW619" i="37" s="1"/>
  <c r="AB660" i="37"/>
  <c r="AW647" i="37" s="1"/>
  <c r="AB690" i="37"/>
  <c r="AW678" i="37" s="1"/>
  <c r="AB540" i="37"/>
  <c r="AW529" i="37" s="1"/>
  <c r="AB570" i="37"/>
  <c r="AW557" i="37" s="1"/>
  <c r="AB615" i="37"/>
  <c r="AW602" i="37" s="1"/>
  <c r="BF754" i="37"/>
  <c r="BH753" i="37"/>
  <c r="BE752" i="37"/>
  <c r="BJ619" i="37"/>
  <c r="BH543" i="37"/>
  <c r="BM544" i="37"/>
  <c r="BJ558" i="37"/>
  <c r="BA574" i="37"/>
  <c r="BI574" i="37"/>
  <c r="BB603" i="37"/>
  <c r="BF693" i="37"/>
  <c r="AW738" i="37"/>
  <c r="BE738" i="37"/>
  <c r="BM738" i="37"/>
  <c r="BL738" i="37"/>
  <c r="BK722" i="37"/>
  <c r="BE754" i="37"/>
  <c r="BM752" i="37"/>
  <c r="AX723" i="37"/>
  <c r="BF722" i="37"/>
  <c r="BD589" i="37"/>
  <c r="AA2" i="37"/>
  <c r="AB2" i="37" s="1"/>
  <c r="AC2" i="37" s="1"/>
  <c r="AD2" i="37" s="1"/>
  <c r="AE2" i="37" s="1"/>
  <c r="AF2" i="37" s="1"/>
  <c r="AG2" i="37" s="1"/>
  <c r="AH2" i="37" s="1"/>
  <c r="AI2" i="37" s="1"/>
  <c r="AJ2" i="37" s="1"/>
  <c r="E2" i="37"/>
  <c r="AA780" i="37"/>
  <c r="AA285" i="37"/>
  <c r="AA270" i="37"/>
  <c r="AA240" i="37"/>
  <c r="AA210" i="37"/>
  <c r="AA165" i="37"/>
  <c r="AA150" i="37"/>
  <c r="AA135" i="37"/>
  <c r="AA120" i="37"/>
  <c r="AA105" i="37"/>
  <c r="AA90" i="37"/>
  <c r="AA75" i="37"/>
  <c r="AA60" i="37"/>
  <c r="AA30" i="37"/>
  <c r="AV348" i="37"/>
  <c r="BE603" i="37"/>
  <c r="AV484" i="37"/>
  <c r="BD558" i="37"/>
  <c r="AV423" i="37"/>
  <c r="AZ558" i="37"/>
  <c r="BA603" i="37"/>
  <c r="BM603" i="37"/>
  <c r="BG693" i="37"/>
  <c r="AV559" i="37"/>
  <c r="AY604" i="37"/>
  <c r="AV738" i="37"/>
  <c r="BM754" i="37"/>
  <c r="AY722" i="37"/>
  <c r="AX678" i="37"/>
  <c r="BE572" i="37"/>
  <c r="AV379" i="37"/>
  <c r="BC604" i="37"/>
  <c r="BF723" i="37"/>
  <c r="BA722" i="37"/>
  <c r="BI722" i="37"/>
  <c r="BD679" i="37"/>
  <c r="BD709" i="37"/>
  <c r="AZ753" i="37"/>
  <c r="BJ752" i="37"/>
  <c r="BG542" i="37"/>
  <c r="BC557" i="37"/>
  <c r="BG558" i="37"/>
  <c r="BK557" i="37"/>
  <c r="BG498" i="37"/>
  <c r="BK498" i="37"/>
  <c r="BF588" i="37"/>
  <c r="BK679" i="37"/>
  <c r="AV4" i="37"/>
  <c r="AV304" i="37"/>
  <c r="BM619" i="37"/>
  <c r="AZ738" i="37"/>
  <c r="BF664" i="37"/>
  <c r="BM587" i="37"/>
  <c r="BI587" i="37"/>
  <c r="BG589" i="37"/>
  <c r="BE587" i="37"/>
  <c r="BA587" i="37"/>
  <c r="AY589" i="37"/>
  <c r="BL587" i="37"/>
  <c r="BJ587" i="37"/>
  <c r="BH587" i="37"/>
  <c r="BF589" i="37"/>
  <c r="BD587" i="37"/>
  <c r="BB587" i="37"/>
  <c r="AZ587" i="37"/>
  <c r="AX588" i="37"/>
  <c r="BL603" i="37"/>
  <c r="BH602" i="37"/>
  <c r="BD603" i="37"/>
  <c r="AZ602" i="37"/>
  <c r="BH619" i="37"/>
  <c r="BJ544" i="37"/>
  <c r="BF544" i="37"/>
  <c r="BL558" i="37"/>
  <c r="BL574" i="37"/>
  <c r="BI634" i="37"/>
  <c r="BJ633" i="37"/>
  <c r="BC513" i="37"/>
  <c r="BG573" i="37"/>
  <c r="AV333" i="37"/>
  <c r="AV514" i="37"/>
  <c r="BI603" i="37"/>
  <c r="BC603" i="37"/>
  <c r="AY603" i="37"/>
  <c r="BC633" i="37"/>
  <c r="AV168" i="37"/>
  <c r="AV288" i="37"/>
  <c r="AV318" i="37"/>
  <c r="AV468" i="37"/>
  <c r="BM529" i="37"/>
  <c r="BC559" i="37"/>
  <c r="AY588" i="37"/>
  <c r="BM589" i="37"/>
  <c r="AV589" i="37"/>
  <c r="AV604" i="37"/>
  <c r="BA604" i="37"/>
  <c r="BG604" i="37"/>
  <c r="AV678" i="37"/>
  <c r="AV679" i="37"/>
  <c r="BG694" i="37"/>
  <c r="BE753" i="37"/>
  <c r="AY587" i="37"/>
  <c r="AX557" i="37"/>
  <c r="BF557" i="37"/>
  <c r="BF662" i="37"/>
  <c r="BG557" i="37"/>
  <c r="BH574" i="37"/>
  <c r="AV439" i="37"/>
  <c r="AV529" i="37"/>
  <c r="AV693" i="37"/>
  <c r="AV694" i="37"/>
  <c r="BG724" i="37"/>
  <c r="BK633" i="37"/>
  <c r="BD574" i="37"/>
  <c r="BJ678" i="37"/>
  <c r="BB739" i="37"/>
  <c r="BB632" i="37"/>
  <c r="AZ679" i="37"/>
  <c r="BK513" i="37"/>
  <c r="BH558" i="37"/>
  <c r="AZ557" i="37"/>
  <c r="AZ574" i="37"/>
  <c r="BG648" i="37"/>
  <c r="BH663" i="37"/>
  <c r="AV289" i="37"/>
  <c r="AV364" i="37"/>
  <c r="AV409" i="37"/>
  <c r="AV424" i="37"/>
  <c r="BG528" i="37"/>
  <c r="AV528" i="37"/>
  <c r="BK558" i="37"/>
  <c r="BK559" i="37"/>
  <c r="AX559" i="37"/>
  <c r="BF559" i="37"/>
  <c r="AV574" i="37"/>
  <c r="BG588" i="37"/>
  <c r="BE589" i="37"/>
  <c r="BL589" i="37"/>
  <c r="AZ604" i="37"/>
  <c r="BD604" i="37"/>
  <c r="BB633" i="37"/>
  <c r="AV753" i="37"/>
  <c r="AV754" i="37"/>
  <c r="BM708" i="37"/>
  <c r="BL557" i="37"/>
  <c r="BH559" i="37"/>
  <c r="BD557" i="37"/>
  <c r="AZ559" i="37"/>
  <c r="BL572" i="37"/>
  <c r="BH572" i="37"/>
  <c r="BD572" i="37"/>
  <c r="AZ572" i="37"/>
  <c r="BK603" i="37"/>
  <c r="BG603" i="37"/>
  <c r="BC632" i="37"/>
  <c r="AV438" i="37"/>
  <c r="AV454" i="37"/>
  <c r="BE604" i="37"/>
  <c r="BI604" i="37"/>
  <c r="BM604" i="37"/>
  <c r="AV618" i="37"/>
  <c r="AV619" i="37"/>
  <c r="BK693" i="37"/>
  <c r="BK694" i="37"/>
  <c r="BM753" i="37"/>
  <c r="BG722" i="37"/>
  <c r="AY724" i="37"/>
  <c r="AY632" i="37"/>
  <c r="BC634" i="37"/>
  <c r="BG632" i="37"/>
  <c r="BL679" i="37"/>
  <c r="BM617" i="37"/>
  <c r="BG619" i="37"/>
  <c r="BA634" i="37"/>
  <c r="BM648" i="37"/>
  <c r="BG649" i="37"/>
  <c r="BM678" i="37"/>
  <c r="BE678" i="37"/>
  <c r="BC679" i="37"/>
  <c r="BM707" i="37"/>
  <c r="BL663" i="37"/>
  <c r="BH648" i="37"/>
  <c r="AX693" i="37"/>
  <c r="BJ694" i="37"/>
  <c r="BJ739" i="37"/>
  <c r="BJ632" i="37"/>
  <c r="AX632" i="37"/>
  <c r="BF708" i="37"/>
  <c r="BB707" i="37"/>
  <c r="BH739" i="37"/>
  <c r="AX752" i="37"/>
  <c r="BI497" i="37"/>
  <c r="BI512" i="37"/>
  <c r="BG513" i="37"/>
  <c r="AY513" i="37"/>
  <c r="AY573" i="37"/>
  <c r="BH557" i="37"/>
  <c r="BK619" i="37"/>
  <c r="BK618" i="37"/>
  <c r="BI618" i="37"/>
  <c r="BI619" i="37"/>
  <c r="BK649" i="37"/>
  <c r="BK648" i="37"/>
  <c r="BB679" i="37"/>
  <c r="BB678" i="37"/>
  <c r="BL647" i="37"/>
  <c r="BL648" i="37"/>
  <c r="AX662" i="37"/>
  <c r="BF678" i="37"/>
  <c r="AZ724" i="37"/>
  <c r="AZ722" i="37"/>
  <c r="AX739" i="37"/>
  <c r="BF739" i="37"/>
  <c r="BF738" i="37"/>
  <c r="AZ754" i="37"/>
  <c r="AZ752" i="37"/>
  <c r="BD752" i="37"/>
  <c r="BD753" i="37"/>
  <c r="BF632" i="37"/>
  <c r="BJ649" i="37"/>
  <c r="BD632" i="37"/>
  <c r="BD633" i="37"/>
  <c r="BD634" i="37"/>
  <c r="BK544" i="37"/>
  <c r="BK542" i="37"/>
  <c r="AY558" i="37"/>
  <c r="AY557" i="37"/>
  <c r="BG737" i="37"/>
  <c r="BG739" i="37"/>
  <c r="BA512" i="37"/>
  <c r="BK589" i="37"/>
  <c r="BK587" i="37"/>
  <c r="BC589" i="37"/>
  <c r="BC587" i="37"/>
  <c r="AX589" i="37"/>
  <c r="AX587" i="37"/>
  <c r="BL617" i="37"/>
  <c r="BL619" i="37"/>
  <c r="BH632" i="37"/>
  <c r="BH633" i="37"/>
  <c r="BJ662" i="37"/>
  <c r="BJ664" i="37"/>
  <c r="BJ542" i="37"/>
  <c r="BF542" i="37"/>
  <c r="AZ632" i="37"/>
  <c r="AZ633" i="37"/>
  <c r="AV319" i="37"/>
  <c r="AV349" i="37"/>
  <c r="AV469" i="37"/>
  <c r="BM499" i="37"/>
  <c r="BK528" i="37"/>
  <c r="BI529" i="37"/>
  <c r="BF543" i="37"/>
  <c r="BJ543" i="37"/>
  <c r="AV544" i="37"/>
  <c r="BG543" i="37"/>
  <c r="BC558" i="37"/>
  <c r="AY559" i="37"/>
  <c r="BG559" i="37"/>
  <c r="BD559" i="37"/>
  <c r="BL559" i="37"/>
  <c r="AZ573" i="37"/>
  <c r="BD573" i="37"/>
  <c r="BH573" i="37"/>
  <c r="BL573" i="37"/>
  <c r="BC588" i="37"/>
  <c r="BK588" i="37"/>
  <c r="BA589" i="37"/>
  <c r="BI589" i="37"/>
  <c r="AV588" i="37"/>
  <c r="BB588" i="37"/>
  <c r="BJ588" i="37"/>
  <c r="AZ589" i="37"/>
  <c r="BH589" i="37"/>
  <c r="AX603" i="37"/>
  <c r="BF603" i="37"/>
  <c r="BH604" i="37"/>
  <c r="BL604" i="37"/>
  <c r="BG618" i="37"/>
  <c r="AX633" i="37"/>
  <c r="BF633" i="37"/>
  <c r="AZ634" i="37"/>
  <c r="BD678" i="37"/>
  <c r="BJ693" i="37"/>
  <c r="BG738" i="37"/>
  <c r="BG587" i="37"/>
  <c r="AV499" i="37"/>
  <c r="AV498" i="37"/>
  <c r="AV497" i="37"/>
  <c r="AW634" i="37"/>
  <c r="BE634" i="37"/>
  <c r="BM634" i="37"/>
  <c r="AW664" i="37"/>
  <c r="BI662" i="37"/>
  <c r="BI663" i="37"/>
  <c r="BM662" i="37"/>
  <c r="BM664" i="37"/>
  <c r="BF587" i="37"/>
  <c r="AV632" i="37"/>
  <c r="AV634" i="37"/>
  <c r="BL709" i="37"/>
  <c r="BG662" i="37"/>
  <c r="BK662" i="37"/>
  <c r="BH662" i="37"/>
  <c r="BH693" i="37"/>
  <c r="AZ737" i="37"/>
  <c r="BB677" i="37"/>
  <c r="BI678" i="37"/>
  <c r="BG679" i="37"/>
  <c r="BA678" i="37"/>
  <c r="AY679" i="37"/>
  <c r="BI649" i="37"/>
  <c r="BH679" i="37"/>
  <c r="BL722" i="37"/>
  <c r="BH737" i="37"/>
  <c r="BB752" i="37"/>
  <c r="BF752" i="37"/>
  <c r="BA737" i="37"/>
  <c r="BI737" i="37"/>
  <c r="BA752" i="37"/>
  <c r="BI752" i="37"/>
  <c r="BM512" i="37"/>
  <c r="BI513" i="37"/>
  <c r="BE512" i="37"/>
  <c r="BA513" i="37"/>
  <c r="AW512" i="37"/>
  <c r="BM557" i="37"/>
  <c r="BI557" i="37"/>
  <c r="BE557" i="37"/>
  <c r="BA557" i="37"/>
  <c r="BC572" i="37"/>
  <c r="BH603" i="37"/>
  <c r="AZ603" i="37"/>
  <c r="BF649" i="37"/>
  <c r="BK634" i="37"/>
  <c r="BK632" i="37"/>
  <c r="BC724" i="37"/>
  <c r="BK512" i="37"/>
  <c r="BG512" i="37"/>
  <c r="BC512" i="37"/>
  <c r="AY512" i="37"/>
  <c r="BK572" i="37"/>
  <c r="BH617" i="37"/>
  <c r="AV394" i="37"/>
  <c r="BM498" i="37"/>
  <c r="BI499" i="37"/>
  <c r="AV513" i="37"/>
  <c r="AW513" i="37"/>
  <c r="BE513" i="37"/>
  <c r="BM513" i="37"/>
  <c r="BI528" i="37"/>
  <c r="BM528" i="37"/>
  <c r="BG529" i="37"/>
  <c r="BK529" i="37"/>
  <c r="BK543" i="37"/>
  <c r="BG544" i="37"/>
  <c r="BA559" i="37"/>
  <c r="BE559" i="37"/>
  <c r="BI559" i="37"/>
  <c r="BM559" i="37"/>
  <c r="BC573" i="37"/>
  <c r="BK573" i="37"/>
  <c r="AY574" i="37"/>
  <c r="BG574" i="37"/>
  <c r="BA588" i="37"/>
  <c r="BE588" i="37"/>
  <c r="BI588" i="37"/>
  <c r="BM588" i="37"/>
  <c r="AZ588" i="37"/>
  <c r="BD588" i="37"/>
  <c r="BH588" i="37"/>
  <c r="BL588" i="37"/>
  <c r="BB589" i="37"/>
  <c r="BJ589" i="37"/>
  <c r="AV603" i="37"/>
  <c r="AX604" i="37"/>
  <c r="BF604" i="37"/>
  <c r="BH618" i="37"/>
  <c r="BL618" i="37"/>
  <c r="BH634" i="37"/>
  <c r="AY633" i="37"/>
  <c r="BG633" i="37"/>
  <c r="BI648" i="37"/>
  <c r="BF648" i="37"/>
  <c r="BJ663" i="37"/>
  <c r="BG664" i="37"/>
  <c r="BK664" i="37"/>
  <c r="BH678" i="37"/>
  <c r="BA738" i="37"/>
  <c r="BI738" i="37"/>
  <c r="BH738" i="37"/>
  <c r="BB753" i="37"/>
  <c r="BF753" i="37"/>
  <c r="BJ753" i="37"/>
  <c r="BB754" i="37"/>
  <c r="BJ754" i="37"/>
  <c r="BA753" i="37"/>
  <c r="BI753" i="37"/>
  <c r="BA754" i="37"/>
  <c r="BI754" i="37"/>
  <c r="BE707" i="37"/>
  <c r="BE708" i="37"/>
  <c r="BD724" i="37"/>
  <c r="BD723" i="37"/>
  <c r="BL724" i="37"/>
  <c r="BF647" i="37"/>
  <c r="BH723" i="37"/>
  <c r="BH722" i="37"/>
  <c r="BJ708" i="37"/>
  <c r="BH709" i="37"/>
  <c r="BH707" i="37"/>
  <c r="AZ709" i="37"/>
  <c r="AZ708" i="37"/>
  <c r="AX707" i="37"/>
  <c r="BI647" i="37"/>
  <c r="BH677" i="37"/>
  <c r="BD677" i="37"/>
  <c r="BH724" i="37"/>
  <c r="BF724" i="37"/>
  <c r="BA739" i="37"/>
  <c r="BI739" i="37"/>
  <c r="BL649" i="37"/>
  <c r="BJ647" i="37"/>
  <c r="BH649" i="37"/>
  <c r="AX694" i="37"/>
  <c r="BJ692" i="37"/>
  <c r="BB709" i="37"/>
  <c r="BD737" i="37"/>
  <c r="AX753" i="37"/>
  <c r="AZ739" i="37"/>
  <c r="BJ634" i="37"/>
  <c r="BF634" i="37"/>
  <c r="BB634" i="37"/>
  <c r="AX634" i="37"/>
  <c r="BF709" i="37"/>
  <c r="BI498" i="37"/>
  <c r="BK497" i="37"/>
  <c r="BA558" i="37"/>
  <c r="BE558" i="37"/>
  <c r="BI558" i="37"/>
  <c r="BM558" i="37"/>
  <c r="BM633" i="37"/>
  <c r="BI633" i="37"/>
  <c r="BE633" i="37"/>
  <c r="BA633" i="37"/>
  <c r="AW633" i="37"/>
  <c r="BM693" i="37"/>
  <c r="BI693" i="37"/>
  <c r="AW693" i="37"/>
  <c r="BI707" i="37"/>
  <c r="BA707" i="37"/>
  <c r="AW722" i="37"/>
  <c r="BE722" i="37"/>
  <c r="BM722" i="37"/>
  <c r="BH647" i="37"/>
  <c r="AX679" i="37"/>
  <c r="BF679" i="37"/>
  <c r="BJ677" i="37"/>
  <c r="AZ723" i="37"/>
  <c r="BF737" i="37"/>
  <c r="BL678" i="37"/>
  <c r="BJ709" i="37"/>
  <c r="BF663" i="37"/>
  <c r="AZ678" i="37"/>
  <c r="BL693" i="37"/>
  <c r="BH708" i="37"/>
  <c r="BB708" i="37"/>
  <c r="AZ707" i="37"/>
  <c r="AX709" i="37"/>
  <c r="AX722" i="37"/>
  <c r="BH754" i="37"/>
  <c r="BG497" i="37"/>
  <c r="BK724" i="37"/>
  <c r="BE739" i="37"/>
  <c r="BM739" i="37"/>
  <c r="BL602" i="37"/>
  <c r="BD602" i="37"/>
  <c r="AV303" i="37"/>
  <c r="AV363" i="37"/>
  <c r="AV378" i="37"/>
  <c r="AV393" i="37"/>
  <c r="AV408" i="37"/>
  <c r="AV453" i="37"/>
  <c r="AV483" i="37"/>
  <c r="BG499" i="37"/>
  <c r="BK499" i="37"/>
  <c r="AV543" i="37"/>
  <c r="BI543" i="37"/>
  <c r="BM543" i="37"/>
  <c r="AV558" i="37"/>
  <c r="AV573" i="37"/>
  <c r="BA573" i="37"/>
  <c r="BI573" i="37"/>
  <c r="BM618" i="37"/>
  <c r="AV633" i="37"/>
  <c r="BL633" i="37"/>
  <c r="AY634" i="37"/>
  <c r="BG634" i="37"/>
  <c r="BJ648" i="37"/>
  <c r="BJ679" i="37"/>
  <c r="AY738" i="37"/>
  <c r="BD738" i="37"/>
  <c r="AV739" i="37"/>
  <c r="BD739" i="37"/>
  <c r="BD754" i="37"/>
  <c r="BL754" i="37"/>
  <c r="BF707" i="37"/>
  <c r="BJ707" i="37"/>
  <c r="BA708" i="37"/>
  <c r="BI708" i="37"/>
  <c r="BD722" i="37"/>
  <c r="AX708" i="37"/>
  <c r="BL723" i="37"/>
  <c r="BK723" i="37"/>
  <c r="BL677" i="37"/>
  <c r="BF677" i="37"/>
  <c r="AZ677" i="37"/>
  <c r="AX677" i="37"/>
  <c r="AX724" i="37"/>
  <c r="BK617" i="37"/>
  <c r="BI617" i="37"/>
  <c r="BM632" i="37"/>
  <c r="BI632" i="37"/>
  <c r="BE632" i="37"/>
  <c r="BA632" i="37"/>
  <c r="AW632" i="37"/>
  <c r="BM649" i="37"/>
  <c r="BG647" i="37"/>
  <c r="AW649" i="37"/>
  <c r="BH664" i="37"/>
  <c r="AV709" i="37"/>
  <c r="AV708" i="37"/>
  <c r="AV707" i="37"/>
  <c r="BI692" i="37"/>
  <c r="BI694" i="37"/>
  <c r="BM692" i="37"/>
  <c r="BM694" i="37"/>
  <c r="AW723" i="37"/>
  <c r="AW724" i="37"/>
  <c r="BA723" i="37"/>
  <c r="BA724" i="37"/>
  <c r="BE723" i="37"/>
  <c r="BE724" i="37"/>
  <c r="BI723" i="37"/>
  <c r="BI724" i="37"/>
  <c r="BM723" i="37"/>
  <c r="BM724" i="37"/>
  <c r="AY752" i="37"/>
  <c r="AY753" i="37"/>
  <c r="BC752" i="37"/>
  <c r="BC753" i="37"/>
  <c r="BG752" i="37"/>
  <c r="BG753" i="37"/>
  <c r="BK752" i="37"/>
  <c r="BK753" i="37"/>
  <c r="BK663" i="37"/>
  <c r="BG663" i="37"/>
  <c r="BM677" i="37"/>
  <c r="BM679" i="37"/>
  <c r="BK677" i="37"/>
  <c r="BK678" i="37"/>
  <c r="BI677" i="37"/>
  <c r="BI679" i="37"/>
  <c r="BG677" i="37"/>
  <c r="BG678" i="37"/>
  <c r="BE677" i="37"/>
  <c r="BE679" i="37"/>
  <c r="BC677" i="37"/>
  <c r="BC678" i="37"/>
  <c r="BA677" i="37"/>
  <c r="BA679" i="37"/>
  <c r="AY677" i="37"/>
  <c r="AY678" i="37"/>
  <c r="BK707" i="37"/>
  <c r="BK708" i="37"/>
  <c r="BG707" i="37"/>
  <c r="BG708" i="37"/>
  <c r="BC707" i="37"/>
  <c r="BC708" i="37"/>
  <c r="AY707" i="37"/>
  <c r="AY708" i="37"/>
  <c r="AV647" i="37"/>
  <c r="AV649" i="37"/>
  <c r="BL662" i="37"/>
  <c r="BL664" i="37"/>
  <c r="BL692" i="37"/>
  <c r="BL694" i="37"/>
  <c r="BH692" i="37"/>
  <c r="BH694" i="37"/>
  <c r="BD708" i="37"/>
  <c r="BD707" i="37"/>
  <c r="BL708" i="37"/>
  <c r="BL707" i="37"/>
  <c r="BB724" i="37"/>
  <c r="BB723" i="37"/>
  <c r="BB722" i="37"/>
  <c r="BJ724" i="37"/>
  <c r="BJ723" i="37"/>
  <c r="BJ722" i="37"/>
  <c r="BB737" i="37"/>
  <c r="BB738" i="37"/>
  <c r="BJ737" i="37"/>
  <c r="BJ738" i="37"/>
  <c r="BA709" i="37"/>
  <c r="BE709" i="37"/>
  <c r="BI709" i="37"/>
  <c r="BM709" i="37"/>
  <c r="BG617" i="37"/>
  <c r="BM647" i="37"/>
  <c r="BK647" i="37"/>
  <c r="AV722" i="37"/>
  <c r="AV723" i="37"/>
  <c r="AC8" i="37"/>
  <c r="AD8" i="37" s="1"/>
  <c r="AE8" i="37" s="1"/>
  <c r="AF8" i="37" s="1"/>
  <c r="AG8" i="37" s="1"/>
  <c r="AH8" i="37" s="1"/>
  <c r="AI8" i="37" s="1"/>
  <c r="AJ8" i="37" s="1"/>
  <c r="BD767" i="37"/>
  <c r="BD768" i="37"/>
  <c r="BD769" i="37"/>
  <c r="BL767" i="37"/>
  <c r="BL768" i="37"/>
  <c r="BL769" i="37"/>
  <c r="BB767" i="37"/>
  <c r="BB768" i="37"/>
  <c r="BB769" i="37"/>
  <c r="BJ767" i="37"/>
  <c r="BJ768" i="37"/>
  <c r="BJ769" i="37"/>
  <c r="BM767" i="37"/>
  <c r="BM768" i="37"/>
  <c r="BM769" i="37"/>
  <c r="BK767" i="37"/>
  <c r="BK768" i="37"/>
  <c r="BK769" i="37"/>
  <c r="BI767" i="37"/>
  <c r="BI768" i="37"/>
  <c r="BI769" i="37"/>
  <c r="BG767" i="37"/>
  <c r="BG768" i="37"/>
  <c r="BG769" i="37"/>
  <c r="BE767" i="37"/>
  <c r="BE768" i="37"/>
  <c r="BE769" i="37"/>
  <c r="BC767" i="37"/>
  <c r="BC768" i="37"/>
  <c r="BC769" i="37"/>
  <c r="BA767" i="37"/>
  <c r="BA768" i="37"/>
  <c r="BA769" i="37"/>
  <c r="AY767" i="37"/>
  <c r="AY768" i="37"/>
  <c r="AY769" i="37"/>
  <c r="AZ767" i="37"/>
  <c r="AZ768" i="37"/>
  <c r="AZ769" i="37"/>
  <c r="BH767" i="37"/>
  <c r="BH768" i="37"/>
  <c r="BH769" i="37"/>
  <c r="AX767" i="37"/>
  <c r="AX768" i="37"/>
  <c r="AX769" i="37"/>
  <c r="BF767" i="37"/>
  <c r="BF768" i="37"/>
  <c r="BF769" i="37"/>
  <c r="AW767" i="37"/>
  <c r="BM272" i="37"/>
  <c r="BM273" i="37"/>
  <c r="BM274" i="37"/>
  <c r="BI272" i="37"/>
  <c r="BI273" i="37"/>
  <c r="BI274" i="37"/>
  <c r="BE272" i="37"/>
  <c r="BE273" i="37"/>
  <c r="BE274" i="37"/>
  <c r="BL272" i="37"/>
  <c r="BL273" i="37"/>
  <c r="BL274" i="37"/>
  <c r="BH272" i="37"/>
  <c r="BH273" i="37"/>
  <c r="BH274" i="37"/>
  <c r="BD272" i="37"/>
  <c r="BD273" i="37"/>
  <c r="BD274" i="37"/>
  <c r="BK272" i="37"/>
  <c r="BK273" i="37"/>
  <c r="BK274" i="37"/>
  <c r="BG272" i="37"/>
  <c r="BG273" i="37"/>
  <c r="BG274" i="37"/>
  <c r="AY272" i="37"/>
  <c r="AY273" i="37"/>
  <c r="AY274" i="37"/>
  <c r="BJ272" i="37"/>
  <c r="BJ273" i="37"/>
  <c r="BJ274" i="37"/>
  <c r="BF272" i="37"/>
  <c r="BF273" i="37"/>
  <c r="BF274" i="37"/>
  <c r="AX272" i="37"/>
  <c r="AX273" i="37"/>
  <c r="AX274" i="37"/>
  <c r="BM257" i="37"/>
  <c r="BM258" i="37"/>
  <c r="BM259" i="37"/>
  <c r="BK257" i="37"/>
  <c r="BK258" i="37"/>
  <c r="BK259" i="37"/>
  <c r="BI257" i="37"/>
  <c r="BI258" i="37"/>
  <c r="BI259" i="37"/>
  <c r="BG257" i="37"/>
  <c r="BG258" i="37"/>
  <c r="BG259" i="37"/>
  <c r="BL257" i="37"/>
  <c r="BL258" i="37"/>
  <c r="BL259" i="37"/>
  <c r="BJ257" i="37"/>
  <c r="BJ258" i="37"/>
  <c r="BJ259" i="37"/>
  <c r="BH257" i="37"/>
  <c r="BH258" i="37"/>
  <c r="BH259" i="37"/>
  <c r="BF257" i="37"/>
  <c r="BF258" i="37"/>
  <c r="BF259" i="37"/>
  <c r="AX258" i="37"/>
  <c r="AV242" i="37"/>
  <c r="AV243" i="37"/>
  <c r="AV244" i="37"/>
  <c r="BM242" i="37"/>
  <c r="BM243" i="37"/>
  <c r="BM244" i="37"/>
  <c r="BK242" i="37"/>
  <c r="BK243" i="37"/>
  <c r="BK244" i="37"/>
  <c r="BI242" i="37"/>
  <c r="BI243" i="37"/>
  <c r="BI244" i="37"/>
  <c r="BG242" i="37"/>
  <c r="BG243" i="37"/>
  <c r="BG244" i="37"/>
  <c r="AW242" i="37"/>
  <c r="BL242" i="37"/>
  <c r="BL243" i="37"/>
  <c r="BL244" i="37"/>
  <c r="BJ242" i="37"/>
  <c r="BJ243" i="37"/>
  <c r="BJ244" i="37"/>
  <c r="BH242" i="37"/>
  <c r="BH243" i="37"/>
  <c r="BH244" i="37"/>
  <c r="BF242" i="37"/>
  <c r="BF243" i="37"/>
  <c r="BF244" i="37"/>
  <c r="AX242" i="37"/>
  <c r="BM227" i="37"/>
  <c r="BM228" i="37"/>
  <c r="BM229" i="37"/>
  <c r="BK227" i="37"/>
  <c r="BK228" i="37"/>
  <c r="BK229" i="37"/>
  <c r="BI227" i="37"/>
  <c r="BI228" i="37"/>
  <c r="BI229" i="37"/>
  <c r="BG227" i="37"/>
  <c r="BG228" i="37"/>
  <c r="BG229" i="37"/>
  <c r="BL227" i="37"/>
  <c r="BL228" i="37"/>
  <c r="BL229" i="37"/>
  <c r="BJ227" i="37"/>
  <c r="BJ228" i="37"/>
  <c r="BJ229" i="37"/>
  <c r="BH227" i="37"/>
  <c r="BH228" i="37"/>
  <c r="BH229" i="37"/>
  <c r="BF227" i="37"/>
  <c r="BF228" i="37"/>
  <c r="BF229" i="37"/>
  <c r="AX227" i="37"/>
  <c r="AX229" i="37"/>
  <c r="BM212" i="37"/>
  <c r="BM213" i="37"/>
  <c r="BM214" i="37"/>
  <c r="BI212" i="37"/>
  <c r="BI213" i="37"/>
  <c r="BI214" i="37"/>
  <c r="BE212" i="37"/>
  <c r="BE213" i="37"/>
  <c r="BE214" i="37"/>
  <c r="BA212" i="37"/>
  <c r="BA213" i="37"/>
  <c r="BA214" i="37"/>
  <c r="AW214" i="37"/>
  <c r="AV212" i="37"/>
  <c r="AV213" i="37"/>
  <c r="AV214" i="37"/>
  <c r="BK212" i="37"/>
  <c r="BK213" i="37"/>
  <c r="BK214" i="37"/>
  <c r="BG212" i="37"/>
  <c r="BG213" i="37"/>
  <c r="BG214" i="37"/>
  <c r="BC212" i="37"/>
  <c r="BC213" i="37"/>
  <c r="BC214" i="37"/>
  <c r="AY212" i="37"/>
  <c r="AY213" i="37"/>
  <c r="AY214" i="37"/>
  <c r="BL212" i="37"/>
  <c r="BL213" i="37"/>
  <c r="BL214" i="37"/>
  <c r="BJ212" i="37"/>
  <c r="BJ213" i="37"/>
  <c r="BJ214" i="37"/>
  <c r="BH212" i="37"/>
  <c r="BH213" i="37"/>
  <c r="BH214" i="37"/>
  <c r="BF212" i="37"/>
  <c r="BF213" i="37"/>
  <c r="BF214" i="37"/>
  <c r="BD212" i="37"/>
  <c r="BD213" i="37"/>
  <c r="BD214" i="37"/>
  <c r="BB212" i="37"/>
  <c r="BB213" i="37"/>
  <c r="BB214" i="37"/>
  <c r="AZ212" i="37"/>
  <c r="AZ213" i="37"/>
  <c r="AZ214" i="37"/>
  <c r="AX212" i="37"/>
  <c r="AX213" i="37"/>
  <c r="AX214" i="37"/>
  <c r="BM197" i="37"/>
  <c r="BM198" i="37"/>
  <c r="BM199" i="37"/>
  <c r="BI197" i="37"/>
  <c r="BI198" i="37"/>
  <c r="BI199" i="37"/>
  <c r="AW197" i="37"/>
  <c r="AW199" i="37"/>
  <c r="BL197" i="37"/>
  <c r="BL198" i="37"/>
  <c r="BL199" i="37"/>
  <c r="BH197" i="37"/>
  <c r="BH198" i="37"/>
  <c r="BH199" i="37"/>
  <c r="BK197" i="37"/>
  <c r="BK198" i="37"/>
  <c r="BK199" i="37"/>
  <c r="BG197" i="37"/>
  <c r="BG198" i="37"/>
  <c r="BG199" i="37"/>
  <c r="BJ197" i="37"/>
  <c r="BJ198" i="37"/>
  <c r="BJ199" i="37"/>
  <c r="BF197" i="37"/>
  <c r="BF198" i="37"/>
  <c r="BF199" i="37"/>
  <c r="AX197" i="37"/>
  <c r="AX199" i="37"/>
  <c r="BK182" i="37"/>
  <c r="BK183" i="37"/>
  <c r="BK184" i="37"/>
  <c r="BG182" i="37"/>
  <c r="BG183" i="37"/>
  <c r="BG184" i="37"/>
  <c r="BL182" i="37"/>
  <c r="BL183" i="37"/>
  <c r="BL184" i="37"/>
  <c r="BH182" i="37"/>
  <c r="BH183" i="37"/>
  <c r="BH184" i="37"/>
  <c r="BF182" i="37"/>
  <c r="BF183" i="37"/>
  <c r="BF184" i="37"/>
  <c r="AX182" i="37"/>
  <c r="AX184" i="37"/>
  <c r="AV182" i="37"/>
  <c r="AV183" i="37"/>
  <c r="AV184" i="37"/>
  <c r="BM182" i="37"/>
  <c r="BM183" i="37"/>
  <c r="BM184" i="37"/>
  <c r="BI182" i="37"/>
  <c r="BI183" i="37"/>
  <c r="BI184" i="37"/>
  <c r="AW184" i="37"/>
  <c r="BJ182" i="37"/>
  <c r="BJ183" i="37"/>
  <c r="BJ184" i="37"/>
  <c r="BM152" i="37"/>
  <c r="BM153" i="37"/>
  <c r="BM154" i="37"/>
  <c r="BK152" i="37"/>
  <c r="BK153" i="37"/>
  <c r="BK154" i="37"/>
  <c r="BI152" i="37"/>
  <c r="BI153" i="37"/>
  <c r="BI154" i="37"/>
  <c r="BG152" i="37"/>
  <c r="BG153" i="37"/>
  <c r="BG154" i="37"/>
  <c r="BE152" i="37"/>
  <c r="BE153" i="37"/>
  <c r="BE154" i="37"/>
  <c r="BC152" i="37"/>
  <c r="BC153" i="37"/>
  <c r="BC154" i="37"/>
  <c r="BA152" i="37"/>
  <c r="BA153" i="37"/>
  <c r="BA154" i="37"/>
  <c r="AY152" i="37"/>
  <c r="AY153" i="37"/>
  <c r="AY154" i="37"/>
  <c r="AW153" i="37"/>
  <c r="BL152" i="37"/>
  <c r="BL153" i="37"/>
  <c r="BL154" i="37"/>
  <c r="BJ152" i="37"/>
  <c r="BJ153" i="37"/>
  <c r="BJ154" i="37"/>
  <c r="BH152" i="37"/>
  <c r="BH153" i="37"/>
  <c r="BH154" i="37"/>
  <c r="BF152" i="37"/>
  <c r="BF153" i="37"/>
  <c r="BF154" i="37"/>
  <c r="BD152" i="37"/>
  <c r="BD153" i="37"/>
  <c r="BD154" i="37"/>
  <c r="BB152" i="37"/>
  <c r="BB153" i="37"/>
  <c r="BB154" i="37"/>
  <c r="AZ152" i="37"/>
  <c r="AZ153" i="37"/>
  <c r="AZ154" i="37"/>
  <c r="AX152" i="37"/>
  <c r="AX153" i="37"/>
  <c r="AX154" i="37"/>
  <c r="BK137" i="37"/>
  <c r="BK138" i="37"/>
  <c r="BK139" i="37"/>
  <c r="BC137" i="37"/>
  <c r="BC138" i="37"/>
  <c r="BC139" i="37"/>
  <c r="AY137" i="37"/>
  <c r="AY138" i="37"/>
  <c r="AY139" i="37"/>
  <c r="BL137" i="37"/>
  <c r="BL138" i="37"/>
  <c r="BL139" i="37"/>
  <c r="BH137" i="37"/>
  <c r="BH138" i="37"/>
  <c r="BH139" i="37"/>
  <c r="BD137" i="37"/>
  <c r="BD138" i="37"/>
  <c r="BD139" i="37"/>
  <c r="AZ137" i="37"/>
  <c r="AZ138" i="37"/>
  <c r="AZ139" i="37"/>
  <c r="BM137" i="37"/>
  <c r="BM138" i="37"/>
  <c r="BM139" i="37"/>
  <c r="BI137" i="37"/>
  <c r="BI138" i="37"/>
  <c r="BI139" i="37"/>
  <c r="BG137" i="37"/>
  <c r="BG138" i="37"/>
  <c r="BG139" i="37"/>
  <c r="BE137" i="37"/>
  <c r="BE138" i="37"/>
  <c r="BE139" i="37"/>
  <c r="BA137" i="37"/>
  <c r="BA138" i="37"/>
  <c r="BA139" i="37"/>
  <c r="AW139" i="37"/>
  <c r="BJ137" i="37"/>
  <c r="BJ138" i="37"/>
  <c r="BJ139" i="37"/>
  <c r="BF137" i="37"/>
  <c r="BF138" i="37"/>
  <c r="BF139" i="37"/>
  <c r="BB137" i="37"/>
  <c r="BB138" i="37"/>
  <c r="BB139" i="37"/>
  <c r="AX137" i="37"/>
  <c r="AX138" i="37"/>
  <c r="AX139" i="37"/>
  <c r="BK122" i="37"/>
  <c r="BK123" i="37"/>
  <c r="BK124" i="37"/>
  <c r="BG122" i="37"/>
  <c r="BG123" i="37"/>
  <c r="BG124" i="37"/>
  <c r="BC122" i="37"/>
  <c r="BC123" i="37"/>
  <c r="BC124" i="37"/>
  <c r="AY122" i="37"/>
  <c r="AY123" i="37"/>
  <c r="AY124" i="37"/>
  <c r="BL122" i="37"/>
  <c r="BL123" i="37"/>
  <c r="BL124" i="37"/>
  <c r="BH122" i="37"/>
  <c r="BH123" i="37"/>
  <c r="BH124" i="37"/>
  <c r="BD122" i="37"/>
  <c r="BD123" i="37"/>
  <c r="BD124" i="37"/>
  <c r="AZ122" i="37"/>
  <c r="AZ123" i="37"/>
  <c r="AZ124" i="37"/>
  <c r="BM122" i="37"/>
  <c r="BM123" i="37"/>
  <c r="BM124" i="37"/>
  <c r="BI122" i="37"/>
  <c r="BI123" i="37"/>
  <c r="BI124" i="37"/>
  <c r="BE122" i="37"/>
  <c r="BE123" i="37"/>
  <c r="BE124" i="37"/>
  <c r="BA122" i="37"/>
  <c r="BA123" i="37"/>
  <c r="BA124" i="37"/>
  <c r="AW123" i="37"/>
  <c r="BJ122" i="37"/>
  <c r="BJ123" i="37"/>
  <c r="BJ124" i="37"/>
  <c r="BF122" i="37"/>
  <c r="BF123" i="37"/>
  <c r="BF124" i="37"/>
  <c r="BB122" i="37"/>
  <c r="BB123" i="37"/>
  <c r="BB124" i="37"/>
  <c r="AX122" i="37"/>
  <c r="AX123" i="37"/>
  <c r="AX124" i="37"/>
  <c r="BK107" i="37"/>
  <c r="BK108" i="37"/>
  <c r="BK109" i="37"/>
  <c r="BG107" i="37"/>
  <c r="BG108" i="37"/>
  <c r="BG109" i="37"/>
  <c r="BC107" i="37"/>
  <c r="BC108" i="37"/>
  <c r="BC109" i="37"/>
  <c r="AY107" i="37"/>
  <c r="AY108" i="37"/>
  <c r="AY109" i="37"/>
  <c r="BL107" i="37"/>
  <c r="BL108" i="37"/>
  <c r="BL109" i="37"/>
  <c r="BH107" i="37"/>
  <c r="BH108" i="37"/>
  <c r="BH109" i="37"/>
  <c r="BD107" i="37"/>
  <c r="BD108" i="37"/>
  <c r="BD109" i="37"/>
  <c r="AZ107" i="37"/>
  <c r="AZ108" i="37"/>
  <c r="AZ109" i="37"/>
  <c r="BM107" i="37"/>
  <c r="BM108" i="37"/>
  <c r="BM109" i="37"/>
  <c r="BI107" i="37"/>
  <c r="BI108" i="37"/>
  <c r="BI109" i="37"/>
  <c r="BE107" i="37"/>
  <c r="BE108" i="37"/>
  <c r="BE109" i="37"/>
  <c r="BA107" i="37"/>
  <c r="BA108" i="37"/>
  <c r="BA109" i="37"/>
  <c r="AW107" i="37"/>
  <c r="AW109" i="37"/>
  <c r="BJ107" i="37"/>
  <c r="BJ108" i="37"/>
  <c r="BJ109" i="37"/>
  <c r="BF107" i="37"/>
  <c r="BF108" i="37"/>
  <c r="BF109" i="37"/>
  <c r="BB107" i="37"/>
  <c r="BB108" i="37"/>
  <c r="BB109" i="37"/>
  <c r="AX107" i="37"/>
  <c r="AX108" i="37"/>
  <c r="AX109" i="37"/>
  <c r="BK92" i="37"/>
  <c r="BK93" i="37"/>
  <c r="BK94" i="37"/>
  <c r="BG92" i="37"/>
  <c r="BG93" i="37"/>
  <c r="BG94" i="37"/>
  <c r="BL92" i="37"/>
  <c r="BL93" i="37"/>
  <c r="BL94" i="37"/>
  <c r="BH92" i="37"/>
  <c r="BH93" i="37"/>
  <c r="BH94" i="37"/>
  <c r="BM92" i="37"/>
  <c r="BM93" i="37"/>
  <c r="BM94" i="37"/>
  <c r="BI92" i="37"/>
  <c r="BI93" i="37"/>
  <c r="BI94" i="37"/>
  <c r="AW92" i="37"/>
  <c r="AW94" i="37"/>
  <c r="BJ92" i="37"/>
  <c r="BJ93" i="37"/>
  <c r="BJ94" i="37"/>
  <c r="BF92" i="37"/>
  <c r="BF93" i="37"/>
  <c r="BF94" i="37"/>
  <c r="AX92" i="37"/>
  <c r="AX93" i="37"/>
  <c r="AX94" i="37"/>
  <c r="BM77" i="37"/>
  <c r="BM78" i="37"/>
  <c r="BM79" i="37"/>
  <c r="BK77" i="37"/>
  <c r="BK78" i="37"/>
  <c r="BK79" i="37"/>
  <c r="BI77" i="37"/>
  <c r="BI78" i="37"/>
  <c r="BI79" i="37"/>
  <c r="BG77" i="37"/>
  <c r="BG78" i="37"/>
  <c r="BG79" i="37"/>
  <c r="AY77" i="37"/>
  <c r="AY79" i="37"/>
  <c r="AW78" i="37"/>
  <c r="BL77" i="37"/>
  <c r="BL78" i="37"/>
  <c r="BL79" i="37"/>
  <c r="BJ77" i="37"/>
  <c r="BJ78" i="37"/>
  <c r="BJ79" i="37"/>
  <c r="BH77" i="37"/>
  <c r="BH78" i="37"/>
  <c r="BH79" i="37"/>
  <c r="BF77" i="37"/>
  <c r="BF78" i="37"/>
  <c r="BF79" i="37"/>
  <c r="AX77" i="37"/>
  <c r="AX78" i="37"/>
  <c r="AX79" i="37"/>
  <c r="BM62" i="37"/>
  <c r="BM63" i="37"/>
  <c r="BM64" i="37"/>
  <c r="BK62" i="37"/>
  <c r="BK63" i="37"/>
  <c r="BK64" i="37"/>
  <c r="BI62" i="37"/>
  <c r="BI63" i="37"/>
  <c r="BI64" i="37"/>
  <c r="BG62" i="37"/>
  <c r="BG63" i="37"/>
  <c r="BG64" i="37"/>
  <c r="AW62" i="37"/>
  <c r="AW64" i="37"/>
  <c r="BL62" i="37"/>
  <c r="BL63" i="37"/>
  <c r="BL64" i="37"/>
  <c r="BJ62" i="37"/>
  <c r="BJ63" i="37"/>
  <c r="BJ64" i="37"/>
  <c r="BH62" i="37"/>
  <c r="BH63" i="37"/>
  <c r="BH64" i="37"/>
  <c r="BF62" i="37"/>
  <c r="BF63" i="37"/>
  <c r="BF64" i="37"/>
  <c r="AX62" i="37"/>
  <c r="AX63" i="37"/>
  <c r="AX64" i="37"/>
  <c r="BK47" i="37"/>
  <c r="BK48" i="37"/>
  <c r="BK49" i="37"/>
  <c r="BG47" i="37"/>
  <c r="BG48" i="37"/>
  <c r="BG49" i="37"/>
  <c r="BM47" i="37"/>
  <c r="BM48" i="37"/>
  <c r="BM49" i="37"/>
  <c r="BI47" i="37"/>
  <c r="BI48" i="37"/>
  <c r="BI49" i="37"/>
  <c r="AW47" i="37"/>
  <c r="AW49" i="37"/>
  <c r="BL47" i="37"/>
  <c r="BL48" i="37"/>
  <c r="BL49" i="37"/>
  <c r="BJ47" i="37"/>
  <c r="BJ48" i="37"/>
  <c r="BJ49" i="37"/>
  <c r="BH47" i="37"/>
  <c r="BH48" i="37"/>
  <c r="BH49" i="37"/>
  <c r="BF47" i="37"/>
  <c r="BF48" i="37"/>
  <c r="BF49" i="37"/>
  <c r="AX47" i="37"/>
  <c r="AX48" i="37"/>
  <c r="AX49" i="37"/>
  <c r="AV32" i="37"/>
  <c r="AV33" i="37"/>
  <c r="AV34" i="37"/>
  <c r="BI32" i="37"/>
  <c r="BI33" i="37"/>
  <c r="BI34" i="37"/>
  <c r="BE32" i="37"/>
  <c r="BE33" i="37"/>
  <c r="BE34" i="37"/>
  <c r="BA32" i="37"/>
  <c r="BA33" i="37"/>
  <c r="BA34" i="37"/>
  <c r="AW33" i="37"/>
  <c r="BH32" i="37"/>
  <c r="BH33" i="37"/>
  <c r="BH34" i="37"/>
  <c r="BF32" i="37"/>
  <c r="BF33" i="37"/>
  <c r="BF34" i="37"/>
  <c r="BD32" i="37"/>
  <c r="BD33" i="37"/>
  <c r="BD34" i="37"/>
  <c r="AZ32" i="37"/>
  <c r="AZ33" i="37"/>
  <c r="AZ34" i="37"/>
  <c r="AX32" i="37"/>
  <c r="AX33" i="37"/>
  <c r="AX34" i="37"/>
  <c r="BK32" i="37"/>
  <c r="BK33" i="37"/>
  <c r="BK34" i="37"/>
  <c r="BG32" i="37"/>
  <c r="BG33" i="37"/>
  <c r="BG34" i="37"/>
  <c r="BC32" i="37"/>
  <c r="BC33" i="37"/>
  <c r="BC34" i="37"/>
  <c r="AY32" i="37"/>
  <c r="AY33" i="37"/>
  <c r="AY34" i="37"/>
  <c r="BJ32" i="37"/>
  <c r="BJ33" i="37"/>
  <c r="BJ34" i="37"/>
  <c r="BB32" i="37"/>
  <c r="BB33" i="37"/>
  <c r="BB34" i="37"/>
  <c r="BM17" i="37"/>
  <c r="BM18" i="37"/>
  <c r="BM19" i="37"/>
  <c r="BK17" i="37"/>
  <c r="BK18" i="37"/>
  <c r="BK19" i="37"/>
  <c r="BI17" i="37"/>
  <c r="BI18" i="37"/>
  <c r="BI19" i="37"/>
  <c r="BG17" i="37"/>
  <c r="BG18" i="37"/>
  <c r="BG19" i="37"/>
  <c r="AW17" i="37"/>
  <c r="AW19" i="37"/>
  <c r="BJ17" i="37"/>
  <c r="BJ18" i="37"/>
  <c r="BJ19" i="37"/>
  <c r="BF17" i="37"/>
  <c r="BF18" i="37"/>
  <c r="BF19" i="37"/>
  <c r="AX17" i="37"/>
  <c r="AX18" i="37"/>
  <c r="AX19" i="37"/>
  <c r="BL17" i="37"/>
  <c r="BL18" i="37"/>
  <c r="BL19" i="37"/>
  <c r="BH17" i="37"/>
  <c r="BH18" i="37"/>
  <c r="BH19" i="37"/>
  <c r="BM4" i="37"/>
  <c r="BM2" i="37"/>
  <c r="BM3" i="37"/>
  <c r="BH3" i="37"/>
  <c r="BH4" i="37"/>
  <c r="BH2" i="37"/>
  <c r="BL3" i="37"/>
  <c r="BL4" i="37"/>
  <c r="BL2" i="37"/>
  <c r="BG4" i="37"/>
  <c r="BG2" i="37"/>
  <c r="BG3" i="37"/>
  <c r="BI4" i="37"/>
  <c r="BI2" i="37"/>
  <c r="BI3" i="37"/>
  <c r="BF3" i="37"/>
  <c r="BF4" i="37"/>
  <c r="BF2" i="37"/>
  <c r="BJ3" i="37"/>
  <c r="BJ4" i="37"/>
  <c r="BJ2" i="37"/>
  <c r="BK4" i="37"/>
  <c r="BK2" i="37"/>
  <c r="BK3" i="37"/>
  <c r="AC4" i="37"/>
  <c r="AD4" i="37" s="1"/>
  <c r="AE4" i="37" s="1"/>
  <c r="AF4" i="37" s="1"/>
  <c r="AG4" i="37" s="1"/>
  <c r="AH4" i="37" s="1"/>
  <c r="AB15" i="37"/>
  <c r="AR45" i="37"/>
  <c r="AQ45" i="37"/>
  <c r="AW259" i="37" l="1"/>
  <c r="AW679" i="37"/>
  <c r="BC723" i="37"/>
  <c r="AX618" i="37"/>
  <c r="AW559" i="37"/>
  <c r="AW753" i="37"/>
  <c r="AW124" i="37"/>
  <c r="AW154" i="37"/>
  <c r="AW212" i="37"/>
  <c r="AW244" i="37"/>
  <c r="AW273" i="37"/>
  <c r="AW694" i="37"/>
  <c r="AX738" i="37"/>
  <c r="AW648" i="37"/>
  <c r="AW528" i="37"/>
  <c r="AV3" i="37"/>
  <c r="AW707" i="37"/>
  <c r="AW527" i="37"/>
  <c r="AW603" i="37"/>
  <c r="AW137" i="37"/>
  <c r="AW182" i="37"/>
  <c r="AW228" i="37"/>
  <c r="AX244" i="37"/>
  <c r="AX259" i="37"/>
  <c r="AW257" i="37"/>
  <c r="AW769" i="37"/>
  <c r="AX648" i="37"/>
  <c r="AY664" i="37"/>
  <c r="AY662" i="37"/>
  <c r="AW499" i="37"/>
  <c r="AX542" i="37"/>
  <c r="AW497" i="37"/>
  <c r="AW754" i="37"/>
  <c r="AV663" i="37"/>
  <c r="AH15" i="37"/>
  <c r="AI4" i="37"/>
  <c r="AE90" i="37"/>
  <c r="AF79" i="37"/>
  <c r="AY287" i="37"/>
  <c r="AY289" i="37"/>
  <c r="AY288" i="37"/>
  <c r="AZ287" i="37"/>
  <c r="AZ289" i="37"/>
  <c r="AZ288" i="37"/>
  <c r="AW274" i="37"/>
  <c r="AW709" i="37"/>
  <c r="AX647" i="37"/>
  <c r="AW543" i="37"/>
  <c r="AW739" i="37"/>
  <c r="AX619" i="37"/>
  <c r="AX543" i="37"/>
  <c r="AV2" i="37"/>
  <c r="AW34" i="37"/>
  <c r="AW79" i="37"/>
  <c r="AW229" i="37"/>
  <c r="AW677" i="37"/>
  <c r="AW617" i="37"/>
  <c r="AW558" i="37"/>
  <c r="AW588" i="37"/>
  <c r="AY529" i="37"/>
  <c r="AW662" i="37"/>
  <c r="AX664" i="37"/>
  <c r="AW618" i="37"/>
  <c r="AY528" i="37"/>
  <c r="AW587" i="37"/>
  <c r="AF330" i="37"/>
  <c r="BA317" i="37" s="1"/>
  <c r="AG319" i="37"/>
  <c r="AV664" i="37"/>
  <c r="AX527" i="37"/>
  <c r="AX529" i="37"/>
  <c r="AE285" i="37"/>
  <c r="AF274" i="37"/>
  <c r="AD270" i="37"/>
  <c r="AE259" i="37"/>
  <c r="AE540" i="37"/>
  <c r="AZ527" i="37" s="1"/>
  <c r="AF529" i="37"/>
  <c r="AE450" i="37"/>
  <c r="AZ439" i="37" s="1"/>
  <c r="AF439" i="37"/>
  <c r="AY377" i="37"/>
  <c r="AY378" i="37"/>
  <c r="AY379" i="37"/>
  <c r="BA319" i="37"/>
  <c r="AE435" i="37"/>
  <c r="AZ422" i="37" s="1"/>
  <c r="AF424" i="37"/>
  <c r="AE405" i="37"/>
  <c r="AZ394" i="37" s="1"/>
  <c r="AF394" i="37"/>
  <c r="AE675" i="37"/>
  <c r="AF664" i="37"/>
  <c r="AE390" i="37"/>
  <c r="AF379" i="37"/>
  <c r="AZ319" i="37"/>
  <c r="AZ318" i="37"/>
  <c r="AZ317" i="37"/>
  <c r="AW604" i="37"/>
  <c r="AW544" i="37"/>
  <c r="AY422" i="37"/>
  <c r="AY424" i="37"/>
  <c r="AY423" i="37"/>
  <c r="AY392" i="37"/>
  <c r="AY394" i="37"/>
  <c r="AY393" i="37"/>
  <c r="AC510" i="37"/>
  <c r="AD500" i="37"/>
  <c r="AD555" i="37"/>
  <c r="AE544" i="37"/>
  <c r="AD60" i="37"/>
  <c r="AE49" i="37"/>
  <c r="AD75" i="37"/>
  <c r="AE64" i="37"/>
  <c r="AD105" i="37"/>
  <c r="AE94" i="37"/>
  <c r="AD240" i="37"/>
  <c r="AE229" i="37"/>
  <c r="AD255" i="37"/>
  <c r="AE244" i="37"/>
  <c r="AD30" i="37"/>
  <c r="AE19" i="37"/>
  <c r="AD195" i="37"/>
  <c r="AE184" i="37"/>
  <c r="AD210" i="37"/>
  <c r="AE199" i="37"/>
  <c r="AY437" i="37"/>
  <c r="AY439" i="37"/>
  <c r="AY438" i="37"/>
  <c r="AY737" i="37"/>
  <c r="AD660" i="37"/>
  <c r="AE649" i="37"/>
  <c r="AD630" i="37"/>
  <c r="AE619" i="37"/>
  <c r="AD705" i="37"/>
  <c r="AE694" i="37"/>
  <c r="AW573" i="37"/>
  <c r="AW574" i="37"/>
  <c r="AV17" i="37"/>
  <c r="AV18" i="37"/>
  <c r="AV19" i="37"/>
  <c r="AV62" i="37"/>
  <c r="AV63" i="37"/>
  <c r="AV64" i="37"/>
  <c r="AV92" i="37"/>
  <c r="AV93" i="37"/>
  <c r="AV94" i="37"/>
  <c r="AV122" i="37"/>
  <c r="AV123" i="37"/>
  <c r="AV124" i="37"/>
  <c r="AV152" i="37"/>
  <c r="AV153" i="37"/>
  <c r="AV154" i="37"/>
  <c r="AV227" i="37"/>
  <c r="AV229" i="37"/>
  <c r="AV228" i="37"/>
  <c r="AV272" i="37"/>
  <c r="AV274" i="37"/>
  <c r="AV273" i="37"/>
  <c r="AV48" i="37"/>
  <c r="AV47" i="37"/>
  <c r="AV49" i="37"/>
  <c r="AV78" i="37"/>
  <c r="AV77" i="37"/>
  <c r="AV79" i="37"/>
  <c r="AV108" i="37"/>
  <c r="AV107" i="37"/>
  <c r="AV109" i="37"/>
  <c r="AV138" i="37"/>
  <c r="AV137" i="37"/>
  <c r="AV139" i="37"/>
  <c r="AV199" i="37"/>
  <c r="AV197" i="37"/>
  <c r="AV198" i="37"/>
  <c r="AV259" i="37"/>
  <c r="AV257" i="37"/>
  <c r="AV258" i="37"/>
  <c r="AV769" i="37"/>
  <c r="AV767" i="37"/>
  <c r="AV768" i="37"/>
  <c r="AC15" i="37"/>
  <c r="AX3" i="37" s="1"/>
  <c r="BL32" i="37"/>
  <c r="BL33" i="37"/>
  <c r="BL34" i="37"/>
  <c r="BM32" i="37"/>
  <c r="BM33" i="37"/>
  <c r="BM34" i="37"/>
  <c r="AW4" i="37"/>
  <c r="AW2" i="37"/>
  <c r="AW3" i="37"/>
  <c r="AD15" i="37"/>
  <c r="AI15" i="37" l="1"/>
  <c r="BD3" i="37" s="1"/>
  <c r="AJ4" i="37"/>
  <c r="AJ15" i="37" s="1"/>
  <c r="AF90" i="37"/>
  <c r="BA78" i="37" s="1"/>
  <c r="AG79" i="37"/>
  <c r="BC2" i="37"/>
  <c r="BC4" i="37"/>
  <c r="BC3" i="37"/>
  <c r="AZ393" i="37"/>
  <c r="AZ424" i="37"/>
  <c r="BA318" i="37"/>
  <c r="AG330" i="37"/>
  <c r="BB318" i="37" s="1"/>
  <c r="AH319" i="37"/>
  <c r="AF675" i="37"/>
  <c r="BA662" i="37" s="1"/>
  <c r="AG664" i="37"/>
  <c r="AZ77" i="37"/>
  <c r="AZ79" i="37"/>
  <c r="AZ78" i="37"/>
  <c r="AF540" i="37"/>
  <c r="BA528" i="37" s="1"/>
  <c r="AG529" i="37"/>
  <c r="AF390" i="37"/>
  <c r="BA379" i="37" s="1"/>
  <c r="AG379" i="37"/>
  <c r="AF450" i="37"/>
  <c r="BA437" i="37" s="1"/>
  <c r="AG439" i="37"/>
  <c r="AF285" i="37"/>
  <c r="BA272" i="37" s="1"/>
  <c r="AG274" i="37"/>
  <c r="AF405" i="37"/>
  <c r="BA394" i="37" s="1"/>
  <c r="AG394" i="37"/>
  <c r="AF435" i="37"/>
  <c r="BA424" i="37" s="1"/>
  <c r="AG424" i="37"/>
  <c r="AE105" i="37"/>
  <c r="AZ93" i="37" s="1"/>
  <c r="AF94" i="37"/>
  <c r="AZ273" i="37"/>
  <c r="AZ272" i="37"/>
  <c r="AZ274" i="37"/>
  <c r="AZ437" i="37"/>
  <c r="AE270" i="37"/>
  <c r="AF259" i="37"/>
  <c r="AY257" i="37"/>
  <c r="AY259" i="37"/>
  <c r="AY258" i="37"/>
  <c r="AZ392" i="37"/>
  <c r="AZ438" i="37"/>
  <c r="AZ529" i="37"/>
  <c r="AZ423" i="37"/>
  <c r="AZ528" i="37"/>
  <c r="AE705" i="37"/>
  <c r="AZ694" i="37" s="1"/>
  <c r="AF694" i="37"/>
  <c r="AE630" i="37"/>
  <c r="AZ618" i="37" s="1"/>
  <c r="AF619" i="37"/>
  <c r="AE660" i="37"/>
  <c r="AZ648" i="37" s="1"/>
  <c r="AF649" i="37"/>
  <c r="AE210" i="37"/>
  <c r="AZ198" i="37" s="1"/>
  <c r="AF199" i="37"/>
  <c r="AE195" i="37"/>
  <c r="AZ184" i="37" s="1"/>
  <c r="AF184" i="37"/>
  <c r="AE30" i="37"/>
  <c r="AZ17" i="37" s="1"/>
  <c r="AF19" i="37"/>
  <c r="AE255" i="37"/>
  <c r="AZ244" i="37" s="1"/>
  <c r="AF244" i="37"/>
  <c r="AE240" i="37"/>
  <c r="AZ228" i="37" s="1"/>
  <c r="AF229" i="37"/>
  <c r="AE75" i="37"/>
  <c r="AZ63" i="37" s="1"/>
  <c r="AF64" i="37"/>
  <c r="AE60" i="37"/>
  <c r="AZ49" i="37" s="1"/>
  <c r="AF49" i="37"/>
  <c r="AE555" i="37"/>
  <c r="AZ543" i="37" s="1"/>
  <c r="AF544" i="37"/>
  <c r="AZ377" i="37"/>
  <c r="AZ379" i="37"/>
  <c r="AZ378" i="37"/>
  <c r="AZ662" i="37"/>
  <c r="AZ663" i="37"/>
  <c r="AZ664" i="37"/>
  <c r="BA439" i="37"/>
  <c r="BA422" i="37"/>
  <c r="AY692" i="37"/>
  <c r="AY693" i="37"/>
  <c r="AY694" i="37"/>
  <c r="AY618" i="37"/>
  <c r="AY617" i="37"/>
  <c r="AY619" i="37"/>
  <c r="AY649" i="37"/>
  <c r="AY648" i="37"/>
  <c r="AY647" i="37"/>
  <c r="AY198" i="37"/>
  <c r="AY197" i="37"/>
  <c r="AY199" i="37"/>
  <c r="AY183" i="37"/>
  <c r="AY182" i="37"/>
  <c r="AY184" i="37"/>
  <c r="AY18" i="37"/>
  <c r="AY17" i="37"/>
  <c r="AY19" i="37"/>
  <c r="AY242" i="37"/>
  <c r="AY244" i="37"/>
  <c r="AY243" i="37"/>
  <c r="AY228" i="37"/>
  <c r="AY227" i="37"/>
  <c r="AY229" i="37"/>
  <c r="AY93" i="37"/>
  <c r="AY92" i="37"/>
  <c r="AY94" i="37"/>
  <c r="AY63" i="37"/>
  <c r="AY62" i="37"/>
  <c r="AY64" i="37"/>
  <c r="AY47" i="37"/>
  <c r="AY49" i="37"/>
  <c r="AY48" i="37"/>
  <c r="AY542" i="37"/>
  <c r="AY544" i="37"/>
  <c r="AY543" i="37"/>
  <c r="AX499" i="37"/>
  <c r="AX498" i="37"/>
  <c r="AX497" i="37"/>
  <c r="AZ692" i="37"/>
  <c r="AZ197" i="37"/>
  <c r="AZ242" i="37"/>
  <c r="AZ92" i="37"/>
  <c r="AE500" i="37"/>
  <c r="AD510" i="37"/>
  <c r="AX2" i="37"/>
  <c r="AX4" i="37"/>
  <c r="AY4" i="37"/>
  <c r="AY2" i="37"/>
  <c r="AY3" i="37"/>
  <c r="AE15" i="37"/>
  <c r="BD2" i="37" l="1"/>
  <c r="BD4" i="37"/>
  <c r="BE4" i="37"/>
  <c r="BE3" i="37"/>
  <c r="BE2" i="37"/>
  <c r="AZ48" i="37"/>
  <c r="AZ62" i="37"/>
  <c r="AZ227" i="37"/>
  <c r="AZ183" i="37"/>
  <c r="AZ649" i="37"/>
  <c r="BA529" i="37"/>
  <c r="BA664" i="37"/>
  <c r="AZ542" i="37"/>
  <c r="AZ47" i="37"/>
  <c r="AZ94" i="37"/>
  <c r="AZ243" i="37"/>
  <c r="AZ19" i="37"/>
  <c r="AZ182" i="37"/>
  <c r="AZ647" i="37"/>
  <c r="AZ617" i="37"/>
  <c r="AZ693" i="37"/>
  <c r="BA423" i="37"/>
  <c r="BA393" i="37"/>
  <c r="BB317" i="37"/>
  <c r="BA77" i="37"/>
  <c r="BA79" i="37"/>
  <c r="AZ544" i="37"/>
  <c r="AZ64" i="37"/>
  <c r="AZ229" i="37"/>
  <c r="AZ18" i="37"/>
  <c r="AZ199" i="37"/>
  <c r="AZ619" i="37"/>
  <c r="BA392" i="37"/>
  <c r="BA377" i="37"/>
  <c r="BA527" i="37"/>
  <c r="AF270" i="37"/>
  <c r="BA257" i="37" s="1"/>
  <c r="AG259" i="37"/>
  <c r="BB319" i="37"/>
  <c r="AG90" i="37"/>
  <c r="AH79" i="37"/>
  <c r="AF105" i="37"/>
  <c r="BA93" i="37" s="1"/>
  <c r="AG94" i="37"/>
  <c r="AG285" i="37"/>
  <c r="BB274" i="37" s="1"/>
  <c r="AH274" i="37"/>
  <c r="AH285" i="37" s="1"/>
  <c r="AG450" i="37"/>
  <c r="BB438" i="37" s="1"/>
  <c r="AH439" i="37"/>
  <c r="AG390" i="37"/>
  <c r="BB378" i="37" s="1"/>
  <c r="AH379" i="37"/>
  <c r="AH330" i="37"/>
  <c r="BC317" i="37" s="1"/>
  <c r="AI319" i="37"/>
  <c r="AG675" i="37"/>
  <c r="BB663" i="37" s="1"/>
  <c r="AH664" i="37"/>
  <c r="AG540" i="37"/>
  <c r="BB527" i="37" s="1"/>
  <c r="AH529" i="37"/>
  <c r="BA663" i="37"/>
  <c r="AG435" i="37"/>
  <c r="BB422" i="37" s="1"/>
  <c r="AH424" i="37"/>
  <c r="AG405" i="37"/>
  <c r="BB393" i="37" s="1"/>
  <c r="AH394" i="37"/>
  <c r="BA378" i="37"/>
  <c r="BA438" i="37"/>
  <c r="AF630" i="37"/>
  <c r="BA617" i="37" s="1"/>
  <c r="AG619" i="37"/>
  <c r="AF705" i="37"/>
  <c r="BA694" i="37" s="1"/>
  <c r="AG694" i="37"/>
  <c r="AF660" i="37"/>
  <c r="BA647" i="37" s="1"/>
  <c r="AG649" i="37"/>
  <c r="AF60" i="37"/>
  <c r="BA47" i="37" s="1"/>
  <c r="AG49" i="37"/>
  <c r="BA274" i="37"/>
  <c r="AF255" i="37"/>
  <c r="BA242" i="37" s="1"/>
  <c r="AG244" i="37"/>
  <c r="AF30" i="37"/>
  <c r="BA17" i="37" s="1"/>
  <c r="AG19" i="37"/>
  <c r="AF210" i="37"/>
  <c r="BA199" i="37" s="1"/>
  <c r="AG199" i="37"/>
  <c r="BA273" i="37"/>
  <c r="BB272" i="37"/>
  <c r="BB437" i="37"/>
  <c r="AF195" i="37"/>
  <c r="BA182" i="37" s="1"/>
  <c r="AG184" i="37"/>
  <c r="AF240" i="37"/>
  <c r="BA227" i="37" s="1"/>
  <c r="AG229" i="37"/>
  <c r="BB423" i="37"/>
  <c r="BA92" i="37"/>
  <c r="BA258" i="37"/>
  <c r="AZ257" i="37"/>
  <c r="AZ259" i="37"/>
  <c r="AZ258" i="37"/>
  <c r="AF555" i="37"/>
  <c r="BA544" i="37" s="1"/>
  <c r="AG544" i="37"/>
  <c r="AE510" i="37"/>
  <c r="AZ498" i="37" s="1"/>
  <c r="AF500" i="37"/>
  <c r="BA542" i="37"/>
  <c r="AF75" i="37"/>
  <c r="AG64" i="37"/>
  <c r="BA243" i="37"/>
  <c r="BA244" i="37"/>
  <c r="BA19" i="37"/>
  <c r="BA197" i="37"/>
  <c r="BA649" i="37"/>
  <c r="BA618" i="37"/>
  <c r="BA619" i="37"/>
  <c r="BA693" i="37"/>
  <c r="AY498" i="37"/>
  <c r="AY497" i="37"/>
  <c r="AY499" i="37"/>
  <c r="AZ3" i="37"/>
  <c r="AZ4" i="37"/>
  <c r="AZ2" i="37"/>
  <c r="AG15" i="37"/>
  <c r="AF15" i="37"/>
  <c r="BB273" i="37" l="1"/>
  <c r="BB377" i="37"/>
  <c r="BA198" i="37"/>
  <c r="BA692" i="37"/>
  <c r="BA648" i="37"/>
  <c r="BA18" i="37"/>
  <c r="BA259" i="37"/>
  <c r="BB529" i="37"/>
  <c r="BA94" i="37"/>
  <c r="BB439" i="37"/>
  <c r="BB379" i="37"/>
  <c r="BB662" i="37"/>
  <c r="BB664" i="37"/>
  <c r="BC319" i="37"/>
  <c r="BB528" i="37"/>
  <c r="BC318" i="37"/>
  <c r="AI330" i="37"/>
  <c r="BD317" i="37" s="1"/>
  <c r="AJ319" i="37"/>
  <c r="AJ330" i="37" s="1"/>
  <c r="AH90" i="37"/>
  <c r="BC79" i="37" s="1"/>
  <c r="AI79" i="37"/>
  <c r="AH450" i="37"/>
  <c r="BC437" i="37" s="1"/>
  <c r="AI439" i="37"/>
  <c r="AH540" i="37"/>
  <c r="BC527" i="37" s="1"/>
  <c r="AI529" i="37"/>
  <c r="AH675" i="37"/>
  <c r="BC664" i="37" s="1"/>
  <c r="AI664" i="37"/>
  <c r="BA184" i="37"/>
  <c r="BB392" i="37"/>
  <c r="AH390" i="37"/>
  <c r="BC377" i="37" s="1"/>
  <c r="AI379" i="37"/>
  <c r="AG270" i="37"/>
  <c r="AH259" i="37"/>
  <c r="AG105" i="37"/>
  <c r="AH94" i="37"/>
  <c r="BC77" i="37"/>
  <c r="BB77" i="37"/>
  <c r="BB79" i="37"/>
  <c r="BB78" i="37"/>
  <c r="AG30" i="37"/>
  <c r="BB19" i="37" s="1"/>
  <c r="AH19" i="37"/>
  <c r="AG255" i="37"/>
  <c r="BB242" i="37" s="1"/>
  <c r="AH244" i="37"/>
  <c r="AG660" i="37"/>
  <c r="BB649" i="37" s="1"/>
  <c r="AH649" i="37"/>
  <c r="AG630" i="37"/>
  <c r="BB619" i="37" s="1"/>
  <c r="AH619" i="37"/>
  <c r="BD319" i="37"/>
  <c r="BC379" i="37"/>
  <c r="BC273" i="37"/>
  <c r="BC272" i="37"/>
  <c r="BC274" i="37"/>
  <c r="AH405" i="37"/>
  <c r="BC392" i="37" s="1"/>
  <c r="AI394" i="37"/>
  <c r="AG705" i="37"/>
  <c r="BB692" i="37" s="1"/>
  <c r="AH694" i="37"/>
  <c r="BC528" i="37"/>
  <c r="BC662" i="37"/>
  <c r="BC663" i="37"/>
  <c r="AG60" i="37"/>
  <c r="BB47" i="37" s="1"/>
  <c r="AH49" i="37"/>
  <c r="AH435" i="37"/>
  <c r="BC422" i="37" s="1"/>
  <c r="AI424" i="37"/>
  <c r="BA48" i="37"/>
  <c r="BB424" i="37"/>
  <c r="AZ497" i="37"/>
  <c r="AG555" i="37"/>
  <c r="BB544" i="37" s="1"/>
  <c r="AH544" i="37"/>
  <c r="AZ499" i="37"/>
  <c r="AG210" i="37"/>
  <c r="BB197" i="37" s="1"/>
  <c r="AH199" i="37"/>
  <c r="AG75" i="37"/>
  <c r="BB62" i="37" s="1"/>
  <c r="AH64" i="37"/>
  <c r="BA49" i="37"/>
  <c r="BB394" i="37"/>
  <c r="AG240" i="37"/>
  <c r="BB227" i="37" s="1"/>
  <c r="AH229" i="37"/>
  <c r="AG195" i="37"/>
  <c r="BB183" i="37" s="1"/>
  <c r="AH184" i="37"/>
  <c r="BA183" i="37"/>
  <c r="BB618" i="37"/>
  <c r="BA229" i="37"/>
  <c r="BB647" i="37"/>
  <c r="AF510" i="37"/>
  <c r="BA499" i="37" s="1"/>
  <c r="AG500" i="37"/>
  <c r="BB49" i="37"/>
  <c r="BB17" i="37"/>
  <c r="BB244" i="37"/>
  <c r="BA228" i="37"/>
  <c r="BA543" i="37"/>
  <c r="BA62" i="37"/>
  <c r="BA64" i="37"/>
  <c r="BA63" i="37"/>
  <c r="BA4" i="37"/>
  <c r="BA2" i="37"/>
  <c r="BA3" i="37"/>
  <c r="BB3" i="37"/>
  <c r="BB4" i="37"/>
  <c r="BB2" i="37"/>
  <c r="BB693" i="37" l="1"/>
  <c r="BC393" i="37"/>
  <c r="BB18" i="37"/>
  <c r="BC529" i="37"/>
  <c r="BC439" i="37"/>
  <c r="BD318" i="37"/>
  <c r="BC378" i="37"/>
  <c r="BB543" i="37"/>
  <c r="BB542" i="37"/>
  <c r="BC438" i="37"/>
  <c r="BC78" i="37"/>
  <c r="BC423" i="37"/>
  <c r="AI675" i="37"/>
  <c r="BD663" i="37" s="1"/>
  <c r="AJ664" i="37"/>
  <c r="AJ675" i="37" s="1"/>
  <c r="AI540" i="37"/>
  <c r="BD529" i="37" s="1"/>
  <c r="AJ529" i="37"/>
  <c r="AJ540" i="37" s="1"/>
  <c r="AI390" i="37"/>
  <c r="BD379" i="37" s="1"/>
  <c r="AJ379" i="37"/>
  <c r="AJ390" i="37" s="1"/>
  <c r="AI435" i="37"/>
  <c r="BD422" i="37" s="1"/>
  <c r="AJ424" i="37"/>
  <c r="AJ435" i="37" s="1"/>
  <c r="BB243" i="37"/>
  <c r="BB198" i="37"/>
  <c r="BB648" i="37"/>
  <c r="BB617" i="37"/>
  <c r="BC394" i="37"/>
  <c r="BB64" i="37"/>
  <c r="BB48" i="37"/>
  <c r="BB694" i="37"/>
  <c r="BC424" i="37"/>
  <c r="AI450" i="37"/>
  <c r="BD439" i="37" s="1"/>
  <c r="AJ439" i="37"/>
  <c r="AJ450" i="37" s="1"/>
  <c r="AI405" i="37"/>
  <c r="BD394" i="37" s="1"/>
  <c r="AJ394" i="37"/>
  <c r="AJ405" i="37" s="1"/>
  <c r="AH105" i="37"/>
  <c r="BC92" i="37" s="1"/>
  <c r="AI94" i="37"/>
  <c r="BE317" i="37"/>
  <c r="BE319" i="37"/>
  <c r="BE318" i="37"/>
  <c r="AI90" i="37"/>
  <c r="BD79" i="37" s="1"/>
  <c r="AJ79" i="37"/>
  <c r="AJ90" i="37" s="1"/>
  <c r="AH630" i="37"/>
  <c r="BC619" i="37" s="1"/>
  <c r="AI619" i="37"/>
  <c r="BD77" i="37"/>
  <c r="BD527" i="37"/>
  <c r="AH60" i="37"/>
  <c r="BC47" i="37" s="1"/>
  <c r="AI49" i="37"/>
  <c r="AH705" i="37"/>
  <c r="BC693" i="37" s="1"/>
  <c r="AI694" i="37"/>
  <c r="AH660" i="37"/>
  <c r="BC647" i="37" s="1"/>
  <c r="AI649" i="37"/>
  <c r="AH255" i="37"/>
  <c r="BC243" i="37" s="1"/>
  <c r="AI244" i="37"/>
  <c r="AH30" i="37"/>
  <c r="BC17" i="37" s="1"/>
  <c r="AI19" i="37"/>
  <c r="AH270" i="37"/>
  <c r="AI259" i="37"/>
  <c r="BD378" i="37"/>
  <c r="BB258" i="37"/>
  <c r="BB257" i="37"/>
  <c r="BB259" i="37"/>
  <c r="AH75" i="37"/>
  <c r="BC63" i="37" s="1"/>
  <c r="AI64" i="37"/>
  <c r="AH555" i="37"/>
  <c r="BC544" i="37" s="1"/>
  <c r="AI544" i="37"/>
  <c r="BB93" i="37"/>
  <c r="BB92" i="37"/>
  <c r="BB94" i="37"/>
  <c r="AH195" i="37"/>
  <c r="BC184" i="37" s="1"/>
  <c r="AI184" i="37"/>
  <c r="BA497" i="37"/>
  <c r="AG510" i="37"/>
  <c r="BB498" i="37" s="1"/>
  <c r="AH500" i="37"/>
  <c r="AH240" i="37"/>
  <c r="BC227" i="37" s="1"/>
  <c r="AI229" i="37"/>
  <c r="AH210" i="37"/>
  <c r="BC199" i="37" s="1"/>
  <c r="AI199" i="37"/>
  <c r="BD424" i="37"/>
  <c r="BB229" i="37"/>
  <c r="BB184" i="37"/>
  <c r="BB63" i="37"/>
  <c r="BB199" i="37"/>
  <c r="BB228" i="37"/>
  <c r="BB182" i="37"/>
  <c r="BA498" i="37"/>
  <c r="Z2" i="37"/>
  <c r="Z772" i="37"/>
  <c r="Z548" i="37"/>
  <c r="Z561" i="37"/>
  <c r="Z557" i="37"/>
  <c r="Z771" i="37"/>
  <c r="Z767" i="37"/>
  <c r="Z562" i="37"/>
  <c r="Z560" i="37"/>
  <c r="Z558" i="37"/>
  <c r="Z426" i="37"/>
  <c r="Z18" i="37"/>
  <c r="Z396" i="37"/>
  <c r="Z399" i="37"/>
  <c r="Z7" i="37"/>
  <c r="Z10" i="37"/>
  <c r="Z337" i="37"/>
  <c r="Z350" i="37"/>
  <c r="Z709" i="37"/>
  <c r="Z724" i="37"/>
  <c r="Z663" i="37"/>
  <c r="Z353" i="37"/>
  <c r="Z620" i="37"/>
  <c r="Z653" i="37"/>
  <c r="Z712" i="37"/>
  <c r="Z654" i="37"/>
  <c r="Z665" i="37"/>
  <c r="Z683" i="37"/>
  <c r="Z733" i="37"/>
  <c r="Z355" i="37"/>
  <c r="Z637" i="37"/>
  <c r="Z667" i="37"/>
  <c r="Z730" i="37"/>
  <c r="Z740" i="37"/>
  <c r="Z743" i="37"/>
  <c r="Z3" i="37"/>
  <c r="Z6" i="37"/>
  <c r="Z21" i="37"/>
  <c r="Z549" i="37"/>
  <c r="Z385" i="37"/>
  <c r="Z410" i="37"/>
  <c r="Z440" i="37"/>
  <c r="Z443" i="37"/>
  <c r="Z459" i="37"/>
  <c r="Z470" i="37"/>
  <c r="Z473" i="37"/>
  <c r="Z486" i="37"/>
  <c r="Z503" i="37"/>
  <c r="Z505" i="37"/>
  <c r="Z515" i="37"/>
  <c r="Z545" i="37"/>
  <c r="Z547" i="37"/>
  <c r="Z577" i="37"/>
  <c r="Z592" i="37"/>
  <c r="Z602" i="37"/>
  <c r="Z618" i="37"/>
  <c r="Z768" i="37"/>
  <c r="Z738" i="37"/>
  <c r="Z728" i="37"/>
  <c r="Z707" i="37"/>
  <c r="Z698" i="37"/>
  <c r="Z682" i="37"/>
  <c r="Z633" i="37"/>
  <c r="Z623" i="37"/>
  <c r="Z573" i="37"/>
  <c r="Z527" i="37"/>
  <c r="Z518" i="37"/>
  <c r="Z482" i="37"/>
  <c r="Z468" i="37"/>
  <c r="Z438" i="37"/>
  <c r="Z428" i="37"/>
  <c r="Z395" i="37"/>
  <c r="Z381" i="37"/>
  <c r="Z362" i="37"/>
  <c r="Z366" i="37"/>
  <c r="Z368" i="37"/>
  <c r="Z23" i="37"/>
  <c r="Z25" i="37"/>
  <c r="Z332" i="37"/>
  <c r="Z347" i="37"/>
  <c r="Z384" i="37"/>
  <c r="Z397" i="37"/>
  <c r="Z413" i="37"/>
  <c r="Z427" i="37"/>
  <c r="Z441" i="37"/>
  <c r="Z453" i="37"/>
  <c r="Z455" i="37"/>
  <c r="Z457" i="37"/>
  <c r="Z467" i="37"/>
  <c r="Z485" i="37"/>
  <c r="Z500" i="37"/>
  <c r="Z506" i="37"/>
  <c r="Z516" i="37"/>
  <c r="Z576" i="37"/>
  <c r="Z588" i="37"/>
  <c r="Z590" i="37"/>
  <c r="Z603" i="37"/>
  <c r="Z605" i="37"/>
  <c r="Z607" i="37"/>
  <c r="Z621" i="37"/>
  <c r="Z635" i="37"/>
  <c r="Z648" i="37"/>
  <c r="Z650" i="37"/>
  <c r="Z652" i="37"/>
  <c r="Z680" i="37"/>
  <c r="Z696" i="37"/>
  <c r="Z710" i="37"/>
  <c r="Z727" i="37"/>
  <c r="Z737" i="37"/>
  <c r="Z752" i="37"/>
  <c r="Z756" i="37"/>
  <c r="Z392" i="37"/>
  <c r="Z422" i="37"/>
  <c r="Z17" i="37"/>
  <c r="Z378" i="37"/>
  <c r="Z693" i="37"/>
  <c r="Z722" i="37"/>
  <c r="Z662" i="37"/>
  <c r="Z692" i="37"/>
  <c r="Z408" i="37"/>
  <c r="Z513" i="37"/>
  <c r="Z708" i="37"/>
  <c r="Z632" i="37"/>
  <c r="Z542" i="37"/>
  <c r="Z528" i="37"/>
  <c r="Z497" i="37"/>
  <c r="Z483" i="37"/>
  <c r="Z377" i="37"/>
  <c r="Z363" i="37"/>
  <c r="Z333" i="37"/>
  <c r="Z393" i="37"/>
  <c r="Z407" i="37"/>
  <c r="Z423" i="37"/>
  <c r="Z437" i="37"/>
  <c r="Z452" i="37"/>
  <c r="Z352" i="37"/>
  <c r="Z22" i="37"/>
  <c r="Z398" i="37"/>
  <c r="Z425" i="37"/>
  <c r="Z351" i="37"/>
  <c r="Z636" i="37"/>
  <c r="Z734" i="37"/>
  <c r="Z744" i="37"/>
  <c r="Z20" i="37"/>
  <c r="Z383" i="37"/>
  <c r="Z412" i="37"/>
  <c r="Z458" i="37"/>
  <c r="Z472" i="37"/>
  <c r="Z504" i="37"/>
  <c r="Z519" i="37"/>
  <c r="Z546" i="37"/>
  <c r="Z578" i="37"/>
  <c r="Z609" i="37"/>
  <c r="Z729" i="37"/>
  <c r="Z681" i="37"/>
  <c r="Z622" i="37"/>
  <c r="Z517" i="37"/>
  <c r="Z501" i="37"/>
  <c r="Z367" i="37"/>
  <c r="Z26" i="37"/>
  <c r="Z411" i="37"/>
  <c r="Z168" i="37"/>
  <c r="Z62" i="37"/>
  <c r="Z107" i="37"/>
  <c r="Z257" i="37"/>
  <c r="Z212" i="37"/>
  <c r="Z243" i="37"/>
  <c r="Z273" i="37"/>
  <c r="Z138" i="37"/>
  <c r="Z122" i="37"/>
  <c r="Z152" i="37"/>
  <c r="Z726" i="37"/>
  <c r="Z9" i="37"/>
  <c r="Z336" i="37"/>
  <c r="Z354" i="37"/>
  <c r="Z624" i="37"/>
  <c r="Z638" i="37"/>
  <c r="Z711" i="37"/>
  <c r="Z725" i="37"/>
  <c r="Z666" i="37"/>
  <c r="Z732" i="37"/>
  <c r="Z742" i="37"/>
  <c r="Z5" i="37"/>
  <c r="Z550" i="37"/>
  <c r="Z442" i="37"/>
  <c r="Z460" i="37"/>
  <c r="Z487" i="37"/>
  <c r="Z531" i="37"/>
  <c r="Z575" i="37"/>
  <c r="Z593" i="37"/>
  <c r="Z770" i="37"/>
  <c r="Z608" i="37"/>
  <c r="Z382" i="37"/>
  <c r="Z365" i="37"/>
  <c r="Z24" i="37"/>
  <c r="Z8" i="37"/>
  <c r="Z380" i="37"/>
  <c r="Z456" i="37"/>
  <c r="Z461" i="37"/>
  <c r="Z471" i="37"/>
  <c r="Z498" i="37"/>
  <c r="Z502" i="37"/>
  <c r="Z512" i="37"/>
  <c r="Z530" i="37"/>
  <c r="Z572" i="37"/>
  <c r="Z587" i="37"/>
  <c r="Z591" i="37"/>
  <c r="Z606" i="37"/>
  <c r="Z617" i="37"/>
  <c r="Z625" i="37"/>
  <c r="Z647" i="37"/>
  <c r="Z651" i="37"/>
  <c r="Z678" i="37"/>
  <c r="Z684" i="37"/>
  <c r="Z695" i="37"/>
  <c r="Z697" i="37"/>
  <c r="Z723" i="37"/>
  <c r="Z731" i="37"/>
  <c r="Z741" i="37"/>
  <c r="Z753" i="37"/>
  <c r="Z755" i="37"/>
  <c r="Z757" i="37"/>
  <c r="Z348" i="37"/>
  <c r="Z335" i="37"/>
  <c r="Z769" i="37"/>
  <c r="Z677" i="37"/>
  <c r="Z679" i="37"/>
  <c r="Z171" i="37"/>
  <c r="Z170" i="37"/>
  <c r="Z172" i="37"/>
  <c r="Z97" i="37"/>
  <c r="Z559" i="37"/>
  <c r="Z173" i="37"/>
  <c r="Z98" i="37"/>
  <c r="Z96" i="37"/>
  <c r="Z739" i="37"/>
  <c r="Z664" i="37"/>
  <c r="Z634" i="37"/>
  <c r="Z604" i="37"/>
  <c r="Z574" i="37"/>
  <c r="Z514" i="37"/>
  <c r="Z484" i="37"/>
  <c r="Z454" i="37"/>
  <c r="Z424" i="37"/>
  <c r="Z394" i="37"/>
  <c r="Z364" i="37"/>
  <c r="Z334" i="37"/>
  <c r="Z543" i="37"/>
  <c r="Z544" i="37"/>
  <c r="Z754" i="37"/>
  <c r="Z694" i="37"/>
  <c r="Z649" i="37"/>
  <c r="Z619" i="37"/>
  <c r="Z589" i="37"/>
  <c r="Z529" i="37"/>
  <c r="Z499" i="37"/>
  <c r="Z469" i="37"/>
  <c r="Z439" i="37"/>
  <c r="Z409" i="37"/>
  <c r="Z379" i="37"/>
  <c r="Z349" i="37"/>
  <c r="Z19" i="37"/>
  <c r="Z80" i="37"/>
  <c r="Z67" i="37"/>
  <c r="Z69" i="37"/>
  <c r="Z167" i="37"/>
  <c r="Z169" i="37"/>
  <c r="Z84" i="37"/>
  <c r="Z65" i="37"/>
  <c r="Z68" i="37"/>
  <c r="Z66" i="37"/>
  <c r="Z188" i="37"/>
  <c r="Z142" i="37"/>
  <c r="Z125" i="37"/>
  <c r="Z231" i="37"/>
  <c r="Z159" i="37"/>
  <c r="Z203" i="37"/>
  <c r="Z279" i="37"/>
  <c r="Z130" i="37"/>
  <c r="Z204" i="37"/>
  <c r="Z306" i="37"/>
  <c r="Z262" i="37"/>
  <c r="Z81" i="37"/>
  <c r="Z197" i="37"/>
  <c r="Z272" i="37"/>
  <c r="Z108" i="37"/>
  <c r="Z303" i="37"/>
  <c r="Z153" i="37"/>
  <c r="Z228" i="37"/>
  <c r="Z63" i="37"/>
  <c r="Z302" i="37"/>
  <c r="Z213" i="37"/>
  <c r="Z182" i="37"/>
  <c r="Z227" i="37"/>
  <c r="Z77" i="37"/>
  <c r="Z92" i="37"/>
  <c r="Z123" i="37"/>
  <c r="Z198" i="37"/>
  <c r="Z288" i="37"/>
  <c r="Z317" i="37"/>
  <c r="Z183" i="37"/>
  <c r="Z258" i="37"/>
  <c r="Z287" i="37"/>
  <c r="Z93" i="37"/>
  <c r="Z137" i="37"/>
  <c r="Z242" i="37"/>
  <c r="Z318" i="37"/>
  <c r="Z47" i="37"/>
  <c r="Z48" i="37"/>
  <c r="Z53" i="37"/>
  <c r="Z94" i="37"/>
  <c r="Z54" i="37"/>
  <c r="Z52" i="37"/>
  <c r="Z78" i="37"/>
  <c r="Z304" i="37"/>
  <c r="Z214" i="37"/>
  <c r="Z124" i="37"/>
  <c r="Z289" i="37"/>
  <c r="Z139" i="37"/>
  <c r="Z33" i="37"/>
  <c r="Z39" i="37"/>
  <c r="Z32" i="37"/>
  <c r="Z35" i="37"/>
  <c r="Z4" i="37"/>
  <c r="Z187" i="37"/>
  <c r="Z294" i="37"/>
  <c r="Z95" i="37"/>
  <c r="Z140" i="37"/>
  <c r="Z201" i="37"/>
  <c r="Z220" i="37"/>
  <c r="Z245" i="37"/>
  <c r="Z263" i="37"/>
  <c r="Z282" i="37"/>
  <c r="Z292" i="37"/>
  <c r="Z309" i="37"/>
  <c r="Z126" i="37"/>
  <c r="Z145" i="37"/>
  <c r="Z161" i="37"/>
  <c r="Z200" i="37"/>
  <c r="Z206" i="37"/>
  <c r="Z249" i="37"/>
  <c r="Z276" i="37"/>
  <c r="Z291" i="37"/>
  <c r="Z321" i="37"/>
  <c r="Z83" i="37"/>
  <c r="Z129" i="37"/>
  <c r="Z186" i="37"/>
  <c r="Z215" i="37"/>
  <c r="Z234" i="37"/>
  <c r="Z248" i="37"/>
  <c r="Z260" i="37"/>
  <c r="Z277" i="37"/>
  <c r="Z305" i="37"/>
  <c r="Z155" i="37"/>
  <c r="Z275" i="37"/>
  <c r="Z217" i="37"/>
  <c r="Z320" i="37"/>
  <c r="Z110" i="37"/>
  <c r="Z207" i="37"/>
  <c r="Z247" i="37"/>
  <c r="Z280" i="37"/>
  <c r="Z128" i="37"/>
  <c r="Z160" i="37"/>
  <c r="Z230" i="37"/>
  <c r="Z265" i="37"/>
  <c r="Z307" i="37"/>
  <c r="Z143" i="37"/>
  <c r="Z185" i="37"/>
  <c r="Z261" i="37"/>
  <c r="Z290" i="37"/>
  <c r="Z310" i="37"/>
  <c r="Z111" i="37"/>
  <c r="Z141" i="37"/>
  <c r="Z157" i="37"/>
  <c r="Z202" i="37"/>
  <c r="Z219" i="37"/>
  <c r="Z232" i="37"/>
  <c r="Z246" i="37"/>
  <c r="Z264" i="37"/>
  <c r="Z281" i="37"/>
  <c r="Z127" i="37"/>
  <c r="Z144" i="37"/>
  <c r="Z156" i="37"/>
  <c r="Z205" i="37"/>
  <c r="Z218" i="37"/>
  <c r="Z295" i="37"/>
  <c r="Z308" i="37"/>
  <c r="Z82" i="37"/>
  <c r="Z158" i="37"/>
  <c r="Z216" i="37"/>
  <c r="Z233" i="37"/>
  <c r="Z266" i="37"/>
  <c r="Z278" i="37"/>
  <c r="Z293" i="37"/>
  <c r="Z109" i="37"/>
  <c r="Z56" i="37"/>
  <c r="Z55" i="37"/>
  <c r="Z51" i="37"/>
  <c r="Z199" i="37"/>
  <c r="Z50" i="37"/>
  <c r="Z79" i="37"/>
  <c r="Z274" i="37"/>
  <c r="Z244" i="37"/>
  <c r="Z154" i="37"/>
  <c r="Z36" i="37"/>
  <c r="Z37" i="37"/>
  <c r="Z319" i="37"/>
  <c r="Z259" i="37"/>
  <c r="Z229" i="37"/>
  <c r="Z184" i="37"/>
  <c r="Z64" i="37"/>
  <c r="Z38" i="37"/>
  <c r="Z49" i="37"/>
  <c r="Z34" i="37"/>
  <c r="BC542" i="37" l="1"/>
  <c r="BD528" i="37"/>
  <c r="BD664" i="37"/>
  <c r="BD423" i="37"/>
  <c r="BC618" i="37"/>
  <c r="BD377" i="37"/>
  <c r="BD662" i="37"/>
  <c r="AI660" i="37"/>
  <c r="BD649" i="37" s="1"/>
  <c r="AJ649" i="37"/>
  <c r="AJ660" i="37" s="1"/>
  <c r="AI630" i="37"/>
  <c r="BD619" i="37" s="1"/>
  <c r="AJ619" i="37"/>
  <c r="AJ630" i="37" s="1"/>
  <c r="BB499" i="37"/>
  <c r="AI30" i="37"/>
  <c r="BD17" i="37" s="1"/>
  <c r="AJ19" i="37"/>
  <c r="AJ30" i="37" s="1"/>
  <c r="AI705" i="37"/>
  <c r="BD693" i="37" s="1"/>
  <c r="AJ694" i="37"/>
  <c r="AJ705" i="37" s="1"/>
  <c r="BE527" i="37"/>
  <c r="BE529" i="37"/>
  <c r="BE528" i="37"/>
  <c r="BE663" i="37"/>
  <c r="BE662" i="37"/>
  <c r="BE664" i="37"/>
  <c r="BC649" i="37"/>
  <c r="BD393" i="37"/>
  <c r="BC93" i="37"/>
  <c r="BC183" i="37"/>
  <c r="BC19" i="37"/>
  <c r="BC617" i="37"/>
  <c r="BD78" i="37"/>
  <c r="BE377" i="37"/>
  <c r="BE379" i="37"/>
  <c r="BE378" i="37"/>
  <c r="AI255" i="37"/>
  <c r="BD242" i="37" s="1"/>
  <c r="AJ244" i="37"/>
  <c r="AJ255" i="37" s="1"/>
  <c r="AI60" i="37"/>
  <c r="BD48" i="37" s="1"/>
  <c r="AJ49" i="37"/>
  <c r="AJ60" i="37" s="1"/>
  <c r="BE424" i="37"/>
  <c r="BE423" i="37"/>
  <c r="BE422" i="37"/>
  <c r="BC198" i="37"/>
  <c r="BC692" i="37"/>
  <c r="BC242" i="37"/>
  <c r="BD392" i="37"/>
  <c r="BC94" i="37"/>
  <c r="BD438" i="37"/>
  <c r="BC62" i="37"/>
  <c r="BC182" i="37"/>
  <c r="BC694" i="37"/>
  <c r="BC49" i="37"/>
  <c r="BC18" i="37"/>
  <c r="BC648" i="37"/>
  <c r="BD437" i="37"/>
  <c r="AI195" i="37"/>
  <c r="BD182" i="37" s="1"/>
  <c r="AJ184" i="37"/>
  <c r="AJ195" i="37" s="1"/>
  <c r="AI105" i="37"/>
  <c r="BD94" i="37" s="1"/>
  <c r="AJ94" i="37"/>
  <c r="AJ105" i="37" s="1"/>
  <c r="BE437" i="37"/>
  <c r="BE439" i="37"/>
  <c r="BE438" i="37"/>
  <c r="BB497" i="37"/>
  <c r="BC197" i="37"/>
  <c r="BC228" i="37"/>
  <c r="AI555" i="37"/>
  <c r="BD544" i="37" s="1"/>
  <c r="AJ544" i="37"/>
  <c r="AJ555" i="37" s="1"/>
  <c r="BD92" i="37"/>
  <c r="BD93" i="37"/>
  <c r="BE392" i="37"/>
  <c r="BE394" i="37"/>
  <c r="BE393" i="37"/>
  <c r="AI210" i="37"/>
  <c r="BD197" i="37" s="1"/>
  <c r="AJ199" i="37"/>
  <c r="AJ210" i="37" s="1"/>
  <c r="AI240" i="37"/>
  <c r="BD227" i="37" s="1"/>
  <c r="AJ229" i="37"/>
  <c r="AJ240" i="37" s="1"/>
  <c r="AI75" i="37"/>
  <c r="BD62" i="37" s="1"/>
  <c r="AJ64" i="37"/>
  <c r="AJ75" i="37" s="1"/>
  <c r="AI270" i="37"/>
  <c r="BD259" i="37" s="1"/>
  <c r="AJ259" i="37"/>
  <c r="AJ270" i="37" s="1"/>
  <c r="BE77" i="37"/>
  <c r="BE79" i="37"/>
  <c r="BE78" i="37"/>
  <c r="BD618" i="37"/>
  <c r="BC543" i="37"/>
  <c r="BC64" i="37"/>
  <c r="BC229" i="37"/>
  <c r="BC48" i="37"/>
  <c r="BC244" i="37"/>
  <c r="AH510" i="37"/>
  <c r="BC498" i="37" s="1"/>
  <c r="AI500" i="37"/>
  <c r="BD19" i="37"/>
  <c r="BD243" i="37"/>
  <c r="BD244" i="37"/>
  <c r="BD647" i="37"/>
  <c r="BD694" i="37"/>
  <c r="BD692" i="37"/>
  <c r="BD47" i="37"/>
  <c r="BD257" i="37"/>
  <c r="BD258" i="37"/>
  <c r="BC258" i="37"/>
  <c r="BC257" i="37"/>
  <c r="BC259" i="37"/>
  <c r="BD63" i="37"/>
  <c r="BD64" i="37"/>
  <c r="BD543" i="37"/>
  <c r="BD183" i="37"/>
  <c r="BD184" i="37"/>
  <c r="BD199" i="37"/>
  <c r="BD228" i="37"/>
  <c r="BD229" i="37"/>
  <c r="Z540" i="37"/>
  <c r="AU527" i="37" s="1"/>
  <c r="Z345" i="37"/>
  <c r="AU334" i="37" s="1"/>
  <c r="Z405" i="37"/>
  <c r="AU394" i="37" s="1"/>
  <c r="Z465" i="37"/>
  <c r="AU454" i="37" s="1"/>
  <c r="Z525" i="37"/>
  <c r="AU514" i="37" s="1"/>
  <c r="Z15" i="37"/>
  <c r="AU4" i="37" s="1"/>
  <c r="Z30" i="37"/>
  <c r="AU19" i="37" s="1"/>
  <c r="Z390" i="37"/>
  <c r="AU379" i="37" s="1"/>
  <c r="Z450" i="37"/>
  <c r="AU439" i="37" s="1"/>
  <c r="Z375" i="37"/>
  <c r="AU364" i="37" s="1"/>
  <c r="Z435" i="37"/>
  <c r="AU424" i="37" s="1"/>
  <c r="Z495" i="37"/>
  <c r="AU484" i="37" s="1"/>
  <c r="Z255" i="37"/>
  <c r="AU244" i="37" s="1"/>
  <c r="Z90" i="37"/>
  <c r="AU79" i="37" s="1"/>
  <c r="Z210" i="37"/>
  <c r="AU199" i="37" s="1"/>
  <c r="Z180" i="37"/>
  <c r="AU169" i="37" s="1"/>
  <c r="AU529" i="37"/>
  <c r="Z630" i="37"/>
  <c r="AU619" i="37" s="1"/>
  <c r="Z705" i="37"/>
  <c r="AU694" i="37" s="1"/>
  <c r="Z555" i="37"/>
  <c r="AU544" i="37" s="1"/>
  <c r="Z585" i="37"/>
  <c r="AU574" i="37" s="1"/>
  <c r="Z645" i="37"/>
  <c r="AU634" i="37" s="1"/>
  <c r="Z750" i="37"/>
  <c r="AU739" i="37" s="1"/>
  <c r="Z570" i="37"/>
  <c r="AU559" i="37" s="1"/>
  <c r="Z510" i="37"/>
  <c r="AU499" i="37" s="1"/>
  <c r="Z195" i="37"/>
  <c r="AU184" i="37" s="1"/>
  <c r="Z45" i="37"/>
  <c r="AU34" i="37" s="1"/>
  <c r="Z270" i="37"/>
  <c r="AU259" i="37" s="1"/>
  <c r="Z165" i="37"/>
  <c r="AU154" i="37" s="1"/>
  <c r="Z75" i="37"/>
  <c r="AU64" i="37" s="1"/>
  <c r="Z360" i="37"/>
  <c r="AU349" i="37" s="1"/>
  <c r="Z420" i="37"/>
  <c r="AU409" i="37" s="1"/>
  <c r="Z480" i="37"/>
  <c r="AU469" i="37" s="1"/>
  <c r="Z600" i="37"/>
  <c r="AU589" i="37" s="1"/>
  <c r="Z660" i="37"/>
  <c r="AU649" i="37" s="1"/>
  <c r="Z765" i="37"/>
  <c r="AU754" i="37" s="1"/>
  <c r="Z615" i="37"/>
  <c r="AU604" i="37" s="1"/>
  <c r="Z675" i="37"/>
  <c r="AU664" i="37" s="1"/>
  <c r="Z690" i="37"/>
  <c r="AU679" i="37" s="1"/>
  <c r="Z780" i="37"/>
  <c r="AU769" i="37" s="1"/>
  <c r="Z60" i="37"/>
  <c r="AU49" i="37" s="1"/>
  <c r="Z240" i="37"/>
  <c r="AU229" i="37" s="1"/>
  <c r="Z330" i="37"/>
  <c r="AU319" i="37" s="1"/>
  <c r="Z285" i="37"/>
  <c r="AU274" i="37" s="1"/>
  <c r="Z120" i="37"/>
  <c r="AU109" i="37" s="1"/>
  <c r="Z135" i="37"/>
  <c r="AU124" i="37" s="1"/>
  <c r="Z150" i="37"/>
  <c r="AU139" i="37" s="1"/>
  <c r="Z315" i="37"/>
  <c r="AU304" i="37" s="1"/>
  <c r="Z105" i="37"/>
  <c r="AU94" i="37" s="1"/>
  <c r="AU168" i="37"/>
  <c r="AU542" i="37"/>
  <c r="AU392" i="37"/>
  <c r="Z735" i="37"/>
  <c r="AU724" i="37" s="1"/>
  <c r="AU512" i="37"/>
  <c r="AU332" i="37"/>
  <c r="Z720" i="37"/>
  <c r="AU709" i="37" s="1"/>
  <c r="Z300" i="37"/>
  <c r="AU289" i="37" s="1"/>
  <c r="Z225" i="37"/>
  <c r="AU214" i="37" s="1"/>
  <c r="AU377" i="37"/>
  <c r="AU228" i="37"/>
  <c r="AU633" i="37"/>
  <c r="AU62" i="37" l="1"/>
  <c r="AU2" i="37"/>
  <c r="AU767" i="37"/>
  <c r="AU768" i="37"/>
  <c r="AU333" i="37"/>
  <c r="BD198" i="37"/>
  <c r="BD542" i="37"/>
  <c r="BD49" i="37"/>
  <c r="BD18" i="37"/>
  <c r="BD648" i="37"/>
  <c r="BD617" i="37"/>
  <c r="AU93" i="37"/>
  <c r="AU513" i="37"/>
  <c r="BE618" i="37"/>
  <c r="BE619" i="37"/>
  <c r="BE617" i="37"/>
  <c r="BE647" i="37"/>
  <c r="BE648" i="37"/>
  <c r="BE649" i="37"/>
  <c r="BE693" i="37"/>
  <c r="BE694" i="37"/>
  <c r="BE692" i="37"/>
  <c r="BE18" i="37"/>
  <c r="BE17" i="37"/>
  <c r="BE19" i="37"/>
  <c r="AU152" i="37"/>
  <c r="AU317" i="37"/>
  <c r="AU33" i="37"/>
  <c r="AU468" i="37"/>
  <c r="AU467" i="37"/>
  <c r="AU423" i="37"/>
  <c r="BE48" i="37"/>
  <c r="BE47" i="37"/>
  <c r="BE49" i="37"/>
  <c r="BE242" i="37"/>
  <c r="BE244" i="37"/>
  <c r="BE243" i="37"/>
  <c r="AI510" i="37"/>
  <c r="BD498" i="37" s="1"/>
  <c r="AJ500" i="37"/>
  <c r="AJ510" i="37" s="1"/>
  <c r="AU453" i="37"/>
  <c r="AU543" i="37"/>
  <c r="AU378" i="37"/>
  <c r="AU77" i="37"/>
  <c r="AU752" i="37"/>
  <c r="AU587" i="37"/>
  <c r="AU258" i="37"/>
  <c r="AU363" i="37"/>
  <c r="AU452" i="37"/>
  <c r="AU167" i="37"/>
  <c r="AU362" i="37"/>
  <c r="BC497" i="37"/>
  <c r="BE92" i="37"/>
  <c r="BE94" i="37"/>
  <c r="BE93" i="37"/>
  <c r="BE182" i="37"/>
  <c r="BE184" i="37"/>
  <c r="BE183" i="37"/>
  <c r="BC499" i="37"/>
  <c r="BE63" i="37"/>
  <c r="BE62" i="37"/>
  <c r="BE64" i="37"/>
  <c r="BE227" i="37"/>
  <c r="BE229" i="37"/>
  <c r="BE228" i="37"/>
  <c r="BE197" i="37"/>
  <c r="BE199" i="37"/>
  <c r="BE198" i="37"/>
  <c r="BE544" i="37"/>
  <c r="BE542" i="37"/>
  <c r="BE543" i="37"/>
  <c r="BE257" i="37"/>
  <c r="BE259" i="37"/>
  <c r="BE258" i="37"/>
  <c r="BD499" i="37"/>
  <c r="BD497" i="37"/>
  <c r="AU287" i="37"/>
  <c r="AU243" i="37"/>
  <c r="AU572" i="37"/>
  <c r="AU318" i="37"/>
  <c r="AU438" i="37"/>
  <c r="AU153" i="37"/>
  <c r="AU48" i="37"/>
  <c r="AU692" i="37"/>
  <c r="AU528" i="37"/>
  <c r="AU393" i="37"/>
  <c r="AU92" i="37"/>
  <c r="AU288" i="37"/>
  <c r="AU3" i="37"/>
  <c r="AU663" i="37"/>
  <c r="AU588" i="37"/>
  <c r="AU632" i="37"/>
  <c r="AU257" i="37"/>
  <c r="AU272" i="37"/>
  <c r="AU182" i="37"/>
  <c r="AU123" i="37"/>
  <c r="AU183" i="37"/>
  <c r="AU662" i="37"/>
  <c r="AU273" i="37"/>
  <c r="AU753" i="37"/>
  <c r="AU63" i="37"/>
  <c r="AU78" i="37"/>
  <c r="AU557" i="37"/>
  <c r="AU483" i="37"/>
  <c r="AU617" i="37"/>
  <c r="AU558" i="37"/>
  <c r="AU618" i="37"/>
  <c r="AU482" i="37"/>
  <c r="AU408" i="37"/>
  <c r="AU573" i="37"/>
  <c r="AU737" i="37"/>
  <c r="AU138" i="37"/>
  <c r="AU498" i="37"/>
  <c r="AU647" i="37"/>
  <c r="AU18" i="37"/>
  <c r="AU738" i="37"/>
  <c r="AU648" i="37"/>
  <c r="AU17" i="37"/>
  <c r="AU497" i="37"/>
  <c r="AU437" i="37"/>
  <c r="AU197" i="37"/>
  <c r="AU198" i="37"/>
  <c r="AU242" i="37"/>
  <c r="AU32" i="37"/>
  <c r="AU422" i="37"/>
  <c r="AU693" i="37"/>
  <c r="AU722" i="37"/>
  <c r="AU108" i="37"/>
  <c r="AU348" i="37"/>
  <c r="AU407" i="37"/>
  <c r="AU602" i="37"/>
  <c r="AU603" i="37"/>
  <c r="AU137" i="37"/>
  <c r="AU47" i="37"/>
  <c r="AU107" i="37"/>
  <c r="AU213" i="37"/>
  <c r="AU678" i="37"/>
  <c r="AU677" i="37"/>
  <c r="AU347" i="37"/>
  <c r="AU723" i="37"/>
  <c r="AU708" i="37"/>
  <c r="AU303" i="37"/>
  <c r="AU302" i="37"/>
  <c r="AU212" i="37"/>
  <c r="AU122" i="37"/>
  <c r="AU227" i="37"/>
  <c r="AU707" i="37"/>
  <c r="BE497" i="37" l="1"/>
  <c r="BE498" i="37"/>
  <c r="BE499" i="37"/>
</calcChain>
</file>

<file path=xl/connections.xml><?xml version="1.0" encoding="utf-8"?>
<connections xmlns="http://schemas.openxmlformats.org/spreadsheetml/2006/main">
  <connection id="1" sourceFile="C:\htdocs\regionales_2013.mdb" keepAlive="1" interval="5" name="regionales_2013" type="5" refreshedVersion="4" background="1" saveData="1">
    <dbPr connection="Provider=Microsoft.ACE.OLEDB.12.0;User ID=Admin;Data Source=\\Servidorrev\htdocs\regionales_2013.mdb;Mode=Share Deny None;Extended Properties=&quot;&quot;;Jet OLEDB:System database=&quot;&quot;;Jet OLEDB:Registry Path=&quot;&quot;;Jet OLEDB:Engine Type=5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datos_externo" commandType="3"/>
  </connection>
</connections>
</file>

<file path=xl/sharedStrings.xml><?xml version="1.0" encoding="utf-8"?>
<sst xmlns="http://schemas.openxmlformats.org/spreadsheetml/2006/main" count="1062" uniqueCount="493">
  <si>
    <t>ANZOATEGUI</t>
  </si>
  <si>
    <t>ANACO</t>
  </si>
  <si>
    <t>BOLIVAR</t>
  </si>
  <si>
    <t>FREITES</t>
  </si>
  <si>
    <t>MIRANDA</t>
  </si>
  <si>
    <t>SIMON RODRIGUEZ</t>
  </si>
  <si>
    <t>SOTILLO</t>
  </si>
  <si>
    <t>APURE</t>
  </si>
  <si>
    <t>PAEZ</t>
  </si>
  <si>
    <t>SAN FERNANDO</t>
  </si>
  <si>
    <t>ARAGUA</t>
  </si>
  <si>
    <t>GIRARDOT</t>
  </si>
  <si>
    <t>LIBERTADOR</t>
  </si>
  <si>
    <t>SANTIAGO MARIÑO</t>
  </si>
  <si>
    <t>SUCRE</t>
  </si>
  <si>
    <t>ZAMORA</t>
  </si>
  <si>
    <t>BARINAS</t>
  </si>
  <si>
    <t>EZEQUIEL ZAMORA</t>
  </si>
  <si>
    <t>CARONI</t>
  </si>
  <si>
    <t>CEDEÑO</t>
  </si>
  <si>
    <t>HERES</t>
  </si>
  <si>
    <t>CARABOBO</t>
  </si>
  <si>
    <t>GUACARA</t>
  </si>
  <si>
    <t>PUERTO CABELLO</t>
  </si>
  <si>
    <t>VALENCIA</t>
  </si>
  <si>
    <t>COJEDES</t>
  </si>
  <si>
    <t>FALCON</t>
  </si>
  <si>
    <t>DELTA AMACURO</t>
  </si>
  <si>
    <t>DISTRITO CAPITAL</t>
  </si>
  <si>
    <t>CARIRUBANA</t>
  </si>
  <si>
    <t>GUARICO</t>
  </si>
  <si>
    <t>LARA</t>
  </si>
  <si>
    <t>IRIBARREN</t>
  </si>
  <si>
    <t>MORAN</t>
  </si>
  <si>
    <t>PALAVECINO</t>
  </si>
  <si>
    <t>TORRES</t>
  </si>
  <si>
    <t>MERIDA</t>
  </si>
  <si>
    <t>BARUTA</t>
  </si>
  <si>
    <t>GUAICAIPURO</t>
  </si>
  <si>
    <t>PLAZA</t>
  </si>
  <si>
    <t>MONAGAS</t>
  </si>
  <si>
    <t>MATURIN</t>
  </si>
  <si>
    <t>NUEVA ESPARTA</t>
  </si>
  <si>
    <t>MARIÑO</t>
  </si>
  <si>
    <t>PORTUGUESA</t>
  </si>
  <si>
    <t>ARAURE</t>
  </si>
  <si>
    <t>GUANARE</t>
  </si>
  <si>
    <t>BERMUDEZ</t>
  </si>
  <si>
    <t>TACHIRA</t>
  </si>
  <si>
    <t>SAN CRISTOBAL</t>
  </si>
  <si>
    <t>TRUJILLO</t>
  </si>
  <si>
    <t>VARGAS</t>
  </si>
  <si>
    <t>YARACUY</t>
  </si>
  <si>
    <t>SAN FELIPE</t>
  </si>
  <si>
    <t>ZULIA</t>
  </si>
  <si>
    <t>CABIMAS</t>
  </si>
  <si>
    <t>LAGUNILLAS</t>
  </si>
  <si>
    <t>MARA</t>
  </si>
  <si>
    <t>MARACAIBO</t>
  </si>
  <si>
    <t>SAN FRANCISCO</t>
  </si>
  <si>
    <t>VALERA</t>
  </si>
  <si>
    <t>TUCUPITA</t>
  </si>
  <si>
    <t>JUAN GERMAN ROSCIO</t>
  </si>
  <si>
    <t>MUNICIPIO</t>
  </si>
  <si>
    <t>Total</t>
  </si>
  <si>
    <t>CENTRO1</t>
  </si>
  <si>
    <t>TURNO1</t>
  </si>
  <si>
    <t>CANDIDATO1</t>
  </si>
  <si>
    <t>VOTOS1</t>
  </si>
  <si>
    <t>MUNICIPIO1</t>
  </si>
  <si>
    <t>TOTAL</t>
  </si>
  <si>
    <t>AMAZONAS
ATURES</t>
  </si>
  <si>
    <t>ESTADO</t>
  </si>
  <si>
    <t xml:space="preserve">ARAGUA </t>
  </si>
  <si>
    <t>JOSÉ FELIX RIBAS</t>
  </si>
  <si>
    <t>Candidatos</t>
  </si>
  <si>
    <t/>
  </si>
  <si>
    <t>VOTOS2</t>
  </si>
  <si>
    <t>ALCALDIA MAYOR</t>
  </si>
  <si>
    <t>Otros</t>
  </si>
  <si>
    <t>ELKIS BASTIDAS</t>
  </si>
  <si>
    <t>ADRIANA GONZALEZ</t>
  </si>
  <si>
    <t>JOSE ARIANAN</t>
  </si>
  <si>
    <t>WILMER HERNANDEZ</t>
  </si>
  <si>
    <t>PLINIO GRATEROL</t>
  </si>
  <si>
    <t>FREDDY ROQUE</t>
  </si>
  <si>
    <t>GUTIERREZ GUILLERMO</t>
  </si>
  <si>
    <t>LUIS URBINA</t>
  </si>
  <si>
    <t>GUILLERMO MARTINEZ</t>
  </si>
  <si>
    <t>CARLOS MICHELANGELI</t>
  </si>
  <si>
    <t>JESUS DIAZ</t>
  </si>
  <si>
    <t>DENNIS BALZA</t>
  </si>
  <si>
    <t>JULIO C. MARCANO</t>
  </si>
  <si>
    <t>ORNALDO NARVAEZ</t>
  </si>
  <si>
    <t>JULIO MILLAN</t>
  </si>
  <si>
    <t>RAMON LOPEZ</t>
  </si>
  <si>
    <t>ANTONIO UZTARIZ</t>
  </si>
  <si>
    <t>DANIEL GOMEZ</t>
  </si>
  <si>
    <t>DANIEL HARO</t>
  </si>
  <si>
    <t>EVELIN URDANETA</t>
  </si>
  <si>
    <t>CARLOS MIGUEL MOYA</t>
  </si>
  <si>
    <t>AURELIO GARCIA</t>
  </si>
  <si>
    <t>MORAIMA MEDINA</t>
  </si>
  <si>
    <t>EFRAIN RODRIGUEZ</t>
  </si>
  <si>
    <t>CLAUDIA BARRAGAN</t>
  </si>
  <si>
    <t>JULIO MARIN</t>
  </si>
  <si>
    <t>JESUS FIGUERA</t>
  </si>
  <si>
    <t>JOSE BRITO</t>
  </si>
  <si>
    <t>ERNESTO PARAQUEIMA</t>
  </si>
  <si>
    <t>MIGUEL MILLAN</t>
  </si>
  <si>
    <t>RAMON HURTADO</t>
  </si>
  <si>
    <t>SILVIA MAURERA</t>
  </si>
  <si>
    <t>RAISA QUIJADA</t>
  </si>
  <si>
    <t>JOSE TIRADO</t>
  </si>
  <si>
    <t>MAGGLIO ORDOÑEZ</t>
  </si>
  <si>
    <t>MARCO FIGUEROA</t>
  </si>
  <si>
    <t>LUIS BASTIDAS</t>
  </si>
  <si>
    <t>ARNOLDO LEON</t>
  </si>
  <si>
    <t>IRVIN MOSQUERA</t>
  </si>
  <si>
    <t>JUAN PEÑA</t>
  </si>
  <si>
    <t>ROMERO YOEL</t>
  </si>
  <si>
    <t xml:space="preserve"> </t>
  </si>
  <si>
    <t>OFELIA PADRON</t>
  </si>
  <si>
    <t>YADALA ABOUHADO</t>
  </si>
  <si>
    <t>YADALA A</t>
  </si>
  <si>
    <t>WILFREDO MANAURE</t>
  </si>
  <si>
    <t>RUBEN DARIO FLORES</t>
  </si>
  <si>
    <t>PEDRO BASTIDAS</t>
  </si>
  <si>
    <t>TONNY REAL</t>
  </si>
  <si>
    <t>BLANCA ANGARITA</t>
  </si>
  <si>
    <t>PEDRO E. HERNANDEZ</t>
  </si>
  <si>
    <t>GERMAN TOVAR</t>
  </si>
  <si>
    <t>JOSEPH ZAMMOUR</t>
  </si>
  <si>
    <t>SALOMON PADRON</t>
  </si>
  <si>
    <t>EMILIO BASTIDAS</t>
  </si>
  <si>
    <t>LUIS HERRERA</t>
  </si>
  <si>
    <t>JUAN C. SANCHEZ</t>
  </si>
  <si>
    <t>LUIS BLANCO</t>
  </si>
  <si>
    <t>VICTOR NAVARRO</t>
  </si>
  <si>
    <t>ISMAEL IMPELLIZZIERI</t>
  </si>
  <si>
    <t>LEONARDO ROJAS</t>
  </si>
  <si>
    <t>MARTIN PACHECO</t>
  </si>
  <si>
    <t>CARLOS AMAYA</t>
  </si>
  <si>
    <t>MARIA CARRILLO</t>
  </si>
  <si>
    <t>OMAR SILVA</t>
  </si>
  <si>
    <t>ALBERTO MORA</t>
  </si>
  <si>
    <t>JESUS CASTILLO</t>
  </si>
  <si>
    <t>ELOY ROJAS</t>
  </si>
  <si>
    <t>ELISAUL REYES</t>
  </si>
  <si>
    <t>THONY LOPEZ</t>
  </si>
  <si>
    <t>HUGO SOSA</t>
  </si>
  <si>
    <t>PETER MORENO</t>
  </si>
  <si>
    <t>SANNIE CONTRERAS</t>
  </si>
  <si>
    <t>EFREN RODRIGUEZ</t>
  </si>
  <si>
    <t>REYES PADILLA</t>
  </si>
  <si>
    <t>MICHAEL REYES</t>
  </si>
  <si>
    <t>ALEXANDER RAMIREZ</t>
  </si>
  <si>
    <t>FARES ASFOUR</t>
  </si>
  <si>
    <t>EDWUARD IZQUIER</t>
  </si>
  <si>
    <t>LUIS VELAZQUEZ</t>
  </si>
  <si>
    <t>ARMANDO CORONADO</t>
  </si>
  <si>
    <t>ALBERTO SALAZAR</t>
  </si>
  <si>
    <t>EDGARDO RAMIREZ</t>
  </si>
  <si>
    <t>MACHIN MACHIN</t>
  </si>
  <si>
    <t>ABUNDIO SANCHEZ</t>
  </si>
  <si>
    <t>YVONNI DE BUITRAGO</t>
  </si>
  <si>
    <t>CARLOS R PAREDES</t>
  </si>
  <si>
    <t>PEDRO P GONZALEZ</t>
  </si>
  <si>
    <t>MIGUEL A ROSALES</t>
  </si>
  <si>
    <t>JOSE RAMON LOPEZ</t>
  </si>
  <si>
    <t>WILSON CASTRO</t>
  </si>
  <si>
    <t>DOUGLAS LAGO</t>
  </si>
  <si>
    <t>WILLIAMS ROSAL</t>
  </si>
  <si>
    <t>ARGIMIRO MADURO</t>
  </si>
  <si>
    <t>FELIPE MAESTRACCI</t>
  </si>
  <si>
    <t>FREDDY PATETY</t>
  </si>
  <si>
    <t>LIGIA MORENO</t>
  </si>
  <si>
    <t>EDDY MARCANO</t>
  </si>
  <si>
    <t>ANDRES RODRIGUEZ</t>
  </si>
  <si>
    <t>CARLOS VILLASANA</t>
  </si>
  <si>
    <t>SERGIO HERNANDEZ</t>
  </si>
  <si>
    <t>VICTOR FUENMAYOR</t>
  </si>
  <si>
    <t>ROMULO DOMMAR</t>
  </si>
  <si>
    <t>NESTOR PETIT</t>
  </si>
  <si>
    <t>GEORGES ALTAFECH</t>
  </si>
  <si>
    <t>WILLIAN FLORES</t>
  </si>
  <si>
    <t>ORLANDO GONZALEZ</t>
  </si>
  <si>
    <t>CARLOS DELGADO</t>
  </si>
  <si>
    <t>NAJIB GARCIA</t>
  </si>
  <si>
    <t>GERARDO SANCHEZ</t>
  </si>
  <si>
    <t>ELIAS ALDANA</t>
  </si>
  <si>
    <t>LINO OJEDA</t>
  </si>
  <si>
    <t>FERNANDO JIMENEZ</t>
  </si>
  <si>
    <t>REINALDO RONDON</t>
  </si>
  <si>
    <t>MISAEL LINARES</t>
  </si>
  <si>
    <t>FELIPE VILLALONGA</t>
  </si>
  <si>
    <t>SILVIA GUERRA</t>
  </si>
  <si>
    <t>CARLOS PARTIDAS</t>
  </si>
  <si>
    <t>GONZALO PEREZ</t>
  </si>
  <si>
    <t>GIOVANNY ROJAS</t>
  </si>
  <si>
    <t>JUAN PEROZO</t>
  </si>
  <si>
    <t>TITO DE FREITAS</t>
  </si>
  <si>
    <t>JOSE MENDEZ</t>
  </si>
  <si>
    <t>ALEXIS IGLESIA</t>
  </si>
  <si>
    <t>JOSE DOMINGUEZ</t>
  </si>
  <si>
    <t>HECTOR SARMIENTO</t>
  </si>
  <si>
    <t>AURA CORINA AVILA</t>
  </si>
  <si>
    <t>CARMEN ALCALA</t>
  </si>
  <si>
    <t>RAFAEL LACAVA</t>
  </si>
  <si>
    <t>YLIDIO DE ABREU</t>
  </si>
  <si>
    <t>NELSON SUAREZ</t>
  </si>
  <si>
    <t>MAURICIO DE NOBREGA</t>
  </si>
  <si>
    <t>MAICAMAR BOLIVAR</t>
  </si>
  <si>
    <t>EUDIO GONZALEZ</t>
  </si>
  <si>
    <t>EGLEE LAMAS</t>
  </si>
  <si>
    <t>SANCHEZ OMAR</t>
  </si>
  <si>
    <t>ROBERTO SALAZAR</t>
  </si>
  <si>
    <t>CESAR OJEDA</t>
  </si>
  <si>
    <t>MIGUEL FLORES</t>
  </si>
  <si>
    <t>MICHELE COCCHIOLA</t>
  </si>
  <si>
    <t>MISAEL TINEO</t>
  </si>
  <si>
    <t>MANUEL AGUILAR</t>
  </si>
  <si>
    <t>GABRIEL REYES</t>
  </si>
  <si>
    <t>ROLANDO GAITAN</t>
  </si>
  <si>
    <t>IVONNE TELLEZ</t>
  </si>
  <si>
    <t>PABLO RODRIGUEZ</t>
  </si>
  <si>
    <t>RAMON MONCADA</t>
  </si>
  <si>
    <t>SAUL DIAZ</t>
  </si>
  <si>
    <t>GIAMPIERO BOTARELLI</t>
  </si>
  <si>
    <t>JOSE RODRIGUEZ</t>
  </si>
  <si>
    <t>JESUS NAVARRO</t>
  </si>
  <si>
    <t>JOSE BETANCOURT</t>
  </si>
  <si>
    <t>DANNY MURILLO</t>
  </si>
  <si>
    <t>MARTIN GARZA</t>
  </si>
  <si>
    <t>ALEXIS GONZALEZ</t>
  </si>
  <si>
    <t>OMER FIGUEREDO</t>
  </si>
  <si>
    <t>LUIS RINCONES</t>
  </si>
  <si>
    <t>JHONNY MENDOZA</t>
  </si>
  <si>
    <t>HUMBERTO COVA</t>
  </si>
  <si>
    <t>JOSE ANGEL GASCON</t>
  </si>
  <si>
    <t>MARIA MARCANO</t>
  </si>
  <si>
    <t>ATILIO MORAO URRIETA</t>
  </si>
  <si>
    <t>ALCIDES GOITIA</t>
  </si>
  <si>
    <t>GUSTAVO RIVERO</t>
  </si>
  <si>
    <t>NELSON URBINA</t>
  </si>
  <si>
    <t>LIGIA YANEZ</t>
  </si>
  <si>
    <t>ROBINSON TRUJILLO</t>
  </si>
  <si>
    <t>PABLO ACOSTA</t>
  </si>
  <si>
    <t>VICTOR JURADO</t>
  </si>
  <si>
    <t>ROSMILDE HERRERA</t>
  </si>
  <si>
    <t>RAUMEL GUERRERO</t>
  </si>
  <si>
    <t>ELYS JIMENEZ</t>
  </si>
  <si>
    <t>MOHAMMAD AREF</t>
  </si>
  <si>
    <t>GUSTAVO MENDEZ</t>
  </si>
  <si>
    <t xml:space="preserve">DOUGLAS GONZALEZ </t>
  </si>
  <si>
    <t>CELESTINO FAJARDO</t>
  </si>
  <si>
    <t>CARLOS HERNANDEZ</t>
  </si>
  <si>
    <t>RODOLFO VILLASMIL</t>
  </si>
  <si>
    <t>CARLOS VALERO</t>
  </si>
  <si>
    <t>YENNI HERNANDEZ</t>
  </si>
  <si>
    <t>VICENTE TORRES</t>
  </si>
  <si>
    <t>PEDRO NEDERR</t>
  </si>
  <si>
    <t>GRAN CARACAS</t>
  </si>
  <si>
    <t>ERNESTO VILLEGAS</t>
  </si>
  <si>
    <t xml:space="preserve">ANTONIO LEDEZMA </t>
  </si>
  <si>
    <t>GILDA ESPOSITO</t>
  </si>
  <si>
    <t>LUIS REYES</t>
  </si>
  <si>
    <t>JOSE BERROTERAN</t>
  </si>
  <si>
    <t>DANIEL TELLIS</t>
  </si>
  <si>
    <t>ANDRES BELLO</t>
  </si>
  <si>
    <t xml:space="preserve">ERNESTO ACOSTA </t>
  </si>
  <si>
    <t>MIGUEL A HERNANDEZ</t>
  </si>
  <si>
    <t>JORGE RODRIGUEZ</t>
  </si>
  <si>
    <t>ISMAEL GARCIA</t>
  </si>
  <si>
    <t>ANTONIO ECARRI</t>
  </si>
  <si>
    <t>FELIX RODRIGUEZ</t>
  </si>
  <si>
    <t>JAVIER PEÑALOZA</t>
  </si>
  <si>
    <t>BRIGIDA GARCIA</t>
  </si>
  <si>
    <t>LUIS VELASQUEZ</t>
  </si>
  <si>
    <t>DUSACAR ROJAS</t>
  </si>
  <si>
    <t>ANDRES DURAN RIOS</t>
  </si>
  <si>
    <t>YVAN OLIVARES</t>
  </si>
  <si>
    <t>ZOBEIDA EL HINNAQUI</t>
  </si>
  <si>
    <t>FRANCISCO DELGADO</t>
  </si>
  <si>
    <t>WASIM TEIFUR</t>
  </si>
  <si>
    <t>ROBERT VALERO</t>
  </si>
  <si>
    <t>SANTIAGO ROJAS</t>
  </si>
  <si>
    <t>DENNYS DIAZ</t>
  </si>
  <si>
    <t>RUBEN DARIO TROCEL</t>
  </si>
  <si>
    <t>LUIS BOHORQUEZ</t>
  </si>
  <si>
    <t xml:space="preserve">ALFREDO RAMOS </t>
  </si>
  <si>
    <t>ALEXIS BRAVO LEON</t>
  </si>
  <si>
    <t>ALEXIS RAMOS</t>
  </si>
  <si>
    <t>LIBIO AGUERO</t>
  </si>
  <si>
    <t>GILBERTO PEÑA</t>
  </si>
  <si>
    <t>ORLANDO CHIRINOS</t>
  </si>
  <si>
    <t>TULIO FUENTES</t>
  </si>
  <si>
    <t>ANDRES AVELINO</t>
  </si>
  <si>
    <t>TEODULO MEDINA</t>
  </si>
  <si>
    <t>VICTOR ESCALONA</t>
  </si>
  <si>
    <t>YOLANIS BORGES</t>
  </si>
  <si>
    <t>FIDEL PALMA</t>
  </si>
  <si>
    <t>ROBERTO AZUAJE</t>
  </si>
  <si>
    <t>MAURIMAR ALVARADO</t>
  </si>
  <si>
    <t>PEDRO COLMENARES</t>
  </si>
  <si>
    <t>ALEXIS RODRIGUEZ</t>
  </si>
  <si>
    <t>VICTOR DELGADO</t>
  </si>
  <si>
    <t>JOSE BARRERAS</t>
  </si>
  <si>
    <t>YELITZE MARTINEZ</t>
  </si>
  <si>
    <t>JUAN SALGUERO</t>
  </si>
  <si>
    <t>EILY GOMEZ</t>
  </si>
  <si>
    <t>ARCADIO VILLEGAS</t>
  </si>
  <si>
    <t>NEIVI SIVIRA</t>
  </si>
  <si>
    <t>EDGAR CARRASCO</t>
  </si>
  <si>
    <t>JESUS GUILLERMO</t>
  </si>
  <si>
    <t>NOLIBER GIL</t>
  </si>
  <si>
    <t>MARIO QUERALES</t>
  </si>
  <si>
    <t>EDWIN JUAREZ</t>
  </si>
  <si>
    <t>RICARDO CORONEL</t>
  </si>
  <si>
    <t>FELIPE LOPEZ</t>
  </si>
  <si>
    <t>MARIA CASTILLO</t>
  </si>
  <si>
    <t>CARLOS GARCIA</t>
  </si>
  <si>
    <t>RAMON GALVIS</t>
  </si>
  <si>
    <t>ELIECER MONSALVE</t>
  </si>
  <si>
    <t>GABRIEL GARCIA</t>
  </si>
  <si>
    <t>SIMON RODRIGUEZ P</t>
  </si>
  <si>
    <t>JOSE LUIS PRADO</t>
  </si>
  <si>
    <t>WINSTON VALLENILLA</t>
  </si>
  <si>
    <t>DAVID UZCATEGUI</t>
  </si>
  <si>
    <t xml:space="preserve">MARIA VERDEAL </t>
  </si>
  <si>
    <t>DAVID FORY</t>
  </si>
  <si>
    <t>JOSE CONTRERAS</t>
  </si>
  <si>
    <t>GUILLERMO SAAVEDRA</t>
  </si>
  <si>
    <t>DANIELLA CASTRO</t>
  </si>
  <si>
    <t>MARIA LONGART</t>
  </si>
  <si>
    <t>LUIS APARICIO</t>
  </si>
  <si>
    <t>ROGERIO SUAREZ</t>
  </si>
  <si>
    <t>FRANCISCO GARCES</t>
  </si>
  <si>
    <t>ROMULO HERRERA</t>
  </si>
  <si>
    <t>PEDRO DELGADO</t>
  </si>
  <si>
    <t>JULIO SCIVOLETTO</t>
  </si>
  <si>
    <t>PEDRO LABRADOR</t>
  </si>
  <si>
    <t>JOSE PRIETO</t>
  </si>
  <si>
    <t>RICARDO FIORE</t>
  </si>
  <si>
    <t>RODOLFO SANZ</t>
  </si>
  <si>
    <t>ORLANDO CEBALLOS</t>
  </si>
  <si>
    <t>SANTO CEDEÑO</t>
  </si>
  <si>
    <t>LUZ ARIAS</t>
  </si>
  <si>
    <t>CESAR DORTA</t>
  </si>
  <si>
    <t>ANGEL L. OLMO</t>
  </si>
  <si>
    <t>ANTONIO ALVAREZ</t>
  </si>
  <si>
    <t>CARLOS OCARIZ</t>
  </si>
  <si>
    <t>JORGE CONTRERAS</t>
  </si>
  <si>
    <t>JAIME VELIZ</t>
  </si>
  <si>
    <t>FELIX VELASQUEZ</t>
  </si>
  <si>
    <t>NELSON FERNANDEZ</t>
  </si>
  <si>
    <t>FRANKLIN PICCONE</t>
  </si>
  <si>
    <t>JOSE LUIS CASTAÑEDA</t>
  </si>
  <si>
    <t>ALEXANDER CORDERO</t>
  </si>
  <si>
    <t>ROMULO OTAZO</t>
  </si>
  <si>
    <t>JOSE MAICAVARES</t>
  </si>
  <si>
    <t>WARNER JIMENEZ</t>
  </si>
  <si>
    <t>JESUS DOMINGUEZ</t>
  </si>
  <si>
    <t>NUMA ROJAS</t>
  </si>
  <si>
    <t>JOSE A. CANTOR</t>
  </si>
  <si>
    <t>MARY CACERES</t>
  </si>
  <si>
    <t>EGLIS DIAZ</t>
  </si>
  <si>
    <t>BENJAMIN RODRIGUEZ</t>
  </si>
  <si>
    <t>DANTE RIVAS</t>
  </si>
  <si>
    <t>ALFREDO DIAZ</t>
  </si>
  <si>
    <t xml:space="preserve">JESUS CARABALLO </t>
  </si>
  <si>
    <t>FRANK PINTO</t>
  </si>
  <si>
    <t>JOSE DA SILVA</t>
  </si>
  <si>
    <t>RAFAEL CALLES</t>
  </si>
  <si>
    <t>FRANCISCO MORA</t>
  </si>
  <si>
    <t>AMILCAR SANOJA</t>
  </si>
  <si>
    <t>RICHARD PINEDA</t>
  </si>
  <si>
    <t>JULIAN TERAN</t>
  </si>
  <si>
    <t>JOSE GARCIA</t>
  </si>
  <si>
    <t>EFREN PEREZ</t>
  </si>
  <si>
    <t>ELIAS BITTAR</t>
  </si>
  <si>
    <t>DOUGLAS BOADA</t>
  </si>
  <si>
    <t>JOSE ARMANDO MORA</t>
  </si>
  <si>
    <t>JOSE ORTIZ</t>
  </si>
  <si>
    <t>ALFONSO AGUILAR</t>
  </si>
  <si>
    <t>ANGELINA SEQUERA</t>
  </si>
  <si>
    <t>NUBIA CUPARE</t>
  </si>
  <si>
    <t>LORENZO PIÑA</t>
  </si>
  <si>
    <t>HECTOR HERNANDEZ</t>
  </si>
  <si>
    <t>HONORIO GONZALEZ</t>
  </si>
  <si>
    <t>RAFAEL VASQUEZ</t>
  </si>
  <si>
    <t>ARMANDO RODRIGUEZ</t>
  </si>
  <si>
    <t>DOMINGO MOSQUERA</t>
  </si>
  <si>
    <t>DUBLAS PEREZ</t>
  </si>
  <si>
    <t>CARLOS DEPOOL</t>
  </si>
  <si>
    <t>JULIO RODRIGUEZ</t>
  </si>
  <si>
    <t>MARIO FERRIGNO</t>
  </si>
  <si>
    <t>NAPOLEON BARRIOS</t>
  </si>
  <si>
    <t>JUMISAMARLY FRANCO</t>
  </si>
  <si>
    <t>JONNATHAN MARIN</t>
  </si>
  <si>
    <t>ASDRUBAL CEDEÑO</t>
  </si>
  <si>
    <t>ROSAURO CARBILLO</t>
  </si>
  <si>
    <t>DAVID VELASQUEZ</t>
  </si>
  <si>
    <t>ROBERT ALCALA</t>
  </si>
  <si>
    <t>JOSE DIAZ BRITO</t>
  </si>
  <si>
    <t>JOSE LUIS MARCANO</t>
  </si>
  <si>
    <t>DUMILA VELASQUEZ</t>
  </si>
  <si>
    <t>ELIAS OCQUE</t>
  </si>
  <si>
    <t>JOSE ANTONIO GARCIA</t>
  </si>
  <si>
    <t>MIGUEL BERMUDEZ</t>
  </si>
  <si>
    <t>JOSE ZAMBRANO</t>
  </si>
  <si>
    <t>DANIEL CEBALLOS</t>
  </si>
  <si>
    <t>WILLIAM MENDEZ</t>
  </si>
  <si>
    <t>ROSA VELAZCO</t>
  </si>
  <si>
    <t>LUIS RIVERA</t>
  </si>
  <si>
    <t>IVAN USECHE</t>
  </si>
  <si>
    <t>OMAIRA LEAL</t>
  </si>
  <si>
    <t>SERGIO O CALDERON</t>
  </si>
  <si>
    <t>BERTA ELENA CEBALLOS</t>
  </si>
  <si>
    <t>GILBERTO HERNANDE</t>
  </si>
  <si>
    <t>JOSE KARKOM</t>
  </si>
  <si>
    <t>RODOLFO MICOLTA</t>
  </si>
  <si>
    <t>JOSE CAZZORLA</t>
  </si>
  <si>
    <t>JOHAN ACEVEDO</t>
  </si>
  <si>
    <t>ALIRIO GIL</t>
  </si>
  <si>
    <t>JOSE DE J VILORIA</t>
  </si>
  <si>
    <t>CARLOS ALCALA</t>
  </si>
  <si>
    <t>FABIOLA COLMENAREZ</t>
  </si>
  <si>
    <t>ROMULO MARCANO</t>
  </si>
  <si>
    <t>PIEL JOSE PINTO</t>
  </si>
  <si>
    <t>JOANDRY BLANCO</t>
  </si>
  <si>
    <t>ANTHONY MARQUINA</t>
  </si>
  <si>
    <t>RUSVEL GUTIERREZ</t>
  </si>
  <si>
    <t>EBERTS CAMACHO</t>
  </si>
  <si>
    <t>ALEX SANCHEZ</t>
  </si>
  <si>
    <t>JOSE LA CRUZ REYES</t>
  </si>
  <si>
    <t>JESUS GONZALEZ</t>
  </si>
  <si>
    <t>JOSE LUIS PORTILLO</t>
  </si>
  <si>
    <t>DANIEL CARMONA</t>
  </si>
  <si>
    <t>RICHARD LIRA</t>
  </si>
  <si>
    <t>FELIX BRACHO</t>
  </si>
  <si>
    <t>ALENIS GUERRERO</t>
  </si>
  <si>
    <t>EDWIN MARTINEZ</t>
  </si>
  <si>
    <t>RUTH URRIBARRI</t>
  </si>
  <si>
    <t>MARCELO MONNOT</t>
  </si>
  <si>
    <t>RALY VARGAS</t>
  </si>
  <si>
    <t>NOE ACOSTA</t>
  </si>
  <si>
    <t>FRANCISCO ALVARAD</t>
  </si>
  <si>
    <t>MERVIN MENDEZ</t>
  </si>
  <si>
    <t>JORGE AMADO CORTEZ</t>
  </si>
  <si>
    <t>FREDY RUIZ</t>
  </si>
  <si>
    <t>LEONARDO LUJAN</t>
  </si>
  <si>
    <t>OMAR MALAVE</t>
  </si>
  <si>
    <t>FRANK BOHORQUEZ</t>
  </si>
  <si>
    <t>LUIS CALDERA</t>
  </si>
  <si>
    <t>SALVADOR SPINELLO</t>
  </si>
  <si>
    <t>JONATHAN MAKAREM</t>
  </si>
  <si>
    <t>DANIEL HERNANDEZ</t>
  </si>
  <si>
    <t>WILLIAM GIGLIONE</t>
  </si>
  <si>
    <t>DELBIS OLANO</t>
  </si>
  <si>
    <t>PEREZ PIRELA</t>
  </si>
  <si>
    <t>EVELING DE ROSALES</t>
  </si>
  <si>
    <t>GOLFREDO DAVILA</t>
  </si>
  <si>
    <t>JOSE PERNIA</t>
  </si>
  <si>
    <t>EDGAR LUZARDO</t>
  </si>
  <si>
    <t>MARIA BOLIVAR</t>
  </si>
  <si>
    <t>NESTOR SUAREZ</t>
  </si>
  <si>
    <t>MORLY UZCATEGUI</t>
  </si>
  <si>
    <t>ELIO HERNANDEZ</t>
  </si>
  <si>
    <t>CARLOS MEDINA</t>
  </si>
  <si>
    <t>RAFAEL VILLALOBOS</t>
  </si>
  <si>
    <t>JUSAM EL ATRACHE</t>
  </si>
  <si>
    <t>OMAR PRIETO</t>
  </si>
  <si>
    <t>JULIO MONTOYA</t>
  </si>
  <si>
    <t>MARCOS GAMBUS</t>
  </si>
  <si>
    <t>YOLANDA SILIE</t>
  </si>
  <si>
    <t>CARLOS DUARTE</t>
  </si>
  <si>
    <t>JOSE SOTO</t>
  </si>
  <si>
    <t>EDIXON CARRUYO</t>
  </si>
  <si>
    <t>LUIS VALLES</t>
  </si>
  <si>
    <t xml:space="preserve">VILMA CARVAJAL </t>
  </si>
  <si>
    <t>PEDRO EMILIO BRICEÑO</t>
  </si>
  <si>
    <t>BAQUERO ERNESTO</t>
  </si>
  <si>
    <t>YSMANIA FERNANDEZ</t>
  </si>
  <si>
    <t>NELLYS VIVENEZ</t>
  </si>
  <si>
    <t>DOMINGO PEDEMONTE</t>
  </si>
  <si>
    <t>MARCOS RAMOS</t>
  </si>
  <si>
    <t>JACINTO ROMERO</t>
  </si>
  <si>
    <t>JUAN RONDON</t>
  </si>
  <si>
    <t>RINA LINERO</t>
  </si>
  <si>
    <t>MAGALY CASTRO</t>
  </si>
  <si>
    <t>LUIS PLANCHART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</si>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</sst>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name val="Calibri"/>
      <family val="2"/>
      <scheme val="minor"/>
    </font>
    <font>
      <sz val="14"/>
      <color theme="6" tint="0.79998168889431442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000099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3" fontId="2" fillId="5" borderId="9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left" vertical="center" indent="1"/>
    </xf>
    <xf numFmtId="0" fontId="2" fillId="7" borderId="8" xfId="0" applyFont="1" applyFill="1" applyBorder="1" applyAlignment="1">
      <alignment horizontal="left" vertical="center" indent="1"/>
    </xf>
    <xf numFmtId="0" fontId="2" fillId="7" borderId="2" xfId="0" applyFont="1" applyFill="1" applyBorder="1" applyAlignment="1">
      <alignment horizontal="left" vertical="center" indent="1"/>
    </xf>
    <xf numFmtId="0" fontId="0" fillId="0" borderId="0" xfId="0"/>
    <xf numFmtId="0" fontId="2" fillId="7" borderId="3" xfId="0" applyFont="1" applyFill="1" applyBorder="1" applyAlignment="1">
      <alignment horizontal="left" vertical="center" indent="1"/>
    </xf>
    <xf numFmtId="0" fontId="2" fillId="7" borderId="10" xfId="0" applyFont="1" applyFill="1" applyBorder="1" applyAlignment="1">
      <alignment horizontal="left" vertical="center" indent="1"/>
    </xf>
    <xf numFmtId="0" fontId="2" fillId="7" borderId="5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3" fontId="2" fillId="5" borderId="0" xfId="0" applyNumberFormat="1" applyFont="1" applyFill="1" applyBorder="1" applyAlignment="1">
      <alignment horizontal="center" vertical="center"/>
    </xf>
    <xf numFmtId="3" fontId="2" fillId="5" borderId="5" xfId="0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left" indent="1"/>
    </xf>
    <xf numFmtId="3" fontId="2" fillId="12" borderId="5" xfId="0" applyNumberFormat="1" applyFont="1" applyFill="1" applyBorder="1" applyAlignment="1">
      <alignment horizontal="left" indent="1"/>
    </xf>
    <xf numFmtId="0" fontId="2" fillId="12" borderId="5" xfId="0" applyFont="1" applyFill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4" borderId="7" xfId="0" applyFont="1" applyFill="1" applyBorder="1" applyAlignment="1"/>
    <xf numFmtId="0" fontId="4" fillId="4" borderId="6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2" fillId="9" borderId="0" xfId="0" applyFont="1" applyFill="1"/>
    <xf numFmtId="3" fontId="2" fillId="11" borderId="5" xfId="0" applyNumberFormat="1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4" fillId="13" borderId="5" xfId="0" applyFont="1" applyFill="1" applyBorder="1" applyAlignment="1">
      <alignment horizontal="left" indent="1"/>
    </xf>
    <xf numFmtId="0" fontId="4" fillId="13" borderId="5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6" borderId="6" xfId="0" applyFont="1" applyFill="1" applyBorder="1" applyAlignment="1">
      <alignment vertical="center"/>
    </xf>
    <xf numFmtId="0" fontId="2" fillId="7" borderId="5" xfId="0" applyNumberFormat="1" applyFont="1" applyFill="1" applyBorder="1" applyAlignment="1">
      <alignment horizontal="center" vertical="center"/>
    </xf>
    <xf numFmtId="3" fontId="2" fillId="12" borderId="5" xfId="0" applyNumberFormat="1" applyFont="1" applyFill="1" applyBorder="1" applyAlignment="1">
      <alignment horizontal="center"/>
    </xf>
    <xf numFmtId="3" fontId="2" fillId="14" borderId="5" xfId="0" applyNumberFormat="1" applyFont="1" applyFill="1" applyBorder="1" applyAlignment="1">
      <alignment horizontal="left" indent="1"/>
    </xf>
    <xf numFmtId="164" fontId="2" fillId="14" borderId="5" xfId="1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3" fontId="2" fillId="14" borderId="0" xfId="0" applyNumberFormat="1" applyFont="1" applyFill="1" applyAlignment="1">
      <alignment horizontal="left" indent="1"/>
    </xf>
    <xf numFmtId="164" fontId="2" fillId="14" borderId="0" xfId="1" applyNumberFormat="1" applyFont="1" applyFill="1" applyAlignment="1">
      <alignment horizontal="center"/>
    </xf>
    <xf numFmtId="0" fontId="2" fillId="14" borderId="0" xfId="0" applyFont="1" applyFill="1" applyAlignment="1">
      <alignment horizontal="left" indent="1"/>
    </xf>
    <xf numFmtId="0" fontId="2" fillId="6" borderId="3" xfId="0" applyFont="1" applyFill="1" applyBorder="1" applyAlignment="1">
      <alignment vertical="center"/>
    </xf>
    <xf numFmtId="0" fontId="2" fillId="14" borderId="0" xfId="0" applyFont="1" applyFill="1" applyAlignment="1">
      <alignment horizontal="center"/>
    </xf>
    <xf numFmtId="0" fontId="2" fillId="6" borderId="0" xfId="0" applyFont="1" applyFill="1" applyBorder="1" applyAlignment="1">
      <alignment vertical="center"/>
    </xf>
    <xf numFmtId="1" fontId="2" fillId="6" borderId="0" xfId="0" applyNumberFormat="1" applyFont="1" applyFill="1" applyBorder="1" applyAlignment="1">
      <alignment vertical="center"/>
    </xf>
    <xf numFmtId="0" fontId="2" fillId="7" borderId="0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/>
    <xf numFmtId="0" fontId="4" fillId="4" borderId="8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7" borderId="7" xfId="0" applyNumberFormat="1" applyFont="1" applyFill="1" applyBorder="1" applyAlignment="1">
      <alignment horizontal="center" vertical="center"/>
    </xf>
    <xf numFmtId="0" fontId="2" fillId="7" borderId="9" xfId="0" applyNumberFormat="1" applyFont="1" applyFill="1" applyBorder="1" applyAlignment="1">
      <alignment horizontal="center" vertical="center"/>
    </xf>
    <xf numFmtId="0" fontId="2" fillId="7" borderId="1" xfId="0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1" fontId="2" fillId="6" borderId="0" xfId="0" applyNumberFormat="1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/>
    </xf>
    <xf numFmtId="0" fontId="2" fillId="7" borderId="1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8" borderId="6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0" fillId="18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1" fontId="2" fillId="6" borderId="7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" fontId="2" fillId="8" borderId="7" xfId="0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1" fontId="2" fillId="8" borderId="4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5" fillId="16" borderId="5" xfId="0" applyFont="1" applyFill="1" applyBorder="1" applyAlignment="1">
      <alignment horizontal="center" vertical="center"/>
    </xf>
    <xf numFmtId="1" fontId="7" fillId="17" borderId="5" xfId="0" applyNumberFormat="1" applyFont="1" applyFill="1" applyBorder="1" applyAlignment="1">
      <alignment horizontal="center" vertical="center" wrapText="1"/>
    </xf>
    <xf numFmtId="0" fontId="8" fillId="19" borderId="5" xfId="0" applyFont="1" applyFill="1" applyBorder="1" applyAlignment="1">
      <alignment horizontal="center" vertical="center"/>
    </xf>
    <xf numFmtId="0" fontId="8" fillId="19" borderId="5" xfId="0" applyFont="1" applyFill="1" applyBorder="1" applyAlignment="1">
      <alignment horizontal="center"/>
    </xf>
    <xf numFmtId="1" fontId="7" fillId="18" borderId="5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99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gionales_2013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CENTRO1" tableColumnId="1"/>
      <queryTableField id="2" name="MUNICIPIO1" tableColumnId="2"/>
      <queryTableField id="3" name="TURNO1" tableColumnId="3"/>
      <queryTableField id="4" name="CANDIDATO1" tableColumnId="4"/>
      <queryTableField id="5" name="VOTOS1" tableColumnId="5"/>
      <queryTableField id="6" name="VOTOS2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a_regionales_2013" displayName="Tabla_regionales_2013" ref="A2:F3571" tableType="queryTable" totalsRowShown="0" headerRowDxfId="0">
  <autoFilter ref="A2:F3571"/>
  <tableColumns count="6">
    <tableColumn id="1" uniqueName="1" name="CENTRO1" queryTableFieldId="1"/>
    <tableColumn id="2" uniqueName="2" name="MUNICIPIO1" queryTableFieldId="2"/>
    <tableColumn id="3" uniqueName="3" name="TURNO1" queryTableFieldId="3"/>
    <tableColumn id="4" uniqueName="4" name="CANDIDATO1" queryTableFieldId="4"/>
    <tableColumn id="5" uniqueName="5" name="VOTOS1" queryTableFieldId="5"/>
    <tableColumn id="6" uniqueName="6" name="VOTOS2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106"/>
  <sheetViews>
    <sheetView topLeftCell="C2" workbookViewId="0">
      <selection activeCell="A2" sqref="A2:A1965"/>
    </sheetView>
  </sheetViews>
  <sheetFormatPr baseColWidth="10" defaultRowHeight="15" x14ac:dyDescent="0.25"/>
  <cols>
    <col min="1" max="1" width="13.7109375" style="10" bestFit="1" customWidth="1"/>
    <col min="2" max="2" width="16.7109375" style="10" customWidth="1"/>
    <col min="3" max="3" width="13" style="10" bestFit="1" customWidth="1"/>
    <col min="4" max="4" width="17.28515625" style="10" customWidth="1"/>
    <col min="5" max="6" width="12.7109375" style="10" bestFit="1" customWidth="1"/>
    <col min="7" max="11" width="11.42578125" style="10"/>
    <col min="12" max="12" width="9.140625" style="1" bestFit="1" customWidth="1"/>
    <col min="13" max="13" width="11.85546875" style="1" bestFit="1" customWidth="1"/>
    <col min="14" max="14" width="8.28515625" style="1" bestFit="1" customWidth="1"/>
    <col min="15" max="15" width="12.7109375" style="1" bestFit="1" customWidth="1"/>
    <col min="16" max="17" width="8.140625" style="2" bestFit="1" customWidth="1"/>
    <col min="18" max="16384" width="11.42578125" style="10"/>
  </cols>
  <sheetData>
    <row r="2" spans="1:17" s="1" customFormat="1" x14ac:dyDescent="0.25">
      <c r="A2" s="1" t="s">
        <v>65</v>
      </c>
      <c r="B2" s="1" t="s">
        <v>69</v>
      </c>
      <c r="C2" s="1" t="s">
        <v>66</v>
      </c>
      <c r="D2" s="1" t="s">
        <v>67</v>
      </c>
      <c r="E2" s="1" t="s">
        <v>68</v>
      </c>
      <c r="F2" s="1" t="s">
        <v>77</v>
      </c>
      <c r="L2" s="1" t="s">
        <v>65</v>
      </c>
      <c r="M2" s="1" t="s">
        <v>69</v>
      </c>
      <c r="N2" s="1" t="s">
        <v>66</v>
      </c>
      <c r="O2" s="1" t="s">
        <v>67</v>
      </c>
      <c r="P2" s="1" t="s">
        <v>68</v>
      </c>
      <c r="Q2" s="1" t="s">
        <v>77</v>
      </c>
    </row>
    <row r="3" spans="1:17" x14ac:dyDescent="0.25">
      <c r="A3" s="10">
        <v>266</v>
      </c>
      <c r="B3" s="10">
        <v>29</v>
      </c>
      <c r="C3" s="10">
        <v>9</v>
      </c>
      <c r="D3" s="10">
        <v>2</v>
      </c>
      <c r="E3" s="10">
        <v>11</v>
      </c>
      <c r="F3" s="10">
        <v>11</v>
      </c>
      <c r="L3" s="4">
        <v>1</v>
      </c>
      <c r="M3" s="4">
        <v>1</v>
      </c>
      <c r="N3" s="4">
        <v>0</v>
      </c>
      <c r="O3" s="4">
        <v>1</v>
      </c>
      <c r="P3" s="5">
        <v>1</v>
      </c>
      <c r="Q3" s="67">
        <v>17</v>
      </c>
    </row>
    <row r="4" spans="1:17" x14ac:dyDescent="0.25">
      <c r="A4" s="10">
        <v>42</v>
      </c>
      <c r="B4" s="10">
        <v>5</v>
      </c>
      <c r="C4" s="10">
        <v>9</v>
      </c>
      <c r="D4" s="10">
        <v>2</v>
      </c>
      <c r="E4" s="10">
        <v>21</v>
      </c>
      <c r="F4" s="10">
        <v>21</v>
      </c>
      <c r="L4" s="1">
        <v>2</v>
      </c>
      <c r="M4" s="4">
        <v>1</v>
      </c>
      <c r="N4" s="4">
        <v>0</v>
      </c>
      <c r="O4" s="1">
        <v>1</v>
      </c>
      <c r="P4" s="2">
        <v>1</v>
      </c>
      <c r="Q4" s="68">
        <v>20</v>
      </c>
    </row>
    <row r="5" spans="1:17" x14ac:dyDescent="0.25">
      <c r="A5" s="10">
        <v>42</v>
      </c>
      <c r="B5" s="10">
        <v>5</v>
      </c>
      <c r="C5" s="10">
        <v>9</v>
      </c>
      <c r="D5" s="10">
        <v>6</v>
      </c>
      <c r="E5" s="10">
        <v>1</v>
      </c>
      <c r="F5" s="10">
        <v>1</v>
      </c>
      <c r="L5" s="4">
        <v>3</v>
      </c>
      <c r="M5" s="4">
        <v>1</v>
      </c>
      <c r="N5" s="4">
        <v>0</v>
      </c>
      <c r="O5" s="4">
        <v>1</v>
      </c>
      <c r="P5" s="5">
        <v>1</v>
      </c>
      <c r="Q5" s="67">
        <v>23</v>
      </c>
    </row>
    <row r="6" spans="1:17" x14ac:dyDescent="0.25">
      <c r="A6" s="10">
        <v>42</v>
      </c>
      <c r="B6" s="10">
        <v>5</v>
      </c>
      <c r="C6" s="10">
        <v>9</v>
      </c>
      <c r="D6" s="10">
        <v>8</v>
      </c>
      <c r="E6" s="10">
        <v>2</v>
      </c>
      <c r="F6" s="10">
        <v>2</v>
      </c>
      <c r="L6" s="1">
        <v>4</v>
      </c>
      <c r="M6" s="4">
        <v>1</v>
      </c>
      <c r="N6" s="4">
        <v>0</v>
      </c>
      <c r="O6" s="1">
        <v>1</v>
      </c>
      <c r="P6" s="2">
        <v>1</v>
      </c>
      <c r="Q6" s="68">
        <v>20</v>
      </c>
    </row>
    <row r="7" spans="1:17" x14ac:dyDescent="0.25">
      <c r="A7" s="10">
        <v>266</v>
      </c>
      <c r="B7" s="10">
        <v>29</v>
      </c>
      <c r="C7" s="10">
        <v>9</v>
      </c>
      <c r="D7" s="10">
        <v>7</v>
      </c>
      <c r="E7" s="10">
        <v>1</v>
      </c>
      <c r="F7" s="10">
        <v>1</v>
      </c>
      <c r="L7" s="4">
        <v>5</v>
      </c>
      <c r="M7" s="4">
        <v>1</v>
      </c>
      <c r="N7" s="4">
        <v>0</v>
      </c>
      <c r="O7" s="4">
        <v>1</v>
      </c>
      <c r="P7" s="5">
        <v>1</v>
      </c>
      <c r="Q7" s="67">
        <v>14</v>
      </c>
    </row>
    <row r="8" spans="1:17" x14ac:dyDescent="0.25">
      <c r="A8" s="10">
        <v>38</v>
      </c>
      <c r="B8" s="10">
        <v>5</v>
      </c>
      <c r="C8" s="10">
        <v>9</v>
      </c>
      <c r="D8" s="10">
        <v>1</v>
      </c>
      <c r="E8" s="10">
        <v>14</v>
      </c>
      <c r="F8" s="10">
        <v>14</v>
      </c>
      <c r="L8" s="1">
        <v>6</v>
      </c>
      <c r="M8" s="4">
        <v>1</v>
      </c>
      <c r="N8" s="4">
        <v>0</v>
      </c>
      <c r="O8" s="1">
        <v>1</v>
      </c>
      <c r="P8" s="2">
        <v>1</v>
      </c>
      <c r="Q8" s="68">
        <v>13</v>
      </c>
    </row>
    <row r="9" spans="1:17" x14ac:dyDescent="0.25">
      <c r="A9" s="10">
        <v>176</v>
      </c>
      <c r="B9" s="10">
        <v>19</v>
      </c>
      <c r="C9" s="10">
        <v>9</v>
      </c>
      <c r="D9" s="10">
        <v>1</v>
      </c>
      <c r="E9" s="10">
        <v>13</v>
      </c>
      <c r="F9" s="10">
        <v>13</v>
      </c>
      <c r="L9" s="4">
        <v>7</v>
      </c>
      <c r="M9" s="4">
        <v>1</v>
      </c>
      <c r="N9" s="4">
        <v>0</v>
      </c>
      <c r="O9" s="4">
        <v>1</v>
      </c>
      <c r="P9" s="5">
        <v>1</v>
      </c>
      <c r="Q9" s="67">
        <v>12</v>
      </c>
    </row>
    <row r="10" spans="1:17" x14ac:dyDescent="0.25">
      <c r="A10" s="10">
        <v>176</v>
      </c>
      <c r="B10" s="10">
        <v>19</v>
      </c>
      <c r="C10" s="10">
        <v>9</v>
      </c>
      <c r="D10" s="10">
        <v>2</v>
      </c>
      <c r="E10" s="10">
        <v>11</v>
      </c>
      <c r="F10" s="10">
        <v>11</v>
      </c>
      <c r="L10" s="1">
        <v>8</v>
      </c>
      <c r="M10" s="4">
        <v>1</v>
      </c>
      <c r="N10" s="4">
        <v>0</v>
      </c>
      <c r="O10" s="1">
        <v>1</v>
      </c>
      <c r="P10" s="2">
        <v>1</v>
      </c>
      <c r="Q10" s="68">
        <v>5</v>
      </c>
    </row>
    <row r="11" spans="1:17" x14ac:dyDescent="0.25">
      <c r="A11" s="10">
        <v>116</v>
      </c>
      <c r="B11" s="10">
        <v>13</v>
      </c>
      <c r="C11" s="10">
        <v>9</v>
      </c>
      <c r="D11" s="10">
        <v>1</v>
      </c>
      <c r="E11" s="10">
        <v>3</v>
      </c>
      <c r="F11" s="10">
        <v>3</v>
      </c>
      <c r="L11" s="4">
        <v>9</v>
      </c>
      <c r="M11" s="4">
        <v>1</v>
      </c>
      <c r="N11" s="4">
        <v>0</v>
      </c>
      <c r="O11" s="4">
        <v>1</v>
      </c>
      <c r="P11" s="2">
        <v>1</v>
      </c>
      <c r="Q11" s="67">
        <v>3</v>
      </c>
    </row>
    <row r="12" spans="1:17" x14ac:dyDescent="0.25">
      <c r="A12" s="10">
        <v>116</v>
      </c>
      <c r="B12" s="10">
        <v>13</v>
      </c>
      <c r="C12" s="10">
        <v>9</v>
      </c>
      <c r="D12" s="10">
        <v>2</v>
      </c>
      <c r="E12" s="10">
        <v>4</v>
      </c>
      <c r="F12" s="10">
        <v>4</v>
      </c>
      <c r="L12" s="1">
        <v>10</v>
      </c>
      <c r="M12" s="4">
        <v>1</v>
      </c>
      <c r="N12" s="4">
        <v>0</v>
      </c>
      <c r="O12" s="1">
        <v>1</v>
      </c>
      <c r="P12" s="2">
        <v>1</v>
      </c>
      <c r="Q12" s="68">
        <v>3</v>
      </c>
    </row>
    <row r="13" spans="1:17" x14ac:dyDescent="0.25">
      <c r="A13" s="10">
        <v>116</v>
      </c>
      <c r="B13" s="10">
        <v>13</v>
      </c>
      <c r="C13" s="10">
        <v>9</v>
      </c>
      <c r="D13" s="10">
        <v>3</v>
      </c>
      <c r="E13" s="10">
        <v>1</v>
      </c>
      <c r="F13" s="10">
        <v>1</v>
      </c>
      <c r="L13" s="4">
        <v>11</v>
      </c>
      <c r="M13" s="4">
        <v>2</v>
      </c>
      <c r="N13" s="4">
        <v>0</v>
      </c>
      <c r="O13" s="4">
        <v>1</v>
      </c>
      <c r="P13" s="2">
        <v>1</v>
      </c>
      <c r="Q13" s="67">
        <v>8</v>
      </c>
    </row>
    <row r="14" spans="1:17" x14ac:dyDescent="0.25">
      <c r="A14" s="10">
        <v>116</v>
      </c>
      <c r="B14" s="10">
        <v>13</v>
      </c>
      <c r="C14" s="10">
        <v>9</v>
      </c>
      <c r="D14" s="10">
        <v>7</v>
      </c>
      <c r="E14" s="10">
        <v>2</v>
      </c>
      <c r="F14" s="10">
        <v>2</v>
      </c>
      <c r="L14" s="1">
        <v>12</v>
      </c>
      <c r="M14" s="4">
        <v>2</v>
      </c>
      <c r="N14" s="4">
        <v>0</v>
      </c>
      <c r="O14" s="1">
        <v>1</v>
      </c>
      <c r="P14" s="2">
        <v>1</v>
      </c>
      <c r="Q14" s="68">
        <v>3</v>
      </c>
    </row>
    <row r="15" spans="1:17" x14ac:dyDescent="0.25">
      <c r="A15" s="10">
        <v>179</v>
      </c>
      <c r="B15" s="10">
        <v>19</v>
      </c>
      <c r="C15" s="10">
        <v>9</v>
      </c>
      <c r="D15" s="10">
        <v>2</v>
      </c>
      <c r="E15" s="10">
        <v>95</v>
      </c>
      <c r="F15" s="10">
        <v>95</v>
      </c>
      <c r="L15" s="4">
        <v>13</v>
      </c>
      <c r="M15" s="4">
        <v>2</v>
      </c>
      <c r="N15" s="4">
        <v>0</v>
      </c>
      <c r="O15" s="4">
        <v>1</v>
      </c>
      <c r="P15" s="5">
        <v>1</v>
      </c>
      <c r="Q15" s="67">
        <v>11</v>
      </c>
    </row>
    <row r="16" spans="1:17" x14ac:dyDescent="0.25">
      <c r="A16" s="10">
        <v>206</v>
      </c>
      <c r="B16" s="10">
        <v>22</v>
      </c>
      <c r="C16" s="10">
        <v>9</v>
      </c>
      <c r="D16" s="10">
        <v>1</v>
      </c>
      <c r="E16" s="10">
        <v>8</v>
      </c>
      <c r="F16" s="10">
        <v>8</v>
      </c>
      <c r="L16" s="1">
        <v>14</v>
      </c>
      <c r="M16" s="4">
        <v>2</v>
      </c>
      <c r="N16" s="4">
        <v>0</v>
      </c>
      <c r="O16" s="1">
        <v>1</v>
      </c>
      <c r="P16" s="2">
        <v>1</v>
      </c>
      <c r="Q16" s="68">
        <v>4</v>
      </c>
    </row>
    <row r="17" spans="1:17" x14ac:dyDescent="0.25">
      <c r="A17" s="10">
        <v>206</v>
      </c>
      <c r="B17" s="10">
        <v>22</v>
      </c>
      <c r="C17" s="10">
        <v>9</v>
      </c>
      <c r="D17" s="10">
        <v>2</v>
      </c>
      <c r="E17" s="10">
        <v>5</v>
      </c>
      <c r="F17" s="10">
        <v>5</v>
      </c>
      <c r="L17" s="4">
        <v>15</v>
      </c>
      <c r="M17" s="4">
        <v>2</v>
      </c>
      <c r="N17" s="4">
        <v>0</v>
      </c>
      <c r="O17" s="4">
        <v>1</v>
      </c>
      <c r="P17" s="2">
        <v>1</v>
      </c>
      <c r="Q17" s="67">
        <v>4</v>
      </c>
    </row>
    <row r="18" spans="1:17" x14ac:dyDescent="0.25">
      <c r="A18" s="10">
        <v>242</v>
      </c>
      <c r="B18" s="10">
        <v>26</v>
      </c>
      <c r="C18" s="10">
        <v>9</v>
      </c>
      <c r="D18" s="10">
        <v>1</v>
      </c>
      <c r="E18" s="10">
        <v>1</v>
      </c>
      <c r="F18" s="10">
        <v>1</v>
      </c>
      <c r="L18" s="1">
        <v>16</v>
      </c>
      <c r="M18" s="4">
        <v>2</v>
      </c>
      <c r="N18" s="4">
        <v>0</v>
      </c>
      <c r="O18" s="4">
        <v>1</v>
      </c>
      <c r="P18" s="2">
        <v>1</v>
      </c>
      <c r="Q18" s="68">
        <v>11</v>
      </c>
    </row>
    <row r="19" spans="1:17" x14ac:dyDescent="0.25">
      <c r="A19" s="10">
        <v>242</v>
      </c>
      <c r="B19" s="10">
        <v>26</v>
      </c>
      <c r="C19" s="10">
        <v>9</v>
      </c>
      <c r="D19" s="10">
        <v>2</v>
      </c>
      <c r="E19" s="10">
        <v>2</v>
      </c>
      <c r="F19" s="10">
        <v>2</v>
      </c>
      <c r="L19" s="4">
        <v>17</v>
      </c>
      <c r="M19" s="4">
        <v>2</v>
      </c>
      <c r="N19" s="4">
        <v>0</v>
      </c>
      <c r="O19" s="1">
        <v>1</v>
      </c>
      <c r="P19" s="2">
        <v>1</v>
      </c>
      <c r="Q19" s="67">
        <v>13</v>
      </c>
    </row>
    <row r="20" spans="1:17" x14ac:dyDescent="0.25">
      <c r="A20" s="10">
        <v>208</v>
      </c>
      <c r="B20" s="10">
        <v>22</v>
      </c>
      <c r="C20" s="10">
        <v>9</v>
      </c>
      <c r="D20" s="10">
        <v>1</v>
      </c>
      <c r="E20" s="10">
        <v>5</v>
      </c>
      <c r="F20" s="10">
        <v>5</v>
      </c>
      <c r="L20" s="1">
        <v>18</v>
      </c>
      <c r="M20" s="4">
        <v>2</v>
      </c>
      <c r="N20" s="4">
        <v>0</v>
      </c>
      <c r="O20" s="4">
        <v>1</v>
      </c>
      <c r="P20" s="2">
        <v>1</v>
      </c>
      <c r="Q20" s="68">
        <v>15</v>
      </c>
    </row>
    <row r="21" spans="1:17" x14ac:dyDescent="0.25">
      <c r="A21" s="10">
        <v>151</v>
      </c>
      <c r="B21" s="10">
        <v>16</v>
      </c>
      <c r="C21" s="10">
        <v>9</v>
      </c>
      <c r="D21" s="10">
        <v>1</v>
      </c>
      <c r="E21" s="10">
        <v>3</v>
      </c>
      <c r="F21" s="10">
        <v>3</v>
      </c>
      <c r="L21" s="4">
        <v>19</v>
      </c>
      <c r="M21" s="4">
        <v>2</v>
      </c>
      <c r="N21" s="4">
        <v>0</v>
      </c>
      <c r="O21" s="1">
        <v>1</v>
      </c>
      <c r="P21" s="5">
        <v>1</v>
      </c>
      <c r="Q21" s="67">
        <v>9</v>
      </c>
    </row>
    <row r="22" spans="1:17" x14ac:dyDescent="0.25">
      <c r="A22" s="10">
        <v>151</v>
      </c>
      <c r="B22" s="10">
        <v>16</v>
      </c>
      <c r="C22" s="10">
        <v>9</v>
      </c>
      <c r="D22" s="10">
        <v>2</v>
      </c>
      <c r="E22" s="10">
        <v>1</v>
      </c>
      <c r="F22" s="10">
        <v>1</v>
      </c>
      <c r="L22" s="1">
        <v>20</v>
      </c>
      <c r="M22" s="4">
        <v>2</v>
      </c>
      <c r="N22" s="4">
        <v>0</v>
      </c>
      <c r="O22" s="4">
        <v>1</v>
      </c>
      <c r="P22" s="2">
        <v>1</v>
      </c>
      <c r="Q22" s="68">
        <v>5</v>
      </c>
    </row>
    <row r="23" spans="1:17" x14ac:dyDescent="0.25">
      <c r="A23" s="10">
        <v>151</v>
      </c>
      <c r="B23" s="10">
        <v>16</v>
      </c>
      <c r="C23" s="10">
        <v>9</v>
      </c>
      <c r="D23" s="10">
        <v>4</v>
      </c>
      <c r="E23" s="10">
        <v>1</v>
      </c>
      <c r="F23" s="10">
        <v>1</v>
      </c>
      <c r="L23" s="4">
        <v>21</v>
      </c>
      <c r="M23" s="4">
        <v>3</v>
      </c>
      <c r="N23" s="4">
        <v>0</v>
      </c>
      <c r="O23" s="1">
        <v>1</v>
      </c>
      <c r="P23" s="2">
        <v>1</v>
      </c>
      <c r="Q23" s="67">
        <v>2</v>
      </c>
    </row>
    <row r="24" spans="1:17" x14ac:dyDescent="0.25">
      <c r="A24" s="10">
        <v>151</v>
      </c>
      <c r="B24" s="10">
        <v>16</v>
      </c>
      <c r="C24" s="10">
        <v>9</v>
      </c>
      <c r="D24" s="10">
        <v>8</v>
      </c>
      <c r="E24" s="10">
        <v>1</v>
      </c>
      <c r="F24" s="10">
        <v>1</v>
      </c>
      <c r="L24" s="4">
        <v>22</v>
      </c>
      <c r="M24" s="4">
        <v>3</v>
      </c>
      <c r="N24" s="4">
        <v>0</v>
      </c>
      <c r="O24" s="4">
        <v>1</v>
      </c>
      <c r="P24" s="2">
        <v>1</v>
      </c>
      <c r="Q24" s="68">
        <v>15</v>
      </c>
    </row>
    <row r="25" spans="1:17" x14ac:dyDescent="0.25">
      <c r="A25" s="10">
        <v>118</v>
      </c>
      <c r="B25" s="10">
        <v>13</v>
      </c>
      <c r="C25" s="10">
        <v>9</v>
      </c>
      <c r="D25" s="10">
        <v>1</v>
      </c>
      <c r="E25" s="10">
        <v>3</v>
      </c>
      <c r="F25" s="10">
        <v>3</v>
      </c>
      <c r="L25" s="1">
        <v>23</v>
      </c>
      <c r="M25" s="4">
        <v>3</v>
      </c>
      <c r="N25" s="4">
        <v>0</v>
      </c>
      <c r="O25" s="1">
        <v>1</v>
      </c>
      <c r="P25" s="2">
        <v>1</v>
      </c>
      <c r="Q25" s="67">
        <v>6</v>
      </c>
    </row>
    <row r="26" spans="1:17" x14ac:dyDescent="0.25">
      <c r="A26" s="10">
        <v>118</v>
      </c>
      <c r="B26" s="10">
        <v>13</v>
      </c>
      <c r="C26" s="10">
        <v>9</v>
      </c>
      <c r="D26" s="10">
        <v>2</v>
      </c>
      <c r="E26" s="10">
        <v>6</v>
      </c>
      <c r="F26" s="10">
        <v>6</v>
      </c>
      <c r="L26" s="4">
        <v>24</v>
      </c>
      <c r="M26" s="4">
        <v>3</v>
      </c>
      <c r="N26" s="4">
        <v>0</v>
      </c>
      <c r="O26" s="4">
        <v>1</v>
      </c>
      <c r="P26" s="2">
        <v>1</v>
      </c>
      <c r="Q26" s="68">
        <v>21</v>
      </c>
    </row>
    <row r="27" spans="1:17" x14ac:dyDescent="0.25">
      <c r="A27" s="10">
        <v>16</v>
      </c>
      <c r="B27" s="10">
        <v>2</v>
      </c>
      <c r="C27" s="10">
        <v>9</v>
      </c>
      <c r="D27" s="10">
        <v>1</v>
      </c>
      <c r="E27" s="10">
        <v>6</v>
      </c>
      <c r="F27" s="10">
        <v>6</v>
      </c>
      <c r="L27" s="1">
        <v>25</v>
      </c>
      <c r="M27" s="4">
        <v>3</v>
      </c>
      <c r="N27" s="4">
        <v>0</v>
      </c>
      <c r="O27" s="1">
        <v>1</v>
      </c>
      <c r="P27" s="5">
        <v>1</v>
      </c>
      <c r="Q27" s="67">
        <v>9</v>
      </c>
    </row>
    <row r="28" spans="1:17" x14ac:dyDescent="0.25">
      <c r="A28" s="10">
        <v>338</v>
      </c>
      <c r="B28" s="10">
        <v>36</v>
      </c>
      <c r="C28" s="10">
        <v>9</v>
      </c>
      <c r="D28" s="10">
        <v>1</v>
      </c>
      <c r="E28" s="10">
        <v>17</v>
      </c>
      <c r="F28" s="10">
        <v>17</v>
      </c>
      <c r="L28" s="4">
        <v>26</v>
      </c>
      <c r="M28" s="4">
        <v>3</v>
      </c>
      <c r="N28" s="4">
        <v>0</v>
      </c>
      <c r="O28" s="4">
        <v>1</v>
      </c>
      <c r="P28" s="2">
        <v>1</v>
      </c>
      <c r="Q28" s="68">
        <v>4</v>
      </c>
    </row>
    <row r="29" spans="1:17" x14ac:dyDescent="0.25">
      <c r="A29" s="10">
        <v>16</v>
      </c>
      <c r="B29" s="10">
        <v>2</v>
      </c>
      <c r="C29" s="10">
        <v>9</v>
      </c>
      <c r="D29" s="10">
        <v>2</v>
      </c>
      <c r="E29" s="10">
        <v>6</v>
      </c>
      <c r="F29" s="10">
        <v>6</v>
      </c>
      <c r="L29" s="1">
        <v>27</v>
      </c>
      <c r="M29" s="4">
        <v>4</v>
      </c>
      <c r="N29" s="4">
        <v>0</v>
      </c>
      <c r="O29" s="1">
        <v>1</v>
      </c>
      <c r="P29" s="2">
        <v>1</v>
      </c>
      <c r="Q29" s="67">
        <v>7</v>
      </c>
    </row>
    <row r="30" spans="1:17" x14ac:dyDescent="0.25">
      <c r="A30" s="10">
        <v>419</v>
      </c>
      <c r="B30" s="10">
        <v>45</v>
      </c>
      <c r="C30" s="10">
        <v>9</v>
      </c>
      <c r="D30" s="10">
        <v>1</v>
      </c>
      <c r="E30" s="10">
        <v>3</v>
      </c>
      <c r="F30" s="10">
        <v>3</v>
      </c>
      <c r="L30" s="4">
        <v>28</v>
      </c>
      <c r="M30" s="4">
        <v>4</v>
      </c>
      <c r="N30" s="4">
        <v>0</v>
      </c>
      <c r="O30" s="4">
        <v>1</v>
      </c>
      <c r="P30" s="2">
        <v>1</v>
      </c>
      <c r="Q30" s="68">
        <v>5</v>
      </c>
    </row>
    <row r="31" spans="1:17" x14ac:dyDescent="0.25">
      <c r="A31" s="10">
        <v>419</v>
      </c>
      <c r="B31" s="10">
        <v>45</v>
      </c>
      <c r="C31" s="10">
        <v>9</v>
      </c>
      <c r="D31" s="10">
        <v>2</v>
      </c>
      <c r="E31" s="10">
        <v>5</v>
      </c>
      <c r="F31" s="10">
        <v>5</v>
      </c>
      <c r="L31" s="1">
        <v>29</v>
      </c>
      <c r="M31" s="4">
        <v>4</v>
      </c>
      <c r="N31" s="4">
        <v>0</v>
      </c>
      <c r="O31" s="1">
        <v>1</v>
      </c>
      <c r="P31" s="2">
        <v>1</v>
      </c>
      <c r="Q31" s="67">
        <v>8</v>
      </c>
    </row>
    <row r="32" spans="1:17" x14ac:dyDescent="0.25">
      <c r="A32" s="10">
        <v>419</v>
      </c>
      <c r="B32" s="10">
        <v>45</v>
      </c>
      <c r="C32" s="10">
        <v>9</v>
      </c>
      <c r="D32" s="10">
        <v>4</v>
      </c>
      <c r="E32" s="10">
        <v>1</v>
      </c>
      <c r="F32" s="10">
        <v>1</v>
      </c>
      <c r="L32" s="4">
        <v>30</v>
      </c>
      <c r="M32" s="4">
        <v>4</v>
      </c>
      <c r="N32" s="4">
        <v>0</v>
      </c>
      <c r="O32" s="4">
        <v>1</v>
      </c>
      <c r="P32" s="2">
        <v>1</v>
      </c>
      <c r="Q32" s="68">
        <v>11</v>
      </c>
    </row>
    <row r="33" spans="1:17" x14ac:dyDescent="0.25">
      <c r="A33" s="10">
        <v>338</v>
      </c>
      <c r="B33" s="10">
        <v>36</v>
      </c>
      <c r="C33" s="10">
        <v>9</v>
      </c>
      <c r="D33" s="10">
        <v>2</v>
      </c>
      <c r="E33" s="10">
        <v>9</v>
      </c>
      <c r="F33" s="10">
        <v>9</v>
      </c>
      <c r="L33" s="1">
        <v>31</v>
      </c>
      <c r="M33" s="4">
        <v>4</v>
      </c>
      <c r="N33" s="4">
        <v>0</v>
      </c>
      <c r="O33" s="4">
        <v>1</v>
      </c>
      <c r="P33" s="5">
        <v>1</v>
      </c>
      <c r="Q33" s="67">
        <v>8</v>
      </c>
    </row>
    <row r="34" spans="1:17" x14ac:dyDescent="0.25">
      <c r="A34" s="10">
        <v>418</v>
      </c>
      <c r="B34" s="10">
        <v>45</v>
      </c>
      <c r="C34" s="10">
        <v>9</v>
      </c>
      <c r="D34" s="10">
        <v>1</v>
      </c>
      <c r="E34" s="10">
        <v>6</v>
      </c>
      <c r="F34" s="10">
        <v>6</v>
      </c>
      <c r="L34" s="4">
        <v>32</v>
      </c>
      <c r="M34" s="4">
        <v>4</v>
      </c>
      <c r="N34" s="4">
        <v>0</v>
      </c>
      <c r="O34" s="1">
        <v>1</v>
      </c>
      <c r="P34" s="2">
        <v>1</v>
      </c>
      <c r="Q34" s="68">
        <v>12</v>
      </c>
    </row>
    <row r="35" spans="1:17" x14ac:dyDescent="0.25">
      <c r="A35" s="10">
        <v>418</v>
      </c>
      <c r="B35" s="10">
        <v>45</v>
      </c>
      <c r="C35" s="10">
        <v>9</v>
      </c>
      <c r="D35" s="10">
        <v>2</v>
      </c>
      <c r="E35" s="10">
        <v>7</v>
      </c>
      <c r="F35" s="10">
        <v>7</v>
      </c>
      <c r="L35" s="1">
        <v>33</v>
      </c>
      <c r="M35" s="4">
        <v>4</v>
      </c>
      <c r="N35" s="4">
        <v>0</v>
      </c>
      <c r="O35" s="4">
        <v>1</v>
      </c>
      <c r="P35" s="2">
        <v>1</v>
      </c>
      <c r="Q35" s="67">
        <v>10</v>
      </c>
    </row>
    <row r="36" spans="1:17" x14ac:dyDescent="0.25">
      <c r="A36" s="10">
        <v>434</v>
      </c>
      <c r="B36" s="10">
        <v>47</v>
      </c>
      <c r="C36" s="10">
        <v>9</v>
      </c>
      <c r="D36" s="10">
        <v>1</v>
      </c>
      <c r="E36" s="10">
        <v>13</v>
      </c>
      <c r="F36" s="10">
        <v>13</v>
      </c>
      <c r="L36" s="4">
        <v>34</v>
      </c>
      <c r="M36" s="4">
        <v>4</v>
      </c>
      <c r="N36" s="4">
        <v>0</v>
      </c>
      <c r="O36" s="1">
        <v>1</v>
      </c>
      <c r="P36" s="2">
        <v>1</v>
      </c>
      <c r="Q36" s="68">
        <v>13</v>
      </c>
    </row>
    <row r="37" spans="1:17" x14ac:dyDescent="0.25">
      <c r="A37" s="10">
        <v>434</v>
      </c>
      <c r="B37" s="10">
        <v>47</v>
      </c>
      <c r="C37" s="10">
        <v>9</v>
      </c>
      <c r="D37" s="10">
        <v>2</v>
      </c>
      <c r="E37" s="10">
        <v>9</v>
      </c>
      <c r="F37" s="10">
        <v>9</v>
      </c>
      <c r="L37" s="1">
        <v>35</v>
      </c>
      <c r="M37" s="4">
        <v>4</v>
      </c>
      <c r="N37" s="4">
        <v>0</v>
      </c>
      <c r="O37" s="1">
        <v>1</v>
      </c>
      <c r="P37" s="2">
        <v>1</v>
      </c>
      <c r="Q37" s="67">
        <v>9</v>
      </c>
    </row>
    <row r="38" spans="1:17" x14ac:dyDescent="0.25">
      <c r="A38" s="10">
        <v>334</v>
      </c>
      <c r="B38" s="10">
        <v>36</v>
      </c>
      <c r="C38" s="10">
        <v>9</v>
      </c>
      <c r="D38" s="10">
        <v>1</v>
      </c>
      <c r="E38" s="10">
        <v>2</v>
      </c>
      <c r="F38" s="10">
        <v>2</v>
      </c>
      <c r="L38" s="4">
        <v>36</v>
      </c>
      <c r="M38" s="4">
        <v>4</v>
      </c>
      <c r="N38" s="4">
        <v>0</v>
      </c>
      <c r="O38" s="1">
        <v>1</v>
      </c>
      <c r="P38" s="2">
        <v>1</v>
      </c>
      <c r="Q38" s="68">
        <v>11</v>
      </c>
    </row>
    <row r="39" spans="1:17" x14ac:dyDescent="0.25">
      <c r="A39" s="10">
        <v>434</v>
      </c>
      <c r="B39" s="10">
        <v>47</v>
      </c>
      <c r="C39" s="10">
        <v>9</v>
      </c>
      <c r="D39" s="10">
        <v>3</v>
      </c>
      <c r="E39" s="10">
        <v>2</v>
      </c>
      <c r="F39" s="10">
        <v>2</v>
      </c>
      <c r="L39" s="1">
        <v>37</v>
      </c>
      <c r="M39" s="4">
        <v>5</v>
      </c>
      <c r="N39" s="4">
        <v>0</v>
      </c>
      <c r="O39" s="1">
        <v>1</v>
      </c>
      <c r="P39" s="5">
        <v>1</v>
      </c>
      <c r="Q39" s="67">
        <v>8</v>
      </c>
    </row>
    <row r="40" spans="1:17" x14ac:dyDescent="0.25">
      <c r="A40" s="10">
        <v>334</v>
      </c>
      <c r="B40" s="10">
        <v>36</v>
      </c>
      <c r="C40" s="10">
        <v>9</v>
      </c>
      <c r="D40" s="10">
        <v>2</v>
      </c>
      <c r="E40" s="10">
        <v>4</v>
      </c>
      <c r="F40" s="10">
        <v>4</v>
      </c>
      <c r="L40" s="4">
        <v>38</v>
      </c>
      <c r="M40" s="4">
        <v>5</v>
      </c>
      <c r="N40" s="4">
        <v>0</v>
      </c>
      <c r="O40" s="1">
        <v>1</v>
      </c>
      <c r="P40" s="2">
        <v>1</v>
      </c>
      <c r="Q40" s="68">
        <v>8</v>
      </c>
    </row>
    <row r="41" spans="1:17" x14ac:dyDescent="0.25">
      <c r="A41" s="10">
        <v>336</v>
      </c>
      <c r="B41" s="10">
        <v>36</v>
      </c>
      <c r="C41" s="10">
        <v>9</v>
      </c>
      <c r="D41" s="10">
        <v>1</v>
      </c>
      <c r="E41" s="10">
        <v>1</v>
      </c>
      <c r="F41" s="10">
        <v>1</v>
      </c>
      <c r="L41" s="1">
        <v>39</v>
      </c>
      <c r="M41" s="4">
        <v>5</v>
      </c>
      <c r="N41" s="4">
        <v>0</v>
      </c>
      <c r="O41" s="4">
        <v>1</v>
      </c>
      <c r="P41" s="2">
        <v>1</v>
      </c>
      <c r="Q41" s="67">
        <v>13</v>
      </c>
    </row>
    <row r="42" spans="1:17" x14ac:dyDescent="0.25">
      <c r="A42" s="10">
        <v>421</v>
      </c>
      <c r="B42" s="10">
        <v>45</v>
      </c>
      <c r="C42" s="10">
        <v>9</v>
      </c>
      <c r="D42" s="10">
        <v>1</v>
      </c>
      <c r="E42" s="10">
        <v>4</v>
      </c>
      <c r="F42" s="10">
        <v>4</v>
      </c>
      <c r="L42" s="4">
        <v>40</v>
      </c>
      <c r="M42" s="4">
        <v>5</v>
      </c>
      <c r="N42" s="4">
        <v>0</v>
      </c>
      <c r="O42" s="1">
        <v>1</v>
      </c>
      <c r="P42" s="2">
        <v>1</v>
      </c>
      <c r="Q42" s="68">
        <v>13</v>
      </c>
    </row>
    <row r="43" spans="1:17" x14ac:dyDescent="0.25">
      <c r="A43" s="10">
        <v>421</v>
      </c>
      <c r="B43" s="10">
        <v>45</v>
      </c>
      <c r="C43" s="10">
        <v>9</v>
      </c>
      <c r="D43" s="10">
        <v>2</v>
      </c>
      <c r="E43" s="10">
        <v>6</v>
      </c>
      <c r="F43" s="10">
        <v>6</v>
      </c>
      <c r="L43" s="1">
        <v>41</v>
      </c>
      <c r="M43" s="4">
        <v>5</v>
      </c>
      <c r="N43" s="1">
        <v>0</v>
      </c>
      <c r="O43" s="4">
        <v>1</v>
      </c>
      <c r="P43" s="2">
        <v>1</v>
      </c>
      <c r="Q43" s="67">
        <v>11</v>
      </c>
    </row>
    <row r="44" spans="1:17" x14ac:dyDescent="0.25">
      <c r="A44" s="10">
        <v>436</v>
      </c>
      <c r="B44" s="10">
        <v>47</v>
      </c>
      <c r="C44" s="10">
        <v>9</v>
      </c>
      <c r="D44" s="10">
        <v>1</v>
      </c>
      <c r="E44" s="10">
        <v>40</v>
      </c>
      <c r="F44" s="10">
        <v>40</v>
      </c>
      <c r="L44" s="4">
        <v>42</v>
      </c>
      <c r="M44" s="4">
        <v>5</v>
      </c>
      <c r="N44" s="1">
        <v>0</v>
      </c>
      <c r="O44" s="1">
        <v>1</v>
      </c>
      <c r="P44" s="2">
        <v>1</v>
      </c>
      <c r="Q44" s="68">
        <v>5</v>
      </c>
    </row>
    <row r="45" spans="1:17" x14ac:dyDescent="0.25">
      <c r="A45" s="10">
        <v>436</v>
      </c>
      <c r="B45" s="10">
        <v>47</v>
      </c>
      <c r="C45" s="10">
        <v>9</v>
      </c>
      <c r="D45" s="10">
        <v>2</v>
      </c>
      <c r="E45" s="10">
        <v>5</v>
      </c>
      <c r="F45" s="10">
        <v>5</v>
      </c>
      <c r="L45" s="4">
        <v>43</v>
      </c>
      <c r="M45" s="4">
        <v>5</v>
      </c>
      <c r="N45" s="1">
        <v>0</v>
      </c>
      <c r="O45" s="1">
        <v>1</v>
      </c>
      <c r="P45" s="5">
        <v>1</v>
      </c>
      <c r="Q45" s="67">
        <v>13</v>
      </c>
    </row>
    <row r="46" spans="1:17" x14ac:dyDescent="0.25">
      <c r="A46" s="10">
        <v>421</v>
      </c>
      <c r="B46" s="10">
        <v>45</v>
      </c>
      <c r="C46" s="10">
        <v>9</v>
      </c>
      <c r="D46" s="10">
        <v>4</v>
      </c>
      <c r="E46" s="10">
        <v>2</v>
      </c>
      <c r="F46" s="10">
        <v>2</v>
      </c>
      <c r="L46" s="1">
        <v>44</v>
      </c>
      <c r="M46" s="4">
        <v>5</v>
      </c>
      <c r="N46" s="1">
        <v>0</v>
      </c>
      <c r="O46" s="1">
        <v>1</v>
      </c>
      <c r="P46" s="2">
        <v>1</v>
      </c>
      <c r="Q46" s="68">
        <v>11</v>
      </c>
    </row>
    <row r="47" spans="1:17" x14ac:dyDescent="0.25">
      <c r="A47" s="10">
        <v>436</v>
      </c>
      <c r="B47" s="10">
        <v>47</v>
      </c>
      <c r="C47" s="10">
        <v>9</v>
      </c>
      <c r="D47" s="10">
        <v>3</v>
      </c>
      <c r="E47" s="10">
        <v>5</v>
      </c>
      <c r="F47" s="10">
        <v>5</v>
      </c>
      <c r="L47" s="4">
        <v>45</v>
      </c>
      <c r="M47" s="4">
        <v>5</v>
      </c>
      <c r="N47" s="1">
        <v>0</v>
      </c>
      <c r="O47" s="1">
        <v>1</v>
      </c>
      <c r="P47" s="2">
        <v>1</v>
      </c>
      <c r="Q47" s="67">
        <v>8</v>
      </c>
    </row>
    <row r="48" spans="1:17" x14ac:dyDescent="0.25">
      <c r="A48" s="10">
        <v>337</v>
      </c>
      <c r="B48" s="10">
        <v>36</v>
      </c>
      <c r="C48" s="10">
        <v>9</v>
      </c>
      <c r="D48" s="10">
        <v>1</v>
      </c>
      <c r="E48" s="10">
        <v>1</v>
      </c>
      <c r="F48" s="10">
        <v>1</v>
      </c>
      <c r="L48" s="1">
        <v>46</v>
      </c>
      <c r="M48" s="4">
        <v>5</v>
      </c>
      <c r="N48" s="1">
        <v>0</v>
      </c>
      <c r="O48" s="1">
        <v>1</v>
      </c>
      <c r="P48" s="2">
        <v>1</v>
      </c>
      <c r="Q48" s="68">
        <v>14</v>
      </c>
    </row>
    <row r="49" spans="1:17" x14ac:dyDescent="0.25">
      <c r="A49" s="10">
        <v>337</v>
      </c>
      <c r="B49" s="10">
        <v>36</v>
      </c>
      <c r="C49" s="10">
        <v>9</v>
      </c>
      <c r="D49" s="10">
        <v>2</v>
      </c>
      <c r="E49" s="10">
        <v>2</v>
      </c>
      <c r="F49" s="10">
        <v>2</v>
      </c>
      <c r="L49" s="4">
        <v>47</v>
      </c>
      <c r="M49" s="4">
        <v>6</v>
      </c>
      <c r="N49" s="1">
        <v>0</v>
      </c>
      <c r="O49" s="4">
        <v>1</v>
      </c>
      <c r="P49" s="2">
        <v>1</v>
      </c>
      <c r="Q49" s="67">
        <v>3</v>
      </c>
    </row>
    <row r="50" spans="1:17" x14ac:dyDescent="0.25">
      <c r="A50" s="10">
        <v>53</v>
      </c>
      <c r="B50" s="10">
        <v>6</v>
      </c>
      <c r="C50" s="10">
        <v>9</v>
      </c>
      <c r="D50" s="10">
        <v>1</v>
      </c>
      <c r="E50" s="10">
        <v>2</v>
      </c>
      <c r="F50" s="10">
        <v>2</v>
      </c>
      <c r="L50" s="1">
        <v>48</v>
      </c>
      <c r="M50" s="4">
        <v>6</v>
      </c>
      <c r="N50" s="1">
        <v>0</v>
      </c>
      <c r="O50" s="1">
        <v>1</v>
      </c>
      <c r="P50" s="2">
        <v>1</v>
      </c>
      <c r="Q50" s="68">
        <v>14</v>
      </c>
    </row>
    <row r="51" spans="1:17" x14ac:dyDescent="0.25">
      <c r="A51" s="10">
        <v>53</v>
      </c>
      <c r="B51" s="10">
        <v>6</v>
      </c>
      <c r="C51" s="10">
        <v>9</v>
      </c>
      <c r="D51" s="10">
        <v>2</v>
      </c>
      <c r="E51" s="10">
        <v>10</v>
      </c>
      <c r="F51" s="10">
        <v>10</v>
      </c>
      <c r="L51" s="4">
        <v>49</v>
      </c>
      <c r="M51" s="4">
        <v>6</v>
      </c>
      <c r="N51" s="1">
        <v>0</v>
      </c>
      <c r="O51" s="4">
        <v>1</v>
      </c>
      <c r="P51" s="5">
        <v>1</v>
      </c>
      <c r="Q51" s="67">
        <v>7</v>
      </c>
    </row>
    <row r="52" spans="1:17" x14ac:dyDescent="0.25">
      <c r="A52" s="10">
        <v>53</v>
      </c>
      <c r="B52" s="10">
        <v>6</v>
      </c>
      <c r="C52" s="10">
        <v>9</v>
      </c>
      <c r="D52" s="10">
        <v>3</v>
      </c>
      <c r="E52" s="10">
        <v>6</v>
      </c>
      <c r="F52" s="10">
        <v>6</v>
      </c>
      <c r="L52" s="1">
        <v>50</v>
      </c>
      <c r="M52" s="4">
        <v>6</v>
      </c>
      <c r="N52" s="1">
        <v>0</v>
      </c>
      <c r="O52" s="1">
        <v>1</v>
      </c>
      <c r="P52" s="2">
        <v>1</v>
      </c>
      <c r="Q52" s="68">
        <v>19</v>
      </c>
    </row>
    <row r="53" spans="1:17" x14ac:dyDescent="0.25">
      <c r="A53" s="10">
        <v>53</v>
      </c>
      <c r="B53" s="10">
        <v>6</v>
      </c>
      <c r="C53" s="10">
        <v>9</v>
      </c>
      <c r="D53" s="10">
        <v>4</v>
      </c>
      <c r="E53" s="10">
        <v>1</v>
      </c>
      <c r="F53" s="10">
        <v>1</v>
      </c>
      <c r="L53" s="1">
        <v>51</v>
      </c>
      <c r="M53" s="4">
        <v>6</v>
      </c>
      <c r="N53" s="1">
        <v>0</v>
      </c>
      <c r="O53" s="1">
        <v>1</v>
      </c>
      <c r="P53" s="2">
        <v>1</v>
      </c>
      <c r="Q53" s="67">
        <v>11</v>
      </c>
    </row>
    <row r="54" spans="1:17" x14ac:dyDescent="0.25">
      <c r="A54" s="10">
        <v>417</v>
      </c>
      <c r="B54" s="10">
        <v>45</v>
      </c>
      <c r="C54" s="10">
        <v>9</v>
      </c>
      <c r="D54" s="10">
        <v>1</v>
      </c>
      <c r="E54" s="10">
        <v>16</v>
      </c>
      <c r="F54" s="10">
        <v>16</v>
      </c>
      <c r="L54" s="1">
        <v>52</v>
      </c>
      <c r="M54" s="4">
        <v>6</v>
      </c>
      <c r="N54" s="1">
        <v>0</v>
      </c>
      <c r="O54" s="1">
        <v>1</v>
      </c>
      <c r="P54" s="2">
        <v>1</v>
      </c>
      <c r="Q54" s="68">
        <v>5</v>
      </c>
    </row>
    <row r="55" spans="1:17" x14ac:dyDescent="0.25">
      <c r="A55" s="10">
        <v>417</v>
      </c>
      <c r="B55" s="10">
        <v>45</v>
      </c>
      <c r="C55" s="10">
        <v>9</v>
      </c>
      <c r="D55" s="10">
        <v>2</v>
      </c>
      <c r="E55" s="10">
        <v>7</v>
      </c>
      <c r="F55" s="10">
        <v>7</v>
      </c>
      <c r="L55" s="1">
        <v>53</v>
      </c>
      <c r="M55" s="4">
        <v>6</v>
      </c>
      <c r="N55" s="1">
        <v>0</v>
      </c>
      <c r="O55" s="1">
        <v>1</v>
      </c>
      <c r="P55" s="2">
        <v>1</v>
      </c>
      <c r="Q55" s="67">
        <v>8</v>
      </c>
    </row>
    <row r="56" spans="1:17" x14ac:dyDescent="0.25">
      <c r="A56" s="10">
        <v>417</v>
      </c>
      <c r="B56" s="10">
        <v>45</v>
      </c>
      <c r="C56" s="10">
        <v>9</v>
      </c>
      <c r="D56" s="10">
        <v>3</v>
      </c>
      <c r="E56" s="10">
        <v>2</v>
      </c>
      <c r="F56" s="10">
        <v>2</v>
      </c>
      <c r="L56" s="1">
        <v>54</v>
      </c>
      <c r="M56" s="4">
        <v>6</v>
      </c>
      <c r="N56" s="1">
        <v>0</v>
      </c>
      <c r="O56" s="1">
        <v>1</v>
      </c>
      <c r="P56" s="2">
        <v>1</v>
      </c>
      <c r="Q56" s="68">
        <v>12</v>
      </c>
    </row>
    <row r="57" spans="1:17" x14ac:dyDescent="0.25">
      <c r="A57" s="10">
        <v>417</v>
      </c>
      <c r="B57" s="10">
        <v>45</v>
      </c>
      <c r="C57" s="10">
        <v>9</v>
      </c>
      <c r="D57" s="10">
        <v>5</v>
      </c>
      <c r="E57" s="10">
        <v>1</v>
      </c>
      <c r="F57" s="10">
        <v>1</v>
      </c>
      <c r="L57" s="1">
        <v>55</v>
      </c>
      <c r="M57" s="4">
        <v>6</v>
      </c>
      <c r="N57" s="1">
        <v>0</v>
      </c>
      <c r="O57" s="1">
        <v>1</v>
      </c>
      <c r="P57" s="2">
        <v>1</v>
      </c>
      <c r="Q57" s="67">
        <v>9</v>
      </c>
    </row>
    <row r="58" spans="1:17" x14ac:dyDescent="0.25">
      <c r="A58" s="10">
        <v>33</v>
      </c>
      <c r="B58" s="10">
        <v>4</v>
      </c>
      <c r="C58" s="10">
        <v>9</v>
      </c>
      <c r="D58" s="10">
        <v>2</v>
      </c>
      <c r="E58" s="10">
        <v>13</v>
      </c>
      <c r="F58" s="10">
        <v>13</v>
      </c>
      <c r="L58" s="1">
        <v>56</v>
      </c>
      <c r="M58" s="4">
        <v>6</v>
      </c>
      <c r="N58" s="1">
        <v>0</v>
      </c>
      <c r="O58" s="1">
        <v>1</v>
      </c>
      <c r="P58" s="2">
        <v>1</v>
      </c>
      <c r="Q58" s="68">
        <v>5</v>
      </c>
    </row>
    <row r="59" spans="1:17" x14ac:dyDescent="0.25">
      <c r="A59" s="10">
        <v>12</v>
      </c>
      <c r="B59" s="10">
        <v>2</v>
      </c>
      <c r="C59" s="10">
        <v>9</v>
      </c>
      <c r="D59" s="10">
        <v>1</v>
      </c>
      <c r="E59" s="10">
        <v>14</v>
      </c>
      <c r="F59" s="10">
        <v>14</v>
      </c>
      <c r="L59" s="1">
        <v>57</v>
      </c>
      <c r="M59" s="4">
        <v>7</v>
      </c>
      <c r="N59" s="1">
        <v>0</v>
      </c>
      <c r="O59" s="1">
        <v>1</v>
      </c>
      <c r="P59" s="2">
        <v>1</v>
      </c>
      <c r="Q59" s="67">
        <v>10</v>
      </c>
    </row>
    <row r="60" spans="1:17" x14ac:dyDescent="0.25">
      <c r="A60" s="10">
        <v>37</v>
      </c>
      <c r="B60" s="10">
        <v>5</v>
      </c>
      <c r="C60" s="10">
        <v>9</v>
      </c>
      <c r="D60" s="10">
        <v>2</v>
      </c>
      <c r="E60" s="10">
        <v>5</v>
      </c>
      <c r="F60" s="10">
        <v>5</v>
      </c>
      <c r="L60" s="1">
        <v>58</v>
      </c>
      <c r="M60" s="4">
        <v>7</v>
      </c>
      <c r="N60" s="1">
        <v>0</v>
      </c>
      <c r="O60" s="1">
        <v>1</v>
      </c>
      <c r="P60" s="2">
        <v>1</v>
      </c>
      <c r="Q60" s="68">
        <v>10</v>
      </c>
    </row>
    <row r="61" spans="1:17" x14ac:dyDescent="0.25">
      <c r="A61" s="10">
        <v>29</v>
      </c>
      <c r="B61" s="10">
        <v>4</v>
      </c>
      <c r="C61" s="10">
        <v>9</v>
      </c>
      <c r="D61" s="10">
        <v>1</v>
      </c>
      <c r="E61" s="10">
        <v>28</v>
      </c>
      <c r="F61" s="10">
        <v>28</v>
      </c>
      <c r="L61" s="1">
        <v>59</v>
      </c>
      <c r="M61" s="4">
        <v>7</v>
      </c>
      <c r="N61" s="1">
        <v>0</v>
      </c>
      <c r="O61" s="1">
        <v>1</v>
      </c>
      <c r="P61" s="2">
        <v>1</v>
      </c>
      <c r="Q61" s="67">
        <v>5</v>
      </c>
    </row>
    <row r="62" spans="1:17" x14ac:dyDescent="0.25">
      <c r="A62" s="10">
        <v>29</v>
      </c>
      <c r="B62" s="10">
        <v>4</v>
      </c>
      <c r="C62" s="10">
        <v>9</v>
      </c>
      <c r="D62" s="10">
        <v>2</v>
      </c>
      <c r="E62" s="10">
        <v>22</v>
      </c>
      <c r="F62" s="10">
        <v>22</v>
      </c>
      <c r="L62" s="1">
        <v>60</v>
      </c>
      <c r="M62" s="4">
        <v>7</v>
      </c>
      <c r="N62" s="1">
        <v>0</v>
      </c>
      <c r="O62" s="1">
        <v>1</v>
      </c>
      <c r="P62" s="2">
        <v>1</v>
      </c>
      <c r="Q62" s="68">
        <v>4</v>
      </c>
    </row>
    <row r="63" spans="1:17" x14ac:dyDescent="0.25">
      <c r="A63" s="10">
        <v>435</v>
      </c>
      <c r="B63" s="10">
        <v>47</v>
      </c>
      <c r="C63" s="10">
        <v>9</v>
      </c>
      <c r="D63" s="10">
        <v>1</v>
      </c>
      <c r="E63" s="10">
        <v>20</v>
      </c>
      <c r="F63" s="10">
        <v>20</v>
      </c>
      <c r="L63" s="4">
        <v>61</v>
      </c>
      <c r="M63" s="4">
        <v>7</v>
      </c>
      <c r="N63" s="1">
        <v>0</v>
      </c>
      <c r="O63" s="1">
        <v>1</v>
      </c>
      <c r="P63" s="2">
        <v>1</v>
      </c>
      <c r="Q63" s="67">
        <v>1</v>
      </c>
    </row>
    <row r="64" spans="1:17" x14ac:dyDescent="0.25">
      <c r="A64" s="10">
        <v>435</v>
      </c>
      <c r="B64" s="10">
        <v>47</v>
      </c>
      <c r="C64" s="10">
        <v>9</v>
      </c>
      <c r="D64" s="10">
        <v>2</v>
      </c>
      <c r="E64" s="10">
        <v>12</v>
      </c>
      <c r="F64" s="10">
        <v>12</v>
      </c>
      <c r="L64" s="1">
        <v>62</v>
      </c>
      <c r="M64" s="4">
        <v>7</v>
      </c>
      <c r="N64" s="1">
        <v>0</v>
      </c>
      <c r="O64" s="1">
        <v>1</v>
      </c>
      <c r="P64" s="2">
        <v>1</v>
      </c>
      <c r="Q64" s="68">
        <v>3</v>
      </c>
    </row>
    <row r="65" spans="1:17" x14ac:dyDescent="0.25">
      <c r="A65" s="10">
        <v>411</v>
      </c>
      <c r="B65" s="10">
        <v>44</v>
      </c>
      <c r="C65" s="10">
        <v>9</v>
      </c>
      <c r="D65" s="10">
        <v>2</v>
      </c>
      <c r="E65" s="10">
        <v>3</v>
      </c>
      <c r="F65" s="10">
        <v>3</v>
      </c>
      <c r="L65" s="4">
        <v>63</v>
      </c>
      <c r="M65" s="4">
        <v>7</v>
      </c>
      <c r="N65" s="1">
        <v>0</v>
      </c>
      <c r="O65" s="1">
        <v>1</v>
      </c>
      <c r="P65" s="2">
        <v>1</v>
      </c>
      <c r="Q65" s="67">
        <v>5</v>
      </c>
    </row>
    <row r="66" spans="1:17" x14ac:dyDescent="0.25">
      <c r="A66" s="10">
        <v>17</v>
      </c>
      <c r="B66" s="10">
        <v>2</v>
      </c>
      <c r="C66" s="10">
        <v>9</v>
      </c>
      <c r="D66" s="10">
        <v>1</v>
      </c>
      <c r="E66" s="10">
        <v>21</v>
      </c>
      <c r="F66" s="10">
        <v>21</v>
      </c>
      <c r="L66" s="1">
        <v>64</v>
      </c>
      <c r="M66" s="4">
        <v>7</v>
      </c>
      <c r="N66" s="1">
        <v>0</v>
      </c>
      <c r="O66" s="1">
        <v>1</v>
      </c>
      <c r="P66" s="2">
        <v>1</v>
      </c>
      <c r="Q66" s="68">
        <v>3</v>
      </c>
    </row>
    <row r="67" spans="1:17" x14ac:dyDescent="0.25">
      <c r="A67" s="10">
        <v>6</v>
      </c>
      <c r="B67" s="10">
        <v>1</v>
      </c>
      <c r="C67" s="10">
        <v>9</v>
      </c>
      <c r="D67" s="10">
        <v>1</v>
      </c>
      <c r="E67" s="10">
        <v>3</v>
      </c>
      <c r="F67" s="10">
        <v>3</v>
      </c>
      <c r="L67" s="4">
        <v>65</v>
      </c>
      <c r="M67" s="4">
        <v>7</v>
      </c>
      <c r="N67" s="1">
        <v>0</v>
      </c>
      <c r="O67" s="4">
        <v>1</v>
      </c>
      <c r="P67" s="5">
        <v>1</v>
      </c>
      <c r="Q67" s="67">
        <v>6</v>
      </c>
    </row>
    <row r="68" spans="1:17" x14ac:dyDescent="0.25">
      <c r="A68" s="10">
        <v>6</v>
      </c>
      <c r="B68" s="10">
        <v>1</v>
      </c>
      <c r="C68" s="10">
        <v>9</v>
      </c>
      <c r="D68" s="10">
        <v>2</v>
      </c>
      <c r="E68" s="10">
        <v>1</v>
      </c>
      <c r="F68" s="10">
        <v>1</v>
      </c>
      <c r="L68" s="1">
        <v>66</v>
      </c>
      <c r="M68" s="4">
        <v>7</v>
      </c>
      <c r="N68" s="1">
        <v>0</v>
      </c>
      <c r="O68" s="1">
        <v>1</v>
      </c>
      <c r="P68" s="2">
        <v>1</v>
      </c>
      <c r="Q68" s="68">
        <v>5</v>
      </c>
    </row>
    <row r="69" spans="1:17" x14ac:dyDescent="0.25">
      <c r="A69" s="10">
        <v>433</v>
      </c>
      <c r="B69" s="10">
        <v>47</v>
      </c>
      <c r="C69" s="10">
        <v>9</v>
      </c>
      <c r="D69" s="10">
        <v>1</v>
      </c>
      <c r="E69" s="10">
        <v>12</v>
      </c>
      <c r="F69" s="10">
        <v>12</v>
      </c>
      <c r="L69" s="4">
        <v>67</v>
      </c>
      <c r="M69" s="4">
        <v>8</v>
      </c>
      <c r="N69" s="1">
        <v>0</v>
      </c>
      <c r="O69" s="1">
        <v>1</v>
      </c>
      <c r="P69" s="2">
        <v>1</v>
      </c>
      <c r="Q69" s="67">
        <v>9</v>
      </c>
    </row>
    <row r="70" spans="1:17" x14ac:dyDescent="0.25">
      <c r="A70" s="10">
        <v>433</v>
      </c>
      <c r="B70" s="10">
        <v>47</v>
      </c>
      <c r="C70" s="10">
        <v>9</v>
      </c>
      <c r="D70" s="10">
        <v>2</v>
      </c>
      <c r="E70" s="10">
        <v>9</v>
      </c>
      <c r="F70" s="10">
        <v>9</v>
      </c>
      <c r="L70" s="1">
        <v>68</v>
      </c>
      <c r="M70" s="4">
        <v>8</v>
      </c>
      <c r="N70" s="1">
        <v>0</v>
      </c>
      <c r="O70" s="1">
        <v>1</v>
      </c>
      <c r="P70" s="2">
        <v>1</v>
      </c>
      <c r="Q70" s="68">
        <v>1</v>
      </c>
    </row>
    <row r="71" spans="1:17" x14ac:dyDescent="0.25">
      <c r="A71" s="10">
        <v>4</v>
      </c>
      <c r="B71" s="10">
        <v>1</v>
      </c>
      <c r="C71" s="10">
        <v>9</v>
      </c>
      <c r="D71" s="10">
        <v>2</v>
      </c>
      <c r="E71" s="10">
        <v>9</v>
      </c>
      <c r="F71" s="10">
        <v>9</v>
      </c>
      <c r="L71" s="4">
        <v>69</v>
      </c>
      <c r="M71" s="4">
        <v>8</v>
      </c>
      <c r="N71" s="1">
        <v>0</v>
      </c>
      <c r="O71" s="1">
        <v>1</v>
      </c>
      <c r="P71" s="2">
        <v>1</v>
      </c>
      <c r="Q71" s="67">
        <v>4</v>
      </c>
    </row>
    <row r="72" spans="1:17" x14ac:dyDescent="0.25">
      <c r="A72" s="10">
        <v>34</v>
      </c>
      <c r="B72" s="10">
        <v>4</v>
      </c>
      <c r="C72" s="10">
        <v>9</v>
      </c>
      <c r="D72" s="10">
        <v>1</v>
      </c>
      <c r="E72" s="10">
        <v>7</v>
      </c>
      <c r="F72" s="10">
        <v>7</v>
      </c>
      <c r="L72" s="1">
        <v>70</v>
      </c>
      <c r="M72" s="4">
        <v>8</v>
      </c>
      <c r="N72" s="1">
        <v>0</v>
      </c>
      <c r="O72" s="1">
        <v>1</v>
      </c>
      <c r="P72" s="2">
        <v>1</v>
      </c>
      <c r="Q72" s="68">
        <v>1</v>
      </c>
    </row>
    <row r="73" spans="1:17" x14ac:dyDescent="0.25">
      <c r="A73" s="10">
        <v>333</v>
      </c>
      <c r="B73" s="10">
        <v>36</v>
      </c>
      <c r="C73" s="10">
        <v>9</v>
      </c>
      <c r="D73" s="10">
        <v>1</v>
      </c>
      <c r="E73" s="10">
        <v>3</v>
      </c>
      <c r="F73" s="10">
        <v>3</v>
      </c>
      <c r="L73" s="4">
        <v>71</v>
      </c>
      <c r="M73" s="4">
        <v>8</v>
      </c>
      <c r="N73" s="4">
        <v>0</v>
      </c>
      <c r="O73" s="4">
        <v>1</v>
      </c>
      <c r="P73" s="5">
        <v>1</v>
      </c>
      <c r="Q73" s="67">
        <v>2</v>
      </c>
    </row>
    <row r="74" spans="1:17" x14ac:dyDescent="0.25">
      <c r="A74" s="10">
        <v>333</v>
      </c>
      <c r="B74" s="10">
        <v>36</v>
      </c>
      <c r="C74" s="10">
        <v>9</v>
      </c>
      <c r="D74" s="10">
        <v>2</v>
      </c>
      <c r="E74" s="10">
        <v>14</v>
      </c>
      <c r="F74" s="10">
        <v>14</v>
      </c>
      <c r="L74" s="1">
        <v>72</v>
      </c>
      <c r="M74" s="4">
        <v>8</v>
      </c>
      <c r="N74" s="1">
        <v>0</v>
      </c>
      <c r="O74" s="1">
        <v>1</v>
      </c>
      <c r="P74" s="2">
        <v>1</v>
      </c>
      <c r="Q74" s="68">
        <v>2</v>
      </c>
    </row>
    <row r="75" spans="1:17" x14ac:dyDescent="0.25">
      <c r="A75" s="10">
        <v>34</v>
      </c>
      <c r="B75" s="10">
        <v>4</v>
      </c>
      <c r="C75" s="10">
        <v>9</v>
      </c>
      <c r="D75" s="10">
        <v>3</v>
      </c>
      <c r="E75" s="10">
        <v>4</v>
      </c>
      <c r="F75" s="10">
        <v>4</v>
      </c>
      <c r="L75" s="1">
        <v>73</v>
      </c>
      <c r="M75" s="4">
        <v>8</v>
      </c>
      <c r="N75" s="1">
        <v>0</v>
      </c>
      <c r="O75" s="1">
        <v>1</v>
      </c>
      <c r="P75" s="2">
        <v>1</v>
      </c>
      <c r="Q75" s="67">
        <v>11</v>
      </c>
    </row>
    <row r="76" spans="1:17" x14ac:dyDescent="0.25">
      <c r="A76" s="10">
        <v>437</v>
      </c>
      <c r="B76" s="10">
        <v>47</v>
      </c>
      <c r="C76" s="10">
        <v>9</v>
      </c>
      <c r="D76" s="10">
        <v>1</v>
      </c>
      <c r="E76" s="10">
        <v>19</v>
      </c>
      <c r="F76" s="10">
        <v>19</v>
      </c>
      <c r="L76" s="1">
        <v>74</v>
      </c>
      <c r="M76" s="4">
        <v>8</v>
      </c>
      <c r="N76" s="1">
        <v>0</v>
      </c>
      <c r="O76" s="1">
        <v>1</v>
      </c>
      <c r="P76" s="2">
        <v>1</v>
      </c>
      <c r="Q76" s="68">
        <v>5</v>
      </c>
    </row>
    <row r="77" spans="1:17" x14ac:dyDescent="0.25">
      <c r="A77" s="10">
        <v>437</v>
      </c>
      <c r="B77" s="10">
        <v>47</v>
      </c>
      <c r="C77" s="10">
        <v>9</v>
      </c>
      <c r="D77" s="10">
        <v>2</v>
      </c>
      <c r="E77" s="10">
        <v>15</v>
      </c>
      <c r="F77" s="10">
        <v>15</v>
      </c>
      <c r="L77" s="1">
        <v>75</v>
      </c>
      <c r="M77" s="4">
        <v>8</v>
      </c>
      <c r="N77" s="1">
        <v>0</v>
      </c>
      <c r="O77" s="1">
        <v>1</v>
      </c>
      <c r="P77" s="2">
        <v>1</v>
      </c>
      <c r="Q77" s="67">
        <v>5</v>
      </c>
    </row>
    <row r="78" spans="1:17" x14ac:dyDescent="0.25">
      <c r="A78" s="10">
        <v>117</v>
      </c>
      <c r="B78" s="10">
        <v>13</v>
      </c>
      <c r="C78" s="10">
        <v>9</v>
      </c>
      <c r="D78" s="10">
        <v>1</v>
      </c>
      <c r="E78" s="10">
        <v>2</v>
      </c>
      <c r="F78" s="10">
        <v>2</v>
      </c>
      <c r="L78" s="1">
        <v>76</v>
      </c>
      <c r="M78" s="4">
        <v>8</v>
      </c>
      <c r="N78" s="1">
        <v>0</v>
      </c>
      <c r="O78" s="1">
        <v>1</v>
      </c>
      <c r="P78" s="2">
        <v>1</v>
      </c>
      <c r="Q78" s="68">
        <v>3</v>
      </c>
    </row>
    <row r="79" spans="1:17" x14ac:dyDescent="0.25">
      <c r="A79" s="10">
        <v>117</v>
      </c>
      <c r="B79" s="10">
        <v>13</v>
      </c>
      <c r="C79" s="10">
        <v>9</v>
      </c>
      <c r="D79" s="10">
        <v>2</v>
      </c>
      <c r="E79" s="10">
        <v>1</v>
      </c>
      <c r="F79" s="10">
        <v>1</v>
      </c>
      <c r="L79" s="4">
        <v>77</v>
      </c>
      <c r="M79" s="4">
        <v>9</v>
      </c>
      <c r="N79" s="4">
        <v>0</v>
      </c>
      <c r="O79" s="4">
        <v>1</v>
      </c>
      <c r="P79" s="5">
        <v>1</v>
      </c>
      <c r="Q79" s="67">
        <v>7</v>
      </c>
    </row>
    <row r="80" spans="1:17" x14ac:dyDescent="0.25">
      <c r="A80" s="10">
        <v>199</v>
      </c>
      <c r="B80" s="10">
        <v>22</v>
      </c>
      <c r="C80" s="10">
        <v>9</v>
      </c>
      <c r="D80" s="10">
        <v>1</v>
      </c>
      <c r="E80" s="10">
        <v>2</v>
      </c>
      <c r="F80" s="10">
        <v>2</v>
      </c>
      <c r="L80" s="1">
        <v>78</v>
      </c>
      <c r="M80" s="4">
        <v>9</v>
      </c>
      <c r="N80" s="1">
        <v>0</v>
      </c>
      <c r="O80" s="1">
        <v>1</v>
      </c>
      <c r="P80" s="2">
        <v>1</v>
      </c>
      <c r="Q80" s="68">
        <v>6</v>
      </c>
    </row>
    <row r="81" spans="1:17" x14ac:dyDescent="0.25">
      <c r="A81" s="10">
        <v>199</v>
      </c>
      <c r="B81" s="10">
        <v>22</v>
      </c>
      <c r="C81" s="10">
        <v>9</v>
      </c>
      <c r="D81" s="10">
        <v>2</v>
      </c>
      <c r="E81" s="10">
        <v>2</v>
      </c>
      <c r="F81" s="10">
        <v>2</v>
      </c>
      <c r="L81" s="1">
        <v>79</v>
      </c>
      <c r="M81" s="4">
        <v>9</v>
      </c>
      <c r="N81" s="1">
        <v>0</v>
      </c>
      <c r="O81" s="1">
        <v>1</v>
      </c>
      <c r="P81" s="2">
        <v>1</v>
      </c>
      <c r="Q81" s="67">
        <v>12</v>
      </c>
    </row>
    <row r="82" spans="1:17" x14ac:dyDescent="0.25">
      <c r="A82" s="10">
        <v>311</v>
      </c>
      <c r="B82" s="10">
        <v>34</v>
      </c>
      <c r="C82" s="10">
        <v>9</v>
      </c>
      <c r="D82" s="10">
        <v>1</v>
      </c>
      <c r="E82" s="10">
        <v>3</v>
      </c>
      <c r="F82" s="10">
        <v>3</v>
      </c>
      <c r="L82" s="1">
        <v>80</v>
      </c>
      <c r="M82" s="4">
        <v>9</v>
      </c>
      <c r="N82" s="1">
        <v>0</v>
      </c>
      <c r="O82" s="1">
        <v>1</v>
      </c>
      <c r="P82" s="2">
        <v>1</v>
      </c>
      <c r="Q82" s="68">
        <v>0</v>
      </c>
    </row>
    <row r="83" spans="1:17" x14ac:dyDescent="0.25">
      <c r="A83" s="10">
        <v>389</v>
      </c>
      <c r="B83" s="10">
        <v>42</v>
      </c>
      <c r="C83" s="10">
        <v>9</v>
      </c>
      <c r="D83" s="10">
        <v>1</v>
      </c>
      <c r="E83" s="10">
        <v>3</v>
      </c>
      <c r="F83" s="10">
        <v>3</v>
      </c>
      <c r="L83" s="1">
        <v>81</v>
      </c>
      <c r="M83" s="4">
        <v>9</v>
      </c>
      <c r="N83" s="1">
        <v>0</v>
      </c>
      <c r="O83" s="1">
        <v>1</v>
      </c>
      <c r="P83" s="2">
        <v>1</v>
      </c>
      <c r="Q83" s="67">
        <v>4</v>
      </c>
    </row>
    <row r="84" spans="1:17" x14ac:dyDescent="0.25">
      <c r="A84" s="10">
        <v>389</v>
      </c>
      <c r="B84" s="10">
        <v>42</v>
      </c>
      <c r="C84" s="10">
        <v>9</v>
      </c>
      <c r="D84" s="10">
        <v>5</v>
      </c>
      <c r="E84" s="10">
        <v>2</v>
      </c>
      <c r="F84" s="10">
        <v>2</v>
      </c>
      <c r="L84" s="1">
        <v>82</v>
      </c>
      <c r="M84" s="4">
        <v>9</v>
      </c>
      <c r="N84" s="1">
        <v>0</v>
      </c>
      <c r="O84" s="1">
        <v>1</v>
      </c>
      <c r="P84" s="2">
        <v>1</v>
      </c>
      <c r="Q84" s="68">
        <v>5</v>
      </c>
    </row>
    <row r="85" spans="1:17" x14ac:dyDescent="0.25">
      <c r="A85" s="10">
        <v>120</v>
      </c>
      <c r="B85" s="10">
        <v>13</v>
      </c>
      <c r="C85" s="10">
        <v>8</v>
      </c>
      <c r="D85" s="10">
        <v>1</v>
      </c>
      <c r="E85" s="10">
        <v>22</v>
      </c>
      <c r="F85" s="10">
        <v>22</v>
      </c>
      <c r="L85" s="1">
        <v>83</v>
      </c>
      <c r="M85" s="4">
        <v>9</v>
      </c>
      <c r="N85" s="1">
        <v>0</v>
      </c>
      <c r="O85" s="1">
        <v>1</v>
      </c>
      <c r="P85" s="2">
        <v>1</v>
      </c>
      <c r="Q85" s="67">
        <v>6</v>
      </c>
    </row>
    <row r="86" spans="1:17" x14ac:dyDescent="0.25">
      <c r="A86" s="10">
        <v>120</v>
      </c>
      <c r="B86" s="10">
        <v>13</v>
      </c>
      <c r="C86" s="10">
        <v>8</v>
      </c>
      <c r="D86" s="10">
        <v>2</v>
      </c>
      <c r="E86" s="10">
        <v>4</v>
      </c>
      <c r="F86" s="10">
        <v>4</v>
      </c>
      <c r="L86" s="1">
        <v>84</v>
      </c>
      <c r="M86" s="4">
        <v>9</v>
      </c>
      <c r="N86" s="1">
        <v>0</v>
      </c>
      <c r="O86" s="1">
        <v>1</v>
      </c>
      <c r="P86" s="2">
        <v>1</v>
      </c>
      <c r="Q86" s="68">
        <v>7</v>
      </c>
    </row>
    <row r="87" spans="1:17" x14ac:dyDescent="0.25">
      <c r="A87" s="10">
        <v>389</v>
      </c>
      <c r="B87" s="10">
        <v>42</v>
      </c>
      <c r="C87" s="10">
        <v>9</v>
      </c>
      <c r="D87" s="10">
        <v>2</v>
      </c>
      <c r="E87" s="10">
        <v>5</v>
      </c>
      <c r="F87" s="10">
        <v>5</v>
      </c>
      <c r="L87" s="1">
        <v>85</v>
      </c>
      <c r="M87" s="4">
        <v>9</v>
      </c>
      <c r="N87" s="1">
        <v>0</v>
      </c>
      <c r="O87" s="1">
        <v>1</v>
      </c>
      <c r="P87" s="2">
        <v>1</v>
      </c>
      <c r="Q87" s="67">
        <v>8</v>
      </c>
    </row>
    <row r="88" spans="1:17" x14ac:dyDescent="0.25">
      <c r="A88" s="10">
        <v>120</v>
      </c>
      <c r="B88" s="10">
        <v>13</v>
      </c>
      <c r="C88" s="10">
        <v>8</v>
      </c>
      <c r="D88" s="10">
        <v>3</v>
      </c>
      <c r="E88" s="10">
        <v>12</v>
      </c>
      <c r="F88" s="10">
        <v>12</v>
      </c>
      <c r="L88" s="1">
        <v>86</v>
      </c>
      <c r="M88" s="4">
        <v>9</v>
      </c>
      <c r="N88" s="1">
        <v>0</v>
      </c>
      <c r="O88" s="1">
        <v>1</v>
      </c>
      <c r="P88" s="2">
        <v>1</v>
      </c>
      <c r="Q88" s="68">
        <v>8</v>
      </c>
    </row>
    <row r="89" spans="1:17" x14ac:dyDescent="0.25">
      <c r="A89" s="10">
        <v>55</v>
      </c>
      <c r="B89" s="10">
        <v>6</v>
      </c>
      <c r="C89" s="10">
        <v>9</v>
      </c>
      <c r="D89" s="10">
        <v>2</v>
      </c>
      <c r="E89" s="10">
        <v>6</v>
      </c>
      <c r="F89" s="10">
        <v>6</v>
      </c>
      <c r="L89" s="1">
        <v>87</v>
      </c>
      <c r="M89" s="1">
        <v>10</v>
      </c>
      <c r="N89" s="1">
        <v>0</v>
      </c>
      <c r="O89" s="1">
        <v>1</v>
      </c>
      <c r="P89" s="2">
        <v>1</v>
      </c>
      <c r="Q89" s="67">
        <v>10</v>
      </c>
    </row>
    <row r="90" spans="1:17" x14ac:dyDescent="0.25">
      <c r="A90" s="10">
        <v>55</v>
      </c>
      <c r="B90" s="10">
        <v>6</v>
      </c>
      <c r="C90" s="10">
        <v>9</v>
      </c>
      <c r="D90" s="10">
        <v>3</v>
      </c>
      <c r="E90" s="10">
        <v>3</v>
      </c>
      <c r="F90" s="10">
        <v>3</v>
      </c>
      <c r="L90" s="1">
        <v>88</v>
      </c>
      <c r="M90" s="1">
        <v>10</v>
      </c>
      <c r="N90" s="1">
        <v>0</v>
      </c>
      <c r="O90" s="1">
        <v>1</v>
      </c>
      <c r="P90" s="2">
        <v>1</v>
      </c>
      <c r="Q90" s="68">
        <v>4</v>
      </c>
    </row>
    <row r="91" spans="1:17" x14ac:dyDescent="0.25">
      <c r="A91" s="10">
        <v>277</v>
      </c>
      <c r="B91" s="10">
        <v>30</v>
      </c>
      <c r="C91" s="10">
        <v>9</v>
      </c>
      <c r="D91" s="10">
        <v>1</v>
      </c>
      <c r="E91" s="10">
        <v>3</v>
      </c>
      <c r="F91" s="10">
        <v>3</v>
      </c>
      <c r="L91" s="1">
        <v>89</v>
      </c>
      <c r="M91" s="1">
        <v>10</v>
      </c>
      <c r="N91" s="1">
        <v>0</v>
      </c>
      <c r="O91" s="1">
        <v>1</v>
      </c>
      <c r="P91" s="2">
        <v>1</v>
      </c>
      <c r="Q91" s="67">
        <v>3</v>
      </c>
    </row>
    <row r="92" spans="1:17" x14ac:dyDescent="0.25">
      <c r="A92" s="10">
        <v>277</v>
      </c>
      <c r="B92" s="10">
        <v>30</v>
      </c>
      <c r="C92" s="10">
        <v>9</v>
      </c>
      <c r="D92" s="10">
        <v>2</v>
      </c>
      <c r="E92" s="10">
        <v>1</v>
      </c>
      <c r="F92" s="10">
        <v>1</v>
      </c>
      <c r="L92" s="1">
        <v>90</v>
      </c>
      <c r="M92" s="1">
        <v>10</v>
      </c>
      <c r="N92" s="1">
        <v>0</v>
      </c>
      <c r="O92" s="1">
        <v>1</v>
      </c>
      <c r="P92" s="2">
        <v>1</v>
      </c>
      <c r="Q92" s="68">
        <v>13</v>
      </c>
    </row>
    <row r="93" spans="1:17" x14ac:dyDescent="0.25">
      <c r="A93" s="10">
        <v>115</v>
      </c>
      <c r="B93" s="10">
        <v>13</v>
      </c>
      <c r="C93" s="10">
        <v>9</v>
      </c>
      <c r="D93" s="10">
        <v>1</v>
      </c>
      <c r="E93" s="10">
        <v>2</v>
      </c>
      <c r="F93" s="10">
        <v>2</v>
      </c>
      <c r="L93" s="1">
        <v>91</v>
      </c>
      <c r="M93" s="1">
        <v>10</v>
      </c>
      <c r="N93" s="1">
        <v>0</v>
      </c>
      <c r="O93" s="1">
        <v>1</v>
      </c>
      <c r="P93" s="2">
        <v>1</v>
      </c>
      <c r="Q93" s="67">
        <v>8</v>
      </c>
    </row>
    <row r="94" spans="1:17" x14ac:dyDescent="0.25">
      <c r="A94" s="10">
        <v>115</v>
      </c>
      <c r="B94" s="10">
        <v>13</v>
      </c>
      <c r="C94" s="10">
        <v>9</v>
      </c>
      <c r="D94" s="10">
        <v>2</v>
      </c>
      <c r="E94" s="10">
        <v>2</v>
      </c>
      <c r="F94" s="10">
        <v>2</v>
      </c>
      <c r="L94" s="1">
        <v>92</v>
      </c>
      <c r="M94" s="1">
        <v>10</v>
      </c>
      <c r="N94" s="1">
        <v>0</v>
      </c>
      <c r="O94" s="1">
        <v>1</v>
      </c>
      <c r="P94" s="2">
        <v>1</v>
      </c>
      <c r="Q94" s="68">
        <v>14</v>
      </c>
    </row>
    <row r="95" spans="1:17" x14ac:dyDescent="0.25">
      <c r="A95" s="10">
        <v>311</v>
      </c>
      <c r="B95" s="10">
        <v>34</v>
      </c>
      <c r="C95" s="10">
        <v>8</v>
      </c>
      <c r="D95" s="10">
        <v>1</v>
      </c>
      <c r="E95" s="10">
        <v>4</v>
      </c>
      <c r="F95" s="10">
        <v>4</v>
      </c>
      <c r="L95" s="1">
        <v>93</v>
      </c>
      <c r="M95" s="1">
        <v>10</v>
      </c>
      <c r="N95" s="1">
        <v>0</v>
      </c>
      <c r="O95" s="1">
        <v>1</v>
      </c>
      <c r="P95" s="2">
        <v>1</v>
      </c>
      <c r="Q95" s="67">
        <v>16</v>
      </c>
    </row>
    <row r="96" spans="1:17" x14ac:dyDescent="0.25">
      <c r="A96" s="10">
        <v>311</v>
      </c>
      <c r="B96" s="10">
        <v>34</v>
      </c>
      <c r="C96" s="10">
        <v>8</v>
      </c>
      <c r="D96" s="10">
        <v>2</v>
      </c>
      <c r="E96" s="10">
        <v>4</v>
      </c>
      <c r="F96" s="10">
        <v>4</v>
      </c>
      <c r="L96" s="1">
        <v>94</v>
      </c>
      <c r="M96" s="1">
        <v>10</v>
      </c>
      <c r="N96" s="1">
        <v>0</v>
      </c>
      <c r="O96" s="1">
        <v>1</v>
      </c>
      <c r="P96" s="2">
        <v>1</v>
      </c>
      <c r="Q96" s="68">
        <v>17</v>
      </c>
    </row>
    <row r="97" spans="1:17" x14ac:dyDescent="0.25">
      <c r="A97" s="10">
        <v>252</v>
      </c>
      <c r="B97" s="10">
        <v>27</v>
      </c>
      <c r="C97" s="10">
        <v>9</v>
      </c>
      <c r="D97" s="10">
        <v>1</v>
      </c>
      <c r="E97" s="10">
        <v>28</v>
      </c>
      <c r="F97" s="10">
        <v>28</v>
      </c>
      <c r="L97" s="1">
        <v>95</v>
      </c>
      <c r="M97" s="1">
        <v>10</v>
      </c>
      <c r="N97" s="1">
        <v>0</v>
      </c>
      <c r="O97" s="1">
        <v>1</v>
      </c>
      <c r="P97" s="2">
        <v>1</v>
      </c>
      <c r="Q97" s="67">
        <v>12</v>
      </c>
    </row>
    <row r="98" spans="1:17" x14ac:dyDescent="0.25">
      <c r="A98" s="10">
        <v>252</v>
      </c>
      <c r="B98" s="10">
        <v>27</v>
      </c>
      <c r="C98" s="10">
        <v>9</v>
      </c>
      <c r="D98" s="10">
        <v>2</v>
      </c>
      <c r="E98" s="10">
        <v>25</v>
      </c>
      <c r="F98" s="10">
        <v>25</v>
      </c>
      <c r="L98" s="1">
        <v>96</v>
      </c>
      <c r="M98" s="1">
        <v>10</v>
      </c>
      <c r="N98" s="1">
        <v>0</v>
      </c>
      <c r="O98" s="1">
        <v>1</v>
      </c>
      <c r="P98" s="2">
        <v>1</v>
      </c>
      <c r="Q98" s="68">
        <v>13</v>
      </c>
    </row>
    <row r="99" spans="1:17" x14ac:dyDescent="0.25">
      <c r="A99" s="10">
        <v>252</v>
      </c>
      <c r="B99" s="10">
        <v>27</v>
      </c>
      <c r="C99" s="10">
        <v>9</v>
      </c>
      <c r="D99" s="10">
        <v>4</v>
      </c>
      <c r="E99" s="10">
        <v>1</v>
      </c>
      <c r="F99" s="10">
        <v>1</v>
      </c>
      <c r="L99" s="1">
        <v>97</v>
      </c>
      <c r="M99" s="1">
        <v>11</v>
      </c>
      <c r="N99" s="1">
        <v>0</v>
      </c>
      <c r="O99" s="1">
        <v>1</v>
      </c>
      <c r="P99" s="2">
        <v>1</v>
      </c>
      <c r="Q99" s="67">
        <v>5</v>
      </c>
    </row>
    <row r="100" spans="1:17" x14ac:dyDescent="0.25">
      <c r="A100" s="10">
        <v>39</v>
      </c>
      <c r="B100" s="10">
        <v>5</v>
      </c>
      <c r="C100" s="10">
        <v>9</v>
      </c>
      <c r="D100" s="10">
        <v>1</v>
      </c>
      <c r="E100" s="10">
        <v>16</v>
      </c>
      <c r="F100" s="10">
        <v>16</v>
      </c>
      <c r="L100" s="1">
        <v>98</v>
      </c>
      <c r="M100" s="1">
        <v>11</v>
      </c>
      <c r="N100" s="1">
        <v>0</v>
      </c>
      <c r="O100" s="1">
        <v>1</v>
      </c>
      <c r="P100" s="2">
        <v>1</v>
      </c>
      <c r="Q100" s="68">
        <v>6</v>
      </c>
    </row>
    <row r="101" spans="1:17" x14ac:dyDescent="0.25">
      <c r="A101" s="10">
        <v>39</v>
      </c>
      <c r="B101" s="10">
        <v>5</v>
      </c>
      <c r="C101" s="10">
        <v>9</v>
      </c>
      <c r="D101" s="10">
        <v>2</v>
      </c>
      <c r="E101" s="10">
        <v>10</v>
      </c>
      <c r="F101" s="10">
        <v>10</v>
      </c>
      <c r="L101" s="1">
        <v>99</v>
      </c>
      <c r="M101" s="1">
        <v>11</v>
      </c>
      <c r="N101" s="1">
        <v>0</v>
      </c>
      <c r="O101" s="1">
        <v>1</v>
      </c>
      <c r="P101" s="2">
        <v>1</v>
      </c>
      <c r="Q101" s="67">
        <v>6</v>
      </c>
    </row>
    <row r="102" spans="1:17" x14ac:dyDescent="0.25">
      <c r="A102" s="10">
        <v>439</v>
      </c>
      <c r="B102" s="10">
        <v>47</v>
      </c>
      <c r="C102" s="10">
        <v>9</v>
      </c>
      <c r="D102" s="10">
        <v>2</v>
      </c>
      <c r="E102" s="10">
        <v>6</v>
      </c>
      <c r="F102" s="10">
        <v>6</v>
      </c>
      <c r="L102" s="1">
        <v>100</v>
      </c>
      <c r="M102" s="1">
        <v>11</v>
      </c>
      <c r="N102" s="1">
        <v>0</v>
      </c>
      <c r="O102" s="1">
        <v>1</v>
      </c>
      <c r="P102" s="2">
        <v>1</v>
      </c>
      <c r="Q102" s="68">
        <v>4</v>
      </c>
    </row>
    <row r="103" spans="1:17" x14ac:dyDescent="0.25">
      <c r="A103" s="10">
        <v>30</v>
      </c>
      <c r="B103" s="10">
        <v>4</v>
      </c>
      <c r="C103" s="10">
        <v>9</v>
      </c>
      <c r="D103" s="10">
        <v>1</v>
      </c>
      <c r="E103" s="10">
        <v>8</v>
      </c>
      <c r="F103" s="10">
        <v>8</v>
      </c>
      <c r="L103" s="1">
        <v>101</v>
      </c>
      <c r="M103" s="1">
        <v>11</v>
      </c>
      <c r="N103" s="1">
        <v>0</v>
      </c>
      <c r="O103" s="1">
        <v>1</v>
      </c>
      <c r="P103" s="2">
        <v>1</v>
      </c>
      <c r="Q103" s="67">
        <v>6</v>
      </c>
    </row>
    <row r="104" spans="1:17" x14ac:dyDescent="0.25">
      <c r="A104" s="10">
        <v>318</v>
      </c>
      <c r="B104" s="10">
        <v>34</v>
      </c>
      <c r="C104" s="10">
        <v>3</v>
      </c>
      <c r="D104" s="10">
        <v>2</v>
      </c>
      <c r="E104" s="10">
        <v>8</v>
      </c>
      <c r="F104" s="10">
        <v>8</v>
      </c>
      <c r="L104" s="1">
        <v>102</v>
      </c>
      <c r="M104" s="1">
        <v>11</v>
      </c>
      <c r="N104" s="1">
        <v>0</v>
      </c>
      <c r="O104" s="1">
        <v>1</v>
      </c>
      <c r="P104" s="2">
        <v>1</v>
      </c>
      <c r="Q104" s="68">
        <v>4</v>
      </c>
    </row>
    <row r="105" spans="1:17" x14ac:dyDescent="0.25">
      <c r="A105" s="10">
        <v>318</v>
      </c>
      <c r="B105" s="10">
        <v>34</v>
      </c>
      <c r="C105" s="10">
        <v>3</v>
      </c>
      <c r="D105" s="10">
        <v>3</v>
      </c>
      <c r="E105" s="10">
        <v>4</v>
      </c>
      <c r="F105" s="10">
        <v>4</v>
      </c>
      <c r="L105" s="1">
        <v>103</v>
      </c>
      <c r="M105" s="1">
        <v>11</v>
      </c>
      <c r="N105" s="1">
        <v>0</v>
      </c>
      <c r="O105" s="1">
        <v>1</v>
      </c>
      <c r="P105" s="2">
        <v>1</v>
      </c>
      <c r="Q105" s="67">
        <v>5</v>
      </c>
    </row>
    <row r="106" spans="1:17" x14ac:dyDescent="0.25">
      <c r="A106" s="10">
        <v>318</v>
      </c>
      <c r="B106" s="10">
        <v>34</v>
      </c>
      <c r="C106" s="10">
        <v>3</v>
      </c>
      <c r="D106" s="10">
        <v>8</v>
      </c>
      <c r="E106" s="10">
        <v>1</v>
      </c>
      <c r="F106" s="10">
        <v>1</v>
      </c>
      <c r="L106" s="1">
        <v>104</v>
      </c>
      <c r="M106" s="1">
        <v>11</v>
      </c>
      <c r="N106" s="1">
        <v>0</v>
      </c>
      <c r="O106" s="1">
        <v>1</v>
      </c>
      <c r="P106" s="2">
        <v>1</v>
      </c>
      <c r="Q106" s="68">
        <v>8</v>
      </c>
    </row>
    <row r="107" spans="1:17" x14ac:dyDescent="0.25">
      <c r="A107" s="10">
        <v>20</v>
      </c>
      <c r="B107" s="10">
        <v>2</v>
      </c>
      <c r="C107" s="10">
        <v>3</v>
      </c>
      <c r="D107" s="10">
        <v>1</v>
      </c>
      <c r="E107" s="10">
        <v>25</v>
      </c>
      <c r="F107" s="10">
        <v>25</v>
      </c>
      <c r="L107" s="1">
        <v>105</v>
      </c>
      <c r="M107" s="1">
        <v>11</v>
      </c>
      <c r="N107" s="1">
        <v>0</v>
      </c>
      <c r="O107" s="1">
        <v>1</v>
      </c>
      <c r="P107" s="2">
        <v>1</v>
      </c>
      <c r="Q107" s="67">
        <v>1</v>
      </c>
    </row>
    <row r="108" spans="1:17" x14ac:dyDescent="0.25">
      <c r="A108" s="10">
        <v>20</v>
      </c>
      <c r="B108" s="10">
        <v>2</v>
      </c>
      <c r="C108" s="10">
        <v>3</v>
      </c>
      <c r="D108" s="10">
        <v>2</v>
      </c>
      <c r="E108" s="10">
        <v>17</v>
      </c>
      <c r="F108" s="10">
        <v>17</v>
      </c>
      <c r="L108" s="1">
        <v>106</v>
      </c>
      <c r="M108" s="1">
        <v>11</v>
      </c>
      <c r="N108" s="1">
        <v>0</v>
      </c>
      <c r="O108" s="1">
        <v>1</v>
      </c>
      <c r="P108" s="2">
        <v>1</v>
      </c>
      <c r="Q108" s="68">
        <v>6</v>
      </c>
    </row>
    <row r="109" spans="1:17" x14ac:dyDescent="0.25">
      <c r="A109" s="10">
        <v>20</v>
      </c>
      <c r="B109" s="10">
        <v>2</v>
      </c>
      <c r="C109" s="10">
        <v>3</v>
      </c>
      <c r="D109" s="10">
        <v>10</v>
      </c>
      <c r="E109" s="10">
        <v>3</v>
      </c>
      <c r="F109" s="10">
        <v>3</v>
      </c>
      <c r="L109" s="1">
        <v>107</v>
      </c>
      <c r="M109" s="1">
        <v>12</v>
      </c>
      <c r="N109" s="1">
        <v>0</v>
      </c>
      <c r="O109" s="1">
        <v>1</v>
      </c>
      <c r="P109" s="2">
        <v>1</v>
      </c>
      <c r="Q109" s="67">
        <v>4</v>
      </c>
    </row>
    <row r="110" spans="1:17" x14ac:dyDescent="0.25">
      <c r="A110" s="10">
        <v>20</v>
      </c>
      <c r="B110" s="10">
        <v>2</v>
      </c>
      <c r="C110" s="10">
        <v>3</v>
      </c>
      <c r="D110" s="10">
        <v>3</v>
      </c>
      <c r="E110" s="10">
        <v>5</v>
      </c>
      <c r="F110" s="10">
        <v>5</v>
      </c>
      <c r="L110" s="1">
        <v>108</v>
      </c>
      <c r="M110" s="1">
        <v>12</v>
      </c>
      <c r="N110" s="1">
        <v>0</v>
      </c>
      <c r="O110" s="1">
        <v>1</v>
      </c>
      <c r="P110" s="2">
        <v>1</v>
      </c>
      <c r="Q110" s="68">
        <v>3</v>
      </c>
    </row>
    <row r="111" spans="1:17" x14ac:dyDescent="0.25">
      <c r="A111" s="10">
        <v>179</v>
      </c>
      <c r="B111" s="10">
        <v>19</v>
      </c>
      <c r="C111" s="10">
        <v>1</v>
      </c>
      <c r="D111" s="10">
        <v>1</v>
      </c>
      <c r="E111" s="10">
        <v>13</v>
      </c>
      <c r="F111" s="10">
        <v>13</v>
      </c>
      <c r="L111" s="1">
        <v>109</v>
      </c>
      <c r="M111" s="1">
        <v>12</v>
      </c>
      <c r="N111" s="1">
        <v>0</v>
      </c>
      <c r="O111" s="1">
        <v>1</v>
      </c>
      <c r="P111" s="2">
        <v>1</v>
      </c>
      <c r="Q111" s="67">
        <v>8</v>
      </c>
    </row>
    <row r="112" spans="1:17" x14ac:dyDescent="0.25">
      <c r="A112" s="10">
        <v>151</v>
      </c>
      <c r="B112" s="10">
        <v>16</v>
      </c>
      <c r="C112" s="10">
        <v>3</v>
      </c>
      <c r="D112" s="10">
        <v>1</v>
      </c>
      <c r="E112" s="10">
        <v>3</v>
      </c>
      <c r="F112" s="10">
        <v>3</v>
      </c>
      <c r="L112" s="1">
        <v>110</v>
      </c>
      <c r="M112" s="1">
        <v>12</v>
      </c>
      <c r="N112" s="1">
        <v>0</v>
      </c>
      <c r="O112" s="1">
        <v>1</v>
      </c>
      <c r="P112" s="2">
        <v>1</v>
      </c>
      <c r="Q112" s="68">
        <v>4</v>
      </c>
    </row>
    <row r="113" spans="1:17" x14ac:dyDescent="0.25">
      <c r="A113" s="10">
        <v>151</v>
      </c>
      <c r="B113" s="10">
        <v>16</v>
      </c>
      <c r="C113" s="10">
        <v>3</v>
      </c>
      <c r="D113" s="10">
        <v>2</v>
      </c>
      <c r="E113" s="10">
        <v>4</v>
      </c>
      <c r="F113" s="10">
        <v>4</v>
      </c>
      <c r="L113" s="1">
        <v>111</v>
      </c>
      <c r="M113" s="1">
        <v>12</v>
      </c>
      <c r="N113" s="1">
        <v>0</v>
      </c>
      <c r="O113" s="1">
        <v>1</v>
      </c>
      <c r="P113" s="2">
        <v>1</v>
      </c>
      <c r="Q113" s="67">
        <v>2</v>
      </c>
    </row>
    <row r="114" spans="1:17" x14ac:dyDescent="0.25">
      <c r="A114" s="10">
        <v>151</v>
      </c>
      <c r="B114" s="10">
        <v>16</v>
      </c>
      <c r="C114" s="10">
        <v>3</v>
      </c>
      <c r="D114" s="10">
        <v>5</v>
      </c>
      <c r="E114" s="10">
        <v>2</v>
      </c>
      <c r="F114" s="10">
        <v>2</v>
      </c>
      <c r="L114" s="1">
        <v>112</v>
      </c>
      <c r="M114" s="1">
        <v>12</v>
      </c>
      <c r="N114" s="1">
        <v>0</v>
      </c>
      <c r="O114" s="1">
        <v>1</v>
      </c>
      <c r="P114" s="2">
        <v>1</v>
      </c>
      <c r="Q114" s="68">
        <v>1</v>
      </c>
    </row>
    <row r="115" spans="1:17" x14ac:dyDescent="0.25">
      <c r="A115" s="10">
        <v>151</v>
      </c>
      <c r="B115" s="10">
        <v>16</v>
      </c>
      <c r="C115" s="10">
        <v>3</v>
      </c>
      <c r="D115" s="10">
        <v>6</v>
      </c>
      <c r="E115" s="10">
        <v>1</v>
      </c>
      <c r="F115" s="10">
        <v>1</v>
      </c>
      <c r="L115" s="1">
        <v>113</v>
      </c>
      <c r="M115" s="1">
        <v>12</v>
      </c>
      <c r="N115" s="1">
        <v>0</v>
      </c>
      <c r="O115" s="1">
        <v>1</v>
      </c>
      <c r="P115" s="2">
        <v>1</v>
      </c>
      <c r="Q115" s="67">
        <v>1</v>
      </c>
    </row>
    <row r="116" spans="1:17" x14ac:dyDescent="0.25">
      <c r="A116" s="10">
        <v>179</v>
      </c>
      <c r="B116" s="10">
        <v>19</v>
      </c>
      <c r="C116" s="10">
        <v>3</v>
      </c>
      <c r="D116" s="10">
        <v>1</v>
      </c>
      <c r="E116" s="10">
        <v>45</v>
      </c>
      <c r="F116" s="10">
        <v>45</v>
      </c>
      <c r="L116" s="1">
        <v>114</v>
      </c>
      <c r="M116" s="1">
        <v>12</v>
      </c>
      <c r="N116" s="1">
        <v>0</v>
      </c>
      <c r="O116" s="1">
        <v>1</v>
      </c>
      <c r="P116" s="2">
        <v>1</v>
      </c>
      <c r="Q116" s="68">
        <v>6</v>
      </c>
    </row>
    <row r="117" spans="1:17" x14ac:dyDescent="0.25">
      <c r="A117" s="10">
        <v>179</v>
      </c>
      <c r="B117" s="10">
        <v>19</v>
      </c>
      <c r="C117" s="10">
        <v>3</v>
      </c>
      <c r="D117" s="10">
        <v>2</v>
      </c>
      <c r="E117" s="10">
        <v>1</v>
      </c>
      <c r="F117" s="10">
        <v>1</v>
      </c>
      <c r="L117" s="1">
        <v>115</v>
      </c>
      <c r="M117" s="1">
        <v>13</v>
      </c>
      <c r="N117" s="1">
        <v>0</v>
      </c>
      <c r="O117" s="1">
        <v>1</v>
      </c>
      <c r="P117" s="2">
        <v>1</v>
      </c>
      <c r="Q117" s="67">
        <v>2</v>
      </c>
    </row>
    <row r="118" spans="1:17" x14ac:dyDescent="0.25">
      <c r="A118" s="10">
        <v>151</v>
      </c>
      <c r="B118" s="10">
        <v>16</v>
      </c>
      <c r="C118" s="10">
        <v>3</v>
      </c>
      <c r="D118" s="10">
        <v>10</v>
      </c>
      <c r="E118" s="10">
        <v>1</v>
      </c>
      <c r="F118" s="10">
        <v>1</v>
      </c>
      <c r="L118" s="1">
        <v>116</v>
      </c>
      <c r="M118" s="1">
        <v>13</v>
      </c>
      <c r="N118" s="1">
        <v>0</v>
      </c>
      <c r="O118" s="1">
        <v>1</v>
      </c>
      <c r="P118" s="2">
        <v>1</v>
      </c>
      <c r="Q118" s="68">
        <v>2</v>
      </c>
    </row>
    <row r="119" spans="1:17" x14ac:dyDescent="0.25">
      <c r="A119" s="10">
        <v>179</v>
      </c>
      <c r="B119" s="10">
        <v>19</v>
      </c>
      <c r="C119" s="10">
        <v>1</v>
      </c>
      <c r="D119" s="10">
        <v>2</v>
      </c>
      <c r="E119" s="10">
        <v>310</v>
      </c>
      <c r="F119" s="10">
        <v>310</v>
      </c>
      <c r="L119" s="1">
        <v>117</v>
      </c>
      <c r="M119" s="1">
        <v>13</v>
      </c>
      <c r="N119" s="1">
        <v>0</v>
      </c>
      <c r="O119" s="1">
        <v>1</v>
      </c>
      <c r="P119" s="2">
        <v>1</v>
      </c>
      <c r="Q119" s="67">
        <v>2</v>
      </c>
    </row>
    <row r="120" spans="1:17" x14ac:dyDescent="0.25">
      <c r="A120" s="10">
        <v>264</v>
      </c>
      <c r="B120" s="10">
        <v>29</v>
      </c>
      <c r="C120" s="10">
        <v>3</v>
      </c>
      <c r="D120" s="10">
        <v>1</v>
      </c>
      <c r="E120" s="10">
        <v>6</v>
      </c>
      <c r="F120" s="10">
        <v>6</v>
      </c>
      <c r="L120" s="1">
        <v>118</v>
      </c>
      <c r="M120" s="1">
        <v>13</v>
      </c>
      <c r="N120" s="1">
        <v>0</v>
      </c>
      <c r="O120" s="1">
        <v>1</v>
      </c>
      <c r="P120" s="2">
        <v>1</v>
      </c>
      <c r="Q120" s="68">
        <v>5</v>
      </c>
    </row>
    <row r="121" spans="1:17" x14ac:dyDescent="0.25">
      <c r="A121" s="10">
        <v>182</v>
      </c>
      <c r="B121" s="10">
        <v>19</v>
      </c>
      <c r="C121" s="10">
        <v>3</v>
      </c>
      <c r="D121" s="10">
        <v>1</v>
      </c>
      <c r="E121" s="10">
        <v>12</v>
      </c>
      <c r="F121" s="10">
        <v>12</v>
      </c>
      <c r="L121" s="1">
        <v>119</v>
      </c>
      <c r="M121" s="1">
        <v>13</v>
      </c>
      <c r="N121" s="1">
        <v>0</v>
      </c>
      <c r="O121" s="1">
        <v>1</v>
      </c>
      <c r="P121" s="2">
        <v>1</v>
      </c>
      <c r="Q121" s="67">
        <v>9</v>
      </c>
    </row>
    <row r="122" spans="1:17" x14ac:dyDescent="0.25">
      <c r="A122" s="10">
        <v>264</v>
      </c>
      <c r="B122" s="10">
        <v>29</v>
      </c>
      <c r="C122" s="10">
        <v>3</v>
      </c>
      <c r="D122" s="10">
        <v>2</v>
      </c>
      <c r="E122" s="10">
        <v>2</v>
      </c>
      <c r="F122" s="10">
        <v>2</v>
      </c>
      <c r="L122" s="1">
        <v>120</v>
      </c>
      <c r="M122" s="1">
        <v>13</v>
      </c>
      <c r="N122" s="1">
        <v>0</v>
      </c>
      <c r="O122" s="1">
        <v>1</v>
      </c>
      <c r="P122" s="2">
        <v>1</v>
      </c>
      <c r="Q122" s="68">
        <v>5</v>
      </c>
    </row>
    <row r="123" spans="1:17" x14ac:dyDescent="0.25">
      <c r="A123" s="10">
        <v>264</v>
      </c>
      <c r="B123" s="10">
        <v>29</v>
      </c>
      <c r="C123" s="10">
        <v>3</v>
      </c>
      <c r="D123" s="10">
        <v>5</v>
      </c>
      <c r="E123" s="10">
        <v>8</v>
      </c>
      <c r="F123" s="10">
        <v>8</v>
      </c>
      <c r="L123" s="1">
        <v>121</v>
      </c>
      <c r="M123" s="1">
        <v>13</v>
      </c>
      <c r="N123" s="1">
        <v>0</v>
      </c>
      <c r="O123" s="1">
        <v>1</v>
      </c>
      <c r="P123" s="2">
        <v>1</v>
      </c>
      <c r="Q123" s="67">
        <v>7</v>
      </c>
    </row>
    <row r="124" spans="1:17" x14ac:dyDescent="0.25">
      <c r="A124" s="10">
        <v>176</v>
      </c>
      <c r="B124" s="10">
        <v>19</v>
      </c>
      <c r="C124" s="10">
        <v>3</v>
      </c>
      <c r="D124" s="10">
        <v>1</v>
      </c>
      <c r="E124" s="10">
        <v>13</v>
      </c>
      <c r="F124" s="10">
        <v>13</v>
      </c>
      <c r="L124" s="1">
        <v>122</v>
      </c>
      <c r="M124" s="1">
        <v>13</v>
      </c>
      <c r="N124" s="1">
        <v>0</v>
      </c>
      <c r="O124" s="1">
        <v>1</v>
      </c>
      <c r="P124" s="2">
        <v>1</v>
      </c>
      <c r="Q124" s="68">
        <v>5</v>
      </c>
    </row>
    <row r="125" spans="1:17" x14ac:dyDescent="0.25">
      <c r="A125" s="10">
        <v>266</v>
      </c>
      <c r="B125" s="10">
        <v>29</v>
      </c>
      <c r="C125" s="10">
        <v>3</v>
      </c>
      <c r="D125" s="10">
        <v>1</v>
      </c>
      <c r="E125" s="10">
        <v>27</v>
      </c>
      <c r="F125" s="10">
        <v>27</v>
      </c>
      <c r="L125" s="1">
        <v>123</v>
      </c>
      <c r="M125" s="1">
        <v>14</v>
      </c>
      <c r="N125" s="1">
        <v>0</v>
      </c>
      <c r="O125" s="1">
        <v>1</v>
      </c>
      <c r="P125" s="2">
        <v>1</v>
      </c>
      <c r="Q125" s="67">
        <v>8</v>
      </c>
    </row>
    <row r="126" spans="1:17" x14ac:dyDescent="0.25">
      <c r="A126" s="10">
        <v>176</v>
      </c>
      <c r="B126" s="10">
        <v>19</v>
      </c>
      <c r="C126" s="10">
        <v>3</v>
      </c>
      <c r="D126" s="10">
        <v>2</v>
      </c>
      <c r="E126" s="10">
        <v>12</v>
      </c>
      <c r="F126" s="10">
        <v>12</v>
      </c>
      <c r="L126" s="1">
        <v>124</v>
      </c>
      <c r="M126" s="1">
        <v>14</v>
      </c>
      <c r="N126" s="1">
        <v>0</v>
      </c>
      <c r="O126" s="1">
        <v>1</v>
      </c>
      <c r="P126" s="2">
        <v>1</v>
      </c>
      <c r="Q126" s="68">
        <v>4</v>
      </c>
    </row>
    <row r="127" spans="1:17" x14ac:dyDescent="0.25">
      <c r="A127" s="10">
        <v>266</v>
      </c>
      <c r="B127" s="10">
        <v>29</v>
      </c>
      <c r="C127" s="10">
        <v>3</v>
      </c>
      <c r="D127" s="10">
        <v>2</v>
      </c>
      <c r="E127" s="10">
        <v>38</v>
      </c>
      <c r="F127" s="10">
        <v>38</v>
      </c>
      <c r="L127" s="1">
        <v>125</v>
      </c>
      <c r="M127" s="1">
        <v>14</v>
      </c>
      <c r="N127" s="1">
        <v>0</v>
      </c>
      <c r="O127" s="1">
        <v>1</v>
      </c>
      <c r="P127" s="2">
        <v>1</v>
      </c>
      <c r="Q127" s="67">
        <v>8</v>
      </c>
    </row>
    <row r="128" spans="1:17" x14ac:dyDescent="0.25">
      <c r="A128" s="10">
        <v>266</v>
      </c>
      <c r="B128" s="10">
        <v>29</v>
      </c>
      <c r="C128" s="10">
        <v>3</v>
      </c>
      <c r="D128" s="10">
        <v>4</v>
      </c>
      <c r="E128" s="10">
        <v>11</v>
      </c>
      <c r="F128" s="10">
        <v>11</v>
      </c>
      <c r="L128" s="1">
        <v>126</v>
      </c>
      <c r="M128" s="1">
        <v>14</v>
      </c>
      <c r="N128" s="1">
        <v>0</v>
      </c>
      <c r="O128" s="1">
        <v>1</v>
      </c>
      <c r="P128" s="2">
        <v>1</v>
      </c>
      <c r="Q128" s="68">
        <v>13</v>
      </c>
    </row>
    <row r="129" spans="1:17" x14ac:dyDescent="0.25">
      <c r="A129" s="10">
        <v>266</v>
      </c>
      <c r="B129" s="10">
        <v>29</v>
      </c>
      <c r="C129" s="10">
        <v>3</v>
      </c>
      <c r="D129" s="10">
        <v>5</v>
      </c>
      <c r="E129" s="10">
        <v>23</v>
      </c>
      <c r="F129" s="10">
        <v>23</v>
      </c>
      <c r="L129" s="1">
        <v>127</v>
      </c>
      <c r="M129" s="1">
        <v>14</v>
      </c>
      <c r="N129" s="1">
        <v>0</v>
      </c>
      <c r="O129" s="1">
        <v>1</v>
      </c>
      <c r="P129" s="2">
        <v>1</v>
      </c>
      <c r="Q129" s="67">
        <v>0</v>
      </c>
    </row>
    <row r="130" spans="1:17" x14ac:dyDescent="0.25">
      <c r="A130" s="10">
        <v>273</v>
      </c>
      <c r="B130" s="10">
        <v>30</v>
      </c>
      <c r="C130" s="10">
        <v>4</v>
      </c>
      <c r="D130" s="10">
        <v>1</v>
      </c>
      <c r="E130" s="10">
        <v>21</v>
      </c>
      <c r="F130" s="10">
        <v>21</v>
      </c>
      <c r="L130" s="1">
        <v>128</v>
      </c>
      <c r="M130" s="1">
        <v>14</v>
      </c>
      <c r="N130" s="1">
        <v>0</v>
      </c>
      <c r="O130" s="1">
        <v>1</v>
      </c>
      <c r="P130" s="2">
        <v>1</v>
      </c>
      <c r="Q130" s="68">
        <v>5</v>
      </c>
    </row>
    <row r="131" spans="1:17" x14ac:dyDescent="0.25">
      <c r="A131" s="10">
        <v>273</v>
      </c>
      <c r="B131" s="10">
        <v>30</v>
      </c>
      <c r="C131" s="10">
        <v>4</v>
      </c>
      <c r="D131" s="10">
        <v>2</v>
      </c>
      <c r="E131" s="10">
        <v>28</v>
      </c>
      <c r="F131" s="10">
        <v>28</v>
      </c>
      <c r="L131" s="1">
        <v>129</v>
      </c>
      <c r="M131" s="1">
        <v>14</v>
      </c>
      <c r="N131" s="1">
        <v>0</v>
      </c>
      <c r="O131" s="1">
        <v>1</v>
      </c>
      <c r="P131" s="2">
        <v>1</v>
      </c>
      <c r="Q131" s="67">
        <v>5</v>
      </c>
    </row>
    <row r="132" spans="1:17" x14ac:dyDescent="0.25">
      <c r="A132" s="10">
        <v>271</v>
      </c>
      <c r="B132" s="10">
        <v>30</v>
      </c>
      <c r="C132" s="10">
        <v>4</v>
      </c>
      <c r="D132" s="10">
        <v>1</v>
      </c>
      <c r="E132" s="10">
        <v>13</v>
      </c>
      <c r="F132" s="10">
        <v>13</v>
      </c>
      <c r="L132" s="1">
        <v>130</v>
      </c>
      <c r="M132" s="1">
        <v>14</v>
      </c>
      <c r="N132" s="1">
        <v>0</v>
      </c>
      <c r="O132" s="1">
        <v>1</v>
      </c>
      <c r="P132" s="2">
        <v>1</v>
      </c>
      <c r="Q132" s="68">
        <v>0</v>
      </c>
    </row>
    <row r="133" spans="1:17" x14ac:dyDescent="0.25">
      <c r="A133" s="10">
        <v>271</v>
      </c>
      <c r="B133" s="10">
        <v>30</v>
      </c>
      <c r="C133" s="10">
        <v>4</v>
      </c>
      <c r="D133" s="10">
        <v>2</v>
      </c>
      <c r="E133" s="10">
        <v>7</v>
      </c>
      <c r="F133" s="10">
        <v>7</v>
      </c>
      <c r="L133" s="1">
        <v>131</v>
      </c>
      <c r="M133" s="1">
        <v>14</v>
      </c>
      <c r="N133" s="1">
        <v>0</v>
      </c>
      <c r="O133" s="1">
        <v>1</v>
      </c>
      <c r="P133" s="2">
        <v>1</v>
      </c>
      <c r="Q133" s="67">
        <v>0</v>
      </c>
    </row>
    <row r="134" spans="1:17" x14ac:dyDescent="0.25">
      <c r="A134" s="10">
        <v>1</v>
      </c>
      <c r="B134" s="10">
        <v>1</v>
      </c>
      <c r="C134" s="10">
        <v>0</v>
      </c>
      <c r="D134" s="10">
        <v>1</v>
      </c>
      <c r="E134" s="10">
        <v>453</v>
      </c>
      <c r="F134" s="10">
        <v>453</v>
      </c>
      <c r="L134" s="1">
        <v>132</v>
      </c>
      <c r="M134" s="1">
        <v>14</v>
      </c>
      <c r="N134" s="1">
        <v>0</v>
      </c>
      <c r="O134" s="1">
        <v>1</v>
      </c>
      <c r="P134" s="2">
        <v>1</v>
      </c>
      <c r="Q134" s="68">
        <v>7</v>
      </c>
    </row>
    <row r="135" spans="1:17" x14ac:dyDescent="0.25">
      <c r="A135" s="10">
        <v>2</v>
      </c>
      <c r="B135" s="10">
        <v>1</v>
      </c>
      <c r="C135" s="10">
        <v>0</v>
      </c>
      <c r="D135" s="10">
        <v>1</v>
      </c>
      <c r="E135" s="10">
        <v>1</v>
      </c>
      <c r="F135" s="10">
        <v>1</v>
      </c>
      <c r="L135" s="1">
        <v>133</v>
      </c>
      <c r="M135" s="1">
        <v>15</v>
      </c>
      <c r="N135" s="1">
        <v>0</v>
      </c>
      <c r="O135" s="1">
        <v>1</v>
      </c>
      <c r="P135" s="2">
        <v>1</v>
      </c>
      <c r="Q135" s="67">
        <v>2</v>
      </c>
    </row>
    <row r="136" spans="1:17" x14ac:dyDescent="0.25">
      <c r="A136" s="10">
        <v>4</v>
      </c>
      <c r="B136" s="10">
        <v>1</v>
      </c>
      <c r="C136" s="10">
        <v>0</v>
      </c>
      <c r="D136" s="10">
        <v>1</v>
      </c>
      <c r="E136" s="10">
        <v>1</v>
      </c>
      <c r="F136" s="10">
        <v>1</v>
      </c>
      <c r="L136" s="1">
        <v>134</v>
      </c>
      <c r="M136" s="1">
        <v>15</v>
      </c>
      <c r="N136" s="1">
        <v>0</v>
      </c>
      <c r="O136" s="1">
        <v>1</v>
      </c>
      <c r="P136" s="2">
        <v>1</v>
      </c>
      <c r="Q136" s="68">
        <v>2</v>
      </c>
    </row>
    <row r="137" spans="1:17" x14ac:dyDescent="0.25">
      <c r="A137" s="10">
        <v>389</v>
      </c>
      <c r="B137" s="10">
        <v>42</v>
      </c>
      <c r="C137" s="10">
        <v>4</v>
      </c>
      <c r="D137" s="10">
        <v>1</v>
      </c>
      <c r="E137" s="10">
        <v>5</v>
      </c>
      <c r="F137" s="10">
        <v>5</v>
      </c>
      <c r="L137" s="1">
        <v>135</v>
      </c>
      <c r="M137" s="1">
        <v>15</v>
      </c>
      <c r="N137" s="1">
        <v>0</v>
      </c>
      <c r="O137" s="1">
        <v>1</v>
      </c>
      <c r="P137" s="2">
        <v>1</v>
      </c>
      <c r="Q137" s="67">
        <v>1</v>
      </c>
    </row>
    <row r="138" spans="1:17" x14ac:dyDescent="0.25">
      <c r="A138" s="10">
        <v>279</v>
      </c>
      <c r="B138" s="10">
        <v>30</v>
      </c>
      <c r="C138" s="10">
        <v>4</v>
      </c>
      <c r="D138" s="10">
        <v>1</v>
      </c>
      <c r="E138" s="10">
        <v>15</v>
      </c>
      <c r="F138" s="10">
        <v>15</v>
      </c>
      <c r="L138" s="1">
        <v>136</v>
      </c>
      <c r="M138" s="1">
        <v>15</v>
      </c>
      <c r="N138" s="1">
        <v>0</v>
      </c>
      <c r="O138" s="1">
        <v>1</v>
      </c>
      <c r="P138" s="2">
        <v>1</v>
      </c>
      <c r="Q138" s="68">
        <v>4</v>
      </c>
    </row>
    <row r="139" spans="1:17" x14ac:dyDescent="0.25">
      <c r="A139" s="10">
        <v>279</v>
      </c>
      <c r="B139" s="10">
        <v>30</v>
      </c>
      <c r="C139" s="10">
        <v>4</v>
      </c>
      <c r="D139" s="10">
        <v>2</v>
      </c>
      <c r="E139" s="10">
        <v>25</v>
      </c>
      <c r="F139" s="10">
        <v>25</v>
      </c>
      <c r="L139" s="1">
        <v>137</v>
      </c>
      <c r="M139" s="1">
        <v>15</v>
      </c>
      <c r="N139" s="1">
        <v>0</v>
      </c>
      <c r="O139" s="1">
        <v>1</v>
      </c>
      <c r="P139" s="2">
        <v>1</v>
      </c>
      <c r="Q139" s="67">
        <v>5</v>
      </c>
    </row>
    <row r="140" spans="1:17" x14ac:dyDescent="0.25">
      <c r="A140" s="10">
        <v>275</v>
      </c>
      <c r="B140" s="10">
        <v>30</v>
      </c>
      <c r="C140" s="10">
        <v>4</v>
      </c>
      <c r="D140" s="10">
        <v>1</v>
      </c>
      <c r="E140" s="10">
        <v>18</v>
      </c>
      <c r="F140" s="10">
        <v>18</v>
      </c>
      <c r="L140" s="1">
        <v>138</v>
      </c>
      <c r="M140" s="1">
        <v>15</v>
      </c>
      <c r="N140" s="1">
        <v>0</v>
      </c>
      <c r="O140" s="1">
        <v>1</v>
      </c>
      <c r="P140" s="2">
        <v>1</v>
      </c>
      <c r="Q140" s="68">
        <v>0</v>
      </c>
    </row>
    <row r="141" spans="1:17" x14ac:dyDescent="0.25">
      <c r="A141" s="10">
        <v>275</v>
      </c>
      <c r="B141" s="10">
        <v>30</v>
      </c>
      <c r="C141" s="10">
        <v>4</v>
      </c>
      <c r="D141" s="10">
        <v>2</v>
      </c>
      <c r="E141" s="10">
        <v>21</v>
      </c>
      <c r="F141" s="10">
        <v>21</v>
      </c>
      <c r="L141" s="1">
        <v>139</v>
      </c>
      <c r="M141" s="1">
        <v>15</v>
      </c>
      <c r="N141" s="1">
        <v>0</v>
      </c>
      <c r="O141" s="1">
        <v>1</v>
      </c>
      <c r="P141" s="2">
        <v>1</v>
      </c>
      <c r="Q141" s="67">
        <v>6</v>
      </c>
    </row>
    <row r="142" spans="1:17" x14ac:dyDescent="0.25">
      <c r="A142" s="10">
        <v>275</v>
      </c>
      <c r="B142" s="10">
        <v>30</v>
      </c>
      <c r="C142" s="10">
        <v>4</v>
      </c>
      <c r="D142" s="10">
        <v>3</v>
      </c>
      <c r="E142" s="10">
        <v>2</v>
      </c>
      <c r="F142" s="10">
        <v>2</v>
      </c>
      <c r="L142" s="1">
        <v>140</v>
      </c>
      <c r="M142" s="1">
        <v>15</v>
      </c>
      <c r="N142" s="1">
        <v>0</v>
      </c>
      <c r="O142" s="1">
        <v>1</v>
      </c>
      <c r="P142" s="2">
        <v>1</v>
      </c>
      <c r="Q142" s="68">
        <v>6</v>
      </c>
    </row>
    <row r="143" spans="1:17" x14ac:dyDescent="0.25">
      <c r="A143" s="10">
        <v>275</v>
      </c>
      <c r="B143" s="10">
        <v>30</v>
      </c>
      <c r="C143" s="10">
        <v>4</v>
      </c>
      <c r="D143" s="10">
        <v>4</v>
      </c>
      <c r="E143" s="10">
        <v>1</v>
      </c>
      <c r="F143" s="10">
        <v>1</v>
      </c>
      <c r="L143" s="1">
        <v>141</v>
      </c>
      <c r="M143" s="1">
        <v>15</v>
      </c>
      <c r="N143" s="1">
        <v>0</v>
      </c>
      <c r="O143" s="1">
        <v>1</v>
      </c>
      <c r="P143" s="2">
        <v>1</v>
      </c>
      <c r="Q143" s="67">
        <v>4</v>
      </c>
    </row>
    <row r="144" spans="1:17" x14ac:dyDescent="0.25">
      <c r="A144" s="10">
        <v>439</v>
      </c>
      <c r="B144" s="10">
        <v>47</v>
      </c>
      <c r="C144" s="10">
        <v>4</v>
      </c>
      <c r="D144" s="10">
        <v>1</v>
      </c>
      <c r="E144" s="10">
        <v>14</v>
      </c>
      <c r="F144" s="10">
        <v>14</v>
      </c>
      <c r="L144" s="1">
        <v>142</v>
      </c>
      <c r="M144" s="1">
        <v>15</v>
      </c>
      <c r="N144" s="1">
        <v>0</v>
      </c>
      <c r="O144" s="1">
        <v>1</v>
      </c>
      <c r="P144" s="2">
        <v>1</v>
      </c>
      <c r="Q144" s="68">
        <v>4</v>
      </c>
    </row>
    <row r="145" spans="1:17" x14ac:dyDescent="0.25">
      <c r="A145" s="10">
        <v>437</v>
      </c>
      <c r="B145" s="10">
        <v>47</v>
      </c>
      <c r="C145" s="10">
        <v>4</v>
      </c>
      <c r="D145" s="10">
        <v>1</v>
      </c>
      <c r="E145" s="10">
        <v>20</v>
      </c>
      <c r="F145" s="10">
        <v>20</v>
      </c>
      <c r="L145" s="1">
        <v>143</v>
      </c>
      <c r="M145" s="1">
        <v>16</v>
      </c>
      <c r="N145" s="1">
        <v>0</v>
      </c>
      <c r="O145" s="1">
        <v>1</v>
      </c>
      <c r="P145" s="2">
        <v>1</v>
      </c>
      <c r="Q145" s="67">
        <v>12</v>
      </c>
    </row>
    <row r="146" spans="1:17" x14ac:dyDescent="0.25">
      <c r="A146" s="10">
        <v>439</v>
      </c>
      <c r="B146" s="10">
        <v>47</v>
      </c>
      <c r="C146" s="10">
        <v>4</v>
      </c>
      <c r="D146" s="10">
        <v>2</v>
      </c>
      <c r="E146" s="10">
        <v>6</v>
      </c>
      <c r="F146" s="10">
        <v>6</v>
      </c>
      <c r="L146" s="1">
        <v>144</v>
      </c>
      <c r="M146" s="1">
        <v>16</v>
      </c>
      <c r="N146" s="1">
        <v>0</v>
      </c>
      <c r="O146" s="1">
        <v>1</v>
      </c>
      <c r="P146" s="2">
        <v>1</v>
      </c>
      <c r="Q146" s="68">
        <v>18</v>
      </c>
    </row>
    <row r="147" spans="1:17" x14ac:dyDescent="0.25">
      <c r="A147" s="10">
        <v>413</v>
      </c>
      <c r="B147" s="10">
        <v>44</v>
      </c>
      <c r="C147" s="10">
        <v>4</v>
      </c>
      <c r="D147" s="10">
        <v>1</v>
      </c>
      <c r="E147" s="10">
        <v>15</v>
      </c>
      <c r="F147" s="10">
        <v>15</v>
      </c>
      <c r="L147" s="1">
        <v>145</v>
      </c>
      <c r="M147" s="1">
        <v>16</v>
      </c>
      <c r="N147" s="1">
        <v>0</v>
      </c>
      <c r="O147" s="1">
        <v>1</v>
      </c>
      <c r="P147" s="2">
        <v>1</v>
      </c>
      <c r="Q147" s="67">
        <v>5</v>
      </c>
    </row>
    <row r="148" spans="1:17" x14ac:dyDescent="0.25">
      <c r="A148" s="10">
        <v>437</v>
      </c>
      <c r="B148" s="10">
        <v>47</v>
      </c>
      <c r="C148" s="10">
        <v>4</v>
      </c>
      <c r="D148" s="10">
        <v>2</v>
      </c>
      <c r="E148" s="10">
        <v>25</v>
      </c>
      <c r="F148" s="10">
        <v>25</v>
      </c>
      <c r="L148" s="1">
        <v>146</v>
      </c>
      <c r="M148" s="1">
        <v>16</v>
      </c>
      <c r="N148" s="1">
        <v>0</v>
      </c>
      <c r="O148" s="1">
        <v>1</v>
      </c>
      <c r="P148" s="2">
        <v>1</v>
      </c>
      <c r="Q148" s="68">
        <v>4</v>
      </c>
    </row>
    <row r="149" spans="1:17" x14ac:dyDescent="0.25">
      <c r="A149" s="10">
        <v>413</v>
      </c>
      <c r="B149" s="10">
        <v>44</v>
      </c>
      <c r="C149" s="10">
        <v>4</v>
      </c>
      <c r="D149" s="10">
        <v>2</v>
      </c>
      <c r="E149" s="10">
        <v>2</v>
      </c>
      <c r="F149" s="10">
        <v>2</v>
      </c>
      <c r="L149" s="1">
        <v>147</v>
      </c>
      <c r="M149" s="1">
        <v>16</v>
      </c>
      <c r="N149" s="1">
        <v>0</v>
      </c>
      <c r="O149" s="1">
        <v>1</v>
      </c>
      <c r="P149" s="2">
        <v>1</v>
      </c>
      <c r="Q149" s="67">
        <v>4</v>
      </c>
    </row>
    <row r="150" spans="1:17" x14ac:dyDescent="0.25">
      <c r="A150" s="10">
        <v>437</v>
      </c>
      <c r="B150" s="10">
        <v>47</v>
      </c>
      <c r="C150" s="10">
        <v>4</v>
      </c>
      <c r="D150" s="10">
        <v>3</v>
      </c>
      <c r="E150" s="10">
        <v>4</v>
      </c>
      <c r="F150" s="10">
        <v>4</v>
      </c>
      <c r="L150" s="1">
        <v>148</v>
      </c>
      <c r="M150" s="1">
        <v>16</v>
      </c>
      <c r="N150" s="1">
        <v>0</v>
      </c>
      <c r="O150" s="1">
        <v>1</v>
      </c>
      <c r="P150" s="2">
        <v>1</v>
      </c>
      <c r="Q150" s="68">
        <v>11</v>
      </c>
    </row>
    <row r="151" spans="1:17" x14ac:dyDescent="0.25">
      <c r="A151" s="10">
        <v>413</v>
      </c>
      <c r="B151" s="10">
        <v>44</v>
      </c>
      <c r="C151" s="10">
        <v>4</v>
      </c>
      <c r="D151" s="10">
        <v>8</v>
      </c>
      <c r="E151" s="10">
        <v>1</v>
      </c>
      <c r="F151" s="10">
        <v>1</v>
      </c>
      <c r="L151" s="1">
        <v>149</v>
      </c>
      <c r="M151" s="1">
        <v>16</v>
      </c>
      <c r="N151" s="1">
        <v>0</v>
      </c>
      <c r="O151" s="1">
        <v>1</v>
      </c>
      <c r="P151" s="2">
        <v>1</v>
      </c>
      <c r="Q151" s="67">
        <v>4</v>
      </c>
    </row>
    <row r="152" spans="1:17" x14ac:dyDescent="0.25">
      <c r="A152" s="10">
        <v>419</v>
      </c>
      <c r="B152" s="10">
        <v>45</v>
      </c>
      <c r="C152" s="10">
        <v>4</v>
      </c>
      <c r="D152" s="10">
        <v>1</v>
      </c>
      <c r="E152" s="10">
        <v>20</v>
      </c>
      <c r="F152" s="10">
        <v>20</v>
      </c>
      <c r="L152" s="1">
        <v>150</v>
      </c>
      <c r="M152" s="1">
        <v>16</v>
      </c>
      <c r="N152" s="1">
        <v>0</v>
      </c>
      <c r="O152" s="1">
        <v>1</v>
      </c>
      <c r="P152" s="2">
        <v>1</v>
      </c>
      <c r="Q152" s="68">
        <v>5</v>
      </c>
    </row>
    <row r="153" spans="1:17" x14ac:dyDescent="0.25">
      <c r="A153" s="10">
        <v>419</v>
      </c>
      <c r="B153" s="10">
        <v>45</v>
      </c>
      <c r="C153" s="10">
        <v>4</v>
      </c>
      <c r="D153" s="10">
        <v>2</v>
      </c>
      <c r="E153" s="10">
        <v>30</v>
      </c>
      <c r="F153" s="10">
        <v>30</v>
      </c>
      <c r="L153" s="1">
        <v>151</v>
      </c>
      <c r="M153" s="1">
        <v>16</v>
      </c>
      <c r="N153" s="1">
        <v>0</v>
      </c>
      <c r="O153" s="1">
        <v>1</v>
      </c>
      <c r="P153" s="2">
        <v>1</v>
      </c>
      <c r="Q153" s="67">
        <v>4</v>
      </c>
    </row>
    <row r="154" spans="1:17" x14ac:dyDescent="0.25">
      <c r="A154" s="10">
        <v>417</v>
      </c>
      <c r="B154" s="10">
        <v>45</v>
      </c>
      <c r="C154" s="10">
        <v>4</v>
      </c>
      <c r="D154" s="10">
        <v>2</v>
      </c>
      <c r="E154" s="10">
        <v>9</v>
      </c>
      <c r="F154" s="10">
        <v>9</v>
      </c>
      <c r="L154" s="1">
        <v>152</v>
      </c>
      <c r="M154" s="1">
        <v>16</v>
      </c>
      <c r="N154" s="1">
        <v>0</v>
      </c>
      <c r="O154" s="1">
        <v>1</v>
      </c>
      <c r="P154" s="2">
        <v>1</v>
      </c>
      <c r="Q154" s="68">
        <v>1</v>
      </c>
    </row>
    <row r="155" spans="1:17" x14ac:dyDescent="0.25">
      <c r="A155" s="10">
        <v>417</v>
      </c>
      <c r="B155" s="10">
        <v>45</v>
      </c>
      <c r="C155" s="10">
        <v>4</v>
      </c>
      <c r="D155" s="10">
        <v>3</v>
      </c>
      <c r="E155" s="10">
        <v>3</v>
      </c>
      <c r="F155" s="10">
        <v>3</v>
      </c>
      <c r="L155" s="1">
        <v>153</v>
      </c>
      <c r="M155" s="1">
        <v>17</v>
      </c>
      <c r="N155" s="1">
        <v>0</v>
      </c>
      <c r="O155" s="1">
        <v>1</v>
      </c>
      <c r="P155" s="2">
        <v>1</v>
      </c>
      <c r="Q155" s="67">
        <v>3</v>
      </c>
    </row>
    <row r="156" spans="1:17" x14ac:dyDescent="0.25">
      <c r="A156" s="10">
        <v>417</v>
      </c>
      <c r="B156" s="10">
        <v>45</v>
      </c>
      <c r="C156" s="10">
        <v>4</v>
      </c>
      <c r="D156" s="10">
        <v>4</v>
      </c>
      <c r="E156" s="10">
        <v>1</v>
      </c>
      <c r="F156" s="10">
        <v>1</v>
      </c>
      <c r="L156" s="1">
        <v>154</v>
      </c>
      <c r="M156" s="1">
        <v>17</v>
      </c>
      <c r="N156" s="1">
        <v>0</v>
      </c>
      <c r="O156" s="1">
        <v>1</v>
      </c>
      <c r="P156" s="2">
        <v>1</v>
      </c>
      <c r="Q156" s="68">
        <v>10</v>
      </c>
    </row>
    <row r="157" spans="1:17" x14ac:dyDescent="0.25">
      <c r="A157" s="10">
        <v>417</v>
      </c>
      <c r="B157" s="10">
        <v>45</v>
      </c>
      <c r="C157" s="10">
        <v>4</v>
      </c>
      <c r="D157" s="10">
        <v>5</v>
      </c>
      <c r="E157" s="10">
        <v>5</v>
      </c>
      <c r="F157" s="10">
        <v>5</v>
      </c>
      <c r="L157" s="1">
        <v>155</v>
      </c>
      <c r="M157" s="1">
        <v>17</v>
      </c>
      <c r="N157" s="1">
        <v>0</v>
      </c>
      <c r="O157" s="1">
        <v>1</v>
      </c>
      <c r="P157" s="2">
        <v>1</v>
      </c>
      <c r="Q157" s="67">
        <v>20</v>
      </c>
    </row>
    <row r="158" spans="1:17" x14ac:dyDescent="0.25">
      <c r="A158" s="10">
        <v>441</v>
      </c>
      <c r="B158" s="10">
        <v>47</v>
      </c>
      <c r="C158" s="10">
        <v>4</v>
      </c>
      <c r="D158" s="10">
        <v>1</v>
      </c>
      <c r="E158" s="10">
        <v>6</v>
      </c>
      <c r="F158" s="10">
        <v>6</v>
      </c>
      <c r="L158" s="1">
        <v>156</v>
      </c>
      <c r="M158" s="1">
        <v>17</v>
      </c>
      <c r="N158" s="1">
        <v>0</v>
      </c>
      <c r="O158" s="1">
        <v>1</v>
      </c>
      <c r="P158" s="2">
        <v>1</v>
      </c>
      <c r="Q158" s="68">
        <v>10</v>
      </c>
    </row>
    <row r="159" spans="1:17" x14ac:dyDescent="0.25">
      <c r="A159" s="10">
        <v>441</v>
      </c>
      <c r="B159" s="10">
        <v>47</v>
      </c>
      <c r="C159" s="10">
        <v>4</v>
      </c>
      <c r="D159" s="10">
        <v>2</v>
      </c>
      <c r="E159" s="10">
        <v>3</v>
      </c>
      <c r="F159" s="10">
        <v>3</v>
      </c>
      <c r="L159" s="1">
        <v>157</v>
      </c>
      <c r="M159" s="1">
        <v>17</v>
      </c>
      <c r="N159" s="1">
        <v>0</v>
      </c>
      <c r="O159" s="1">
        <v>1</v>
      </c>
      <c r="P159" s="2">
        <v>1</v>
      </c>
      <c r="Q159" s="67">
        <v>8</v>
      </c>
    </row>
    <row r="160" spans="1:17" x14ac:dyDescent="0.25">
      <c r="A160" s="10">
        <v>441</v>
      </c>
      <c r="B160" s="10">
        <v>47</v>
      </c>
      <c r="C160" s="10">
        <v>4</v>
      </c>
      <c r="D160" s="10">
        <v>4</v>
      </c>
      <c r="E160" s="10">
        <v>2</v>
      </c>
      <c r="F160" s="10">
        <v>2</v>
      </c>
      <c r="L160" s="1">
        <v>158</v>
      </c>
      <c r="M160" s="1">
        <v>17</v>
      </c>
      <c r="N160" s="1">
        <v>0</v>
      </c>
      <c r="O160" s="1">
        <v>1</v>
      </c>
      <c r="P160" s="2">
        <v>1</v>
      </c>
      <c r="Q160" s="68">
        <v>2</v>
      </c>
    </row>
    <row r="161" spans="1:17" x14ac:dyDescent="0.25">
      <c r="A161" s="10">
        <v>156</v>
      </c>
      <c r="B161" s="10">
        <v>17</v>
      </c>
      <c r="C161" s="10">
        <v>1</v>
      </c>
      <c r="D161" s="10">
        <v>1</v>
      </c>
      <c r="E161" s="10">
        <v>30</v>
      </c>
      <c r="F161" s="10">
        <v>30</v>
      </c>
      <c r="L161" s="1">
        <v>159</v>
      </c>
      <c r="M161" s="1">
        <v>17</v>
      </c>
      <c r="N161" s="1">
        <v>0</v>
      </c>
      <c r="O161" s="1">
        <v>1</v>
      </c>
      <c r="P161" s="2">
        <v>1</v>
      </c>
      <c r="Q161" s="67">
        <v>6</v>
      </c>
    </row>
    <row r="162" spans="1:17" x14ac:dyDescent="0.25">
      <c r="A162" s="10">
        <v>174</v>
      </c>
      <c r="B162" s="10">
        <v>19</v>
      </c>
      <c r="C162" s="10">
        <v>3</v>
      </c>
      <c r="D162" s="10">
        <v>1</v>
      </c>
      <c r="E162" s="10">
        <v>76</v>
      </c>
      <c r="F162" s="10">
        <v>76</v>
      </c>
      <c r="L162" s="1">
        <v>160</v>
      </c>
      <c r="M162" s="1">
        <v>17</v>
      </c>
      <c r="N162" s="1">
        <v>0</v>
      </c>
      <c r="O162" s="1">
        <v>1</v>
      </c>
      <c r="P162" s="2">
        <v>1</v>
      </c>
      <c r="Q162" s="68">
        <v>12</v>
      </c>
    </row>
    <row r="163" spans="1:17" x14ac:dyDescent="0.25">
      <c r="A163" s="10">
        <v>156</v>
      </c>
      <c r="B163" s="10">
        <v>17</v>
      </c>
      <c r="C163" s="10">
        <v>1</v>
      </c>
      <c r="D163" s="10">
        <v>3</v>
      </c>
      <c r="E163" s="10">
        <v>6</v>
      </c>
      <c r="F163" s="10">
        <v>6</v>
      </c>
      <c r="L163" s="1">
        <v>161</v>
      </c>
      <c r="M163" s="1">
        <v>17</v>
      </c>
      <c r="N163" s="1">
        <v>0</v>
      </c>
      <c r="O163" s="1">
        <v>1</v>
      </c>
      <c r="P163" s="2">
        <v>1</v>
      </c>
      <c r="Q163" s="67">
        <v>20</v>
      </c>
    </row>
    <row r="164" spans="1:17" x14ac:dyDescent="0.25">
      <c r="A164" s="10">
        <v>156</v>
      </c>
      <c r="B164" s="10">
        <v>17</v>
      </c>
      <c r="C164" s="10">
        <v>3</v>
      </c>
      <c r="D164" s="10">
        <v>1</v>
      </c>
      <c r="E164" s="10">
        <v>30</v>
      </c>
      <c r="F164" s="10">
        <v>30</v>
      </c>
      <c r="L164" s="1">
        <v>162</v>
      </c>
      <c r="M164" s="1">
        <v>17</v>
      </c>
      <c r="N164" s="1">
        <v>0</v>
      </c>
      <c r="O164" s="1">
        <v>1</v>
      </c>
      <c r="P164" s="2">
        <v>1</v>
      </c>
      <c r="Q164" s="68">
        <v>25</v>
      </c>
    </row>
    <row r="165" spans="1:17" x14ac:dyDescent="0.25">
      <c r="A165" s="10">
        <v>156</v>
      </c>
      <c r="B165" s="10">
        <v>17</v>
      </c>
      <c r="C165" s="10">
        <v>4</v>
      </c>
      <c r="D165" s="10">
        <v>1</v>
      </c>
      <c r="E165" s="10">
        <v>31</v>
      </c>
      <c r="F165" s="10">
        <v>31</v>
      </c>
      <c r="L165" s="1">
        <v>163</v>
      </c>
      <c r="M165" s="1">
        <v>18</v>
      </c>
      <c r="N165" s="1">
        <v>0</v>
      </c>
      <c r="O165" s="1">
        <v>1</v>
      </c>
      <c r="P165" s="2">
        <v>1</v>
      </c>
      <c r="Q165" s="67">
        <v>20</v>
      </c>
    </row>
    <row r="166" spans="1:17" x14ac:dyDescent="0.25">
      <c r="A166" s="10">
        <v>156</v>
      </c>
      <c r="B166" s="10">
        <v>17</v>
      </c>
      <c r="C166" s="10">
        <v>1</v>
      </c>
      <c r="D166" s="10">
        <v>5</v>
      </c>
      <c r="E166" s="10">
        <v>3</v>
      </c>
      <c r="F166" s="10">
        <v>3</v>
      </c>
      <c r="L166" s="1">
        <v>164</v>
      </c>
      <c r="M166" s="1">
        <v>18</v>
      </c>
      <c r="N166" s="1">
        <v>0</v>
      </c>
      <c r="O166" s="1">
        <v>1</v>
      </c>
      <c r="P166" s="2">
        <v>1</v>
      </c>
      <c r="Q166" s="68">
        <v>16</v>
      </c>
    </row>
    <row r="167" spans="1:17" x14ac:dyDescent="0.25">
      <c r="A167" s="10">
        <v>156</v>
      </c>
      <c r="B167" s="10">
        <v>17</v>
      </c>
      <c r="C167" s="10">
        <v>3</v>
      </c>
      <c r="D167" s="10">
        <v>3</v>
      </c>
      <c r="E167" s="10">
        <v>6</v>
      </c>
      <c r="F167" s="10">
        <v>6</v>
      </c>
      <c r="L167" s="1">
        <v>165</v>
      </c>
      <c r="M167" s="1">
        <v>18</v>
      </c>
      <c r="N167" s="1">
        <v>0</v>
      </c>
      <c r="O167" s="1">
        <v>1</v>
      </c>
      <c r="P167" s="2">
        <v>1</v>
      </c>
      <c r="Q167" s="67">
        <v>6</v>
      </c>
    </row>
    <row r="168" spans="1:17" x14ac:dyDescent="0.25">
      <c r="A168" s="10">
        <v>156</v>
      </c>
      <c r="B168" s="10">
        <v>17</v>
      </c>
      <c r="C168" s="10">
        <v>3</v>
      </c>
      <c r="D168" s="10">
        <v>4</v>
      </c>
      <c r="E168" s="10">
        <v>3</v>
      </c>
      <c r="F168" s="10">
        <v>3</v>
      </c>
      <c r="L168" s="1">
        <v>166</v>
      </c>
      <c r="M168" s="1">
        <v>18</v>
      </c>
      <c r="N168" s="1">
        <v>0</v>
      </c>
      <c r="O168" s="1">
        <v>1</v>
      </c>
      <c r="P168" s="2">
        <v>1</v>
      </c>
      <c r="Q168" s="68">
        <v>13</v>
      </c>
    </row>
    <row r="169" spans="1:17" x14ac:dyDescent="0.25">
      <c r="A169" s="10">
        <v>156</v>
      </c>
      <c r="B169" s="10">
        <v>17</v>
      </c>
      <c r="C169" s="10">
        <v>4</v>
      </c>
      <c r="D169" s="10">
        <v>3</v>
      </c>
      <c r="E169" s="10">
        <v>7</v>
      </c>
      <c r="F169" s="10">
        <v>7</v>
      </c>
      <c r="L169" s="1">
        <v>167</v>
      </c>
      <c r="M169" s="1">
        <v>18</v>
      </c>
      <c r="N169" s="1">
        <v>0</v>
      </c>
      <c r="O169" s="1">
        <v>1</v>
      </c>
      <c r="P169" s="2">
        <v>1</v>
      </c>
      <c r="Q169" s="67">
        <v>11</v>
      </c>
    </row>
    <row r="170" spans="1:17" x14ac:dyDescent="0.25">
      <c r="A170" s="10">
        <v>156</v>
      </c>
      <c r="B170" s="10">
        <v>17</v>
      </c>
      <c r="C170" s="10">
        <v>1</v>
      </c>
      <c r="D170" s="10">
        <v>2</v>
      </c>
      <c r="E170" s="10">
        <v>10</v>
      </c>
      <c r="F170" s="10">
        <v>10</v>
      </c>
      <c r="L170" s="1">
        <v>168</v>
      </c>
      <c r="M170" s="1">
        <v>18</v>
      </c>
      <c r="N170" s="1">
        <v>0</v>
      </c>
      <c r="O170" s="1">
        <v>1</v>
      </c>
      <c r="P170" s="2">
        <v>1</v>
      </c>
      <c r="Q170" s="68">
        <v>10</v>
      </c>
    </row>
    <row r="171" spans="1:17" x14ac:dyDescent="0.25">
      <c r="A171" s="10">
        <v>156</v>
      </c>
      <c r="B171" s="10">
        <v>17</v>
      </c>
      <c r="C171" s="10">
        <v>4</v>
      </c>
      <c r="D171" s="10">
        <v>4</v>
      </c>
      <c r="E171" s="10">
        <v>4</v>
      </c>
      <c r="F171" s="10">
        <v>4</v>
      </c>
      <c r="L171" s="1">
        <v>169</v>
      </c>
      <c r="M171" s="1">
        <v>18</v>
      </c>
      <c r="N171" s="1">
        <v>0</v>
      </c>
      <c r="O171" s="1">
        <v>1</v>
      </c>
      <c r="P171" s="2">
        <v>1</v>
      </c>
      <c r="Q171" s="67">
        <v>13</v>
      </c>
    </row>
    <row r="172" spans="1:17" x14ac:dyDescent="0.25">
      <c r="A172" s="10">
        <v>174</v>
      </c>
      <c r="B172" s="10">
        <v>19</v>
      </c>
      <c r="C172" s="10">
        <v>3</v>
      </c>
      <c r="D172" s="10">
        <v>2</v>
      </c>
      <c r="E172" s="10">
        <v>80</v>
      </c>
      <c r="F172" s="10">
        <v>80</v>
      </c>
      <c r="L172" s="1">
        <v>170</v>
      </c>
      <c r="M172" s="1">
        <v>18</v>
      </c>
      <c r="N172" s="1">
        <v>0</v>
      </c>
      <c r="O172" s="1">
        <v>1</v>
      </c>
      <c r="P172" s="2">
        <v>1</v>
      </c>
      <c r="Q172" s="68">
        <v>11</v>
      </c>
    </row>
    <row r="173" spans="1:17" x14ac:dyDescent="0.25">
      <c r="A173" s="10">
        <v>174</v>
      </c>
      <c r="B173" s="10">
        <v>19</v>
      </c>
      <c r="C173" s="10">
        <v>3</v>
      </c>
      <c r="D173" s="10">
        <v>3</v>
      </c>
      <c r="E173" s="10">
        <v>60</v>
      </c>
      <c r="F173" s="10">
        <v>60</v>
      </c>
      <c r="L173" s="1">
        <v>171</v>
      </c>
      <c r="M173" s="1">
        <v>18</v>
      </c>
      <c r="N173" s="1">
        <v>0</v>
      </c>
      <c r="O173" s="1">
        <v>1</v>
      </c>
      <c r="P173" s="2">
        <v>1</v>
      </c>
      <c r="Q173" s="67">
        <v>11</v>
      </c>
    </row>
    <row r="174" spans="1:17" x14ac:dyDescent="0.25">
      <c r="A174" s="10">
        <v>174</v>
      </c>
      <c r="B174" s="10">
        <v>19</v>
      </c>
      <c r="C174" s="10">
        <v>4</v>
      </c>
      <c r="D174" s="10">
        <v>1</v>
      </c>
      <c r="E174" s="10">
        <v>75</v>
      </c>
      <c r="F174" s="10">
        <v>75</v>
      </c>
      <c r="L174" s="1">
        <v>172</v>
      </c>
      <c r="M174" s="1">
        <v>18</v>
      </c>
      <c r="N174" s="1">
        <v>0</v>
      </c>
      <c r="O174" s="1">
        <v>1</v>
      </c>
      <c r="P174" s="2">
        <v>1</v>
      </c>
      <c r="Q174" s="68">
        <v>12</v>
      </c>
    </row>
    <row r="175" spans="1:17" x14ac:dyDescent="0.25">
      <c r="A175" s="10">
        <v>174</v>
      </c>
      <c r="B175" s="10">
        <v>19</v>
      </c>
      <c r="C175" s="10">
        <v>4</v>
      </c>
      <c r="D175" s="10">
        <v>2</v>
      </c>
      <c r="E175" s="10">
        <v>80</v>
      </c>
      <c r="F175" s="10">
        <v>80</v>
      </c>
      <c r="L175" s="1">
        <v>173</v>
      </c>
      <c r="M175" s="1">
        <v>19</v>
      </c>
      <c r="N175" s="1">
        <v>0</v>
      </c>
      <c r="O175" s="1">
        <v>1</v>
      </c>
      <c r="P175" s="2">
        <v>1</v>
      </c>
      <c r="Q175" s="67">
        <v>6</v>
      </c>
    </row>
    <row r="176" spans="1:17" x14ac:dyDescent="0.25">
      <c r="A176" s="10">
        <v>174</v>
      </c>
      <c r="B176" s="10">
        <v>19</v>
      </c>
      <c r="C176" s="10">
        <v>4</v>
      </c>
      <c r="D176" s="10">
        <v>3</v>
      </c>
      <c r="E176" s="10">
        <v>60</v>
      </c>
      <c r="F176" s="10">
        <v>60</v>
      </c>
      <c r="L176" s="1">
        <v>174</v>
      </c>
      <c r="M176" s="1">
        <v>19</v>
      </c>
      <c r="N176" s="1">
        <v>0</v>
      </c>
      <c r="O176" s="1">
        <v>1</v>
      </c>
      <c r="P176" s="2">
        <v>1</v>
      </c>
      <c r="Q176" s="68">
        <v>14</v>
      </c>
    </row>
    <row r="177" spans="1:17" x14ac:dyDescent="0.25">
      <c r="A177" s="10">
        <v>156</v>
      </c>
      <c r="B177" s="10">
        <v>17</v>
      </c>
      <c r="C177" s="10">
        <v>2</v>
      </c>
      <c r="D177" s="10">
        <v>1</v>
      </c>
      <c r="E177" s="10">
        <v>30</v>
      </c>
      <c r="F177" s="10">
        <v>30</v>
      </c>
      <c r="L177" s="1">
        <v>175</v>
      </c>
      <c r="M177" s="1">
        <v>19</v>
      </c>
      <c r="N177" s="1">
        <v>0</v>
      </c>
      <c r="O177" s="1">
        <v>1</v>
      </c>
      <c r="P177" s="2">
        <v>1</v>
      </c>
      <c r="Q177" s="67">
        <v>11</v>
      </c>
    </row>
    <row r="178" spans="1:17" x14ac:dyDescent="0.25">
      <c r="A178" s="10">
        <v>156</v>
      </c>
      <c r="B178" s="10">
        <v>17</v>
      </c>
      <c r="C178" s="10">
        <v>2</v>
      </c>
      <c r="D178" s="10">
        <v>3</v>
      </c>
      <c r="E178" s="10">
        <v>6</v>
      </c>
      <c r="F178" s="10">
        <v>6</v>
      </c>
      <c r="L178" s="1">
        <v>176</v>
      </c>
      <c r="M178" s="1">
        <v>19</v>
      </c>
      <c r="N178" s="1">
        <v>0</v>
      </c>
      <c r="O178" s="1">
        <v>1</v>
      </c>
      <c r="P178" s="2">
        <v>1</v>
      </c>
      <c r="Q178" s="68">
        <v>6</v>
      </c>
    </row>
    <row r="179" spans="1:17" x14ac:dyDescent="0.25">
      <c r="A179" s="10">
        <v>156</v>
      </c>
      <c r="B179" s="10">
        <v>17</v>
      </c>
      <c r="C179" s="10">
        <v>2</v>
      </c>
      <c r="D179" s="10">
        <v>4</v>
      </c>
      <c r="E179" s="10">
        <v>3</v>
      </c>
      <c r="F179" s="10">
        <v>3</v>
      </c>
      <c r="L179" s="1">
        <v>177</v>
      </c>
      <c r="M179" s="1">
        <v>19</v>
      </c>
      <c r="N179" s="1">
        <v>0</v>
      </c>
      <c r="O179" s="1">
        <v>1</v>
      </c>
      <c r="P179" s="2">
        <v>1</v>
      </c>
      <c r="Q179" s="67">
        <v>8</v>
      </c>
    </row>
    <row r="180" spans="1:17" x14ac:dyDescent="0.25">
      <c r="A180" s="10">
        <v>251</v>
      </c>
      <c r="B180" s="10">
        <v>27</v>
      </c>
      <c r="C180" s="10">
        <v>4</v>
      </c>
      <c r="D180" s="10">
        <v>1</v>
      </c>
      <c r="E180" s="10">
        <v>1</v>
      </c>
      <c r="F180" s="10">
        <v>1</v>
      </c>
      <c r="L180" s="1">
        <v>178</v>
      </c>
      <c r="M180" s="1">
        <v>19</v>
      </c>
      <c r="N180" s="1">
        <v>0</v>
      </c>
      <c r="O180" s="1">
        <v>1</v>
      </c>
      <c r="P180" s="2">
        <v>1</v>
      </c>
      <c r="Q180" s="68">
        <v>0</v>
      </c>
    </row>
    <row r="181" spans="1:17" x14ac:dyDescent="0.25">
      <c r="A181" s="10">
        <v>43</v>
      </c>
      <c r="B181" s="10">
        <v>5</v>
      </c>
      <c r="C181" s="10">
        <v>4</v>
      </c>
      <c r="D181" s="10">
        <v>1</v>
      </c>
      <c r="E181" s="10">
        <v>5</v>
      </c>
      <c r="F181" s="10">
        <v>5</v>
      </c>
      <c r="L181" s="1">
        <v>179</v>
      </c>
      <c r="M181" s="1">
        <v>19</v>
      </c>
      <c r="N181" s="1">
        <v>0</v>
      </c>
      <c r="O181" s="1">
        <v>1</v>
      </c>
      <c r="P181" s="2">
        <v>1</v>
      </c>
      <c r="Q181" s="67">
        <v>4</v>
      </c>
    </row>
    <row r="182" spans="1:17" x14ac:dyDescent="0.25">
      <c r="A182" s="10">
        <v>342</v>
      </c>
      <c r="B182" s="10">
        <v>37</v>
      </c>
      <c r="C182" s="10">
        <v>3</v>
      </c>
      <c r="D182" s="10">
        <v>5</v>
      </c>
      <c r="E182" s="10">
        <v>6</v>
      </c>
      <c r="F182" s="10">
        <v>6</v>
      </c>
      <c r="L182" s="1">
        <v>180</v>
      </c>
      <c r="M182" s="1">
        <v>19</v>
      </c>
      <c r="N182" s="1">
        <v>0</v>
      </c>
      <c r="O182" s="1">
        <v>1</v>
      </c>
      <c r="P182" s="2">
        <v>1</v>
      </c>
      <c r="Q182" s="68">
        <v>7</v>
      </c>
    </row>
    <row r="183" spans="1:17" x14ac:dyDescent="0.25">
      <c r="A183" s="10">
        <v>43</v>
      </c>
      <c r="B183" s="10">
        <v>5</v>
      </c>
      <c r="C183" s="10">
        <v>4</v>
      </c>
      <c r="D183" s="10">
        <v>2</v>
      </c>
      <c r="E183" s="10">
        <v>9</v>
      </c>
      <c r="F183" s="10">
        <v>9</v>
      </c>
      <c r="L183" s="1">
        <v>181</v>
      </c>
      <c r="M183" s="1">
        <v>19</v>
      </c>
      <c r="N183" s="1">
        <v>0</v>
      </c>
      <c r="O183" s="1">
        <v>1</v>
      </c>
      <c r="P183" s="2">
        <v>1</v>
      </c>
      <c r="Q183" s="67">
        <v>12</v>
      </c>
    </row>
    <row r="184" spans="1:17" x14ac:dyDescent="0.25">
      <c r="A184" s="10">
        <v>341</v>
      </c>
      <c r="B184" s="10">
        <v>37</v>
      </c>
      <c r="C184" s="10">
        <v>4</v>
      </c>
      <c r="D184" s="10">
        <v>1</v>
      </c>
      <c r="E184" s="10">
        <v>2</v>
      </c>
      <c r="F184" s="10">
        <v>2</v>
      </c>
      <c r="L184" s="1">
        <v>182</v>
      </c>
      <c r="M184" s="1">
        <v>19</v>
      </c>
      <c r="N184" s="1">
        <v>0</v>
      </c>
      <c r="O184" s="1">
        <v>1</v>
      </c>
      <c r="P184" s="2">
        <v>1</v>
      </c>
      <c r="Q184" s="68">
        <v>10</v>
      </c>
    </row>
    <row r="185" spans="1:17" x14ac:dyDescent="0.25">
      <c r="A185" s="10">
        <v>341</v>
      </c>
      <c r="B185" s="10">
        <v>37</v>
      </c>
      <c r="C185" s="10">
        <v>4</v>
      </c>
      <c r="D185" s="10">
        <v>3</v>
      </c>
      <c r="E185" s="10">
        <v>1</v>
      </c>
      <c r="F185" s="10">
        <v>1</v>
      </c>
      <c r="L185" s="1">
        <v>183</v>
      </c>
      <c r="M185" s="1">
        <v>20</v>
      </c>
      <c r="N185" s="1">
        <v>0</v>
      </c>
      <c r="O185" s="1">
        <v>1</v>
      </c>
      <c r="P185" s="2">
        <v>1</v>
      </c>
      <c r="Q185" s="67">
        <v>12</v>
      </c>
    </row>
    <row r="186" spans="1:17" x14ac:dyDescent="0.25">
      <c r="A186" s="10">
        <v>43</v>
      </c>
      <c r="B186" s="10">
        <v>5</v>
      </c>
      <c r="C186" s="10">
        <v>4</v>
      </c>
      <c r="D186" s="10">
        <v>4</v>
      </c>
      <c r="E186" s="10">
        <v>2</v>
      </c>
      <c r="F186" s="10">
        <v>2</v>
      </c>
      <c r="L186" s="1">
        <v>184</v>
      </c>
      <c r="M186" s="1">
        <v>20</v>
      </c>
      <c r="N186" s="1">
        <v>0</v>
      </c>
      <c r="O186" s="1">
        <v>1</v>
      </c>
      <c r="P186" s="2">
        <v>1</v>
      </c>
      <c r="Q186" s="68">
        <v>10</v>
      </c>
    </row>
    <row r="187" spans="1:17" x14ac:dyDescent="0.25">
      <c r="A187" s="10">
        <v>341</v>
      </c>
      <c r="B187" s="10">
        <v>37</v>
      </c>
      <c r="C187" s="10">
        <v>4</v>
      </c>
      <c r="D187" s="10">
        <v>5</v>
      </c>
      <c r="E187" s="10">
        <v>3</v>
      </c>
      <c r="F187" s="10">
        <v>3</v>
      </c>
      <c r="L187" s="1">
        <v>185</v>
      </c>
      <c r="M187" s="1">
        <v>20</v>
      </c>
      <c r="N187" s="1">
        <v>0</v>
      </c>
      <c r="O187" s="1">
        <v>1</v>
      </c>
      <c r="P187" s="2">
        <v>1</v>
      </c>
      <c r="Q187" s="67">
        <v>8</v>
      </c>
    </row>
    <row r="188" spans="1:17" x14ac:dyDescent="0.25">
      <c r="A188" s="10">
        <v>342</v>
      </c>
      <c r="B188" s="10">
        <v>37</v>
      </c>
      <c r="C188" s="10">
        <v>2</v>
      </c>
      <c r="D188" s="10">
        <v>2</v>
      </c>
      <c r="E188" s="10">
        <v>48</v>
      </c>
      <c r="F188" s="10">
        <v>48</v>
      </c>
      <c r="L188" s="1">
        <v>186</v>
      </c>
      <c r="M188" s="1">
        <v>20</v>
      </c>
      <c r="N188" s="1">
        <v>0</v>
      </c>
      <c r="O188" s="1">
        <v>1</v>
      </c>
      <c r="P188" s="2">
        <v>1</v>
      </c>
      <c r="Q188" s="68">
        <v>6</v>
      </c>
    </row>
    <row r="189" spans="1:17" x14ac:dyDescent="0.25">
      <c r="A189" s="10">
        <v>265</v>
      </c>
      <c r="B189" s="10">
        <v>29</v>
      </c>
      <c r="C189" s="10">
        <v>4</v>
      </c>
      <c r="D189" s="10">
        <v>2</v>
      </c>
      <c r="E189" s="10">
        <v>5</v>
      </c>
      <c r="F189" s="10">
        <v>5</v>
      </c>
      <c r="L189" s="1">
        <v>187</v>
      </c>
      <c r="M189" s="1">
        <v>20</v>
      </c>
      <c r="N189" s="1">
        <v>0</v>
      </c>
      <c r="O189" s="1">
        <v>1</v>
      </c>
      <c r="P189" s="2">
        <v>1</v>
      </c>
      <c r="Q189" s="67">
        <v>3</v>
      </c>
    </row>
    <row r="190" spans="1:17" x14ac:dyDescent="0.25">
      <c r="A190" s="10">
        <v>265</v>
      </c>
      <c r="B190" s="10">
        <v>29</v>
      </c>
      <c r="C190" s="10">
        <v>4</v>
      </c>
      <c r="D190" s="10">
        <v>7</v>
      </c>
      <c r="E190" s="10">
        <v>1</v>
      </c>
      <c r="F190" s="10">
        <v>1</v>
      </c>
      <c r="L190" s="1">
        <v>188</v>
      </c>
      <c r="M190" s="1">
        <v>20</v>
      </c>
      <c r="N190" s="1">
        <v>0</v>
      </c>
      <c r="O190" s="1">
        <v>1</v>
      </c>
      <c r="P190" s="2">
        <v>1</v>
      </c>
      <c r="Q190" s="68">
        <v>3</v>
      </c>
    </row>
    <row r="191" spans="1:17" x14ac:dyDescent="0.25">
      <c r="A191" s="10">
        <v>65</v>
      </c>
      <c r="B191" s="10">
        <v>7</v>
      </c>
      <c r="C191" s="10">
        <v>4</v>
      </c>
      <c r="D191" s="10">
        <v>1</v>
      </c>
      <c r="E191" s="10">
        <v>10</v>
      </c>
      <c r="F191" s="10">
        <v>10</v>
      </c>
      <c r="L191" s="1">
        <v>189</v>
      </c>
      <c r="M191" s="1">
        <v>20</v>
      </c>
      <c r="N191" s="1">
        <v>0</v>
      </c>
      <c r="O191" s="1">
        <v>1</v>
      </c>
      <c r="P191" s="2">
        <v>1</v>
      </c>
      <c r="Q191" s="67">
        <v>17</v>
      </c>
    </row>
    <row r="192" spans="1:17" x14ac:dyDescent="0.25">
      <c r="A192" s="10">
        <v>249</v>
      </c>
      <c r="B192" s="10">
        <v>27</v>
      </c>
      <c r="C192" s="10">
        <v>4</v>
      </c>
      <c r="D192" s="10">
        <v>4</v>
      </c>
      <c r="E192" s="10">
        <v>2</v>
      </c>
      <c r="F192" s="10">
        <v>2</v>
      </c>
      <c r="L192" s="1">
        <v>190</v>
      </c>
      <c r="M192" s="1">
        <v>20</v>
      </c>
      <c r="N192" s="1">
        <v>0</v>
      </c>
      <c r="O192" s="1">
        <v>1</v>
      </c>
      <c r="P192" s="2">
        <v>1</v>
      </c>
      <c r="Q192" s="68">
        <v>5</v>
      </c>
    </row>
    <row r="193" spans="1:17" x14ac:dyDescent="0.25">
      <c r="A193" s="10">
        <v>65</v>
      </c>
      <c r="B193" s="10">
        <v>7</v>
      </c>
      <c r="C193" s="10">
        <v>4</v>
      </c>
      <c r="D193" s="10">
        <v>2</v>
      </c>
      <c r="E193" s="10">
        <v>12</v>
      </c>
      <c r="F193" s="10">
        <v>12</v>
      </c>
      <c r="L193" s="1">
        <v>191</v>
      </c>
      <c r="M193" s="1">
        <v>21</v>
      </c>
      <c r="N193" s="1">
        <v>0</v>
      </c>
      <c r="O193" s="1">
        <v>1</v>
      </c>
      <c r="P193" s="2">
        <v>1</v>
      </c>
      <c r="Q193" s="67">
        <v>16</v>
      </c>
    </row>
    <row r="194" spans="1:17" x14ac:dyDescent="0.25">
      <c r="A194" s="10">
        <v>65</v>
      </c>
      <c r="B194" s="10">
        <v>7</v>
      </c>
      <c r="C194" s="10">
        <v>4</v>
      </c>
      <c r="D194" s="10">
        <v>3</v>
      </c>
      <c r="E194" s="10">
        <v>2</v>
      </c>
      <c r="F194" s="10">
        <v>2</v>
      </c>
      <c r="L194" s="1">
        <v>192</v>
      </c>
      <c r="M194" s="1">
        <v>21</v>
      </c>
      <c r="N194" s="1">
        <v>0</v>
      </c>
      <c r="O194" s="1">
        <v>1</v>
      </c>
      <c r="P194" s="2">
        <v>1</v>
      </c>
      <c r="Q194" s="68">
        <v>12</v>
      </c>
    </row>
    <row r="195" spans="1:17" x14ac:dyDescent="0.25">
      <c r="A195" s="10">
        <v>312</v>
      </c>
      <c r="B195" s="10">
        <v>34</v>
      </c>
      <c r="C195" s="10">
        <v>1</v>
      </c>
      <c r="D195" s="10">
        <v>2</v>
      </c>
      <c r="E195" s="10">
        <v>13</v>
      </c>
      <c r="F195" s="10">
        <v>13</v>
      </c>
      <c r="L195" s="1">
        <v>193</v>
      </c>
      <c r="M195" s="1">
        <v>21</v>
      </c>
      <c r="N195" s="1">
        <v>0</v>
      </c>
      <c r="O195" s="1">
        <v>1</v>
      </c>
      <c r="P195" s="2">
        <v>1</v>
      </c>
      <c r="Q195" s="67">
        <v>2</v>
      </c>
    </row>
    <row r="196" spans="1:17" x14ac:dyDescent="0.25">
      <c r="A196" s="10">
        <v>206</v>
      </c>
      <c r="B196" s="10">
        <v>22</v>
      </c>
      <c r="C196" s="10">
        <v>1</v>
      </c>
      <c r="D196" s="10">
        <v>3</v>
      </c>
      <c r="E196" s="10">
        <v>1</v>
      </c>
      <c r="F196" s="10">
        <v>1</v>
      </c>
      <c r="L196" s="1">
        <v>194</v>
      </c>
      <c r="M196" s="1">
        <v>21</v>
      </c>
      <c r="N196" s="1">
        <v>0</v>
      </c>
      <c r="O196" s="1">
        <v>1</v>
      </c>
      <c r="P196" s="2">
        <v>1</v>
      </c>
      <c r="Q196" s="68">
        <v>14</v>
      </c>
    </row>
    <row r="197" spans="1:17" x14ac:dyDescent="0.25">
      <c r="A197" s="10">
        <v>32</v>
      </c>
      <c r="B197" s="10">
        <v>4</v>
      </c>
      <c r="C197" s="10">
        <v>1</v>
      </c>
      <c r="D197" s="10">
        <v>3</v>
      </c>
      <c r="E197" s="10">
        <v>1</v>
      </c>
      <c r="F197" s="10">
        <v>1</v>
      </c>
      <c r="L197" s="1">
        <v>195</v>
      </c>
      <c r="M197" s="1">
        <v>21</v>
      </c>
      <c r="N197" s="1">
        <v>0</v>
      </c>
      <c r="O197" s="1">
        <v>1</v>
      </c>
      <c r="P197" s="2">
        <v>1</v>
      </c>
      <c r="Q197" s="67">
        <v>7</v>
      </c>
    </row>
    <row r="198" spans="1:17" x14ac:dyDescent="0.25">
      <c r="A198" s="10">
        <v>312</v>
      </c>
      <c r="B198" s="10">
        <v>34</v>
      </c>
      <c r="C198" s="10">
        <v>1</v>
      </c>
      <c r="D198" s="10">
        <v>3</v>
      </c>
      <c r="E198" s="10">
        <v>1</v>
      </c>
      <c r="F198" s="10">
        <v>1</v>
      </c>
      <c r="L198" s="1">
        <v>196</v>
      </c>
      <c r="M198" s="1">
        <v>21</v>
      </c>
      <c r="N198" s="1">
        <v>0</v>
      </c>
      <c r="O198" s="1">
        <v>1</v>
      </c>
      <c r="P198" s="2">
        <v>1</v>
      </c>
      <c r="Q198" s="68">
        <v>8</v>
      </c>
    </row>
    <row r="199" spans="1:17" x14ac:dyDescent="0.25">
      <c r="A199" s="10">
        <v>32</v>
      </c>
      <c r="B199" s="10">
        <v>4</v>
      </c>
      <c r="C199" s="10">
        <v>1</v>
      </c>
      <c r="D199" s="10">
        <v>4</v>
      </c>
      <c r="E199" s="10">
        <v>1</v>
      </c>
      <c r="F199" s="10">
        <v>1</v>
      </c>
      <c r="L199" s="1">
        <v>197</v>
      </c>
      <c r="M199" s="1">
        <v>21</v>
      </c>
      <c r="N199" s="1">
        <v>0</v>
      </c>
      <c r="O199" s="1">
        <v>1</v>
      </c>
      <c r="P199" s="2">
        <v>1</v>
      </c>
      <c r="Q199" s="67">
        <v>5</v>
      </c>
    </row>
    <row r="200" spans="1:17" x14ac:dyDescent="0.25">
      <c r="A200" s="10">
        <v>312</v>
      </c>
      <c r="B200" s="10">
        <v>34</v>
      </c>
      <c r="C200" s="10">
        <v>1</v>
      </c>
      <c r="D200" s="10">
        <v>4</v>
      </c>
      <c r="E200" s="10">
        <v>1</v>
      </c>
      <c r="F200" s="10">
        <v>1</v>
      </c>
      <c r="L200" s="1">
        <v>198</v>
      </c>
      <c r="M200" s="1">
        <v>21</v>
      </c>
      <c r="N200" s="1">
        <v>0</v>
      </c>
      <c r="O200" s="1">
        <v>1</v>
      </c>
      <c r="P200" s="2">
        <v>1</v>
      </c>
      <c r="Q200" s="68">
        <v>12</v>
      </c>
    </row>
    <row r="201" spans="1:17" x14ac:dyDescent="0.25">
      <c r="A201" s="10">
        <v>41</v>
      </c>
      <c r="B201" s="10">
        <v>5</v>
      </c>
      <c r="C201" s="10">
        <v>1</v>
      </c>
      <c r="D201" s="10">
        <v>4</v>
      </c>
      <c r="E201" s="10">
        <v>1</v>
      </c>
      <c r="F201" s="10">
        <v>1</v>
      </c>
      <c r="L201" s="1">
        <v>199</v>
      </c>
      <c r="M201" s="1">
        <v>22</v>
      </c>
      <c r="N201" s="1">
        <v>0</v>
      </c>
      <c r="O201" s="1">
        <v>1</v>
      </c>
      <c r="P201" s="2">
        <v>1</v>
      </c>
      <c r="Q201" s="67">
        <v>7</v>
      </c>
    </row>
    <row r="202" spans="1:17" x14ac:dyDescent="0.25">
      <c r="A202" s="10">
        <v>314</v>
      </c>
      <c r="B202" s="10">
        <v>34</v>
      </c>
      <c r="C202" s="10">
        <v>1</v>
      </c>
      <c r="D202" s="10">
        <v>1</v>
      </c>
      <c r="E202" s="10">
        <v>10</v>
      </c>
      <c r="F202" s="10">
        <v>10</v>
      </c>
      <c r="L202" s="1">
        <v>200</v>
      </c>
      <c r="M202" s="1">
        <v>22</v>
      </c>
      <c r="N202" s="1">
        <v>0</v>
      </c>
      <c r="O202" s="1">
        <v>1</v>
      </c>
      <c r="P202" s="2">
        <v>1</v>
      </c>
      <c r="Q202" s="68">
        <v>14</v>
      </c>
    </row>
    <row r="203" spans="1:17" x14ac:dyDescent="0.25">
      <c r="A203" s="10">
        <v>341</v>
      </c>
      <c r="B203" s="10">
        <v>37</v>
      </c>
      <c r="C203" s="10">
        <v>1</v>
      </c>
      <c r="D203" s="10">
        <v>1</v>
      </c>
      <c r="E203" s="10">
        <v>3</v>
      </c>
      <c r="F203" s="10">
        <v>3</v>
      </c>
      <c r="L203" s="1">
        <v>201</v>
      </c>
      <c r="M203" s="1">
        <v>22</v>
      </c>
      <c r="N203" s="1">
        <v>0</v>
      </c>
      <c r="O203" s="1">
        <v>1</v>
      </c>
      <c r="P203" s="2">
        <v>1</v>
      </c>
      <c r="Q203" s="67">
        <v>16</v>
      </c>
    </row>
    <row r="204" spans="1:17" x14ac:dyDescent="0.25">
      <c r="A204" s="10">
        <v>314</v>
      </c>
      <c r="B204" s="10">
        <v>34</v>
      </c>
      <c r="C204" s="10">
        <v>1</v>
      </c>
      <c r="D204" s="10">
        <v>2</v>
      </c>
      <c r="E204" s="10">
        <v>1</v>
      </c>
      <c r="F204" s="10">
        <v>1</v>
      </c>
      <c r="L204" s="1">
        <v>202</v>
      </c>
      <c r="M204" s="1">
        <v>22</v>
      </c>
      <c r="N204" s="1">
        <v>0</v>
      </c>
      <c r="O204" s="1">
        <v>1</v>
      </c>
      <c r="P204" s="2">
        <v>1</v>
      </c>
      <c r="Q204" s="68">
        <v>15</v>
      </c>
    </row>
    <row r="205" spans="1:17" x14ac:dyDescent="0.25">
      <c r="A205" s="10">
        <v>46</v>
      </c>
      <c r="B205" s="10">
        <v>5</v>
      </c>
      <c r="C205" s="10">
        <v>1</v>
      </c>
      <c r="D205" s="10">
        <v>1</v>
      </c>
      <c r="E205" s="10">
        <v>23</v>
      </c>
      <c r="F205" s="10">
        <v>23</v>
      </c>
      <c r="L205" s="1">
        <v>203</v>
      </c>
      <c r="M205" s="1">
        <v>22</v>
      </c>
      <c r="N205" s="1">
        <v>0</v>
      </c>
      <c r="O205" s="1">
        <v>1</v>
      </c>
      <c r="P205" s="2">
        <v>1</v>
      </c>
      <c r="Q205" s="67">
        <v>5</v>
      </c>
    </row>
    <row r="206" spans="1:17" x14ac:dyDescent="0.25">
      <c r="A206" s="10">
        <v>46</v>
      </c>
      <c r="B206" s="10">
        <v>5</v>
      </c>
      <c r="C206" s="10">
        <v>1</v>
      </c>
      <c r="D206" s="10">
        <v>2</v>
      </c>
      <c r="E206" s="10">
        <v>22</v>
      </c>
      <c r="F206" s="10">
        <v>22</v>
      </c>
      <c r="L206" s="1">
        <v>204</v>
      </c>
      <c r="M206" s="1">
        <v>22</v>
      </c>
      <c r="N206" s="1">
        <v>0</v>
      </c>
      <c r="O206" s="1">
        <v>1</v>
      </c>
      <c r="P206" s="2">
        <v>1</v>
      </c>
      <c r="Q206" s="68">
        <v>16</v>
      </c>
    </row>
    <row r="207" spans="1:17" x14ac:dyDescent="0.25">
      <c r="A207" s="10">
        <v>46</v>
      </c>
      <c r="B207" s="10">
        <v>5</v>
      </c>
      <c r="C207" s="10">
        <v>1</v>
      </c>
      <c r="D207" s="10">
        <v>3</v>
      </c>
      <c r="E207" s="10">
        <v>2</v>
      </c>
      <c r="F207" s="10">
        <v>2</v>
      </c>
      <c r="L207" s="1">
        <v>205</v>
      </c>
      <c r="M207" s="1">
        <v>22</v>
      </c>
      <c r="N207" s="1">
        <v>0</v>
      </c>
      <c r="O207" s="1">
        <v>1</v>
      </c>
      <c r="P207" s="2">
        <v>1</v>
      </c>
      <c r="Q207" s="67">
        <v>5</v>
      </c>
    </row>
    <row r="208" spans="1:17" x14ac:dyDescent="0.25">
      <c r="A208" s="10">
        <v>337</v>
      </c>
      <c r="B208" s="10">
        <v>36</v>
      </c>
      <c r="C208" s="10">
        <v>7</v>
      </c>
      <c r="D208" s="10">
        <v>2</v>
      </c>
      <c r="E208" s="10">
        <v>2</v>
      </c>
      <c r="F208" s="10">
        <v>2</v>
      </c>
      <c r="L208" s="1">
        <v>206</v>
      </c>
      <c r="M208" s="1">
        <v>22</v>
      </c>
      <c r="N208" s="1">
        <v>0</v>
      </c>
      <c r="O208" s="1">
        <v>1</v>
      </c>
      <c r="P208" s="2">
        <v>1</v>
      </c>
      <c r="Q208" s="68">
        <v>3</v>
      </c>
    </row>
    <row r="209" spans="1:17" x14ac:dyDescent="0.25">
      <c r="A209" s="10">
        <v>33</v>
      </c>
      <c r="B209" s="10">
        <v>4</v>
      </c>
      <c r="C209" s="10">
        <v>3</v>
      </c>
      <c r="D209" s="10">
        <v>2</v>
      </c>
      <c r="E209" s="10">
        <v>4</v>
      </c>
      <c r="F209" s="10">
        <v>4</v>
      </c>
      <c r="L209" s="1">
        <v>207</v>
      </c>
      <c r="M209" s="1">
        <v>22</v>
      </c>
      <c r="N209" s="1">
        <v>0</v>
      </c>
      <c r="O209" s="1">
        <v>1</v>
      </c>
      <c r="P209" s="2">
        <v>1</v>
      </c>
      <c r="Q209" s="67">
        <v>3</v>
      </c>
    </row>
    <row r="210" spans="1:17" x14ac:dyDescent="0.25">
      <c r="A210" s="10">
        <v>439</v>
      </c>
      <c r="B210" s="10">
        <v>47</v>
      </c>
      <c r="C210" s="10">
        <v>7</v>
      </c>
      <c r="D210" s="10">
        <v>1</v>
      </c>
      <c r="E210" s="10">
        <v>16</v>
      </c>
      <c r="F210" s="10">
        <v>16</v>
      </c>
      <c r="L210" s="1">
        <v>208</v>
      </c>
      <c r="M210" s="1">
        <v>22</v>
      </c>
      <c r="N210" s="1">
        <v>0</v>
      </c>
      <c r="O210" s="1">
        <v>1</v>
      </c>
      <c r="P210" s="2">
        <v>1</v>
      </c>
      <c r="Q210" s="68">
        <v>12</v>
      </c>
    </row>
    <row r="211" spans="1:17" x14ac:dyDescent="0.25">
      <c r="A211" s="10">
        <v>266</v>
      </c>
      <c r="B211" s="10">
        <v>29</v>
      </c>
      <c r="C211" s="10">
        <v>8</v>
      </c>
      <c r="D211" s="10">
        <v>1</v>
      </c>
      <c r="E211" s="10">
        <v>5</v>
      </c>
      <c r="F211" s="10">
        <v>5</v>
      </c>
      <c r="L211" s="1">
        <v>209</v>
      </c>
      <c r="M211" s="1">
        <v>23</v>
      </c>
      <c r="N211" s="1">
        <v>0</v>
      </c>
      <c r="O211" s="1">
        <v>1</v>
      </c>
      <c r="P211" s="2">
        <v>1</v>
      </c>
      <c r="Q211" s="67">
        <v>6</v>
      </c>
    </row>
    <row r="212" spans="1:17" x14ac:dyDescent="0.25">
      <c r="A212" s="10">
        <v>266</v>
      </c>
      <c r="B212" s="10">
        <v>29</v>
      </c>
      <c r="C212" s="10">
        <v>8</v>
      </c>
      <c r="D212" s="10">
        <v>2</v>
      </c>
      <c r="E212" s="10">
        <v>12</v>
      </c>
      <c r="F212" s="10">
        <v>12</v>
      </c>
      <c r="L212" s="1">
        <v>210</v>
      </c>
      <c r="M212" s="1">
        <v>23</v>
      </c>
      <c r="N212" s="1">
        <v>0</v>
      </c>
      <c r="O212" s="1">
        <v>1</v>
      </c>
      <c r="P212" s="2">
        <v>1</v>
      </c>
      <c r="Q212" s="68">
        <v>20</v>
      </c>
    </row>
    <row r="213" spans="1:17" x14ac:dyDescent="0.25">
      <c r="A213" s="10">
        <v>33</v>
      </c>
      <c r="B213" s="10">
        <v>4</v>
      </c>
      <c r="C213" s="10">
        <v>4</v>
      </c>
      <c r="D213" s="10">
        <v>1</v>
      </c>
      <c r="E213" s="10">
        <v>8</v>
      </c>
      <c r="F213" s="10">
        <v>8</v>
      </c>
      <c r="L213" s="1">
        <v>211</v>
      </c>
      <c r="M213" s="1">
        <v>23</v>
      </c>
      <c r="N213" s="1">
        <v>0</v>
      </c>
      <c r="O213" s="1">
        <v>1</v>
      </c>
      <c r="P213" s="2">
        <v>1</v>
      </c>
      <c r="Q213" s="67">
        <v>19</v>
      </c>
    </row>
    <row r="214" spans="1:17" x14ac:dyDescent="0.25">
      <c r="A214" s="10">
        <v>33</v>
      </c>
      <c r="B214" s="10">
        <v>4</v>
      </c>
      <c r="C214" s="10">
        <v>4</v>
      </c>
      <c r="D214" s="10">
        <v>2</v>
      </c>
      <c r="E214" s="10">
        <v>5</v>
      </c>
      <c r="F214" s="10">
        <v>5</v>
      </c>
      <c r="L214" s="1">
        <v>212</v>
      </c>
      <c r="M214" s="1">
        <v>23</v>
      </c>
      <c r="N214" s="1">
        <v>0</v>
      </c>
      <c r="O214" s="1">
        <v>1</v>
      </c>
      <c r="P214" s="2">
        <v>1</v>
      </c>
      <c r="Q214" s="68">
        <v>13</v>
      </c>
    </row>
    <row r="215" spans="1:17" x14ac:dyDescent="0.25">
      <c r="A215" s="10">
        <v>266</v>
      </c>
      <c r="B215" s="10">
        <v>29</v>
      </c>
      <c r="C215" s="10">
        <v>8</v>
      </c>
      <c r="D215" s="10">
        <v>5</v>
      </c>
      <c r="E215" s="10">
        <v>9</v>
      </c>
      <c r="F215" s="10">
        <v>9</v>
      </c>
      <c r="L215" s="1">
        <v>213</v>
      </c>
      <c r="M215" s="1">
        <v>23</v>
      </c>
      <c r="N215" s="1">
        <v>0</v>
      </c>
      <c r="O215" s="1">
        <v>1</v>
      </c>
      <c r="P215" s="2">
        <v>1</v>
      </c>
      <c r="Q215" s="67">
        <v>17</v>
      </c>
    </row>
    <row r="216" spans="1:17" x14ac:dyDescent="0.25">
      <c r="A216" s="10">
        <v>419</v>
      </c>
      <c r="B216" s="10">
        <v>45</v>
      </c>
      <c r="C216" s="10">
        <v>7</v>
      </c>
      <c r="D216" s="10">
        <v>1</v>
      </c>
      <c r="E216" s="10">
        <v>12</v>
      </c>
      <c r="F216" s="10">
        <v>12</v>
      </c>
      <c r="L216" s="1">
        <v>214</v>
      </c>
      <c r="M216" s="1">
        <v>23</v>
      </c>
      <c r="N216" s="1">
        <v>0</v>
      </c>
      <c r="O216" s="1">
        <v>1</v>
      </c>
      <c r="P216" s="2">
        <v>1</v>
      </c>
      <c r="Q216" s="68">
        <v>14</v>
      </c>
    </row>
    <row r="217" spans="1:17" x14ac:dyDescent="0.25">
      <c r="A217" s="10">
        <v>33</v>
      </c>
      <c r="B217" s="10">
        <v>4</v>
      </c>
      <c r="C217" s="10">
        <v>5</v>
      </c>
      <c r="D217" s="10">
        <v>1</v>
      </c>
      <c r="E217" s="10">
        <v>28</v>
      </c>
      <c r="F217" s="10">
        <v>28</v>
      </c>
      <c r="L217" s="1">
        <v>215</v>
      </c>
      <c r="M217" s="1">
        <v>23</v>
      </c>
      <c r="N217" s="1">
        <v>0</v>
      </c>
      <c r="O217" s="1">
        <v>1</v>
      </c>
      <c r="P217" s="2">
        <v>1</v>
      </c>
      <c r="Q217" s="67">
        <v>3</v>
      </c>
    </row>
    <row r="218" spans="1:17" x14ac:dyDescent="0.25">
      <c r="A218" s="10">
        <v>419</v>
      </c>
      <c r="B218" s="10">
        <v>45</v>
      </c>
      <c r="C218" s="10">
        <v>7</v>
      </c>
      <c r="D218" s="10">
        <v>3</v>
      </c>
      <c r="E218" s="10">
        <v>2</v>
      </c>
      <c r="F218" s="10">
        <v>2</v>
      </c>
      <c r="L218" s="1">
        <v>216</v>
      </c>
      <c r="M218" s="1">
        <v>23</v>
      </c>
      <c r="N218" s="1">
        <v>0</v>
      </c>
      <c r="O218" s="1">
        <v>1</v>
      </c>
      <c r="P218" s="2">
        <v>1</v>
      </c>
      <c r="Q218" s="68">
        <v>12</v>
      </c>
    </row>
    <row r="219" spans="1:17" x14ac:dyDescent="0.25">
      <c r="A219" s="10">
        <v>33</v>
      </c>
      <c r="B219" s="10">
        <v>4</v>
      </c>
      <c r="C219" s="10">
        <v>5</v>
      </c>
      <c r="D219" s="10">
        <v>3</v>
      </c>
      <c r="E219" s="10">
        <v>1</v>
      </c>
      <c r="F219" s="10">
        <v>1</v>
      </c>
      <c r="L219" s="1">
        <v>217</v>
      </c>
      <c r="M219" s="1">
        <v>23</v>
      </c>
      <c r="N219" s="1">
        <v>0</v>
      </c>
      <c r="O219" s="1">
        <v>1</v>
      </c>
      <c r="P219" s="2">
        <v>1</v>
      </c>
      <c r="Q219" s="67">
        <v>13</v>
      </c>
    </row>
    <row r="220" spans="1:17" x14ac:dyDescent="0.25">
      <c r="A220" s="10">
        <v>419</v>
      </c>
      <c r="B220" s="10">
        <v>45</v>
      </c>
      <c r="C220" s="10">
        <v>7</v>
      </c>
      <c r="D220" s="10">
        <v>4</v>
      </c>
      <c r="E220" s="10">
        <v>8</v>
      </c>
      <c r="F220" s="10">
        <v>8</v>
      </c>
      <c r="L220" s="1">
        <v>218</v>
      </c>
      <c r="M220" s="1">
        <v>23</v>
      </c>
      <c r="N220" s="1">
        <v>0</v>
      </c>
      <c r="O220" s="1">
        <v>1</v>
      </c>
      <c r="P220" s="2">
        <v>1</v>
      </c>
      <c r="Q220" s="68">
        <v>20</v>
      </c>
    </row>
    <row r="221" spans="1:17" x14ac:dyDescent="0.25">
      <c r="A221" s="10">
        <v>14</v>
      </c>
      <c r="B221" s="10">
        <v>2</v>
      </c>
      <c r="C221" s="10">
        <v>6</v>
      </c>
      <c r="D221" s="10">
        <v>1</v>
      </c>
      <c r="E221" s="10">
        <v>20</v>
      </c>
      <c r="F221" s="10">
        <v>20</v>
      </c>
      <c r="L221" s="1">
        <v>219</v>
      </c>
      <c r="M221" s="1">
        <v>24</v>
      </c>
      <c r="N221" s="1">
        <v>0</v>
      </c>
      <c r="O221" s="1">
        <v>1</v>
      </c>
      <c r="P221" s="2">
        <v>1</v>
      </c>
      <c r="Q221" s="67">
        <v>3</v>
      </c>
    </row>
    <row r="222" spans="1:17" x14ac:dyDescent="0.25">
      <c r="A222" s="10">
        <v>33</v>
      </c>
      <c r="B222" s="10">
        <v>4</v>
      </c>
      <c r="C222" s="10">
        <v>6</v>
      </c>
      <c r="D222" s="10">
        <v>1</v>
      </c>
      <c r="E222" s="10">
        <v>18</v>
      </c>
      <c r="F222" s="10">
        <v>18</v>
      </c>
      <c r="L222" s="1">
        <v>220</v>
      </c>
      <c r="M222" s="1">
        <v>24</v>
      </c>
      <c r="N222" s="1">
        <v>0</v>
      </c>
      <c r="O222" s="1">
        <v>1</v>
      </c>
      <c r="P222" s="2">
        <v>1</v>
      </c>
      <c r="Q222" s="68">
        <v>10</v>
      </c>
    </row>
    <row r="223" spans="1:17" x14ac:dyDescent="0.25">
      <c r="A223" s="10">
        <v>264</v>
      </c>
      <c r="B223" s="10">
        <v>29</v>
      </c>
      <c r="C223" s="10">
        <v>8</v>
      </c>
      <c r="D223" s="10">
        <v>2</v>
      </c>
      <c r="E223" s="10">
        <v>2</v>
      </c>
      <c r="F223" s="10">
        <v>2</v>
      </c>
      <c r="L223" s="1">
        <v>221</v>
      </c>
      <c r="M223" s="1">
        <v>24</v>
      </c>
      <c r="N223" s="1">
        <v>0</v>
      </c>
      <c r="O223" s="1">
        <v>1</v>
      </c>
      <c r="P223" s="2">
        <v>1</v>
      </c>
      <c r="Q223" s="67">
        <v>23</v>
      </c>
    </row>
    <row r="224" spans="1:17" x14ac:dyDescent="0.25">
      <c r="A224" s="10">
        <v>115</v>
      </c>
      <c r="B224" s="10">
        <v>13</v>
      </c>
      <c r="C224" s="10">
        <v>7</v>
      </c>
      <c r="D224" s="10">
        <v>1</v>
      </c>
      <c r="E224" s="10">
        <v>7</v>
      </c>
      <c r="F224" s="10">
        <v>7</v>
      </c>
      <c r="L224" s="1">
        <v>222</v>
      </c>
      <c r="M224" s="1">
        <v>24</v>
      </c>
      <c r="N224" s="1">
        <v>0</v>
      </c>
      <c r="O224" s="1">
        <v>1</v>
      </c>
      <c r="P224" s="2">
        <v>1</v>
      </c>
      <c r="Q224" s="68">
        <v>4</v>
      </c>
    </row>
    <row r="225" spans="1:17" x14ac:dyDescent="0.25">
      <c r="A225" s="10">
        <v>205</v>
      </c>
      <c r="B225" s="10">
        <v>22</v>
      </c>
      <c r="C225" s="10">
        <v>8</v>
      </c>
      <c r="D225" s="10">
        <v>4</v>
      </c>
      <c r="E225" s="10">
        <v>2</v>
      </c>
      <c r="F225" s="10">
        <v>2</v>
      </c>
      <c r="L225" s="1">
        <v>223</v>
      </c>
      <c r="M225" s="1">
        <v>24</v>
      </c>
      <c r="N225" s="1">
        <v>0</v>
      </c>
      <c r="O225" s="1">
        <v>1</v>
      </c>
      <c r="P225" s="2">
        <v>1</v>
      </c>
      <c r="Q225" s="67">
        <v>6</v>
      </c>
    </row>
    <row r="226" spans="1:17" x14ac:dyDescent="0.25">
      <c r="A226" s="10">
        <v>199</v>
      </c>
      <c r="B226" s="10">
        <v>22</v>
      </c>
      <c r="C226" s="10">
        <v>1</v>
      </c>
      <c r="D226" s="10">
        <v>1</v>
      </c>
      <c r="E226" s="10">
        <v>3</v>
      </c>
      <c r="F226" s="10">
        <v>3</v>
      </c>
      <c r="L226" s="1">
        <v>224</v>
      </c>
      <c r="M226" s="1">
        <v>24</v>
      </c>
      <c r="N226" s="1">
        <v>0</v>
      </c>
      <c r="O226" s="1">
        <v>1</v>
      </c>
      <c r="P226" s="2">
        <v>1</v>
      </c>
      <c r="Q226" s="68">
        <v>3</v>
      </c>
    </row>
    <row r="227" spans="1:17" x14ac:dyDescent="0.25">
      <c r="A227" s="10">
        <v>199</v>
      </c>
      <c r="B227" s="10">
        <v>22</v>
      </c>
      <c r="C227" s="10">
        <v>1</v>
      </c>
      <c r="D227" s="10">
        <v>2</v>
      </c>
      <c r="E227" s="10">
        <v>1</v>
      </c>
      <c r="F227" s="10">
        <v>1</v>
      </c>
      <c r="L227" s="1">
        <v>225</v>
      </c>
      <c r="M227" s="1">
        <v>24</v>
      </c>
      <c r="N227" s="1">
        <v>0</v>
      </c>
      <c r="O227" s="1">
        <v>1</v>
      </c>
      <c r="P227" s="2">
        <v>1</v>
      </c>
      <c r="Q227" s="67">
        <v>6</v>
      </c>
    </row>
    <row r="228" spans="1:17" x14ac:dyDescent="0.25">
      <c r="A228" s="10">
        <v>115</v>
      </c>
      <c r="B228" s="10">
        <v>13</v>
      </c>
      <c r="C228" s="10">
        <v>7</v>
      </c>
      <c r="D228" s="10">
        <v>6</v>
      </c>
      <c r="E228" s="10">
        <v>2</v>
      </c>
      <c r="F228" s="10">
        <v>2</v>
      </c>
      <c r="L228" s="1">
        <v>226</v>
      </c>
      <c r="M228" s="1">
        <v>24</v>
      </c>
      <c r="N228" s="1">
        <v>0</v>
      </c>
      <c r="O228" s="1">
        <v>1</v>
      </c>
      <c r="P228" s="2">
        <v>1</v>
      </c>
      <c r="Q228" s="68">
        <v>5</v>
      </c>
    </row>
    <row r="229" spans="1:17" x14ac:dyDescent="0.25">
      <c r="A229" s="10">
        <v>252</v>
      </c>
      <c r="B229" s="10">
        <v>27</v>
      </c>
      <c r="C229" s="10">
        <v>7</v>
      </c>
      <c r="D229" s="10">
        <v>1</v>
      </c>
      <c r="E229" s="10">
        <v>18</v>
      </c>
      <c r="F229" s="10">
        <v>18</v>
      </c>
      <c r="L229" s="1">
        <v>227</v>
      </c>
      <c r="M229" s="1">
        <v>24</v>
      </c>
      <c r="N229" s="1">
        <v>0</v>
      </c>
      <c r="O229" s="1">
        <v>1</v>
      </c>
      <c r="P229" s="2">
        <v>1</v>
      </c>
      <c r="Q229" s="67">
        <v>15</v>
      </c>
    </row>
    <row r="230" spans="1:17" x14ac:dyDescent="0.25">
      <c r="A230" s="10">
        <v>199</v>
      </c>
      <c r="B230" s="10">
        <v>22</v>
      </c>
      <c r="C230" s="10">
        <v>1</v>
      </c>
      <c r="D230" s="10">
        <v>3</v>
      </c>
      <c r="E230" s="10">
        <v>2</v>
      </c>
      <c r="F230" s="10">
        <v>2</v>
      </c>
      <c r="L230" s="1">
        <v>228</v>
      </c>
      <c r="M230" s="1">
        <v>24</v>
      </c>
      <c r="N230" s="1">
        <v>0</v>
      </c>
      <c r="O230" s="1">
        <v>1</v>
      </c>
      <c r="P230" s="2">
        <v>1</v>
      </c>
      <c r="Q230" s="68">
        <v>18</v>
      </c>
    </row>
    <row r="231" spans="1:17" x14ac:dyDescent="0.25">
      <c r="A231" s="10">
        <v>115</v>
      </c>
      <c r="B231" s="10">
        <v>13</v>
      </c>
      <c r="C231" s="10">
        <v>7</v>
      </c>
      <c r="D231" s="10">
        <v>7</v>
      </c>
      <c r="E231" s="10">
        <v>1</v>
      </c>
      <c r="F231" s="10">
        <v>1</v>
      </c>
      <c r="L231" s="1">
        <v>229</v>
      </c>
      <c r="M231" s="1">
        <v>25</v>
      </c>
      <c r="N231" s="1">
        <v>0</v>
      </c>
      <c r="O231" s="1">
        <v>1</v>
      </c>
      <c r="P231" s="2">
        <v>1</v>
      </c>
      <c r="Q231" s="67">
        <v>15</v>
      </c>
    </row>
    <row r="232" spans="1:17" x14ac:dyDescent="0.25">
      <c r="A232" s="10">
        <v>151</v>
      </c>
      <c r="B232" s="10">
        <v>16</v>
      </c>
      <c r="C232" s="10">
        <v>7</v>
      </c>
      <c r="D232" s="10">
        <v>1</v>
      </c>
      <c r="E232" s="10">
        <v>7</v>
      </c>
      <c r="F232" s="10">
        <v>7</v>
      </c>
      <c r="L232" s="1">
        <v>230</v>
      </c>
      <c r="M232" s="1">
        <v>25</v>
      </c>
      <c r="N232" s="1">
        <v>0</v>
      </c>
      <c r="O232" s="1">
        <v>1</v>
      </c>
      <c r="P232" s="2">
        <v>1</v>
      </c>
      <c r="Q232" s="68">
        <v>12</v>
      </c>
    </row>
    <row r="233" spans="1:17" x14ac:dyDescent="0.25">
      <c r="A233" s="10">
        <v>251</v>
      </c>
      <c r="B233" s="10">
        <v>27</v>
      </c>
      <c r="C233" s="10">
        <v>8</v>
      </c>
      <c r="D233" s="10">
        <v>2</v>
      </c>
      <c r="E233" s="10">
        <v>2</v>
      </c>
      <c r="F233" s="10">
        <v>2</v>
      </c>
      <c r="L233" s="1">
        <v>231</v>
      </c>
      <c r="M233" s="1">
        <v>25</v>
      </c>
      <c r="N233" s="1">
        <v>0</v>
      </c>
      <c r="O233" s="1">
        <v>1</v>
      </c>
      <c r="P233" s="2">
        <v>1</v>
      </c>
      <c r="Q233" s="67">
        <v>12</v>
      </c>
    </row>
    <row r="234" spans="1:17" x14ac:dyDescent="0.25">
      <c r="A234" s="10">
        <v>252</v>
      </c>
      <c r="B234" s="10">
        <v>27</v>
      </c>
      <c r="C234" s="10">
        <v>7</v>
      </c>
      <c r="D234" s="10">
        <v>4</v>
      </c>
      <c r="E234" s="10">
        <v>2</v>
      </c>
      <c r="F234" s="10">
        <v>2</v>
      </c>
      <c r="L234" s="1">
        <v>232</v>
      </c>
      <c r="M234" s="1">
        <v>25</v>
      </c>
      <c r="N234" s="1">
        <v>0</v>
      </c>
      <c r="O234" s="1">
        <v>1</v>
      </c>
      <c r="P234" s="2">
        <v>1</v>
      </c>
      <c r="Q234" s="68">
        <v>10</v>
      </c>
    </row>
    <row r="235" spans="1:17" x14ac:dyDescent="0.25">
      <c r="A235" s="10">
        <v>252</v>
      </c>
      <c r="B235" s="10">
        <v>27</v>
      </c>
      <c r="C235" s="10">
        <v>7</v>
      </c>
      <c r="D235" s="10">
        <v>6</v>
      </c>
      <c r="E235" s="10">
        <v>2</v>
      </c>
      <c r="F235" s="10">
        <v>2</v>
      </c>
      <c r="L235" s="1">
        <v>233</v>
      </c>
      <c r="M235" s="1">
        <v>25</v>
      </c>
      <c r="N235" s="1">
        <v>0</v>
      </c>
      <c r="O235" s="1">
        <v>1</v>
      </c>
      <c r="P235" s="2">
        <v>1</v>
      </c>
      <c r="Q235" s="67">
        <v>12</v>
      </c>
    </row>
    <row r="236" spans="1:17" x14ac:dyDescent="0.25">
      <c r="A236" s="10">
        <v>151</v>
      </c>
      <c r="B236" s="10">
        <v>16</v>
      </c>
      <c r="C236" s="10">
        <v>7</v>
      </c>
      <c r="D236" s="10">
        <v>8</v>
      </c>
      <c r="E236" s="10">
        <v>1</v>
      </c>
      <c r="F236" s="10">
        <v>1</v>
      </c>
      <c r="L236" s="1">
        <v>234</v>
      </c>
      <c r="M236" s="1">
        <v>25</v>
      </c>
      <c r="N236" s="1">
        <v>0</v>
      </c>
      <c r="O236" s="1">
        <v>1</v>
      </c>
      <c r="P236" s="2">
        <v>1</v>
      </c>
      <c r="Q236" s="68">
        <v>15</v>
      </c>
    </row>
    <row r="237" spans="1:17" x14ac:dyDescent="0.25">
      <c r="A237" s="10">
        <v>251</v>
      </c>
      <c r="B237" s="10">
        <v>27</v>
      </c>
      <c r="C237" s="10">
        <v>8</v>
      </c>
      <c r="D237" s="10">
        <v>6</v>
      </c>
      <c r="E237" s="10">
        <v>3</v>
      </c>
      <c r="F237" s="10">
        <v>3</v>
      </c>
      <c r="L237" s="1">
        <v>235</v>
      </c>
      <c r="M237" s="1">
        <v>25</v>
      </c>
      <c r="N237" s="1">
        <v>0</v>
      </c>
      <c r="O237" s="1">
        <v>1</v>
      </c>
      <c r="P237" s="2">
        <v>1</v>
      </c>
      <c r="Q237" s="67">
        <v>15</v>
      </c>
    </row>
    <row r="238" spans="1:17" x14ac:dyDescent="0.25">
      <c r="A238" s="10">
        <v>251</v>
      </c>
      <c r="B238" s="10">
        <v>27</v>
      </c>
      <c r="C238" s="10">
        <v>8</v>
      </c>
      <c r="D238" s="10">
        <v>7</v>
      </c>
      <c r="E238" s="10">
        <v>1</v>
      </c>
      <c r="F238" s="10">
        <v>1</v>
      </c>
      <c r="L238" s="1">
        <v>236</v>
      </c>
      <c r="M238" s="1">
        <v>25</v>
      </c>
      <c r="N238" s="1">
        <v>0</v>
      </c>
      <c r="O238" s="1">
        <v>1</v>
      </c>
      <c r="P238" s="2">
        <v>1</v>
      </c>
      <c r="Q238" s="68">
        <v>19</v>
      </c>
    </row>
    <row r="239" spans="1:17" x14ac:dyDescent="0.25">
      <c r="A239" s="10">
        <v>39</v>
      </c>
      <c r="B239" s="10">
        <v>5</v>
      </c>
      <c r="C239" s="10">
        <v>6</v>
      </c>
      <c r="D239" s="10">
        <v>1</v>
      </c>
      <c r="E239" s="10">
        <v>4</v>
      </c>
      <c r="F239" s="10">
        <v>4</v>
      </c>
      <c r="L239" s="1">
        <v>237</v>
      </c>
      <c r="M239" s="1">
        <v>26</v>
      </c>
      <c r="N239" s="1">
        <v>0</v>
      </c>
      <c r="O239" s="1">
        <v>1</v>
      </c>
      <c r="P239" s="2">
        <v>1</v>
      </c>
      <c r="Q239" s="67">
        <v>19</v>
      </c>
    </row>
    <row r="240" spans="1:17" x14ac:dyDescent="0.25">
      <c r="A240" s="10">
        <v>39</v>
      </c>
      <c r="B240" s="10">
        <v>5</v>
      </c>
      <c r="C240" s="10">
        <v>6</v>
      </c>
      <c r="D240" s="10">
        <v>2</v>
      </c>
      <c r="E240" s="10">
        <v>6</v>
      </c>
      <c r="F240" s="10">
        <v>6</v>
      </c>
      <c r="L240" s="1">
        <v>238</v>
      </c>
      <c r="M240" s="1">
        <v>26</v>
      </c>
      <c r="N240" s="1">
        <v>0</v>
      </c>
      <c r="O240" s="1">
        <v>1</v>
      </c>
      <c r="P240" s="2">
        <v>1</v>
      </c>
      <c r="Q240" s="68">
        <v>19</v>
      </c>
    </row>
    <row r="241" spans="1:17" x14ac:dyDescent="0.25">
      <c r="A241" s="10">
        <v>266</v>
      </c>
      <c r="B241" s="10">
        <v>29</v>
      </c>
      <c r="C241" s="10">
        <v>7</v>
      </c>
      <c r="D241" s="10">
        <v>1</v>
      </c>
      <c r="E241" s="10">
        <v>4</v>
      </c>
      <c r="F241" s="10">
        <v>4</v>
      </c>
      <c r="L241" s="1">
        <v>239</v>
      </c>
      <c r="M241" s="1">
        <v>26</v>
      </c>
      <c r="N241" s="1">
        <v>0</v>
      </c>
      <c r="O241" s="1">
        <v>1</v>
      </c>
      <c r="P241" s="2">
        <v>1</v>
      </c>
      <c r="Q241" s="67">
        <v>16</v>
      </c>
    </row>
    <row r="242" spans="1:17" x14ac:dyDescent="0.25">
      <c r="A242" s="10">
        <v>266</v>
      </c>
      <c r="B242" s="10">
        <v>29</v>
      </c>
      <c r="C242" s="10">
        <v>7</v>
      </c>
      <c r="D242" s="10">
        <v>2</v>
      </c>
      <c r="E242" s="10">
        <v>9</v>
      </c>
      <c r="F242" s="10">
        <v>9</v>
      </c>
      <c r="L242" s="1">
        <v>240</v>
      </c>
      <c r="M242" s="1">
        <v>26</v>
      </c>
      <c r="N242" s="1">
        <v>0</v>
      </c>
      <c r="O242" s="1">
        <v>1</v>
      </c>
      <c r="P242" s="2">
        <v>1</v>
      </c>
      <c r="Q242" s="68">
        <v>20</v>
      </c>
    </row>
    <row r="243" spans="1:17" x14ac:dyDescent="0.25">
      <c r="A243" s="10">
        <v>266</v>
      </c>
      <c r="B243" s="10">
        <v>29</v>
      </c>
      <c r="C243" s="10">
        <v>7</v>
      </c>
      <c r="D243" s="10">
        <v>4</v>
      </c>
      <c r="E243" s="10">
        <v>2</v>
      </c>
      <c r="F243" s="10">
        <v>2</v>
      </c>
      <c r="L243" s="1">
        <v>241</v>
      </c>
      <c r="M243" s="1">
        <v>26</v>
      </c>
      <c r="N243" s="1">
        <v>0</v>
      </c>
      <c r="O243" s="1">
        <v>1</v>
      </c>
      <c r="P243" s="2">
        <v>1</v>
      </c>
      <c r="Q243" s="67">
        <v>13</v>
      </c>
    </row>
    <row r="244" spans="1:17" x14ac:dyDescent="0.25">
      <c r="A244" s="10">
        <v>199</v>
      </c>
      <c r="B244" s="10">
        <v>22</v>
      </c>
      <c r="C244" s="10">
        <v>3</v>
      </c>
      <c r="D244" s="10">
        <v>1</v>
      </c>
      <c r="E244" s="10">
        <v>3</v>
      </c>
      <c r="F244" s="10">
        <v>3</v>
      </c>
      <c r="L244" s="1">
        <v>242</v>
      </c>
      <c r="M244" s="1">
        <v>26</v>
      </c>
      <c r="N244" s="1">
        <v>0</v>
      </c>
      <c r="O244" s="1">
        <v>1</v>
      </c>
      <c r="P244" s="2">
        <v>1</v>
      </c>
      <c r="Q244" s="68">
        <v>19</v>
      </c>
    </row>
    <row r="245" spans="1:17" x14ac:dyDescent="0.25">
      <c r="A245" s="10">
        <v>199</v>
      </c>
      <c r="B245" s="10">
        <v>22</v>
      </c>
      <c r="C245" s="10">
        <v>3</v>
      </c>
      <c r="D245" s="10">
        <v>2</v>
      </c>
      <c r="E245" s="10">
        <v>4</v>
      </c>
      <c r="F245" s="10">
        <v>4</v>
      </c>
      <c r="L245" s="1">
        <v>243</v>
      </c>
      <c r="M245" s="1">
        <v>26</v>
      </c>
      <c r="N245" s="1">
        <v>0</v>
      </c>
      <c r="O245" s="1">
        <v>1</v>
      </c>
      <c r="P245" s="2">
        <v>1</v>
      </c>
      <c r="Q245" s="67">
        <v>18</v>
      </c>
    </row>
    <row r="246" spans="1:17" x14ac:dyDescent="0.25">
      <c r="A246" s="10">
        <v>199</v>
      </c>
      <c r="B246" s="10">
        <v>22</v>
      </c>
      <c r="C246" s="10">
        <v>3</v>
      </c>
      <c r="D246" s="10">
        <v>3</v>
      </c>
      <c r="E246" s="10">
        <v>1</v>
      </c>
      <c r="F246" s="10">
        <v>1</v>
      </c>
      <c r="L246" s="1">
        <v>244</v>
      </c>
      <c r="M246" s="1">
        <v>26</v>
      </c>
      <c r="N246" s="1">
        <v>0</v>
      </c>
      <c r="O246" s="1">
        <v>1</v>
      </c>
      <c r="P246" s="2">
        <v>1</v>
      </c>
      <c r="Q246" s="68">
        <v>22</v>
      </c>
    </row>
    <row r="247" spans="1:17" x14ac:dyDescent="0.25">
      <c r="A247" s="10">
        <v>17</v>
      </c>
      <c r="B247" s="10">
        <v>2</v>
      </c>
      <c r="C247" s="10">
        <v>7</v>
      </c>
      <c r="D247" s="10">
        <v>2</v>
      </c>
      <c r="E247" s="10">
        <v>15</v>
      </c>
      <c r="F247" s="10">
        <v>15</v>
      </c>
      <c r="L247" s="1">
        <v>245</v>
      </c>
      <c r="M247" s="1">
        <v>26</v>
      </c>
      <c r="N247" s="1">
        <v>0</v>
      </c>
      <c r="O247" s="1">
        <v>1</v>
      </c>
      <c r="P247" s="2">
        <v>1</v>
      </c>
      <c r="Q247" s="67">
        <v>13</v>
      </c>
    </row>
    <row r="248" spans="1:17" x14ac:dyDescent="0.25">
      <c r="A248" s="10">
        <v>36</v>
      </c>
      <c r="B248" s="10">
        <v>4</v>
      </c>
      <c r="C248" s="10">
        <v>7</v>
      </c>
      <c r="D248" s="10">
        <v>1</v>
      </c>
      <c r="E248" s="10">
        <v>30</v>
      </c>
      <c r="F248" s="10">
        <v>30</v>
      </c>
      <c r="L248" s="1">
        <v>246</v>
      </c>
      <c r="M248" s="1">
        <v>26</v>
      </c>
      <c r="N248" s="1">
        <v>0</v>
      </c>
      <c r="O248" s="1">
        <v>1</v>
      </c>
      <c r="P248" s="2">
        <v>1</v>
      </c>
      <c r="Q248" s="68">
        <v>15</v>
      </c>
    </row>
    <row r="249" spans="1:17" x14ac:dyDescent="0.25">
      <c r="A249" s="10">
        <v>199</v>
      </c>
      <c r="B249" s="10">
        <v>22</v>
      </c>
      <c r="C249" s="10">
        <v>4</v>
      </c>
      <c r="D249" s="10">
        <v>1</v>
      </c>
      <c r="E249" s="10">
        <v>8</v>
      </c>
      <c r="F249" s="10">
        <v>8</v>
      </c>
      <c r="L249" s="1">
        <v>247</v>
      </c>
      <c r="M249" s="1">
        <v>27</v>
      </c>
      <c r="N249" s="1">
        <v>0</v>
      </c>
      <c r="O249" s="1">
        <v>1</v>
      </c>
      <c r="P249" s="2">
        <v>1</v>
      </c>
      <c r="Q249" s="67">
        <v>17</v>
      </c>
    </row>
    <row r="250" spans="1:17" x14ac:dyDescent="0.25">
      <c r="A250" s="10">
        <v>199</v>
      </c>
      <c r="B250" s="10">
        <v>22</v>
      </c>
      <c r="C250" s="10">
        <v>4</v>
      </c>
      <c r="D250" s="10">
        <v>2</v>
      </c>
      <c r="E250" s="10">
        <v>1</v>
      </c>
      <c r="F250" s="10">
        <v>1</v>
      </c>
      <c r="L250" s="1">
        <v>248</v>
      </c>
      <c r="M250" s="1">
        <v>27</v>
      </c>
      <c r="N250" s="1">
        <v>0</v>
      </c>
      <c r="O250" s="1">
        <v>1</v>
      </c>
      <c r="P250" s="2">
        <v>1</v>
      </c>
      <c r="Q250" s="68">
        <v>6</v>
      </c>
    </row>
    <row r="251" spans="1:17" x14ac:dyDescent="0.25">
      <c r="A251" s="10">
        <v>311</v>
      </c>
      <c r="B251" s="10">
        <v>34</v>
      </c>
      <c r="C251" s="10">
        <v>7</v>
      </c>
      <c r="D251" s="10">
        <v>1</v>
      </c>
      <c r="E251" s="10">
        <v>9</v>
      </c>
      <c r="F251" s="10">
        <v>9</v>
      </c>
      <c r="L251" s="1">
        <v>249</v>
      </c>
      <c r="M251" s="1">
        <v>27</v>
      </c>
      <c r="N251" s="1">
        <v>0</v>
      </c>
      <c r="O251" s="1">
        <v>1</v>
      </c>
      <c r="P251" s="2">
        <v>1</v>
      </c>
      <c r="Q251" s="67">
        <v>5</v>
      </c>
    </row>
    <row r="252" spans="1:17" x14ac:dyDescent="0.25">
      <c r="A252" s="10">
        <v>199</v>
      </c>
      <c r="B252" s="10">
        <v>22</v>
      </c>
      <c r="C252" s="10">
        <v>4</v>
      </c>
      <c r="D252" s="10">
        <v>3</v>
      </c>
      <c r="E252" s="10">
        <v>2</v>
      </c>
      <c r="F252" s="10">
        <v>2</v>
      </c>
      <c r="L252" s="1">
        <v>250</v>
      </c>
      <c r="M252" s="1">
        <v>27</v>
      </c>
      <c r="N252" s="1">
        <v>0</v>
      </c>
      <c r="O252" s="1">
        <v>1</v>
      </c>
      <c r="P252" s="2">
        <v>1</v>
      </c>
      <c r="Q252" s="68">
        <v>9</v>
      </c>
    </row>
    <row r="253" spans="1:17" x14ac:dyDescent="0.25">
      <c r="A253" s="10">
        <v>311</v>
      </c>
      <c r="B253" s="10">
        <v>34</v>
      </c>
      <c r="C253" s="10">
        <v>7</v>
      </c>
      <c r="D253" s="10">
        <v>2</v>
      </c>
      <c r="E253" s="10">
        <v>4</v>
      </c>
      <c r="F253" s="10">
        <v>4</v>
      </c>
      <c r="L253" s="1">
        <v>251</v>
      </c>
      <c r="M253" s="1">
        <v>27</v>
      </c>
      <c r="N253" s="1">
        <v>0</v>
      </c>
      <c r="O253" s="1">
        <v>1</v>
      </c>
      <c r="P253" s="2">
        <v>1</v>
      </c>
      <c r="Q253" s="67">
        <v>5</v>
      </c>
    </row>
    <row r="254" spans="1:17" x14ac:dyDescent="0.25">
      <c r="A254" s="10">
        <v>311</v>
      </c>
      <c r="B254" s="10">
        <v>34</v>
      </c>
      <c r="C254" s="10">
        <v>7</v>
      </c>
      <c r="D254" s="10">
        <v>3</v>
      </c>
      <c r="E254" s="10">
        <v>4</v>
      </c>
      <c r="F254" s="10">
        <v>4</v>
      </c>
      <c r="L254" s="1">
        <v>252</v>
      </c>
      <c r="M254" s="1">
        <v>27</v>
      </c>
      <c r="N254" s="1">
        <v>0</v>
      </c>
      <c r="O254" s="1">
        <v>1</v>
      </c>
      <c r="P254" s="2">
        <v>1</v>
      </c>
      <c r="Q254" s="68">
        <v>8</v>
      </c>
    </row>
    <row r="255" spans="1:17" x14ac:dyDescent="0.25">
      <c r="A255" s="10">
        <v>199</v>
      </c>
      <c r="B255" s="10">
        <v>22</v>
      </c>
      <c r="C255" s="10">
        <v>5</v>
      </c>
      <c r="D255" s="10">
        <v>1</v>
      </c>
      <c r="E255" s="10">
        <v>4</v>
      </c>
      <c r="F255" s="10">
        <v>4</v>
      </c>
      <c r="L255" s="1">
        <v>253</v>
      </c>
      <c r="M255" s="1">
        <v>27</v>
      </c>
      <c r="N255" s="1">
        <v>0</v>
      </c>
      <c r="O255" s="1">
        <v>1</v>
      </c>
      <c r="P255" s="2">
        <v>1</v>
      </c>
      <c r="Q255" s="67">
        <v>6</v>
      </c>
    </row>
    <row r="256" spans="1:17" x14ac:dyDescent="0.25">
      <c r="A256" s="10">
        <v>199</v>
      </c>
      <c r="B256" s="10">
        <v>22</v>
      </c>
      <c r="C256" s="10">
        <v>5</v>
      </c>
      <c r="D256" s="10">
        <v>2</v>
      </c>
      <c r="E256" s="10">
        <v>2</v>
      </c>
      <c r="F256" s="10">
        <v>2</v>
      </c>
      <c r="L256" s="1">
        <v>254</v>
      </c>
      <c r="M256" s="1">
        <v>27</v>
      </c>
      <c r="N256" s="1">
        <v>0</v>
      </c>
      <c r="O256" s="1">
        <v>1</v>
      </c>
      <c r="P256" s="2">
        <v>1</v>
      </c>
      <c r="Q256" s="68">
        <v>2</v>
      </c>
    </row>
    <row r="257" spans="1:17" x14ac:dyDescent="0.25">
      <c r="A257" s="10">
        <v>279</v>
      </c>
      <c r="B257" s="10">
        <v>30</v>
      </c>
      <c r="C257" s="10">
        <v>7</v>
      </c>
      <c r="D257" s="10">
        <v>1</v>
      </c>
      <c r="E257" s="10">
        <v>11</v>
      </c>
      <c r="F257" s="10">
        <v>11</v>
      </c>
      <c r="L257" s="1">
        <v>255</v>
      </c>
      <c r="M257" s="1">
        <v>28</v>
      </c>
      <c r="N257" s="1">
        <v>0</v>
      </c>
      <c r="O257" s="1">
        <v>1</v>
      </c>
      <c r="P257" s="2">
        <v>1</v>
      </c>
      <c r="Q257" s="67">
        <v>2</v>
      </c>
    </row>
    <row r="258" spans="1:17" x14ac:dyDescent="0.25">
      <c r="A258" s="10">
        <v>279</v>
      </c>
      <c r="B258" s="10">
        <v>30</v>
      </c>
      <c r="C258" s="10">
        <v>7</v>
      </c>
      <c r="D258" s="10">
        <v>2</v>
      </c>
      <c r="E258" s="10">
        <v>17</v>
      </c>
      <c r="F258" s="10">
        <v>17</v>
      </c>
      <c r="L258" s="1">
        <v>256</v>
      </c>
      <c r="M258" s="1">
        <v>28</v>
      </c>
      <c r="N258" s="1">
        <v>0</v>
      </c>
      <c r="O258" s="1">
        <v>1</v>
      </c>
      <c r="P258" s="2">
        <v>1</v>
      </c>
      <c r="Q258" s="68">
        <v>15</v>
      </c>
    </row>
    <row r="259" spans="1:17" x14ac:dyDescent="0.25">
      <c r="A259" s="10">
        <v>37</v>
      </c>
      <c r="B259" s="10">
        <v>5</v>
      </c>
      <c r="C259" s="10">
        <v>7</v>
      </c>
      <c r="D259" s="10">
        <v>1</v>
      </c>
      <c r="E259" s="10">
        <v>10</v>
      </c>
      <c r="F259" s="10">
        <v>10</v>
      </c>
      <c r="L259" s="1">
        <v>257</v>
      </c>
      <c r="M259" s="1">
        <v>28</v>
      </c>
      <c r="N259" s="1">
        <v>0</v>
      </c>
      <c r="O259" s="1">
        <v>1</v>
      </c>
      <c r="P259" s="2">
        <v>1</v>
      </c>
      <c r="Q259" s="67">
        <v>15</v>
      </c>
    </row>
    <row r="260" spans="1:17" x14ac:dyDescent="0.25">
      <c r="A260" s="10">
        <v>199</v>
      </c>
      <c r="B260" s="10">
        <v>22</v>
      </c>
      <c r="C260" s="10">
        <v>5</v>
      </c>
      <c r="D260" s="10">
        <v>4</v>
      </c>
      <c r="E260" s="10">
        <v>1</v>
      </c>
      <c r="F260" s="10">
        <v>1</v>
      </c>
      <c r="L260" s="1">
        <v>258</v>
      </c>
      <c r="M260" s="1">
        <v>28</v>
      </c>
      <c r="N260" s="1">
        <v>0</v>
      </c>
      <c r="O260" s="1">
        <v>1</v>
      </c>
      <c r="P260" s="2">
        <v>1</v>
      </c>
      <c r="Q260" s="68">
        <v>13</v>
      </c>
    </row>
    <row r="261" spans="1:17" x14ac:dyDescent="0.25">
      <c r="A261" s="10">
        <v>37</v>
      </c>
      <c r="B261" s="10">
        <v>5</v>
      </c>
      <c r="C261" s="10">
        <v>7</v>
      </c>
      <c r="D261" s="10">
        <v>2</v>
      </c>
      <c r="E261" s="10">
        <v>8</v>
      </c>
      <c r="F261" s="10">
        <v>8</v>
      </c>
      <c r="L261" s="1">
        <v>259</v>
      </c>
      <c r="M261" s="1">
        <v>28</v>
      </c>
      <c r="N261" s="1">
        <v>0</v>
      </c>
      <c r="O261" s="1">
        <v>1</v>
      </c>
      <c r="P261" s="2">
        <v>1</v>
      </c>
      <c r="Q261" s="67">
        <v>5</v>
      </c>
    </row>
    <row r="262" spans="1:17" x14ac:dyDescent="0.25">
      <c r="A262" s="10">
        <v>37</v>
      </c>
      <c r="B262" s="10">
        <v>5</v>
      </c>
      <c r="C262" s="10">
        <v>7</v>
      </c>
      <c r="D262" s="10">
        <v>5</v>
      </c>
      <c r="E262" s="10">
        <v>2</v>
      </c>
      <c r="F262" s="10">
        <v>2</v>
      </c>
      <c r="L262" s="1">
        <v>260</v>
      </c>
      <c r="M262" s="1">
        <v>28</v>
      </c>
      <c r="N262" s="1">
        <v>0</v>
      </c>
      <c r="O262" s="1">
        <v>1</v>
      </c>
      <c r="P262" s="2">
        <v>1</v>
      </c>
      <c r="Q262" s="68">
        <v>17</v>
      </c>
    </row>
    <row r="263" spans="1:17" x14ac:dyDescent="0.25">
      <c r="A263" s="10">
        <v>456</v>
      </c>
      <c r="B263" s="10">
        <v>49</v>
      </c>
      <c r="C263" s="10">
        <v>7</v>
      </c>
      <c r="D263" s="10">
        <v>1</v>
      </c>
      <c r="E263" s="10">
        <v>50</v>
      </c>
      <c r="F263" s="10">
        <v>50</v>
      </c>
      <c r="L263" s="1">
        <v>261</v>
      </c>
      <c r="M263" s="1">
        <v>28</v>
      </c>
      <c r="N263" s="1">
        <v>0</v>
      </c>
      <c r="O263" s="1">
        <v>1</v>
      </c>
      <c r="P263" s="2">
        <v>1</v>
      </c>
      <c r="Q263" s="67">
        <v>10</v>
      </c>
    </row>
    <row r="264" spans="1:17" x14ac:dyDescent="0.25">
      <c r="A264" s="10">
        <v>456</v>
      </c>
      <c r="B264" s="10">
        <v>49</v>
      </c>
      <c r="C264" s="10">
        <v>7</v>
      </c>
      <c r="D264" s="10">
        <v>2</v>
      </c>
      <c r="E264" s="10">
        <v>2</v>
      </c>
      <c r="F264" s="10">
        <v>2</v>
      </c>
      <c r="L264" s="1">
        <v>262</v>
      </c>
      <c r="M264" s="1">
        <v>28</v>
      </c>
      <c r="N264" s="1">
        <v>0</v>
      </c>
      <c r="O264" s="1">
        <v>1</v>
      </c>
      <c r="P264" s="2">
        <v>1</v>
      </c>
      <c r="Q264" s="68">
        <v>15</v>
      </c>
    </row>
    <row r="265" spans="1:17" x14ac:dyDescent="0.25">
      <c r="A265" s="10">
        <v>456</v>
      </c>
      <c r="B265" s="10">
        <v>49</v>
      </c>
      <c r="C265" s="10">
        <v>7</v>
      </c>
      <c r="D265" s="10">
        <v>3</v>
      </c>
      <c r="E265" s="10">
        <v>5</v>
      </c>
      <c r="F265" s="10">
        <v>5</v>
      </c>
      <c r="L265" s="1">
        <v>263</v>
      </c>
      <c r="M265" s="1">
        <v>29</v>
      </c>
      <c r="N265" s="1">
        <v>0</v>
      </c>
      <c r="O265" s="1">
        <v>1</v>
      </c>
      <c r="P265" s="2">
        <v>1</v>
      </c>
      <c r="Q265" s="67">
        <v>10</v>
      </c>
    </row>
    <row r="266" spans="1:17" x14ac:dyDescent="0.25">
      <c r="A266" s="10">
        <v>389</v>
      </c>
      <c r="B266" s="10">
        <v>42</v>
      </c>
      <c r="C266" s="10">
        <v>7</v>
      </c>
      <c r="D266" s="10">
        <v>2</v>
      </c>
      <c r="E266" s="10">
        <v>10</v>
      </c>
      <c r="F266" s="10">
        <v>10</v>
      </c>
      <c r="L266" s="1">
        <v>264</v>
      </c>
      <c r="M266" s="1">
        <v>29</v>
      </c>
      <c r="N266" s="1">
        <v>0</v>
      </c>
      <c r="O266" s="1">
        <v>1</v>
      </c>
      <c r="P266" s="2">
        <v>1</v>
      </c>
      <c r="Q266" s="68">
        <v>12</v>
      </c>
    </row>
    <row r="267" spans="1:17" x14ac:dyDescent="0.25">
      <c r="A267" s="10">
        <v>456</v>
      </c>
      <c r="B267" s="10">
        <v>49</v>
      </c>
      <c r="C267" s="10">
        <v>7</v>
      </c>
      <c r="D267" s="10">
        <v>4</v>
      </c>
      <c r="E267" s="10">
        <v>2</v>
      </c>
      <c r="F267" s="10">
        <v>2</v>
      </c>
      <c r="L267" s="1">
        <v>265</v>
      </c>
      <c r="M267" s="1">
        <v>29</v>
      </c>
      <c r="N267" s="1">
        <v>0</v>
      </c>
      <c r="O267" s="1">
        <v>1</v>
      </c>
      <c r="P267" s="2">
        <v>1</v>
      </c>
      <c r="Q267" s="67">
        <v>17</v>
      </c>
    </row>
    <row r="268" spans="1:17" x14ac:dyDescent="0.25">
      <c r="A268" s="10">
        <v>38</v>
      </c>
      <c r="B268" s="10">
        <v>5</v>
      </c>
      <c r="C268" s="10">
        <v>7</v>
      </c>
      <c r="D268" s="10">
        <v>2</v>
      </c>
      <c r="E268" s="10">
        <v>4</v>
      </c>
      <c r="F268" s="10">
        <v>4</v>
      </c>
      <c r="L268" s="1">
        <v>266</v>
      </c>
      <c r="M268" s="1">
        <v>29</v>
      </c>
      <c r="N268" s="1">
        <v>0</v>
      </c>
      <c r="O268" s="1">
        <v>1</v>
      </c>
      <c r="P268" s="2">
        <v>1</v>
      </c>
      <c r="Q268" s="68">
        <v>14</v>
      </c>
    </row>
    <row r="269" spans="1:17" x14ac:dyDescent="0.25">
      <c r="A269" s="10">
        <v>199</v>
      </c>
      <c r="B269" s="10">
        <v>22</v>
      </c>
      <c r="C269" s="10">
        <v>6</v>
      </c>
      <c r="D269" s="10">
        <v>2</v>
      </c>
      <c r="E269" s="10">
        <v>2</v>
      </c>
      <c r="F269" s="10">
        <v>2</v>
      </c>
      <c r="L269" s="1">
        <v>267</v>
      </c>
      <c r="M269" s="1">
        <v>29</v>
      </c>
      <c r="N269" s="1">
        <v>0</v>
      </c>
      <c r="O269" s="1">
        <v>1</v>
      </c>
      <c r="P269" s="2">
        <v>1</v>
      </c>
      <c r="Q269" s="67">
        <v>9</v>
      </c>
    </row>
    <row r="270" spans="1:17" x14ac:dyDescent="0.25">
      <c r="A270" s="10">
        <v>456</v>
      </c>
      <c r="B270" s="10">
        <v>49</v>
      </c>
      <c r="C270" s="10">
        <v>7</v>
      </c>
      <c r="D270" s="10">
        <v>5</v>
      </c>
      <c r="E270" s="10">
        <v>8</v>
      </c>
      <c r="F270" s="10">
        <v>8</v>
      </c>
      <c r="L270" s="1">
        <v>268</v>
      </c>
      <c r="M270" s="1">
        <v>29</v>
      </c>
      <c r="N270" s="1">
        <v>0</v>
      </c>
      <c r="O270" s="1">
        <v>1</v>
      </c>
      <c r="P270" s="2">
        <v>1</v>
      </c>
      <c r="Q270" s="68">
        <v>16</v>
      </c>
    </row>
    <row r="271" spans="1:17" x14ac:dyDescent="0.25">
      <c r="A271" s="10">
        <v>421</v>
      </c>
      <c r="B271" s="10">
        <v>45</v>
      </c>
      <c r="C271" s="10">
        <v>7</v>
      </c>
      <c r="D271" s="10">
        <v>1</v>
      </c>
      <c r="E271" s="10">
        <v>3</v>
      </c>
      <c r="F271" s="10">
        <v>3</v>
      </c>
      <c r="L271" s="1">
        <v>269</v>
      </c>
      <c r="M271" s="1">
        <v>29</v>
      </c>
      <c r="N271" s="1">
        <v>0</v>
      </c>
      <c r="O271" s="1">
        <v>1</v>
      </c>
      <c r="P271" s="2">
        <v>1</v>
      </c>
      <c r="Q271" s="67">
        <v>14</v>
      </c>
    </row>
    <row r="272" spans="1:17" x14ac:dyDescent="0.25">
      <c r="A272" s="10">
        <v>199</v>
      </c>
      <c r="B272" s="10">
        <v>22</v>
      </c>
      <c r="C272" s="10">
        <v>7</v>
      </c>
      <c r="D272" s="10">
        <v>1</v>
      </c>
      <c r="E272" s="10">
        <v>25</v>
      </c>
      <c r="F272" s="10">
        <v>25</v>
      </c>
      <c r="L272" s="1">
        <v>270</v>
      </c>
      <c r="M272" s="1">
        <v>29</v>
      </c>
      <c r="N272" s="1">
        <v>0</v>
      </c>
      <c r="O272" s="1">
        <v>1</v>
      </c>
      <c r="P272" s="2">
        <v>1</v>
      </c>
      <c r="Q272" s="68">
        <v>14</v>
      </c>
    </row>
    <row r="273" spans="1:17" x14ac:dyDescent="0.25">
      <c r="A273" s="10">
        <v>421</v>
      </c>
      <c r="B273" s="10">
        <v>45</v>
      </c>
      <c r="C273" s="10">
        <v>7</v>
      </c>
      <c r="D273" s="10">
        <v>2</v>
      </c>
      <c r="E273" s="10">
        <v>5</v>
      </c>
      <c r="F273" s="10">
        <v>5</v>
      </c>
      <c r="L273" s="1">
        <v>271</v>
      </c>
      <c r="M273" s="1">
        <v>30</v>
      </c>
      <c r="N273" s="1">
        <v>0</v>
      </c>
      <c r="O273" s="1">
        <v>1</v>
      </c>
      <c r="P273" s="2">
        <v>1</v>
      </c>
      <c r="Q273" s="67">
        <v>4</v>
      </c>
    </row>
    <row r="274" spans="1:17" x14ac:dyDescent="0.25">
      <c r="A274" s="10">
        <v>273</v>
      </c>
      <c r="B274" s="10">
        <v>30</v>
      </c>
      <c r="C274" s="10">
        <v>7</v>
      </c>
      <c r="D274" s="10">
        <v>2</v>
      </c>
      <c r="E274" s="10">
        <v>28</v>
      </c>
      <c r="F274" s="10">
        <v>28</v>
      </c>
      <c r="L274" s="1">
        <v>272</v>
      </c>
      <c r="M274" s="1">
        <v>30</v>
      </c>
      <c r="N274" s="1">
        <v>0</v>
      </c>
      <c r="O274" s="1">
        <v>1</v>
      </c>
      <c r="P274" s="2">
        <v>1</v>
      </c>
      <c r="Q274" s="68">
        <v>10</v>
      </c>
    </row>
    <row r="275" spans="1:17" x14ac:dyDescent="0.25">
      <c r="A275" s="10">
        <v>199</v>
      </c>
      <c r="B275" s="10">
        <v>22</v>
      </c>
      <c r="C275" s="10">
        <v>7</v>
      </c>
      <c r="D275" s="10">
        <v>2</v>
      </c>
      <c r="E275" s="10">
        <v>3</v>
      </c>
      <c r="F275" s="10">
        <v>3</v>
      </c>
      <c r="L275" s="1">
        <v>273</v>
      </c>
      <c r="M275" s="1">
        <v>30</v>
      </c>
      <c r="N275" s="1">
        <v>0</v>
      </c>
      <c r="O275" s="1">
        <v>1</v>
      </c>
      <c r="P275" s="2">
        <v>1</v>
      </c>
      <c r="Q275" s="67">
        <v>14</v>
      </c>
    </row>
    <row r="276" spans="1:17" x14ac:dyDescent="0.25">
      <c r="A276" s="10">
        <v>199</v>
      </c>
      <c r="B276" s="10">
        <v>22</v>
      </c>
      <c r="C276" s="10">
        <v>7</v>
      </c>
      <c r="D276" s="10">
        <v>3</v>
      </c>
      <c r="E276" s="10">
        <v>1</v>
      </c>
      <c r="F276" s="10">
        <v>1</v>
      </c>
      <c r="L276" s="1">
        <v>274</v>
      </c>
      <c r="M276" s="1">
        <v>30</v>
      </c>
      <c r="N276" s="1">
        <v>0</v>
      </c>
      <c r="O276" s="1">
        <v>1</v>
      </c>
      <c r="P276" s="2">
        <v>1</v>
      </c>
      <c r="Q276" s="68">
        <v>17</v>
      </c>
    </row>
    <row r="277" spans="1:17" x14ac:dyDescent="0.25">
      <c r="A277" s="10">
        <v>45</v>
      </c>
      <c r="B277" s="10">
        <v>5</v>
      </c>
      <c r="C277" s="10">
        <v>7</v>
      </c>
      <c r="D277" s="10">
        <v>1</v>
      </c>
      <c r="E277" s="10">
        <v>2</v>
      </c>
      <c r="F277" s="10">
        <v>2</v>
      </c>
      <c r="L277" s="1">
        <v>275</v>
      </c>
      <c r="M277" s="1">
        <v>30</v>
      </c>
      <c r="N277" s="1">
        <v>0</v>
      </c>
      <c r="O277" s="1">
        <v>1</v>
      </c>
      <c r="P277" s="2">
        <v>1</v>
      </c>
      <c r="Q277" s="67">
        <v>11</v>
      </c>
    </row>
    <row r="278" spans="1:17" x14ac:dyDescent="0.25">
      <c r="A278" s="10">
        <v>45</v>
      </c>
      <c r="B278" s="10">
        <v>5</v>
      </c>
      <c r="C278" s="10">
        <v>7</v>
      </c>
      <c r="D278" s="10">
        <v>2</v>
      </c>
      <c r="E278" s="10">
        <v>2</v>
      </c>
      <c r="F278" s="10">
        <v>2</v>
      </c>
      <c r="L278" s="1">
        <v>276</v>
      </c>
      <c r="M278" s="1">
        <v>30</v>
      </c>
      <c r="N278" s="1">
        <v>0</v>
      </c>
      <c r="O278" s="1">
        <v>1</v>
      </c>
      <c r="P278" s="2">
        <v>1</v>
      </c>
      <c r="Q278" s="68">
        <v>19</v>
      </c>
    </row>
    <row r="279" spans="1:17" x14ac:dyDescent="0.25">
      <c r="A279" s="10">
        <v>117</v>
      </c>
      <c r="B279" s="10">
        <v>13</v>
      </c>
      <c r="C279" s="10">
        <v>7</v>
      </c>
      <c r="D279" s="10">
        <v>1</v>
      </c>
      <c r="E279" s="10">
        <v>11</v>
      </c>
      <c r="F279" s="10">
        <v>11</v>
      </c>
      <c r="L279" s="1">
        <v>277</v>
      </c>
      <c r="M279" s="1">
        <v>30</v>
      </c>
      <c r="N279" s="1">
        <v>0</v>
      </c>
      <c r="O279" s="1">
        <v>1</v>
      </c>
      <c r="P279" s="2">
        <v>1</v>
      </c>
      <c r="Q279" s="67">
        <v>15</v>
      </c>
    </row>
    <row r="280" spans="1:17" x14ac:dyDescent="0.25">
      <c r="A280" s="10">
        <v>117</v>
      </c>
      <c r="B280" s="10">
        <v>13</v>
      </c>
      <c r="C280" s="10">
        <v>7</v>
      </c>
      <c r="D280" s="10">
        <v>2</v>
      </c>
      <c r="E280" s="10">
        <v>9</v>
      </c>
      <c r="F280" s="10">
        <v>9</v>
      </c>
      <c r="L280" s="1">
        <v>278</v>
      </c>
      <c r="M280" s="1">
        <v>30</v>
      </c>
      <c r="N280" s="1">
        <v>0</v>
      </c>
      <c r="O280" s="1">
        <v>1</v>
      </c>
      <c r="P280" s="2">
        <v>1</v>
      </c>
      <c r="Q280" s="68">
        <v>10</v>
      </c>
    </row>
    <row r="281" spans="1:17" x14ac:dyDescent="0.25">
      <c r="A281" s="10">
        <v>433</v>
      </c>
      <c r="B281" s="10">
        <v>47</v>
      </c>
      <c r="C281" s="10">
        <v>7</v>
      </c>
      <c r="D281" s="10">
        <v>1</v>
      </c>
      <c r="E281" s="10">
        <v>6</v>
      </c>
      <c r="F281" s="10">
        <v>6</v>
      </c>
      <c r="L281" s="1">
        <v>279</v>
      </c>
      <c r="M281" s="1">
        <v>30</v>
      </c>
      <c r="N281" s="1">
        <v>0</v>
      </c>
      <c r="O281" s="1">
        <v>1</v>
      </c>
      <c r="P281" s="2">
        <v>1</v>
      </c>
      <c r="Q281" s="67">
        <v>15</v>
      </c>
    </row>
    <row r="282" spans="1:17" x14ac:dyDescent="0.25">
      <c r="A282" s="10">
        <v>440</v>
      </c>
      <c r="B282" s="10">
        <v>47</v>
      </c>
      <c r="C282" s="10">
        <v>7</v>
      </c>
      <c r="D282" s="10">
        <v>1</v>
      </c>
      <c r="E282" s="10">
        <v>5</v>
      </c>
      <c r="F282" s="10">
        <v>5</v>
      </c>
      <c r="L282" s="1">
        <v>280</v>
      </c>
      <c r="M282" s="1">
        <v>30</v>
      </c>
      <c r="N282" s="1">
        <v>0</v>
      </c>
      <c r="O282" s="1">
        <v>1</v>
      </c>
      <c r="P282" s="2">
        <v>1</v>
      </c>
      <c r="Q282" s="68">
        <v>16</v>
      </c>
    </row>
    <row r="283" spans="1:17" x14ac:dyDescent="0.25">
      <c r="A283" s="10">
        <v>117</v>
      </c>
      <c r="B283" s="10">
        <v>13</v>
      </c>
      <c r="C283" s="10">
        <v>7</v>
      </c>
      <c r="D283" s="10">
        <v>7</v>
      </c>
      <c r="E283" s="10">
        <v>7</v>
      </c>
      <c r="F283" s="10">
        <v>7</v>
      </c>
      <c r="L283" s="1">
        <v>281</v>
      </c>
      <c r="M283" s="1">
        <v>31</v>
      </c>
      <c r="N283" s="1">
        <v>0</v>
      </c>
      <c r="O283" s="1">
        <v>1</v>
      </c>
      <c r="P283" s="2">
        <v>1</v>
      </c>
      <c r="Q283" s="67">
        <v>11</v>
      </c>
    </row>
    <row r="284" spans="1:17" x14ac:dyDescent="0.25">
      <c r="A284" s="10">
        <v>433</v>
      </c>
      <c r="B284" s="10">
        <v>47</v>
      </c>
      <c r="C284" s="10">
        <v>7</v>
      </c>
      <c r="D284" s="10">
        <v>2</v>
      </c>
      <c r="E284" s="10">
        <v>4</v>
      </c>
      <c r="F284" s="10">
        <v>4</v>
      </c>
      <c r="L284" s="1">
        <v>282</v>
      </c>
      <c r="M284" s="1">
        <v>31</v>
      </c>
      <c r="N284" s="1">
        <v>0</v>
      </c>
      <c r="O284" s="1">
        <v>1</v>
      </c>
      <c r="P284" s="2">
        <v>1</v>
      </c>
      <c r="Q284" s="68">
        <v>7</v>
      </c>
    </row>
    <row r="285" spans="1:17" x14ac:dyDescent="0.25">
      <c r="A285" s="10">
        <v>440</v>
      </c>
      <c r="B285" s="10">
        <v>47</v>
      </c>
      <c r="C285" s="10">
        <v>7</v>
      </c>
      <c r="D285" s="10">
        <v>2</v>
      </c>
      <c r="E285" s="10">
        <v>10</v>
      </c>
      <c r="F285" s="10">
        <v>10</v>
      </c>
      <c r="L285" s="1">
        <v>283</v>
      </c>
      <c r="M285" s="1">
        <v>31</v>
      </c>
      <c r="N285" s="1">
        <v>0</v>
      </c>
      <c r="O285" s="1">
        <v>1</v>
      </c>
      <c r="P285" s="2">
        <v>1</v>
      </c>
      <c r="Q285" s="67">
        <v>12</v>
      </c>
    </row>
    <row r="286" spans="1:17" x14ac:dyDescent="0.25">
      <c r="A286" s="10">
        <v>116</v>
      </c>
      <c r="B286" s="10">
        <v>13</v>
      </c>
      <c r="C286" s="10">
        <v>7</v>
      </c>
      <c r="D286" s="10">
        <v>2</v>
      </c>
      <c r="E286" s="10">
        <v>4</v>
      </c>
      <c r="F286" s="10">
        <v>4</v>
      </c>
      <c r="L286" s="1">
        <v>284</v>
      </c>
      <c r="M286" s="1">
        <v>31</v>
      </c>
      <c r="N286" s="1">
        <v>0</v>
      </c>
      <c r="O286" s="1">
        <v>1</v>
      </c>
      <c r="P286" s="2">
        <v>1</v>
      </c>
      <c r="Q286" s="68">
        <v>7</v>
      </c>
    </row>
    <row r="287" spans="1:17" x14ac:dyDescent="0.25">
      <c r="A287" s="10">
        <v>116</v>
      </c>
      <c r="B287" s="10">
        <v>13</v>
      </c>
      <c r="C287" s="10">
        <v>7</v>
      </c>
      <c r="D287" s="10">
        <v>5</v>
      </c>
      <c r="E287" s="10">
        <v>2</v>
      </c>
      <c r="F287" s="10">
        <v>2</v>
      </c>
      <c r="L287" s="1">
        <v>285</v>
      </c>
      <c r="M287" s="1">
        <v>31</v>
      </c>
      <c r="N287" s="1">
        <v>0</v>
      </c>
      <c r="O287" s="1">
        <v>1</v>
      </c>
      <c r="P287" s="2">
        <v>1</v>
      </c>
      <c r="Q287" s="67">
        <v>13</v>
      </c>
    </row>
    <row r="288" spans="1:17" x14ac:dyDescent="0.25">
      <c r="A288" s="10">
        <v>116</v>
      </c>
      <c r="B288" s="10">
        <v>13</v>
      </c>
      <c r="C288" s="10">
        <v>7</v>
      </c>
      <c r="D288" s="10">
        <v>7</v>
      </c>
      <c r="E288" s="10">
        <v>1</v>
      </c>
      <c r="F288" s="10">
        <v>1</v>
      </c>
      <c r="L288" s="1">
        <v>286</v>
      </c>
      <c r="M288" s="1">
        <v>31</v>
      </c>
      <c r="N288" s="1">
        <v>0</v>
      </c>
      <c r="O288" s="1">
        <v>1</v>
      </c>
      <c r="P288" s="2">
        <v>1</v>
      </c>
      <c r="Q288" s="68">
        <v>5</v>
      </c>
    </row>
    <row r="289" spans="1:17" x14ac:dyDescent="0.25">
      <c r="A289" s="10">
        <v>156</v>
      </c>
      <c r="B289" s="10">
        <v>17</v>
      </c>
      <c r="C289" s="10">
        <v>8</v>
      </c>
      <c r="D289" s="10">
        <v>1</v>
      </c>
      <c r="E289" s="10">
        <v>10</v>
      </c>
      <c r="F289" s="10">
        <v>10</v>
      </c>
      <c r="L289" s="1">
        <v>287</v>
      </c>
      <c r="M289" s="1">
        <v>31</v>
      </c>
      <c r="N289" s="1">
        <v>0</v>
      </c>
      <c r="O289" s="1">
        <v>1</v>
      </c>
      <c r="P289" s="2">
        <v>1</v>
      </c>
      <c r="Q289" s="67">
        <v>3</v>
      </c>
    </row>
    <row r="290" spans="1:17" x14ac:dyDescent="0.25">
      <c r="A290" s="10">
        <v>118</v>
      </c>
      <c r="B290" s="10">
        <v>13</v>
      </c>
      <c r="C290" s="10">
        <v>6</v>
      </c>
      <c r="D290" s="10">
        <v>2</v>
      </c>
      <c r="E290" s="10">
        <v>7</v>
      </c>
      <c r="F290" s="10">
        <v>7</v>
      </c>
      <c r="L290" s="1">
        <v>288</v>
      </c>
      <c r="M290" s="1">
        <v>31</v>
      </c>
      <c r="N290" s="1">
        <v>0</v>
      </c>
      <c r="O290" s="1">
        <v>1</v>
      </c>
      <c r="P290" s="2">
        <v>1</v>
      </c>
      <c r="Q290" s="68">
        <v>4</v>
      </c>
    </row>
    <row r="291" spans="1:17" x14ac:dyDescent="0.25">
      <c r="A291" s="10">
        <v>116</v>
      </c>
      <c r="B291" s="10">
        <v>13</v>
      </c>
      <c r="C291" s="10">
        <v>8</v>
      </c>
      <c r="D291" s="10">
        <v>1</v>
      </c>
      <c r="E291" s="10">
        <v>15</v>
      </c>
      <c r="F291" s="10">
        <v>15</v>
      </c>
      <c r="L291" s="1">
        <v>289</v>
      </c>
      <c r="M291" s="1">
        <v>31</v>
      </c>
      <c r="N291" s="1">
        <v>0</v>
      </c>
      <c r="O291" s="1">
        <v>1</v>
      </c>
      <c r="P291" s="2">
        <v>1</v>
      </c>
      <c r="Q291" s="67">
        <v>7</v>
      </c>
    </row>
    <row r="292" spans="1:17" x14ac:dyDescent="0.25">
      <c r="A292" s="10">
        <v>442</v>
      </c>
      <c r="B292" s="10">
        <v>47</v>
      </c>
      <c r="C292" s="10">
        <v>7</v>
      </c>
      <c r="D292" s="10">
        <v>2</v>
      </c>
      <c r="E292" s="10">
        <v>27</v>
      </c>
      <c r="F292" s="10">
        <v>27</v>
      </c>
      <c r="L292" s="1">
        <v>290</v>
      </c>
      <c r="M292" s="1">
        <v>31</v>
      </c>
      <c r="N292" s="1">
        <v>0</v>
      </c>
      <c r="O292" s="1">
        <v>1</v>
      </c>
      <c r="P292" s="2">
        <v>1</v>
      </c>
      <c r="Q292" s="68">
        <v>3</v>
      </c>
    </row>
    <row r="293" spans="1:17" x14ac:dyDescent="0.25">
      <c r="A293" s="10">
        <v>411</v>
      </c>
      <c r="B293" s="10">
        <v>44</v>
      </c>
      <c r="C293" s="10">
        <v>7</v>
      </c>
      <c r="D293" s="10">
        <v>1</v>
      </c>
      <c r="E293" s="10">
        <v>40</v>
      </c>
      <c r="F293" s="10">
        <v>40</v>
      </c>
      <c r="L293" s="1">
        <v>291</v>
      </c>
      <c r="M293" s="1">
        <v>32</v>
      </c>
      <c r="N293" s="1">
        <v>0</v>
      </c>
      <c r="O293" s="1">
        <v>1</v>
      </c>
      <c r="P293" s="2">
        <v>1</v>
      </c>
      <c r="Q293" s="67">
        <v>8</v>
      </c>
    </row>
    <row r="294" spans="1:17" x14ac:dyDescent="0.25">
      <c r="A294" s="10">
        <v>116</v>
      </c>
      <c r="B294" s="10">
        <v>13</v>
      </c>
      <c r="C294" s="10">
        <v>8</v>
      </c>
      <c r="D294" s="10">
        <v>6</v>
      </c>
      <c r="E294" s="10">
        <v>5</v>
      </c>
      <c r="F294" s="10">
        <v>5</v>
      </c>
      <c r="L294" s="1">
        <v>292</v>
      </c>
      <c r="M294" s="1">
        <v>32</v>
      </c>
      <c r="N294" s="1">
        <v>0</v>
      </c>
      <c r="O294" s="1">
        <v>1</v>
      </c>
      <c r="P294" s="2">
        <v>1</v>
      </c>
      <c r="Q294" s="68">
        <v>2</v>
      </c>
    </row>
    <row r="295" spans="1:17" x14ac:dyDescent="0.25">
      <c r="A295" s="10">
        <v>206</v>
      </c>
      <c r="B295" s="10">
        <v>22</v>
      </c>
      <c r="C295" s="10">
        <v>7</v>
      </c>
      <c r="D295" s="10">
        <v>2</v>
      </c>
      <c r="E295" s="10">
        <v>9</v>
      </c>
      <c r="F295" s="10">
        <v>9</v>
      </c>
      <c r="L295" s="1">
        <v>293</v>
      </c>
      <c r="M295" s="1">
        <v>32</v>
      </c>
      <c r="N295" s="1">
        <v>0</v>
      </c>
      <c r="O295" s="1">
        <v>1</v>
      </c>
      <c r="P295" s="2">
        <v>1</v>
      </c>
      <c r="Q295" s="67">
        <v>3</v>
      </c>
    </row>
    <row r="296" spans="1:17" x14ac:dyDescent="0.25">
      <c r="A296" s="10">
        <v>1</v>
      </c>
      <c r="B296" s="10">
        <v>1</v>
      </c>
      <c r="C296" s="10">
        <v>7</v>
      </c>
      <c r="D296" s="10">
        <v>1</v>
      </c>
      <c r="E296" s="10">
        <v>6</v>
      </c>
      <c r="F296" s="10">
        <v>6</v>
      </c>
      <c r="L296" s="1">
        <v>294</v>
      </c>
      <c r="M296" s="1">
        <v>32</v>
      </c>
      <c r="N296" s="1">
        <v>0</v>
      </c>
      <c r="O296" s="1">
        <v>1</v>
      </c>
      <c r="P296" s="2">
        <v>1</v>
      </c>
      <c r="Q296" s="68">
        <v>2</v>
      </c>
    </row>
    <row r="297" spans="1:17" x14ac:dyDescent="0.25">
      <c r="A297" s="10">
        <v>435</v>
      </c>
      <c r="B297" s="10">
        <v>47</v>
      </c>
      <c r="C297" s="10">
        <v>7</v>
      </c>
      <c r="D297" s="10">
        <v>1</v>
      </c>
      <c r="E297" s="10">
        <v>7</v>
      </c>
      <c r="F297" s="10">
        <v>7</v>
      </c>
      <c r="L297" s="1">
        <v>295</v>
      </c>
      <c r="M297" s="1">
        <v>32</v>
      </c>
      <c r="N297" s="1">
        <v>0</v>
      </c>
      <c r="O297" s="1">
        <v>1</v>
      </c>
      <c r="P297" s="2">
        <v>1</v>
      </c>
      <c r="Q297" s="67">
        <v>4</v>
      </c>
    </row>
    <row r="298" spans="1:17" x14ac:dyDescent="0.25">
      <c r="A298" s="10">
        <v>1</v>
      </c>
      <c r="B298" s="10">
        <v>1</v>
      </c>
      <c r="C298" s="10">
        <v>7</v>
      </c>
      <c r="D298" s="10">
        <v>2</v>
      </c>
      <c r="E298" s="10">
        <v>8</v>
      </c>
      <c r="F298" s="10">
        <v>8</v>
      </c>
      <c r="L298" s="1">
        <v>296</v>
      </c>
      <c r="M298" s="1">
        <v>32</v>
      </c>
      <c r="N298" s="1">
        <v>0</v>
      </c>
      <c r="O298" s="1">
        <v>1</v>
      </c>
      <c r="P298" s="2">
        <v>1</v>
      </c>
      <c r="Q298" s="68">
        <v>2</v>
      </c>
    </row>
    <row r="299" spans="1:17" x14ac:dyDescent="0.25">
      <c r="A299" s="10">
        <v>435</v>
      </c>
      <c r="B299" s="10">
        <v>47</v>
      </c>
      <c r="C299" s="10">
        <v>7</v>
      </c>
      <c r="D299" s="10">
        <v>2</v>
      </c>
      <c r="E299" s="10">
        <v>9</v>
      </c>
      <c r="F299" s="10">
        <v>9</v>
      </c>
      <c r="L299" s="1">
        <v>297</v>
      </c>
      <c r="M299" s="1">
        <v>32</v>
      </c>
      <c r="N299" s="1">
        <v>0</v>
      </c>
      <c r="O299" s="1">
        <v>1</v>
      </c>
      <c r="P299" s="2">
        <v>1</v>
      </c>
      <c r="Q299" s="67">
        <v>11</v>
      </c>
    </row>
    <row r="300" spans="1:17" x14ac:dyDescent="0.25">
      <c r="A300" s="10">
        <v>208</v>
      </c>
      <c r="B300" s="10">
        <v>22</v>
      </c>
      <c r="C300" s="10">
        <v>7</v>
      </c>
      <c r="D300" s="10">
        <v>4</v>
      </c>
      <c r="E300" s="10">
        <v>0</v>
      </c>
      <c r="F300" s="10">
        <v>0</v>
      </c>
      <c r="L300" s="1">
        <v>298</v>
      </c>
      <c r="M300" s="1">
        <v>32</v>
      </c>
      <c r="N300" s="1">
        <v>0</v>
      </c>
      <c r="O300" s="1">
        <v>1</v>
      </c>
      <c r="P300" s="2">
        <v>1</v>
      </c>
      <c r="Q300" s="68">
        <v>12</v>
      </c>
    </row>
    <row r="301" spans="1:17" x14ac:dyDescent="0.25">
      <c r="A301" s="10">
        <v>208</v>
      </c>
      <c r="B301" s="10">
        <v>22</v>
      </c>
      <c r="C301" s="10">
        <v>7</v>
      </c>
      <c r="D301" s="10">
        <v>5</v>
      </c>
      <c r="E301" s="10">
        <v>0</v>
      </c>
      <c r="F301" s="10">
        <v>0</v>
      </c>
      <c r="L301" s="1">
        <v>299</v>
      </c>
      <c r="M301" s="1">
        <v>32</v>
      </c>
      <c r="N301" s="1">
        <v>0</v>
      </c>
      <c r="O301" s="1">
        <v>1</v>
      </c>
      <c r="P301" s="2">
        <v>1</v>
      </c>
      <c r="Q301" s="67">
        <v>8</v>
      </c>
    </row>
    <row r="302" spans="1:17" x14ac:dyDescent="0.25">
      <c r="A302" s="10">
        <v>247</v>
      </c>
      <c r="B302" s="10">
        <v>27</v>
      </c>
      <c r="C302" s="10">
        <v>8</v>
      </c>
      <c r="D302" s="10">
        <v>1</v>
      </c>
      <c r="E302" s="10">
        <v>1</v>
      </c>
      <c r="F302" s="10">
        <v>1</v>
      </c>
      <c r="L302" s="1">
        <v>300</v>
      </c>
      <c r="M302" s="1">
        <v>32</v>
      </c>
      <c r="N302" s="1">
        <v>0</v>
      </c>
      <c r="O302" s="1">
        <v>1</v>
      </c>
      <c r="P302" s="2">
        <v>1</v>
      </c>
      <c r="Q302" s="68">
        <v>16</v>
      </c>
    </row>
    <row r="303" spans="1:17" x14ac:dyDescent="0.25">
      <c r="A303" s="10">
        <v>247</v>
      </c>
      <c r="B303" s="10">
        <v>27</v>
      </c>
      <c r="C303" s="10">
        <v>8</v>
      </c>
      <c r="D303" s="10">
        <v>2</v>
      </c>
      <c r="E303" s="10">
        <v>3</v>
      </c>
      <c r="F303" s="10">
        <v>3</v>
      </c>
      <c r="L303" s="1">
        <v>301</v>
      </c>
      <c r="M303" s="1">
        <v>33</v>
      </c>
      <c r="N303" s="1">
        <v>0</v>
      </c>
      <c r="O303" s="1">
        <v>1</v>
      </c>
      <c r="P303" s="2">
        <v>1</v>
      </c>
      <c r="Q303" s="67">
        <v>6</v>
      </c>
    </row>
    <row r="304" spans="1:17" x14ac:dyDescent="0.25">
      <c r="A304" s="10">
        <v>247</v>
      </c>
      <c r="B304" s="10">
        <v>27</v>
      </c>
      <c r="C304" s="10">
        <v>8</v>
      </c>
      <c r="D304" s="10">
        <v>6</v>
      </c>
      <c r="E304" s="10">
        <v>2</v>
      </c>
      <c r="F304" s="10">
        <v>2</v>
      </c>
      <c r="L304" s="1">
        <v>302</v>
      </c>
      <c r="M304" s="1">
        <v>33</v>
      </c>
      <c r="N304" s="1">
        <v>0</v>
      </c>
      <c r="O304" s="1">
        <v>1</v>
      </c>
      <c r="P304" s="2">
        <v>1</v>
      </c>
      <c r="Q304" s="68">
        <v>14</v>
      </c>
    </row>
    <row r="305" spans="1:17" x14ac:dyDescent="0.25">
      <c r="A305" s="10">
        <v>242</v>
      </c>
      <c r="B305" s="10">
        <v>26</v>
      </c>
      <c r="C305" s="10">
        <v>7</v>
      </c>
      <c r="D305" s="10">
        <v>1</v>
      </c>
      <c r="E305" s="10">
        <v>4</v>
      </c>
      <c r="F305" s="10">
        <v>4</v>
      </c>
      <c r="L305" s="1">
        <v>303</v>
      </c>
      <c r="M305" s="1">
        <v>33</v>
      </c>
      <c r="N305" s="1">
        <v>0</v>
      </c>
      <c r="O305" s="1">
        <v>1</v>
      </c>
      <c r="P305" s="2">
        <v>1</v>
      </c>
      <c r="Q305" s="67">
        <v>17</v>
      </c>
    </row>
    <row r="306" spans="1:17" x14ac:dyDescent="0.25">
      <c r="A306" s="10">
        <v>394</v>
      </c>
      <c r="B306" s="10">
        <v>42</v>
      </c>
      <c r="C306" s="10">
        <v>7</v>
      </c>
      <c r="D306" s="10">
        <v>4</v>
      </c>
      <c r="E306" s="10">
        <v>1</v>
      </c>
      <c r="F306" s="10">
        <v>1</v>
      </c>
      <c r="L306" s="1">
        <v>304</v>
      </c>
      <c r="M306" s="1">
        <v>33</v>
      </c>
      <c r="N306" s="1">
        <v>0</v>
      </c>
      <c r="O306" s="1">
        <v>1</v>
      </c>
      <c r="P306" s="2">
        <v>1</v>
      </c>
      <c r="Q306" s="68">
        <v>6</v>
      </c>
    </row>
    <row r="307" spans="1:17" x14ac:dyDescent="0.25">
      <c r="A307" s="10">
        <v>242</v>
      </c>
      <c r="B307" s="10">
        <v>26</v>
      </c>
      <c r="C307" s="10">
        <v>7</v>
      </c>
      <c r="D307" s="10">
        <v>2</v>
      </c>
      <c r="E307" s="10">
        <v>7</v>
      </c>
      <c r="F307" s="10">
        <v>7</v>
      </c>
      <c r="L307" s="1">
        <v>305</v>
      </c>
      <c r="M307" s="1">
        <v>33</v>
      </c>
      <c r="N307" s="1">
        <v>0</v>
      </c>
      <c r="O307" s="1">
        <v>1</v>
      </c>
      <c r="P307" s="2">
        <v>1</v>
      </c>
      <c r="Q307" s="67">
        <v>14</v>
      </c>
    </row>
    <row r="308" spans="1:17" x14ac:dyDescent="0.25">
      <c r="A308" s="10">
        <v>394</v>
      </c>
      <c r="B308" s="10">
        <v>42</v>
      </c>
      <c r="C308" s="10">
        <v>7</v>
      </c>
      <c r="D308" s="10">
        <v>8</v>
      </c>
      <c r="E308" s="10">
        <v>1</v>
      </c>
      <c r="F308" s="10">
        <v>1</v>
      </c>
      <c r="L308" s="1">
        <v>306</v>
      </c>
      <c r="M308" s="1">
        <v>33</v>
      </c>
      <c r="N308" s="1">
        <v>0</v>
      </c>
      <c r="O308" s="1">
        <v>1</v>
      </c>
      <c r="P308" s="2">
        <v>1</v>
      </c>
      <c r="Q308" s="68">
        <v>16</v>
      </c>
    </row>
    <row r="309" spans="1:17" x14ac:dyDescent="0.25">
      <c r="A309" s="10">
        <v>247</v>
      </c>
      <c r="B309" s="10">
        <v>27</v>
      </c>
      <c r="C309" s="10">
        <v>7</v>
      </c>
      <c r="D309" s="10">
        <v>2</v>
      </c>
      <c r="E309" s="10">
        <v>5</v>
      </c>
      <c r="F309" s="10">
        <v>5</v>
      </c>
      <c r="L309" s="1">
        <v>307</v>
      </c>
      <c r="M309" s="1">
        <v>33</v>
      </c>
      <c r="N309" s="1">
        <v>0</v>
      </c>
      <c r="O309" s="1">
        <v>1</v>
      </c>
      <c r="P309" s="2">
        <v>1</v>
      </c>
      <c r="Q309" s="67">
        <v>14</v>
      </c>
    </row>
    <row r="310" spans="1:17" x14ac:dyDescent="0.25">
      <c r="A310" s="10">
        <v>7</v>
      </c>
      <c r="B310" s="10">
        <v>1</v>
      </c>
      <c r="C310" s="10">
        <v>2</v>
      </c>
      <c r="D310" s="10">
        <v>1</v>
      </c>
      <c r="E310" s="10">
        <v>455</v>
      </c>
      <c r="F310" s="10">
        <v>455</v>
      </c>
      <c r="L310" s="1">
        <v>308</v>
      </c>
      <c r="M310" s="1">
        <v>33</v>
      </c>
      <c r="N310" s="1">
        <v>0</v>
      </c>
      <c r="O310" s="1">
        <v>1</v>
      </c>
      <c r="P310" s="2">
        <v>1</v>
      </c>
      <c r="Q310" s="68">
        <v>15</v>
      </c>
    </row>
    <row r="311" spans="1:17" x14ac:dyDescent="0.25">
      <c r="A311" s="10">
        <v>7</v>
      </c>
      <c r="B311" s="10">
        <v>1</v>
      </c>
      <c r="C311" s="10">
        <v>2</v>
      </c>
      <c r="D311" s="10">
        <v>2</v>
      </c>
      <c r="E311" s="10">
        <v>542</v>
      </c>
      <c r="F311" s="10">
        <v>542</v>
      </c>
      <c r="L311" s="1">
        <v>309</v>
      </c>
      <c r="M311" s="1">
        <v>33</v>
      </c>
      <c r="N311" s="1">
        <v>0</v>
      </c>
      <c r="O311" s="1">
        <v>1</v>
      </c>
      <c r="P311" s="2">
        <v>1</v>
      </c>
      <c r="Q311" s="67">
        <v>18</v>
      </c>
    </row>
    <row r="312" spans="1:17" x14ac:dyDescent="0.25">
      <c r="A312" s="10">
        <v>208</v>
      </c>
      <c r="B312" s="10">
        <v>22</v>
      </c>
      <c r="C312" s="10">
        <v>2</v>
      </c>
      <c r="D312" s="10">
        <v>1</v>
      </c>
      <c r="E312" s="10">
        <v>16</v>
      </c>
      <c r="F312" s="10">
        <v>16</v>
      </c>
      <c r="L312" s="1">
        <v>310</v>
      </c>
      <c r="M312" s="1">
        <v>33</v>
      </c>
      <c r="N312" s="1">
        <v>0</v>
      </c>
      <c r="O312" s="1">
        <v>1</v>
      </c>
      <c r="P312" s="2">
        <v>1</v>
      </c>
      <c r="Q312" s="68">
        <v>9</v>
      </c>
    </row>
    <row r="313" spans="1:17" x14ac:dyDescent="0.25">
      <c r="A313" s="10">
        <v>208</v>
      </c>
      <c r="B313" s="10">
        <v>22</v>
      </c>
      <c r="C313" s="10">
        <v>2</v>
      </c>
      <c r="D313" s="10">
        <v>2</v>
      </c>
      <c r="E313" s="10">
        <v>21</v>
      </c>
      <c r="F313" s="10">
        <v>21</v>
      </c>
      <c r="L313" s="1">
        <v>311</v>
      </c>
      <c r="M313" s="1">
        <v>34</v>
      </c>
      <c r="N313" s="1">
        <v>0</v>
      </c>
      <c r="O313" s="1">
        <v>1</v>
      </c>
      <c r="P313" s="2">
        <v>1</v>
      </c>
      <c r="Q313" s="67">
        <v>17</v>
      </c>
    </row>
    <row r="314" spans="1:17" x14ac:dyDescent="0.25">
      <c r="A314" s="10">
        <v>208</v>
      </c>
      <c r="B314" s="10">
        <v>22</v>
      </c>
      <c r="C314" s="10">
        <v>2</v>
      </c>
      <c r="D314" s="10">
        <v>3</v>
      </c>
      <c r="E314" s="10">
        <v>2</v>
      </c>
      <c r="F314" s="10">
        <v>2</v>
      </c>
      <c r="L314" s="1">
        <v>312</v>
      </c>
      <c r="M314" s="1">
        <v>34</v>
      </c>
      <c r="N314" s="1">
        <v>0</v>
      </c>
      <c r="O314" s="1">
        <v>1</v>
      </c>
      <c r="P314" s="2">
        <v>1</v>
      </c>
      <c r="Q314" s="68">
        <v>8</v>
      </c>
    </row>
    <row r="315" spans="1:17" x14ac:dyDescent="0.25">
      <c r="A315" s="10">
        <v>206</v>
      </c>
      <c r="B315" s="10">
        <v>22</v>
      </c>
      <c r="C315" s="10">
        <v>2</v>
      </c>
      <c r="D315" s="10">
        <v>1</v>
      </c>
      <c r="E315" s="10">
        <v>15</v>
      </c>
      <c r="F315" s="10">
        <v>15</v>
      </c>
      <c r="L315" s="1">
        <v>313</v>
      </c>
      <c r="M315" s="1">
        <v>34</v>
      </c>
      <c r="N315" s="1">
        <v>0</v>
      </c>
      <c r="O315" s="1">
        <v>1</v>
      </c>
      <c r="P315" s="2">
        <v>1</v>
      </c>
      <c r="Q315" s="67">
        <v>9</v>
      </c>
    </row>
    <row r="316" spans="1:17" x14ac:dyDescent="0.25">
      <c r="A316" s="10">
        <v>206</v>
      </c>
      <c r="B316" s="10">
        <v>22</v>
      </c>
      <c r="C316" s="10">
        <v>2</v>
      </c>
      <c r="D316" s="10">
        <v>2</v>
      </c>
      <c r="E316" s="10">
        <v>6</v>
      </c>
      <c r="F316" s="10">
        <v>6</v>
      </c>
      <c r="L316" s="1">
        <v>314</v>
      </c>
      <c r="M316" s="1">
        <v>34</v>
      </c>
      <c r="N316" s="1">
        <v>0</v>
      </c>
      <c r="O316" s="1">
        <v>1</v>
      </c>
      <c r="P316" s="2">
        <v>1</v>
      </c>
      <c r="Q316" s="68">
        <v>11</v>
      </c>
    </row>
    <row r="317" spans="1:17" x14ac:dyDescent="0.25">
      <c r="A317" s="10">
        <v>206</v>
      </c>
      <c r="B317" s="10">
        <v>22</v>
      </c>
      <c r="C317" s="10">
        <v>2</v>
      </c>
      <c r="D317" s="10">
        <v>4</v>
      </c>
      <c r="E317" s="10">
        <v>1</v>
      </c>
      <c r="F317" s="10">
        <v>1</v>
      </c>
      <c r="L317" s="1">
        <v>315</v>
      </c>
      <c r="M317" s="1">
        <v>34</v>
      </c>
      <c r="N317" s="1">
        <v>0</v>
      </c>
      <c r="O317" s="1">
        <v>1</v>
      </c>
      <c r="P317" s="2">
        <v>1</v>
      </c>
      <c r="Q317" s="67">
        <v>0</v>
      </c>
    </row>
    <row r="318" spans="1:17" x14ac:dyDescent="0.25">
      <c r="A318" s="10">
        <v>306</v>
      </c>
      <c r="B318" s="10">
        <v>33</v>
      </c>
      <c r="C318" s="10">
        <v>2</v>
      </c>
      <c r="D318" s="10">
        <v>2</v>
      </c>
      <c r="E318" s="10">
        <v>25</v>
      </c>
      <c r="F318" s="10">
        <v>25</v>
      </c>
      <c r="L318" s="1">
        <v>316</v>
      </c>
      <c r="M318" s="1">
        <v>34</v>
      </c>
      <c r="N318" s="1">
        <v>0</v>
      </c>
      <c r="O318" s="1">
        <v>1</v>
      </c>
      <c r="P318" s="2">
        <v>1</v>
      </c>
      <c r="Q318" s="68">
        <v>1</v>
      </c>
    </row>
    <row r="319" spans="1:17" x14ac:dyDescent="0.25">
      <c r="A319" s="10">
        <v>306</v>
      </c>
      <c r="B319" s="10">
        <v>33</v>
      </c>
      <c r="C319" s="10">
        <v>2</v>
      </c>
      <c r="D319" s="10">
        <v>3</v>
      </c>
      <c r="E319" s="10">
        <v>1</v>
      </c>
      <c r="F319" s="10">
        <v>1</v>
      </c>
      <c r="L319" s="1">
        <v>317</v>
      </c>
      <c r="M319" s="1">
        <v>34</v>
      </c>
      <c r="N319" s="1">
        <v>0</v>
      </c>
      <c r="O319" s="1">
        <v>1</v>
      </c>
      <c r="P319" s="2">
        <v>1</v>
      </c>
      <c r="Q319" s="67">
        <v>1</v>
      </c>
    </row>
    <row r="320" spans="1:17" x14ac:dyDescent="0.25">
      <c r="A320" s="10">
        <v>306</v>
      </c>
      <c r="B320" s="10">
        <v>33</v>
      </c>
      <c r="C320" s="10">
        <v>2</v>
      </c>
      <c r="D320" s="10">
        <v>1</v>
      </c>
      <c r="E320" s="10">
        <v>1</v>
      </c>
      <c r="F320" s="10">
        <v>1</v>
      </c>
      <c r="L320" s="1">
        <v>318</v>
      </c>
      <c r="M320" s="1">
        <v>34</v>
      </c>
      <c r="N320" s="1">
        <v>0</v>
      </c>
      <c r="O320" s="1">
        <v>1</v>
      </c>
      <c r="P320" s="2">
        <v>1</v>
      </c>
      <c r="Q320" s="68">
        <v>0</v>
      </c>
    </row>
    <row r="321" spans="1:17" x14ac:dyDescent="0.25">
      <c r="A321" s="10">
        <v>388</v>
      </c>
      <c r="B321" s="10">
        <v>42</v>
      </c>
      <c r="C321" s="10">
        <v>2</v>
      </c>
      <c r="D321" s="10">
        <v>1</v>
      </c>
      <c r="E321" s="10">
        <v>36</v>
      </c>
      <c r="F321" s="10">
        <v>36</v>
      </c>
      <c r="L321" s="1">
        <v>319</v>
      </c>
      <c r="M321" s="1">
        <v>34</v>
      </c>
      <c r="N321" s="1">
        <v>0</v>
      </c>
      <c r="O321" s="1">
        <v>1</v>
      </c>
      <c r="P321" s="2">
        <v>1</v>
      </c>
      <c r="Q321" s="67">
        <v>0</v>
      </c>
    </row>
    <row r="322" spans="1:17" x14ac:dyDescent="0.25">
      <c r="A322" s="10">
        <v>388</v>
      </c>
      <c r="B322" s="10">
        <v>42</v>
      </c>
      <c r="C322" s="10">
        <v>2</v>
      </c>
      <c r="D322" s="10">
        <v>2</v>
      </c>
      <c r="E322" s="10">
        <v>19</v>
      </c>
      <c r="F322" s="10">
        <v>19</v>
      </c>
      <c r="L322" s="1">
        <v>320</v>
      </c>
      <c r="M322" s="1">
        <v>34</v>
      </c>
      <c r="N322" s="1">
        <v>0</v>
      </c>
      <c r="O322" s="1">
        <v>1</v>
      </c>
      <c r="P322" s="2">
        <v>1</v>
      </c>
      <c r="Q322" s="68">
        <v>0</v>
      </c>
    </row>
    <row r="323" spans="1:17" x14ac:dyDescent="0.25">
      <c r="A323" s="10">
        <v>46</v>
      </c>
      <c r="B323" s="10">
        <v>5</v>
      </c>
      <c r="C323" s="10">
        <v>2</v>
      </c>
      <c r="D323" s="10">
        <v>2</v>
      </c>
      <c r="E323" s="10">
        <v>5</v>
      </c>
      <c r="F323" s="10">
        <v>5</v>
      </c>
      <c r="L323" s="1">
        <v>321</v>
      </c>
      <c r="M323" s="1">
        <v>35</v>
      </c>
      <c r="N323" s="1">
        <v>0</v>
      </c>
      <c r="O323" s="1">
        <v>1</v>
      </c>
      <c r="P323" s="2">
        <v>1</v>
      </c>
      <c r="Q323" s="67">
        <v>0</v>
      </c>
    </row>
    <row r="324" spans="1:17" x14ac:dyDescent="0.25">
      <c r="A324" s="10">
        <v>32</v>
      </c>
      <c r="B324" s="10">
        <v>4</v>
      </c>
      <c r="C324" s="10">
        <v>2</v>
      </c>
      <c r="D324" s="10">
        <v>1</v>
      </c>
      <c r="E324" s="10">
        <v>23</v>
      </c>
      <c r="F324" s="10">
        <v>23</v>
      </c>
      <c r="L324" s="1">
        <v>322</v>
      </c>
      <c r="M324" s="1">
        <v>35</v>
      </c>
      <c r="N324" s="1">
        <v>0</v>
      </c>
      <c r="O324" s="1">
        <v>1</v>
      </c>
      <c r="P324" s="2">
        <v>1</v>
      </c>
      <c r="Q324" s="68">
        <v>0</v>
      </c>
    </row>
    <row r="325" spans="1:17" x14ac:dyDescent="0.25">
      <c r="A325" s="10">
        <v>32</v>
      </c>
      <c r="B325" s="10">
        <v>4</v>
      </c>
      <c r="C325" s="10">
        <v>2</v>
      </c>
      <c r="D325" s="10">
        <v>2</v>
      </c>
      <c r="E325" s="10">
        <v>5</v>
      </c>
      <c r="F325" s="10">
        <v>5</v>
      </c>
      <c r="L325" s="1">
        <v>323</v>
      </c>
      <c r="M325" s="1">
        <v>35</v>
      </c>
      <c r="N325" s="1">
        <v>0</v>
      </c>
      <c r="O325" s="1">
        <v>1</v>
      </c>
      <c r="P325" s="2">
        <v>1</v>
      </c>
      <c r="Q325" s="67">
        <v>2</v>
      </c>
    </row>
    <row r="326" spans="1:17" x14ac:dyDescent="0.25">
      <c r="A326" s="10">
        <v>32</v>
      </c>
      <c r="B326" s="10">
        <v>4</v>
      </c>
      <c r="C326" s="10">
        <v>2</v>
      </c>
      <c r="D326" s="10">
        <v>3</v>
      </c>
      <c r="E326" s="10">
        <v>7</v>
      </c>
      <c r="F326" s="10">
        <v>7</v>
      </c>
      <c r="L326" s="1">
        <v>324</v>
      </c>
      <c r="M326" s="1">
        <v>35</v>
      </c>
      <c r="N326" s="1">
        <v>0</v>
      </c>
      <c r="O326" s="1">
        <v>1</v>
      </c>
      <c r="P326" s="2">
        <v>1</v>
      </c>
      <c r="Q326" s="68">
        <v>18</v>
      </c>
    </row>
    <row r="327" spans="1:17" x14ac:dyDescent="0.25">
      <c r="A327" s="10">
        <v>272</v>
      </c>
      <c r="B327" s="10">
        <v>30</v>
      </c>
      <c r="C327" s="10">
        <v>2</v>
      </c>
      <c r="D327" s="10">
        <v>1</v>
      </c>
      <c r="E327" s="10">
        <v>7</v>
      </c>
      <c r="F327" s="10">
        <v>7</v>
      </c>
      <c r="L327" s="1">
        <v>325</v>
      </c>
      <c r="M327" s="1">
        <v>35</v>
      </c>
      <c r="N327" s="1">
        <v>0</v>
      </c>
      <c r="O327" s="1">
        <v>1</v>
      </c>
      <c r="P327" s="2">
        <v>1</v>
      </c>
      <c r="Q327" s="67">
        <v>20</v>
      </c>
    </row>
    <row r="328" spans="1:17" x14ac:dyDescent="0.25">
      <c r="A328" s="10">
        <v>16</v>
      </c>
      <c r="B328" s="10">
        <v>2</v>
      </c>
      <c r="C328" s="10">
        <v>2</v>
      </c>
      <c r="D328" s="10">
        <v>1</v>
      </c>
      <c r="E328" s="10">
        <v>501</v>
      </c>
      <c r="F328" s="10">
        <v>501</v>
      </c>
      <c r="L328" s="1">
        <v>326</v>
      </c>
      <c r="M328" s="1">
        <v>35</v>
      </c>
      <c r="N328" s="1">
        <v>0</v>
      </c>
      <c r="O328" s="1">
        <v>1</v>
      </c>
      <c r="P328" s="2">
        <v>1</v>
      </c>
      <c r="Q328" s="68">
        <v>15</v>
      </c>
    </row>
    <row r="329" spans="1:17" x14ac:dyDescent="0.25">
      <c r="A329" s="10">
        <v>272</v>
      </c>
      <c r="B329" s="10">
        <v>30</v>
      </c>
      <c r="C329" s="10">
        <v>2</v>
      </c>
      <c r="D329" s="10">
        <v>2</v>
      </c>
      <c r="E329" s="10">
        <v>9</v>
      </c>
      <c r="F329" s="10">
        <v>9</v>
      </c>
      <c r="L329" s="1">
        <v>327</v>
      </c>
      <c r="M329" s="1">
        <v>35</v>
      </c>
      <c r="N329" s="1">
        <v>0</v>
      </c>
      <c r="O329" s="1">
        <v>1</v>
      </c>
      <c r="P329" s="2">
        <v>1</v>
      </c>
      <c r="Q329" s="67">
        <v>20</v>
      </c>
    </row>
    <row r="330" spans="1:17" x14ac:dyDescent="0.25">
      <c r="A330" s="10">
        <v>16</v>
      </c>
      <c r="B330" s="10">
        <v>2</v>
      </c>
      <c r="C330" s="10">
        <v>2</v>
      </c>
      <c r="D330" s="10">
        <v>2</v>
      </c>
      <c r="E330" s="10">
        <v>496</v>
      </c>
      <c r="F330" s="10">
        <v>496</v>
      </c>
      <c r="L330" s="1">
        <v>328</v>
      </c>
      <c r="M330" s="1">
        <v>35</v>
      </c>
      <c r="N330" s="1">
        <v>0</v>
      </c>
      <c r="O330" s="1">
        <v>1</v>
      </c>
      <c r="P330" s="2">
        <v>1</v>
      </c>
      <c r="Q330" s="68">
        <v>16</v>
      </c>
    </row>
    <row r="331" spans="1:17" x14ac:dyDescent="0.25">
      <c r="A331" s="10">
        <v>318</v>
      </c>
      <c r="B331" s="10">
        <v>34</v>
      </c>
      <c r="C331" s="10">
        <v>2</v>
      </c>
      <c r="D331" s="10">
        <v>2</v>
      </c>
      <c r="E331" s="10">
        <v>7</v>
      </c>
      <c r="F331" s="10">
        <v>7</v>
      </c>
      <c r="L331" s="1">
        <v>329</v>
      </c>
      <c r="M331" s="1">
        <v>35</v>
      </c>
      <c r="N331" s="1">
        <v>0</v>
      </c>
      <c r="O331" s="1">
        <v>1</v>
      </c>
      <c r="P331" s="2">
        <v>1</v>
      </c>
      <c r="Q331" s="67">
        <v>19</v>
      </c>
    </row>
    <row r="332" spans="1:17" x14ac:dyDescent="0.25">
      <c r="A332" s="10">
        <v>44</v>
      </c>
      <c r="B332" s="10">
        <v>5</v>
      </c>
      <c r="C332" s="10">
        <v>2</v>
      </c>
      <c r="D332" s="10">
        <v>1</v>
      </c>
      <c r="E332" s="10">
        <v>15</v>
      </c>
      <c r="F332" s="10">
        <v>15</v>
      </c>
      <c r="L332" s="1">
        <v>330</v>
      </c>
      <c r="M332" s="1">
        <v>35</v>
      </c>
      <c r="N332" s="1">
        <v>0</v>
      </c>
      <c r="O332" s="1">
        <v>1</v>
      </c>
      <c r="P332" s="2">
        <v>1</v>
      </c>
      <c r="Q332" s="68">
        <v>16</v>
      </c>
    </row>
    <row r="333" spans="1:17" x14ac:dyDescent="0.25">
      <c r="A333" s="10">
        <v>318</v>
      </c>
      <c r="B333" s="10">
        <v>34</v>
      </c>
      <c r="C333" s="10">
        <v>2</v>
      </c>
      <c r="D333" s="10">
        <v>3</v>
      </c>
      <c r="E333" s="10">
        <v>2</v>
      </c>
      <c r="F333" s="10">
        <v>2</v>
      </c>
      <c r="L333" s="1">
        <v>331</v>
      </c>
      <c r="M333" s="1">
        <v>36</v>
      </c>
      <c r="N333" s="1">
        <v>0</v>
      </c>
      <c r="O333" s="1">
        <v>1</v>
      </c>
      <c r="P333" s="2">
        <v>1</v>
      </c>
      <c r="Q333" s="67">
        <v>19</v>
      </c>
    </row>
    <row r="334" spans="1:17" x14ac:dyDescent="0.25">
      <c r="A334" s="10">
        <v>16</v>
      </c>
      <c r="B334" s="10">
        <v>2</v>
      </c>
      <c r="C334" s="10">
        <v>2</v>
      </c>
      <c r="D334" s="10">
        <v>5</v>
      </c>
      <c r="E334" s="10">
        <v>13</v>
      </c>
      <c r="F334" s="10">
        <v>13</v>
      </c>
      <c r="L334" s="1">
        <v>332</v>
      </c>
      <c r="M334" s="1">
        <v>36</v>
      </c>
      <c r="N334" s="1">
        <v>0</v>
      </c>
      <c r="O334" s="1">
        <v>1</v>
      </c>
      <c r="P334" s="2">
        <v>1</v>
      </c>
      <c r="Q334" s="68">
        <v>8</v>
      </c>
    </row>
    <row r="335" spans="1:17" x14ac:dyDescent="0.25">
      <c r="A335" s="10">
        <v>272</v>
      </c>
      <c r="B335" s="10">
        <v>30</v>
      </c>
      <c r="C335" s="10">
        <v>2</v>
      </c>
      <c r="D335" s="10">
        <v>4</v>
      </c>
      <c r="E335" s="10">
        <v>6</v>
      </c>
      <c r="F335" s="10">
        <v>6</v>
      </c>
      <c r="L335" s="1">
        <v>333</v>
      </c>
      <c r="M335" s="1">
        <v>36</v>
      </c>
      <c r="N335" s="1">
        <v>0</v>
      </c>
      <c r="O335" s="1">
        <v>1</v>
      </c>
      <c r="P335" s="2">
        <v>1</v>
      </c>
      <c r="Q335" s="67">
        <v>6</v>
      </c>
    </row>
    <row r="336" spans="1:17" x14ac:dyDescent="0.25">
      <c r="A336" s="10">
        <v>44</v>
      </c>
      <c r="B336" s="10">
        <v>5</v>
      </c>
      <c r="C336" s="10">
        <v>2</v>
      </c>
      <c r="D336" s="10">
        <v>5</v>
      </c>
      <c r="E336" s="10">
        <v>5</v>
      </c>
      <c r="F336" s="10">
        <v>5</v>
      </c>
      <c r="L336" s="1">
        <v>334</v>
      </c>
      <c r="M336" s="1">
        <v>36</v>
      </c>
      <c r="N336" s="1">
        <v>0</v>
      </c>
      <c r="O336" s="1">
        <v>1</v>
      </c>
      <c r="P336" s="2">
        <v>1</v>
      </c>
      <c r="Q336" s="68">
        <v>4</v>
      </c>
    </row>
    <row r="337" spans="1:17" x14ac:dyDescent="0.25">
      <c r="A337" s="10">
        <v>392</v>
      </c>
      <c r="B337" s="10">
        <v>42</v>
      </c>
      <c r="C337" s="10">
        <v>2</v>
      </c>
      <c r="D337" s="10">
        <v>1</v>
      </c>
      <c r="E337" s="10">
        <v>1</v>
      </c>
      <c r="F337" s="10">
        <v>1</v>
      </c>
      <c r="L337" s="1">
        <v>335</v>
      </c>
      <c r="M337" s="1">
        <v>36</v>
      </c>
      <c r="N337" s="1">
        <v>0</v>
      </c>
      <c r="O337" s="1">
        <v>1</v>
      </c>
      <c r="P337" s="2">
        <v>1</v>
      </c>
      <c r="Q337" s="67">
        <v>5</v>
      </c>
    </row>
    <row r="338" spans="1:17" x14ac:dyDescent="0.25">
      <c r="A338" s="10">
        <v>392</v>
      </c>
      <c r="B338" s="10">
        <v>42</v>
      </c>
      <c r="C338" s="10">
        <v>2</v>
      </c>
      <c r="D338" s="10">
        <v>2</v>
      </c>
      <c r="E338" s="10">
        <v>25</v>
      </c>
      <c r="F338" s="10">
        <v>25</v>
      </c>
      <c r="L338" s="1">
        <v>336</v>
      </c>
      <c r="M338" s="1">
        <v>36</v>
      </c>
      <c r="N338" s="1">
        <v>0</v>
      </c>
      <c r="O338" s="1">
        <v>1</v>
      </c>
      <c r="P338" s="2">
        <v>1</v>
      </c>
      <c r="Q338" s="68">
        <v>2</v>
      </c>
    </row>
    <row r="339" spans="1:17" x14ac:dyDescent="0.25">
      <c r="A339" s="10">
        <v>32</v>
      </c>
      <c r="B339" s="10">
        <v>4</v>
      </c>
      <c r="C339" s="10">
        <v>2</v>
      </c>
      <c r="D339" s="10">
        <v>5</v>
      </c>
      <c r="E339" s="10">
        <v>3</v>
      </c>
      <c r="F339" s="10">
        <v>3</v>
      </c>
      <c r="L339" s="1">
        <v>337</v>
      </c>
      <c r="M339" s="1">
        <v>36</v>
      </c>
      <c r="N339" s="1">
        <v>0</v>
      </c>
      <c r="O339" s="1">
        <v>1</v>
      </c>
      <c r="P339" s="2">
        <v>1</v>
      </c>
      <c r="Q339" s="67">
        <v>6</v>
      </c>
    </row>
    <row r="340" spans="1:17" x14ac:dyDescent="0.25">
      <c r="A340" s="10">
        <v>275</v>
      </c>
      <c r="B340" s="10">
        <v>30</v>
      </c>
      <c r="C340" s="10">
        <v>2</v>
      </c>
      <c r="D340" s="10">
        <v>2</v>
      </c>
      <c r="E340" s="10">
        <v>14</v>
      </c>
      <c r="F340" s="10">
        <v>14</v>
      </c>
      <c r="L340" s="1">
        <v>338</v>
      </c>
      <c r="M340" s="1">
        <v>36</v>
      </c>
      <c r="N340" s="1">
        <v>0</v>
      </c>
      <c r="O340" s="1">
        <v>1</v>
      </c>
      <c r="P340" s="2">
        <v>1</v>
      </c>
      <c r="Q340" s="68">
        <v>3</v>
      </c>
    </row>
    <row r="341" spans="1:17" x14ac:dyDescent="0.25">
      <c r="A341" s="10">
        <v>272</v>
      </c>
      <c r="B341" s="10">
        <v>30</v>
      </c>
      <c r="C341" s="10">
        <v>1</v>
      </c>
      <c r="D341" s="10">
        <v>1</v>
      </c>
      <c r="E341" s="10">
        <v>10</v>
      </c>
      <c r="F341" s="10">
        <v>10</v>
      </c>
      <c r="L341" s="1">
        <v>339</v>
      </c>
      <c r="M341" s="1">
        <v>37</v>
      </c>
      <c r="N341" s="1">
        <v>0</v>
      </c>
      <c r="O341" s="1">
        <v>1</v>
      </c>
      <c r="P341" s="2">
        <v>1</v>
      </c>
      <c r="Q341" s="67">
        <v>5</v>
      </c>
    </row>
    <row r="342" spans="1:17" x14ac:dyDescent="0.25">
      <c r="A342" s="10">
        <v>275</v>
      </c>
      <c r="B342" s="10">
        <v>30</v>
      </c>
      <c r="C342" s="10">
        <v>1</v>
      </c>
      <c r="D342" s="10">
        <v>1</v>
      </c>
      <c r="E342" s="10">
        <v>2</v>
      </c>
      <c r="F342" s="10">
        <v>2</v>
      </c>
      <c r="L342" s="1">
        <v>340</v>
      </c>
      <c r="M342" s="1">
        <v>37</v>
      </c>
      <c r="N342" s="1">
        <v>0</v>
      </c>
      <c r="O342" s="1">
        <v>1</v>
      </c>
      <c r="P342" s="2">
        <v>1</v>
      </c>
      <c r="Q342" s="68">
        <v>5</v>
      </c>
    </row>
    <row r="343" spans="1:17" x14ac:dyDescent="0.25">
      <c r="A343" s="10">
        <v>272</v>
      </c>
      <c r="B343" s="10">
        <v>30</v>
      </c>
      <c r="C343" s="10">
        <v>1</v>
      </c>
      <c r="D343" s="10">
        <v>2</v>
      </c>
      <c r="E343" s="10">
        <v>15</v>
      </c>
      <c r="F343" s="10">
        <v>15</v>
      </c>
      <c r="L343" s="1">
        <v>341</v>
      </c>
      <c r="M343" s="1">
        <v>37</v>
      </c>
      <c r="N343" s="1">
        <v>0</v>
      </c>
      <c r="O343" s="1">
        <v>1</v>
      </c>
      <c r="P343" s="2">
        <v>1</v>
      </c>
      <c r="Q343" s="67">
        <v>2</v>
      </c>
    </row>
    <row r="344" spans="1:17" x14ac:dyDescent="0.25">
      <c r="A344" s="10">
        <v>275</v>
      </c>
      <c r="B344" s="10">
        <v>30</v>
      </c>
      <c r="C344" s="10">
        <v>1</v>
      </c>
      <c r="D344" s="10">
        <v>2</v>
      </c>
      <c r="E344" s="10">
        <v>21</v>
      </c>
      <c r="F344" s="10">
        <v>21</v>
      </c>
      <c r="L344" s="1">
        <v>342</v>
      </c>
      <c r="M344" s="1">
        <v>37</v>
      </c>
      <c r="N344" s="1">
        <v>0</v>
      </c>
      <c r="O344" s="1">
        <v>1</v>
      </c>
      <c r="P344" s="2">
        <v>1</v>
      </c>
      <c r="Q344" s="68">
        <v>10</v>
      </c>
    </row>
    <row r="345" spans="1:17" x14ac:dyDescent="0.25">
      <c r="A345" s="10">
        <v>272</v>
      </c>
      <c r="B345" s="10">
        <v>30</v>
      </c>
      <c r="C345" s="10">
        <v>1</v>
      </c>
      <c r="D345" s="10">
        <v>3</v>
      </c>
      <c r="E345" s="10">
        <v>1</v>
      </c>
      <c r="F345" s="10">
        <v>1</v>
      </c>
      <c r="L345" s="1">
        <v>343</v>
      </c>
      <c r="M345" s="1">
        <v>37</v>
      </c>
      <c r="N345" s="1">
        <v>0</v>
      </c>
      <c r="O345" s="1">
        <v>1</v>
      </c>
      <c r="P345" s="2">
        <v>1</v>
      </c>
      <c r="Q345" s="67">
        <v>0</v>
      </c>
    </row>
    <row r="346" spans="1:17" x14ac:dyDescent="0.25">
      <c r="A346" s="10">
        <v>272</v>
      </c>
      <c r="B346" s="10">
        <v>30</v>
      </c>
      <c r="C346" s="10">
        <v>1</v>
      </c>
      <c r="D346" s="10">
        <v>4</v>
      </c>
      <c r="E346" s="10">
        <v>2</v>
      </c>
      <c r="F346" s="10">
        <v>2</v>
      </c>
      <c r="L346" s="1">
        <v>344</v>
      </c>
      <c r="M346" s="1">
        <v>37</v>
      </c>
      <c r="N346" s="1">
        <v>0</v>
      </c>
      <c r="O346" s="1">
        <v>1</v>
      </c>
      <c r="P346" s="2">
        <v>1</v>
      </c>
      <c r="Q346" s="68">
        <v>3</v>
      </c>
    </row>
    <row r="347" spans="1:17" x14ac:dyDescent="0.25">
      <c r="A347" s="10">
        <v>11</v>
      </c>
      <c r="B347" s="10">
        <v>2</v>
      </c>
      <c r="C347" s="10">
        <v>2</v>
      </c>
      <c r="D347" s="10">
        <v>1</v>
      </c>
      <c r="E347" s="10">
        <v>10</v>
      </c>
      <c r="F347" s="10">
        <v>10</v>
      </c>
      <c r="L347" s="1">
        <v>345</v>
      </c>
      <c r="M347" s="1">
        <v>37</v>
      </c>
      <c r="N347" s="1">
        <v>0</v>
      </c>
      <c r="O347" s="1">
        <v>1</v>
      </c>
      <c r="P347" s="2">
        <v>1</v>
      </c>
      <c r="Q347" s="67">
        <v>4</v>
      </c>
    </row>
    <row r="348" spans="1:17" x14ac:dyDescent="0.25">
      <c r="A348" s="10">
        <v>11</v>
      </c>
      <c r="B348" s="10">
        <v>2</v>
      </c>
      <c r="C348" s="10">
        <v>2</v>
      </c>
      <c r="D348" s="10">
        <v>2</v>
      </c>
      <c r="E348" s="10">
        <v>13</v>
      </c>
      <c r="F348" s="10">
        <v>13</v>
      </c>
      <c r="L348" s="1">
        <v>346</v>
      </c>
      <c r="M348" s="1">
        <v>37</v>
      </c>
      <c r="N348" s="1">
        <v>0</v>
      </c>
      <c r="O348" s="1">
        <v>1</v>
      </c>
      <c r="P348" s="2">
        <v>1</v>
      </c>
      <c r="Q348" s="68">
        <v>1</v>
      </c>
    </row>
    <row r="349" spans="1:17" x14ac:dyDescent="0.25">
      <c r="A349" s="10">
        <v>11</v>
      </c>
      <c r="B349" s="10">
        <v>2</v>
      </c>
      <c r="C349" s="10">
        <v>2</v>
      </c>
      <c r="D349" s="10">
        <v>10</v>
      </c>
      <c r="E349" s="10">
        <v>5</v>
      </c>
      <c r="F349" s="10">
        <v>5</v>
      </c>
      <c r="L349" s="1">
        <v>347</v>
      </c>
      <c r="M349" s="1">
        <v>38</v>
      </c>
      <c r="N349" s="1">
        <v>0</v>
      </c>
      <c r="O349" s="1">
        <v>1</v>
      </c>
      <c r="P349" s="2">
        <v>1</v>
      </c>
      <c r="Q349" s="67">
        <v>0</v>
      </c>
    </row>
    <row r="350" spans="1:17" x14ac:dyDescent="0.25">
      <c r="A350" s="10">
        <v>36</v>
      </c>
      <c r="B350" s="10">
        <v>4</v>
      </c>
      <c r="C350" s="10">
        <v>2</v>
      </c>
      <c r="D350" s="10">
        <v>1</v>
      </c>
      <c r="E350" s="10">
        <v>24</v>
      </c>
      <c r="F350" s="10">
        <v>24</v>
      </c>
      <c r="L350" s="1">
        <v>348</v>
      </c>
      <c r="M350" s="1">
        <v>38</v>
      </c>
      <c r="N350" s="1">
        <v>0</v>
      </c>
      <c r="O350" s="1">
        <v>1</v>
      </c>
      <c r="P350" s="2">
        <v>1</v>
      </c>
      <c r="Q350" s="68">
        <v>11</v>
      </c>
    </row>
    <row r="351" spans="1:17" x14ac:dyDescent="0.25">
      <c r="A351" s="10">
        <v>264</v>
      </c>
      <c r="B351" s="10">
        <v>29</v>
      </c>
      <c r="C351" s="10">
        <v>1</v>
      </c>
      <c r="D351" s="10">
        <v>1</v>
      </c>
      <c r="E351" s="10">
        <v>6</v>
      </c>
      <c r="F351" s="10">
        <v>6</v>
      </c>
      <c r="L351" s="1">
        <v>349</v>
      </c>
      <c r="M351" s="1">
        <v>38</v>
      </c>
      <c r="N351" s="1">
        <v>0</v>
      </c>
      <c r="O351" s="1">
        <v>1</v>
      </c>
      <c r="P351" s="2">
        <v>1</v>
      </c>
      <c r="Q351" s="67">
        <v>2</v>
      </c>
    </row>
    <row r="352" spans="1:17" x14ac:dyDescent="0.25">
      <c r="A352" s="10">
        <v>264</v>
      </c>
      <c r="B352" s="10">
        <v>29</v>
      </c>
      <c r="C352" s="10">
        <v>1</v>
      </c>
      <c r="D352" s="10">
        <v>2</v>
      </c>
      <c r="E352" s="10">
        <v>4</v>
      </c>
      <c r="F352" s="10">
        <v>4</v>
      </c>
      <c r="L352" s="1">
        <v>350</v>
      </c>
      <c r="M352" s="1">
        <v>38</v>
      </c>
      <c r="N352" s="1">
        <v>0</v>
      </c>
      <c r="O352" s="1">
        <v>1</v>
      </c>
      <c r="P352" s="2">
        <v>1</v>
      </c>
      <c r="Q352" s="68">
        <v>5</v>
      </c>
    </row>
    <row r="353" spans="1:17" x14ac:dyDescent="0.25">
      <c r="A353" s="10">
        <v>38</v>
      </c>
      <c r="B353" s="10">
        <v>5</v>
      </c>
      <c r="C353" s="10">
        <v>2</v>
      </c>
      <c r="D353" s="10">
        <v>1</v>
      </c>
      <c r="E353" s="10">
        <v>3</v>
      </c>
      <c r="F353" s="10">
        <v>3</v>
      </c>
      <c r="L353" s="1">
        <v>351</v>
      </c>
      <c r="M353" s="1">
        <v>38</v>
      </c>
      <c r="N353" s="1">
        <v>0</v>
      </c>
      <c r="O353" s="1">
        <v>1</v>
      </c>
      <c r="P353" s="2">
        <v>1</v>
      </c>
      <c r="Q353" s="67">
        <v>14</v>
      </c>
    </row>
    <row r="354" spans="1:17" x14ac:dyDescent="0.25">
      <c r="A354" s="10">
        <v>418</v>
      </c>
      <c r="B354" s="10">
        <v>45</v>
      </c>
      <c r="C354" s="10">
        <v>2</v>
      </c>
      <c r="D354" s="10">
        <v>1</v>
      </c>
      <c r="E354" s="10">
        <v>20</v>
      </c>
      <c r="F354" s="10">
        <v>20</v>
      </c>
      <c r="L354" s="1">
        <v>352</v>
      </c>
      <c r="M354" s="1">
        <v>38</v>
      </c>
      <c r="N354" s="1">
        <v>0</v>
      </c>
      <c r="O354" s="1">
        <v>1</v>
      </c>
      <c r="P354" s="2">
        <v>1</v>
      </c>
      <c r="Q354" s="68">
        <v>5</v>
      </c>
    </row>
    <row r="355" spans="1:17" x14ac:dyDescent="0.25">
      <c r="A355" s="10">
        <v>418</v>
      </c>
      <c r="B355" s="10">
        <v>45</v>
      </c>
      <c r="C355" s="10">
        <v>2</v>
      </c>
      <c r="D355" s="10">
        <v>2</v>
      </c>
      <c r="E355" s="10">
        <v>14</v>
      </c>
      <c r="F355" s="10">
        <v>14</v>
      </c>
      <c r="L355" s="1">
        <v>353</v>
      </c>
      <c r="M355" s="1">
        <v>38</v>
      </c>
      <c r="N355" s="1">
        <v>0</v>
      </c>
      <c r="O355" s="1">
        <v>1</v>
      </c>
      <c r="P355" s="2">
        <v>1</v>
      </c>
      <c r="Q355" s="67">
        <v>16</v>
      </c>
    </row>
    <row r="356" spans="1:17" x14ac:dyDescent="0.25">
      <c r="A356" s="10">
        <v>12</v>
      </c>
      <c r="B356" s="10">
        <v>2</v>
      </c>
      <c r="C356" s="10">
        <v>2</v>
      </c>
      <c r="D356" s="10">
        <v>1</v>
      </c>
      <c r="E356" s="10">
        <v>9</v>
      </c>
      <c r="F356" s="10">
        <v>9</v>
      </c>
      <c r="L356" s="1">
        <v>354</v>
      </c>
      <c r="M356" s="1">
        <v>38</v>
      </c>
      <c r="N356" s="1">
        <v>0</v>
      </c>
      <c r="O356" s="1">
        <v>1</v>
      </c>
      <c r="P356" s="2">
        <v>1</v>
      </c>
      <c r="Q356" s="68">
        <v>8</v>
      </c>
    </row>
    <row r="357" spans="1:17" x14ac:dyDescent="0.25">
      <c r="A357" s="10">
        <v>12</v>
      </c>
      <c r="B357" s="10">
        <v>2</v>
      </c>
      <c r="C357" s="10">
        <v>2</v>
      </c>
      <c r="D357" s="10">
        <v>2</v>
      </c>
      <c r="E357" s="10">
        <v>10</v>
      </c>
      <c r="F357" s="10">
        <v>10</v>
      </c>
      <c r="L357" s="1">
        <v>355</v>
      </c>
      <c r="M357" s="1">
        <v>38</v>
      </c>
      <c r="N357" s="1">
        <v>0</v>
      </c>
      <c r="O357" s="1">
        <v>1</v>
      </c>
      <c r="P357" s="2">
        <v>1</v>
      </c>
      <c r="Q357" s="67">
        <v>1</v>
      </c>
    </row>
    <row r="358" spans="1:17" x14ac:dyDescent="0.25">
      <c r="A358" s="10">
        <v>338</v>
      </c>
      <c r="B358" s="10">
        <v>36</v>
      </c>
      <c r="C358" s="10">
        <v>2</v>
      </c>
      <c r="D358" s="10">
        <v>1</v>
      </c>
      <c r="E358" s="10">
        <v>16</v>
      </c>
      <c r="F358" s="10">
        <v>16</v>
      </c>
      <c r="L358" s="1">
        <v>356</v>
      </c>
      <c r="M358" s="1">
        <v>38</v>
      </c>
      <c r="N358" s="1">
        <v>0</v>
      </c>
      <c r="O358" s="1">
        <v>1</v>
      </c>
      <c r="P358" s="2">
        <v>1</v>
      </c>
      <c r="Q358" s="68">
        <v>3</v>
      </c>
    </row>
    <row r="359" spans="1:17" x14ac:dyDescent="0.25">
      <c r="A359" s="10">
        <v>338</v>
      </c>
      <c r="B359" s="10">
        <v>36</v>
      </c>
      <c r="C359" s="10">
        <v>2</v>
      </c>
      <c r="D359" s="10">
        <v>2</v>
      </c>
      <c r="E359" s="10">
        <v>15</v>
      </c>
      <c r="F359" s="10">
        <v>15</v>
      </c>
      <c r="L359" s="1">
        <v>357</v>
      </c>
      <c r="M359" s="1">
        <v>39</v>
      </c>
      <c r="N359" s="1">
        <v>0</v>
      </c>
      <c r="O359" s="1">
        <v>1</v>
      </c>
      <c r="P359" s="2">
        <v>1</v>
      </c>
      <c r="Q359" s="67">
        <v>2</v>
      </c>
    </row>
    <row r="360" spans="1:17" x14ac:dyDescent="0.25">
      <c r="A360" s="10">
        <v>314</v>
      </c>
      <c r="B360" s="10">
        <v>34</v>
      </c>
      <c r="C360" s="10">
        <v>2</v>
      </c>
      <c r="D360" s="10">
        <v>1</v>
      </c>
      <c r="E360" s="10">
        <v>29</v>
      </c>
      <c r="F360" s="10">
        <v>29</v>
      </c>
      <c r="L360" s="1">
        <v>358</v>
      </c>
      <c r="M360" s="1">
        <v>39</v>
      </c>
      <c r="N360" s="1">
        <v>0</v>
      </c>
      <c r="O360" s="1">
        <v>1</v>
      </c>
      <c r="P360" s="2">
        <v>1</v>
      </c>
      <c r="Q360" s="68">
        <v>23</v>
      </c>
    </row>
    <row r="361" spans="1:17" x14ac:dyDescent="0.25">
      <c r="A361" s="10">
        <v>314</v>
      </c>
      <c r="B361" s="10">
        <v>34</v>
      </c>
      <c r="C361" s="10">
        <v>2</v>
      </c>
      <c r="D361" s="10">
        <v>2</v>
      </c>
      <c r="E361" s="10">
        <v>4</v>
      </c>
      <c r="F361" s="10">
        <v>4</v>
      </c>
      <c r="L361" s="1">
        <v>359</v>
      </c>
      <c r="M361" s="1">
        <v>39</v>
      </c>
      <c r="N361" s="1">
        <v>0</v>
      </c>
      <c r="O361" s="1">
        <v>1</v>
      </c>
      <c r="P361" s="2">
        <v>1</v>
      </c>
      <c r="Q361" s="67">
        <v>8</v>
      </c>
    </row>
    <row r="362" spans="1:17" x14ac:dyDescent="0.25">
      <c r="A362" s="10">
        <v>276</v>
      </c>
      <c r="B362" s="10">
        <v>30</v>
      </c>
      <c r="C362" s="10">
        <v>1</v>
      </c>
      <c r="D362" s="10">
        <v>1</v>
      </c>
      <c r="E362" s="10">
        <v>11</v>
      </c>
      <c r="F362" s="10">
        <v>11</v>
      </c>
      <c r="L362" s="1">
        <v>360</v>
      </c>
      <c r="M362" s="1">
        <v>39</v>
      </c>
      <c r="N362" s="1">
        <v>0</v>
      </c>
      <c r="O362" s="1">
        <v>1</v>
      </c>
      <c r="P362" s="2">
        <v>1</v>
      </c>
      <c r="Q362" s="68">
        <v>15</v>
      </c>
    </row>
    <row r="363" spans="1:17" x14ac:dyDescent="0.25">
      <c r="A363" s="10">
        <v>276</v>
      </c>
      <c r="B363" s="10">
        <v>30</v>
      </c>
      <c r="C363" s="10">
        <v>1</v>
      </c>
      <c r="D363" s="10">
        <v>2</v>
      </c>
      <c r="E363" s="10">
        <v>23</v>
      </c>
      <c r="F363" s="10">
        <v>23</v>
      </c>
      <c r="L363" s="1">
        <v>361</v>
      </c>
      <c r="M363" s="1">
        <v>39</v>
      </c>
      <c r="N363" s="1">
        <v>0</v>
      </c>
      <c r="O363" s="1">
        <v>1</v>
      </c>
      <c r="P363" s="2">
        <v>1</v>
      </c>
      <c r="Q363" s="67">
        <v>11</v>
      </c>
    </row>
    <row r="364" spans="1:17" x14ac:dyDescent="0.25">
      <c r="A364" s="10">
        <v>276</v>
      </c>
      <c r="B364" s="10">
        <v>30</v>
      </c>
      <c r="C364" s="10">
        <v>2</v>
      </c>
      <c r="D364" s="10">
        <v>1</v>
      </c>
      <c r="E364" s="10">
        <v>5</v>
      </c>
      <c r="F364" s="10">
        <v>5</v>
      </c>
      <c r="L364" s="1">
        <v>362</v>
      </c>
      <c r="M364" s="1">
        <v>39</v>
      </c>
      <c r="N364" s="1">
        <v>0</v>
      </c>
      <c r="O364" s="1">
        <v>1</v>
      </c>
      <c r="P364" s="2">
        <v>1</v>
      </c>
      <c r="Q364" s="68">
        <v>7</v>
      </c>
    </row>
    <row r="365" spans="1:17" x14ac:dyDescent="0.25">
      <c r="A365" s="10">
        <v>276</v>
      </c>
      <c r="B365" s="10">
        <v>30</v>
      </c>
      <c r="C365" s="10">
        <v>2</v>
      </c>
      <c r="D365" s="10">
        <v>2</v>
      </c>
      <c r="E365" s="10">
        <v>32</v>
      </c>
      <c r="F365" s="10">
        <v>32</v>
      </c>
      <c r="L365" s="1">
        <v>363</v>
      </c>
      <c r="M365" s="1">
        <v>39</v>
      </c>
      <c r="N365" s="1">
        <v>0</v>
      </c>
      <c r="O365" s="1">
        <v>1</v>
      </c>
      <c r="P365" s="2">
        <v>1</v>
      </c>
      <c r="Q365" s="67">
        <v>9</v>
      </c>
    </row>
    <row r="366" spans="1:17" x14ac:dyDescent="0.25">
      <c r="A366" s="10">
        <v>278</v>
      </c>
      <c r="B366" s="10">
        <v>30</v>
      </c>
      <c r="C366" s="10">
        <v>2</v>
      </c>
      <c r="D366" s="10">
        <v>1</v>
      </c>
      <c r="E366" s="10">
        <v>10</v>
      </c>
      <c r="F366" s="10">
        <v>10</v>
      </c>
      <c r="L366" s="1">
        <v>364</v>
      </c>
      <c r="M366" s="1">
        <v>39</v>
      </c>
      <c r="N366" s="1">
        <v>0</v>
      </c>
      <c r="O366" s="1">
        <v>1</v>
      </c>
      <c r="P366" s="2">
        <v>1</v>
      </c>
      <c r="Q366" s="68">
        <v>5</v>
      </c>
    </row>
    <row r="367" spans="1:17" x14ac:dyDescent="0.25">
      <c r="A367" s="10">
        <v>278</v>
      </c>
      <c r="B367" s="10">
        <v>30</v>
      </c>
      <c r="C367" s="10">
        <v>2</v>
      </c>
      <c r="D367" s="10">
        <v>2</v>
      </c>
      <c r="E367" s="10">
        <v>25</v>
      </c>
      <c r="F367" s="10">
        <v>25</v>
      </c>
      <c r="L367" s="1">
        <v>365</v>
      </c>
      <c r="M367" s="1">
        <v>39</v>
      </c>
      <c r="N367" s="1">
        <v>0</v>
      </c>
      <c r="O367" s="1">
        <v>1</v>
      </c>
      <c r="P367" s="2">
        <v>1</v>
      </c>
      <c r="Q367" s="67">
        <v>5</v>
      </c>
    </row>
    <row r="368" spans="1:17" x14ac:dyDescent="0.25">
      <c r="A368" s="10">
        <v>278</v>
      </c>
      <c r="B368" s="10">
        <v>30</v>
      </c>
      <c r="C368" s="10">
        <v>1</v>
      </c>
      <c r="D368" s="10">
        <v>1</v>
      </c>
      <c r="E368" s="10">
        <v>10</v>
      </c>
      <c r="F368" s="10">
        <v>10</v>
      </c>
      <c r="L368" s="1">
        <v>366</v>
      </c>
      <c r="M368" s="1">
        <v>39</v>
      </c>
      <c r="N368" s="1">
        <v>0</v>
      </c>
      <c r="O368" s="1">
        <v>1</v>
      </c>
      <c r="P368" s="2">
        <v>1</v>
      </c>
      <c r="Q368" s="68">
        <v>1</v>
      </c>
    </row>
    <row r="369" spans="1:17" x14ac:dyDescent="0.25">
      <c r="A369" s="10">
        <v>15</v>
      </c>
      <c r="B369" s="10">
        <v>2</v>
      </c>
      <c r="C369" s="10">
        <v>2</v>
      </c>
      <c r="D369" s="10">
        <v>2</v>
      </c>
      <c r="E369" s="10">
        <v>17</v>
      </c>
      <c r="F369" s="10">
        <v>17</v>
      </c>
      <c r="L369" s="1">
        <v>367</v>
      </c>
      <c r="M369" s="1">
        <v>40</v>
      </c>
      <c r="N369" s="1">
        <v>0</v>
      </c>
      <c r="O369" s="1">
        <v>1</v>
      </c>
      <c r="P369" s="2">
        <v>1</v>
      </c>
      <c r="Q369" s="67">
        <v>8</v>
      </c>
    </row>
    <row r="370" spans="1:17" x14ac:dyDescent="0.25">
      <c r="A370" s="10">
        <v>278</v>
      </c>
      <c r="B370" s="10">
        <v>30</v>
      </c>
      <c r="C370" s="10">
        <v>1</v>
      </c>
      <c r="D370" s="10">
        <v>2</v>
      </c>
      <c r="E370" s="10">
        <v>25</v>
      </c>
      <c r="F370" s="10">
        <v>25</v>
      </c>
      <c r="L370" s="1">
        <v>368</v>
      </c>
      <c r="M370" s="1">
        <v>40</v>
      </c>
      <c r="N370" s="1">
        <v>0</v>
      </c>
      <c r="O370" s="1">
        <v>1</v>
      </c>
      <c r="P370" s="2">
        <v>1</v>
      </c>
      <c r="Q370" s="68">
        <v>2</v>
      </c>
    </row>
    <row r="371" spans="1:17" x14ac:dyDescent="0.25">
      <c r="A371" s="10">
        <v>15</v>
      </c>
      <c r="B371" s="10">
        <v>2</v>
      </c>
      <c r="C371" s="10">
        <v>2</v>
      </c>
      <c r="D371" s="10">
        <v>1</v>
      </c>
      <c r="E371" s="10">
        <v>25</v>
      </c>
      <c r="F371" s="10">
        <v>25</v>
      </c>
      <c r="L371" s="1">
        <v>369</v>
      </c>
      <c r="M371" s="1">
        <v>40</v>
      </c>
      <c r="N371" s="1">
        <v>0</v>
      </c>
      <c r="O371" s="1">
        <v>1</v>
      </c>
      <c r="P371" s="2">
        <v>1</v>
      </c>
      <c r="Q371" s="67">
        <v>4</v>
      </c>
    </row>
    <row r="372" spans="1:17" x14ac:dyDescent="0.25">
      <c r="A372" s="10">
        <v>17</v>
      </c>
      <c r="B372" s="10">
        <v>2</v>
      </c>
      <c r="C372" s="10">
        <v>2</v>
      </c>
      <c r="D372" s="10">
        <v>10</v>
      </c>
      <c r="E372" s="10">
        <v>5</v>
      </c>
      <c r="F372" s="10">
        <v>5</v>
      </c>
      <c r="L372" s="1">
        <v>370</v>
      </c>
      <c r="M372" s="1">
        <v>40</v>
      </c>
      <c r="N372" s="1">
        <v>0</v>
      </c>
      <c r="O372" s="1">
        <v>1</v>
      </c>
      <c r="P372" s="2">
        <v>1</v>
      </c>
      <c r="Q372" s="68">
        <v>3</v>
      </c>
    </row>
    <row r="373" spans="1:17" x14ac:dyDescent="0.25">
      <c r="A373" s="10">
        <v>15</v>
      </c>
      <c r="B373" s="10">
        <v>2</v>
      </c>
      <c r="C373" s="10">
        <v>2</v>
      </c>
      <c r="D373" s="10">
        <v>8</v>
      </c>
      <c r="E373" s="10">
        <v>2</v>
      </c>
      <c r="F373" s="10">
        <v>2</v>
      </c>
      <c r="L373" s="1">
        <v>371</v>
      </c>
      <c r="M373" s="1">
        <v>40</v>
      </c>
      <c r="N373" s="1">
        <v>0</v>
      </c>
      <c r="O373" s="1">
        <v>1</v>
      </c>
      <c r="P373" s="2">
        <v>1</v>
      </c>
      <c r="Q373" s="67">
        <v>4</v>
      </c>
    </row>
    <row r="374" spans="1:17" x14ac:dyDescent="0.25">
      <c r="A374" s="10">
        <v>15</v>
      </c>
      <c r="B374" s="10">
        <v>2</v>
      </c>
      <c r="C374" s="10">
        <v>2</v>
      </c>
      <c r="D374" s="10">
        <v>4</v>
      </c>
      <c r="E374" s="10">
        <v>1</v>
      </c>
      <c r="F374" s="10">
        <v>1</v>
      </c>
      <c r="L374" s="1">
        <v>372</v>
      </c>
      <c r="M374" s="1">
        <v>40</v>
      </c>
      <c r="N374" s="1">
        <v>0</v>
      </c>
      <c r="O374" s="1">
        <v>1</v>
      </c>
      <c r="P374" s="2">
        <v>1</v>
      </c>
      <c r="Q374" s="68">
        <v>3</v>
      </c>
    </row>
    <row r="375" spans="1:17" x14ac:dyDescent="0.25">
      <c r="A375" s="10">
        <v>277</v>
      </c>
      <c r="B375" s="10">
        <v>30</v>
      </c>
      <c r="C375" s="10">
        <v>1</v>
      </c>
      <c r="D375" s="10">
        <v>1</v>
      </c>
      <c r="E375" s="10">
        <v>17</v>
      </c>
      <c r="F375" s="10">
        <v>17</v>
      </c>
      <c r="L375" s="1">
        <v>373</v>
      </c>
      <c r="M375" s="1">
        <v>40</v>
      </c>
      <c r="N375" s="1">
        <v>0</v>
      </c>
      <c r="O375" s="1">
        <v>1</v>
      </c>
      <c r="P375" s="2">
        <v>1</v>
      </c>
      <c r="Q375" s="67">
        <v>3</v>
      </c>
    </row>
    <row r="376" spans="1:17" x14ac:dyDescent="0.25">
      <c r="A376" s="10">
        <v>277</v>
      </c>
      <c r="B376" s="10">
        <v>30</v>
      </c>
      <c r="C376" s="10">
        <v>1</v>
      </c>
      <c r="D376" s="10">
        <v>2</v>
      </c>
      <c r="E376" s="10">
        <v>21</v>
      </c>
      <c r="F376" s="10">
        <v>21</v>
      </c>
      <c r="L376" s="1">
        <v>374</v>
      </c>
      <c r="M376" s="1">
        <v>40</v>
      </c>
      <c r="N376" s="1">
        <v>0</v>
      </c>
      <c r="O376" s="1">
        <v>1</v>
      </c>
      <c r="P376" s="2">
        <v>1</v>
      </c>
      <c r="Q376" s="68">
        <v>2</v>
      </c>
    </row>
    <row r="377" spans="1:17" x14ac:dyDescent="0.25">
      <c r="A377" s="10">
        <v>277</v>
      </c>
      <c r="B377" s="10">
        <v>30</v>
      </c>
      <c r="C377" s="10">
        <v>3</v>
      </c>
      <c r="D377" s="10">
        <v>1</v>
      </c>
      <c r="E377" s="10">
        <v>2</v>
      </c>
      <c r="F377" s="10">
        <v>2</v>
      </c>
      <c r="L377" s="1">
        <v>375</v>
      </c>
      <c r="M377" s="1">
        <v>41</v>
      </c>
      <c r="N377" s="1">
        <v>0</v>
      </c>
      <c r="O377" s="1">
        <v>1</v>
      </c>
      <c r="P377" s="2">
        <v>1</v>
      </c>
      <c r="Q377" s="67">
        <v>6</v>
      </c>
    </row>
    <row r="378" spans="1:17" x14ac:dyDescent="0.25">
      <c r="A378" s="10">
        <v>271</v>
      </c>
      <c r="B378" s="10">
        <v>30</v>
      </c>
      <c r="C378" s="10">
        <v>1</v>
      </c>
      <c r="D378" s="10">
        <v>2</v>
      </c>
      <c r="E378" s="10">
        <v>9</v>
      </c>
      <c r="F378" s="10">
        <v>9</v>
      </c>
      <c r="L378" s="1">
        <v>376</v>
      </c>
      <c r="M378" s="1">
        <v>41</v>
      </c>
      <c r="N378" s="1">
        <v>0</v>
      </c>
      <c r="O378" s="1">
        <v>1</v>
      </c>
      <c r="P378" s="2">
        <v>1</v>
      </c>
      <c r="Q378" s="68">
        <v>6</v>
      </c>
    </row>
    <row r="379" spans="1:17" x14ac:dyDescent="0.25">
      <c r="A379" s="10">
        <v>277</v>
      </c>
      <c r="B379" s="10">
        <v>30</v>
      </c>
      <c r="C379" s="10">
        <v>3</v>
      </c>
      <c r="D379" s="10">
        <v>2</v>
      </c>
      <c r="E379" s="10">
        <v>18</v>
      </c>
      <c r="F379" s="10">
        <v>18</v>
      </c>
      <c r="L379" s="1">
        <v>377</v>
      </c>
      <c r="M379" s="1">
        <v>41</v>
      </c>
      <c r="N379" s="1">
        <v>0</v>
      </c>
      <c r="O379" s="1">
        <v>1</v>
      </c>
      <c r="P379" s="2">
        <v>1</v>
      </c>
      <c r="Q379" s="67">
        <v>5</v>
      </c>
    </row>
    <row r="380" spans="1:17" x14ac:dyDescent="0.25">
      <c r="A380" s="10">
        <v>271</v>
      </c>
      <c r="B380" s="10">
        <v>30</v>
      </c>
      <c r="C380" s="10">
        <v>1</v>
      </c>
      <c r="D380" s="10">
        <v>3</v>
      </c>
      <c r="E380" s="10">
        <v>2</v>
      </c>
      <c r="F380" s="10">
        <v>2</v>
      </c>
      <c r="L380" s="1">
        <v>378</v>
      </c>
      <c r="M380" s="1">
        <v>41</v>
      </c>
      <c r="N380" s="1">
        <v>0</v>
      </c>
      <c r="O380" s="1">
        <v>1</v>
      </c>
      <c r="P380" s="2">
        <v>1</v>
      </c>
      <c r="Q380" s="68">
        <v>10</v>
      </c>
    </row>
    <row r="381" spans="1:17" x14ac:dyDescent="0.25">
      <c r="A381" s="10">
        <v>271</v>
      </c>
      <c r="B381" s="10">
        <v>30</v>
      </c>
      <c r="C381" s="10">
        <v>2</v>
      </c>
      <c r="D381" s="10">
        <v>1</v>
      </c>
      <c r="E381" s="10">
        <v>28</v>
      </c>
      <c r="F381" s="10">
        <v>28</v>
      </c>
      <c r="L381" s="1">
        <v>379</v>
      </c>
      <c r="M381" s="1">
        <v>41</v>
      </c>
      <c r="N381" s="1">
        <v>0</v>
      </c>
      <c r="O381" s="1">
        <v>1</v>
      </c>
      <c r="P381" s="2">
        <v>1</v>
      </c>
      <c r="Q381" s="67">
        <v>12</v>
      </c>
    </row>
    <row r="382" spans="1:17" x14ac:dyDescent="0.25">
      <c r="A382" s="10">
        <v>271</v>
      </c>
      <c r="B382" s="10">
        <v>30</v>
      </c>
      <c r="C382" s="10">
        <v>2</v>
      </c>
      <c r="D382" s="10">
        <v>2</v>
      </c>
      <c r="E382" s="10">
        <v>13</v>
      </c>
      <c r="F382" s="10">
        <v>13</v>
      </c>
      <c r="L382" s="1">
        <v>380</v>
      </c>
      <c r="M382" s="1">
        <v>41</v>
      </c>
      <c r="N382" s="1">
        <v>0</v>
      </c>
      <c r="O382" s="1">
        <v>1</v>
      </c>
      <c r="P382" s="2">
        <v>1</v>
      </c>
      <c r="Q382" s="68">
        <v>7</v>
      </c>
    </row>
    <row r="383" spans="1:17" x14ac:dyDescent="0.25">
      <c r="A383" s="10">
        <v>277</v>
      </c>
      <c r="B383" s="10">
        <v>30</v>
      </c>
      <c r="C383" s="10">
        <v>2</v>
      </c>
      <c r="D383" s="10">
        <v>1</v>
      </c>
      <c r="E383" s="10">
        <v>3</v>
      </c>
      <c r="F383" s="10">
        <v>3</v>
      </c>
      <c r="L383" s="1">
        <v>381</v>
      </c>
      <c r="M383" s="1">
        <v>41</v>
      </c>
      <c r="N383" s="1">
        <v>0</v>
      </c>
      <c r="O383" s="1">
        <v>1</v>
      </c>
      <c r="P383" s="2">
        <v>1</v>
      </c>
      <c r="Q383" s="67">
        <v>9</v>
      </c>
    </row>
    <row r="384" spans="1:17" x14ac:dyDescent="0.25">
      <c r="A384" s="10">
        <v>277</v>
      </c>
      <c r="B384" s="10">
        <v>30</v>
      </c>
      <c r="C384" s="10">
        <v>2</v>
      </c>
      <c r="D384" s="10">
        <v>2</v>
      </c>
      <c r="E384" s="10">
        <v>12</v>
      </c>
      <c r="F384" s="10">
        <v>12</v>
      </c>
      <c r="L384" s="1">
        <v>382</v>
      </c>
      <c r="M384" s="1">
        <v>41</v>
      </c>
      <c r="N384" s="1">
        <v>0</v>
      </c>
      <c r="O384" s="1">
        <v>1</v>
      </c>
      <c r="P384" s="2">
        <v>1</v>
      </c>
      <c r="Q384" s="68">
        <v>14</v>
      </c>
    </row>
    <row r="385" spans="1:17" x14ac:dyDescent="0.25">
      <c r="A385" s="10">
        <v>277</v>
      </c>
      <c r="B385" s="10">
        <v>30</v>
      </c>
      <c r="C385" s="10">
        <v>2</v>
      </c>
      <c r="D385" s="10">
        <v>3</v>
      </c>
      <c r="E385" s="10">
        <v>1</v>
      </c>
      <c r="F385" s="10">
        <v>1</v>
      </c>
      <c r="L385" s="1">
        <v>383</v>
      </c>
      <c r="M385" s="1">
        <v>41</v>
      </c>
      <c r="N385" s="1">
        <v>0</v>
      </c>
      <c r="O385" s="1">
        <v>1</v>
      </c>
      <c r="P385" s="2">
        <v>1</v>
      </c>
      <c r="Q385" s="67">
        <v>13</v>
      </c>
    </row>
    <row r="386" spans="1:17" x14ac:dyDescent="0.25">
      <c r="A386" s="10">
        <v>279</v>
      </c>
      <c r="B386" s="10">
        <v>30</v>
      </c>
      <c r="C386" s="10">
        <v>3</v>
      </c>
      <c r="D386" s="10">
        <v>1</v>
      </c>
      <c r="E386" s="10">
        <v>13</v>
      </c>
      <c r="F386" s="10">
        <v>13</v>
      </c>
      <c r="L386" s="1">
        <v>384</v>
      </c>
      <c r="M386" s="1">
        <v>41</v>
      </c>
      <c r="N386" s="1">
        <v>0</v>
      </c>
      <c r="O386" s="1">
        <v>1</v>
      </c>
      <c r="P386" s="2">
        <v>1</v>
      </c>
      <c r="Q386" s="68">
        <v>9</v>
      </c>
    </row>
    <row r="387" spans="1:17" x14ac:dyDescent="0.25">
      <c r="A387" s="10">
        <v>279</v>
      </c>
      <c r="B387" s="10">
        <v>30</v>
      </c>
      <c r="C387" s="10">
        <v>3</v>
      </c>
      <c r="D387" s="10">
        <v>2</v>
      </c>
      <c r="E387" s="10">
        <v>16</v>
      </c>
      <c r="F387" s="10">
        <v>16</v>
      </c>
      <c r="L387" s="1">
        <v>385</v>
      </c>
      <c r="M387" s="1">
        <v>42</v>
      </c>
      <c r="N387" s="1">
        <v>0</v>
      </c>
      <c r="O387" s="1">
        <v>1</v>
      </c>
      <c r="P387" s="2">
        <v>1</v>
      </c>
      <c r="Q387" s="67">
        <v>3</v>
      </c>
    </row>
    <row r="388" spans="1:17" x14ac:dyDescent="0.25">
      <c r="A388" s="10">
        <v>389</v>
      </c>
      <c r="B388" s="10">
        <v>42</v>
      </c>
      <c r="C388" s="10">
        <v>3</v>
      </c>
      <c r="D388" s="10">
        <v>1</v>
      </c>
      <c r="E388" s="10">
        <v>6</v>
      </c>
      <c r="F388" s="10">
        <v>6</v>
      </c>
      <c r="L388" s="1">
        <v>386</v>
      </c>
      <c r="M388" s="1">
        <v>42</v>
      </c>
      <c r="N388" s="1">
        <v>0</v>
      </c>
      <c r="O388" s="1">
        <v>1</v>
      </c>
      <c r="P388" s="2">
        <v>1</v>
      </c>
      <c r="Q388" s="68">
        <v>13</v>
      </c>
    </row>
    <row r="389" spans="1:17" x14ac:dyDescent="0.25">
      <c r="A389" s="10">
        <v>389</v>
      </c>
      <c r="B389" s="10">
        <v>42</v>
      </c>
      <c r="C389" s="10">
        <v>3</v>
      </c>
      <c r="D389" s="10">
        <v>2</v>
      </c>
      <c r="E389" s="10">
        <v>14</v>
      </c>
      <c r="F389" s="10">
        <v>14</v>
      </c>
      <c r="L389" s="1">
        <v>387</v>
      </c>
      <c r="M389" s="1">
        <v>42</v>
      </c>
      <c r="N389" s="1">
        <v>0</v>
      </c>
      <c r="O389" s="1">
        <v>1</v>
      </c>
      <c r="P389" s="2">
        <v>1</v>
      </c>
      <c r="Q389" s="67">
        <v>8</v>
      </c>
    </row>
    <row r="390" spans="1:17" x14ac:dyDescent="0.25">
      <c r="A390" s="10">
        <v>242</v>
      </c>
      <c r="B390" s="10">
        <v>26</v>
      </c>
      <c r="C390" s="10">
        <v>2</v>
      </c>
      <c r="D390" s="10">
        <v>1</v>
      </c>
      <c r="E390" s="10">
        <v>6</v>
      </c>
      <c r="F390" s="10">
        <v>6</v>
      </c>
      <c r="L390" s="1">
        <v>388</v>
      </c>
      <c r="M390" s="1">
        <v>42</v>
      </c>
      <c r="N390" s="1">
        <v>0</v>
      </c>
      <c r="O390" s="1">
        <v>1</v>
      </c>
      <c r="P390" s="2">
        <v>1</v>
      </c>
      <c r="Q390" s="68">
        <v>16</v>
      </c>
    </row>
    <row r="391" spans="1:17" x14ac:dyDescent="0.25">
      <c r="A391" s="10">
        <v>242</v>
      </c>
      <c r="B391" s="10">
        <v>26</v>
      </c>
      <c r="C391" s="10">
        <v>2</v>
      </c>
      <c r="D391" s="10">
        <v>2</v>
      </c>
      <c r="E391" s="10">
        <v>4</v>
      </c>
      <c r="F391" s="10">
        <v>4</v>
      </c>
      <c r="L391" s="1">
        <v>389</v>
      </c>
      <c r="M391" s="1">
        <v>42</v>
      </c>
      <c r="N391" s="1">
        <v>0</v>
      </c>
      <c r="O391" s="1">
        <v>1</v>
      </c>
      <c r="P391" s="2">
        <v>1</v>
      </c>
      <c r="Q391" s="67">
        <v>13</v>
      </c>
    </row>
    <row r="392" spans="1:17" x14ac:dyDescent="0.25">
      <c r="A392" s="10">
        <v>9</v>
      </c>
      <c r="B392" s="10">
        <v>1</v>
      </c>
      <c r="C392" s="10">
        <v>2</v>
      </c>
      <c r="D392" s="10">
        <v>2</v>
      </c>
      <c r="E392" s="10">
        <v>48</v>
      </c>
      <c r="F392" s="10">
        <v>48</v>
      </c>
      <c r="L392" s="1">
        <v>390</v>
      </c>
      <c r="M392" s="1">
        <v>42</v>
      </c>
      <c r="N392" s="1">
        <v>0</v>
      </c>
      <c r="O392" s="1">
        <v>1</v>
      </c>
      <c r="P392" s="2">
        <v>1</v>
      </c>
      <c r="Q392" s="68">
        <v>8</v>
      </c>
    </row>
    <row r="393" spans="1:17" x14ac:dyDescent="0.25">
      <c r="A393" s="10">
        <v>242</v>
      </c>
      <c r="B393" s="10">
        <v>26</v>
      </c>
      <c r="C393" s="10">
        <v>2</v>
      </c>
      <c r="D393" s="10">
        <v>3</v>
      </c>
      <c r="E393" s="10">
        <v>2</v>
      </c>
      <c r="F393" s="10">
        <v>2</v>
      </c>
      <c r="L393" s="1">
        <v>391</v>
      </c>
      <c r="M393" s="1">
        <v>42</v>
      </c>
      <c r="N393" s="1">
        <v>0</v>
      </c>
      <c r="O393" s="1">
        <v>1</v>
      </c>
      <c r="P393" s="2">
        <v>1</v>
      </c>
      <c r="Q393" s="67">
        <v>13</v>
      </c>
    </row>
    <row r="394" spans="1:17" x14ac:dyDescent="0.25">
      <c r="A394" s="10">
        <v>242</v>
      </c>
      <c r="B394" s="10">
        <v>26</v>
      </c>
      <c r="C394" s="10">
        <v>2</v>
      </c>
      <c r="D394" s="10">
        <v>4</v>
      </c>
      <c r="E394" s="10">
        <v>1</v>
      </c>
      <c r="F394" s="10">
        <v>1</v>
      </c>
      <c r="L394" s="1">
        <v>392</v>
      </c>
      <c r="M394" s="1">
        <v>42</v>
      </c>
      <c r="N394" s="1">
        <v>0</v>
      </c>
      <c r="O394" s="1">
        <v>1</v>
      </c>
      <c r="P394" s="2">
        <v>1</v>
      </c>
      <c r="Q394" s="68">
        <v>13</v>
      </c>
    </row>
    <row r="395" spans="1:17" x14ac:dyDescent="0.25">
      <c r="A395" s="10">
        <v>182</v>
      </c>
      <c r="B395" s="10">
        <v>19</v>
      </c>
      <c r="C395" s="10">
        <v>1</v>
      </c>
      <c r="D395" s="10">
        <v>1</v>
      </c>
      <c r="E395" s="10">
        <v>7</v>
      </c>
      <c r="F395" s="10">
        <v>7</v>
      </c>
      <c r="L395" s="1">
        <v>393</v>
      </c>
      <c r="M395" s="1">
        <v>42</v>
      </c>
      <c r="N395" s="1">
        <v>0</v>
      </c>
      <c r="O395" s="1">
        <v>1</v>
      </c>
      <c r="P395" s="2">
        <v>1</v>
      </c>
      <c r="Q395" s="67">
        <v>10</v>
      </c>
    </row>
    <row r="396" spans="1:17" x14ac:dyDescent="0.25">
      <c r="A396" s="10">
        <v>182</v>
      </c>
      <c r="B396" s="10">
        <v>19</v>
      </c>
      <c r="C396" s="10">
        <v>1</v>
      </c>
      <c r="D396" s="10">
        <v>2</v>
      </c>
      <c r="E396" s="10">
        <v>1</v>
      </c>
      <c r="F396" s="10">
        <v>1</v>
      </c>
      <c r="L396" s="1">
        <v>394</v>
      </c>
      <c r="M396" s="1">
        <v>42</v>
      </c>
      <c r="N396" s="1">
        <v>0</v>
      </c>
      <c r="O396" s="1">
        <v>1</v>
      </c>
      <c r="P396" s="2">
        <v>1</v>
      </c>
      <c r="Q396" s="68">
        <v>5</v>
      </c>
    </row>
    <row r="397" spans="1:17" x14ac:dyDescent="0.25">
      <c r="A397" s="10">
        <v>271</v>
      </c>
      <c r="B397" s="10">
        <v>30</v>
      </c>
      <c r="C397" s="10">
        <v>3</v>
      </c>
      <c r="D397" s="10">
        <v>1</v>
      </c>
      <c r="E397" s="10">
        <v>12</v>
      </c>
      <c r="F397" s="10">
        <v>12</v>
      </c>
      <c r="L397" s="1">
        <v>395</v>
      </c>
      <c r="M397" s="1">
        <v>43</v>
      </c>
      <c r="N397" s="1">
        <v>0</v>
      </c>
      <c r="O397" s="1">
        <v>1</v>
      </c>
      <c r="P397" s="2">
        <v>1</v>
      </c>
      <c r="Q397" s="67">
        <v>13</v>
      </c>
    </row>
    <row r="398" spans="1:17" x14ac:dyDescent="0.25">
      <c r="A398" s="10">
        <v>271</v>
      </c>
      <c r="B398" s="10">
        <v>30</v>
      </c>
      <c r="C398" s="10">
        <v>3</v>
      </c>
      <c r="D398" s="10">
        <v>2</v>
      </c>
      <c r="E398" s="10">
        <v>11</v>
      </c>
      <c r="F398" s="10">
        <v>11</v>
      </c>
      <c r="L398" s="1">
        <v>396</v>
      </c>
      <c r="M398" s="1">
        <v>43</v>
      </c>
      <c r="N398" s="1">
        <v>0</v>
      </c>
      <c r="O398" s="1">
        <v>1</v>
      </c>
      <c r="P398" s="2">
        <v>1</v>
      </c>
      <c r="Q398" s="68">
        <v>6</v>
      </c>
    </row>
    <row r="399" spans="1:17" x14ac:dyDescent="0.25">
      <c r="A399" s="10">
        <v>202</v>
      </c>
      <c r="B399" s="10">
        <v>22</v>
      </c>
      <c r="C399" s="10">
        <v>2</v>
      </c>
      <c r="D399" s="10">
        <v>2</v>
      </c>
      <c r="E399" s="10">
        <v>28</v>
      </c>
      <c r="F399" s="10">
        <v>28</v>
      </c>
      <c r="L399" s="1">
        <v>397</v>
      </c>
      <c r="M399" s="1">
        <v>43</v>
      </c>
      <c r="N399" s="1">
        <v>0</v>
      </c>
      <c r="O399" s="1">
        <v>1</v>
      </c>
      <c r="P399" s="2">
        <v>1</v>
      </c>
      <c r="Q399" s="67">
        <v>7</v>
      </c>
    </row>
    <row r="400" spans="1:17" x14ac:dyDescent="0.25">
      <c r="A400" s="10">
        <v>271</v>
      </c>
      <c r="B400" s="10">
        <v>30</v>
      </c>
      <c r="C400" s="10">
        <v>3</v>
      </c>
      <c r="D400" s="10">
        <v>3</v>
      </c>
      <c r="E400" s="10">
        <v>4</v>
      </c>
      <c r="F400" s="10">
        <v>4</v>
      </c>
      <c r="L400" s="1">
        <v>398</v>
      </c>
      <c r="M400" s="1">
        <v>43</v>
      </c>
      <c r="N400" s="1">
        <v>0</v>
      </c>
      <c r="O400" s="1">
        <v>1</v>
      </c>
      <c r="P400" s="2">
        <v>1</v>
      </c>
      <c r="Q400" s="68">
        <v>8</v>
      </c>
    </row>
    <row r="401" spans="1:17" x14ac:dyDescent="0.25">
      <c r="A401" s="10">
        <v>202</v>
      </c>
      <c r="B401" s="10">
        <v>22</v>
      </c>
      <c r="C401" s="10">
        <v>2</v>
      </c>
      <c r="D401" s="10">
        <v>3</v>
      </c>
      <c r="E401" s="10">
        <v>9</v>
      </c>
      <c r="F401" s="10">
        <v>9</v>
      </c>
      <c r="L401" s="1">
        <v>399</v>
      </c>
      <c r="M401" s="1">
        <v>43</v>
      </c>
      <c r="N401" s="1">
        <v>0</v>
      </c>
      <c r="O401" s="1">
        <v>1</v>
      </c>
      <c r="P401" s="2">
        <v>1</v>
      </c>
      <c r="Q401" s="67">
        <v>7</v>
      </c>
    </row>
    <row r="402" spans="1:17" x14ac:dyDescent="0.25">
      <c r="A402" s="10">
        <v>4</v>
      </c>
      <c r="B402" s="10">
        <v>1</v>
      </c>
      <c r="C402" s="10">
        <v>3</v>
      </c>
      <c r="D402" s="10">
        <v>1</v>
      </c>
      <c r="E402" s="10">
        <v>20</v>
      </c>
      <c r="F402" s="10">
        <v>20</v>
      </c>
      <c r="L402" s="1">
        <v>400</v>
      </c>
      <c r="M402" s="1">
        <v>43</v>
      </c>
      <c r="N402" s="1">
        <v>0</v>
      </c>
      <c r="O402" s="1">
        <v>1</v>
      </c>
      <c r="P402" s="2">
        <v>1</v>
      </c>
      <c r="Q402" s="68">
        <v>9</v>
      </c>
    </row>
    <row r="403" spans="1:17" x14ac:dyDescent="0.25">
      <c r="A403" s="10">
        <v>1</v>
      </c>
      <c r="B403" s="10">
        <v>1</v>
      </c>
      <c r="C403" s="10">
        <v>3</v>
      </c>
      <c r="D403" s="10">
        <v>1</v>
      </c>
      <c r="E403" s="10">
        <v>453</v>
      </c>
      <c r="F403" s="10">
        <v>453</v>
      </c>
      <c r="L403" s="1">
        <v>401</v>
      </c>
      <c r="M403" s="1">
        <v>43</v>
      </c>
      <c r="N403" s="1">
        <v>0</v>
      </c>
      <c r="O403" s="1">
        <v>1</v>
      </c>
      <c r="P403" s="2">
        <v>1</v>
      </c>
      <c r="Q403" s="67">
        <v>5</v>
      </c>
    </row>
    <row r="404" spans="1:17" x14ac:dyDescent="0.25">
      <c r="A404" s="10">
        <v>4</v>
      </c>
      <c r="B404" s="10">
        <v>1</v>
      </c>
      <c r="C404" s="10">
        <v>3</v>
      </c>
      <c r="D404" s="10">
        <v>2</v>
      </c>
      <c r="E404" s="10">
        <v>23</v>
      </c>
      <c r="F404" s="10">
        <v>23</v>
      </c>
      <c r="L404" s="1">
        <v>402</v>
      </c>
      <c r="M404" s="1">
        <v>43</v>
      </c>
      <c r="N404" s="1">
        <v>0</v>
      </c>
      <c r="O404" s="1">
        <v>1</v>
      </c>
      <c r="P404" s="2">
        <v>1</v>
      </c>
      <c r="Q404" s="68">
        <v>10</v>
      </c>
    </row>
    <row r="405" spans="1:17" x14ac:dyDescent="0.25">
      <c r="A405" s="10">
        <v>1</v>
      </c>
      <c r="B405" s="10">
        <v>1</v>
      </c>
      <c r="C405" s="10">
        <v>3</v>
      </c>
      <c r="D405" s="10">
        <v>2</v>
      </c>
      <c r="E405" s="10">
        <v>544</v>
      </c>
      <c r="F405" s="10">
        <v>544</v>
      </c>
      <c r="L405" s="1">
        <v>403</v>
      </c>
      <c r="M405" s="1">
        <v>43</v>
      </c>
      <c r="N405" s="1">
        <v>0</v>
      </c>
      <c r="O405" s="1">
        <v>1</v>
      </c>
      <c r="P405" s="2">
        <v>1</v>
      </c>
      <c r="Q405" s="67">
        <v>11</v>
      </c>
    </row>
    <row r="406" spans="1:17" x14ac:dyDescent="0.25">
      <c r="A406" s="10">
        <v>1</v>
      </c>
      <c r="B406" s="10">
        <v>1</v>
      </c>
      <c r="C406" s="10">
        <v>3</v>
      </c>
      <c r="D406" s="10">
        <v>3</v>
      </c>
      <c r="E406" s="10">
        <v>6</v>
      </c>
      <c r="F406" s="10">
        <v>6</v>
      </c>
      <c r="L406" s="1">
        <v>404</v>
      </c>
      <c r="M406" s="1">
        <v>43</v>
      </c>
      <c r="N406" s="1">
        <v>0</v>
      </c>
      <c r="O406" s="1">
        <v>1</v>
      </c>
      <c r="P406" s="2">
        <v>1</v>
      </c>
      <c r="Q406" s="68">
        <v>10</v>
      </c>
    </row>
    <row r="407" spans="1:17" x14ac:dyDescent="0.25">
      <c r="A407" s="10">
        <v>386</v>
      </c>
      <c r="B407" s="10">
        <v>42</v>
      </c>
      <c r="C407" s="10">
        <v>3</v>
      </c>
      <c r="D407" s="10">
        <v>1</v>
      </c>
      <c r="E407" s="10">
        <v>2</v>
      </c>
      <c r="F407" s="10">
        <v>2</v>
      </c>
      <c r="L407" s="1">
        <v>405</v>
      </c>
      <c r="M407" s="1">
        <v>44</v>
      </c>
      <c r="N407" s="1">
        <v>0</v>
      </c>
      <c r="O407" s="1">
        <v>1</v>
      </c>
      <c r="P407" s="2">
        <v>1</v>
      </c>
      <c r="Q407" s="67">
        <v>9</v>
      </c>
    </row>
    <row r="408" spans="1:17" x14ac:dyDescent="0.25">
      <c r="A408" s="10">
        <v>275</v>
      </c>
      <c r="B408" s="10">
        <v>30</v>
      </c>
      <c r="C408" s="10">
        <v>3</v>
      </c>
      <c r="D408" s="10">
        <v>1</v>
      </c>
      <c r="E408" s="10">
        <v>13</v>
      </c>
      <c r="F408" s="10">
        <v>13</v>
      </c>
      <c r="L408" s="1">
        <v>406</v>
      </c>
      <c r="M408" s="1">
        <v>44</v>
      </c>
      <c r="N408" s="1">
        <v>0</v>
      </c>
      <c r="O408" s="1">
        <v>1</v>
      </c>
      <c r="P408" s="2">
        <v>1</v>
      </c>
      <c r="Q408" s="68">
        <v>4</v>
      </c>
    </row>
    <row r="409" spans="1:17" x14ac:dyDescent="0.25">
      <c r="A409" s="10">
        <v>275</v>
      </c>
      <c r="B409" s="10">
        <v>30</v>
      </c>
      <c r="C409" s="10">
        <v>3</v>
      </c>
      <c r="D409" s="10">
        <v>2</v>
      </c>
      <c r="E409" s="10">
        <v>15</v>
      </c>
      <c r="F409" s="10">
        <v>15</v>
      </c>
      <c r="L409" s="1">
        <v>407</v>
      </c>
      <c r="M409" s="1">
        <v>44</v>
      </c>
      <c r="N409" s="1">
        <v>0</v>
      </c>
      <c r="O409" s="1">
        <v>1</v>
      </c>
      <c r="P409" s="2">
        <v>1</v>
      </c>
      <c r="Q409" s="67">
        <v>11</v>
      </c>
    </row>
    <row r="410" spans="1:17" x14ac:dyDescent="0.25">
      <c r="A410" s="10">
        <v>20</v>
      </c>
      <c r="B410" s="10">
        <v>2</v>
      </c>
      <c r="C410" s="10">
        <v>2</v>
      </c>
      <c r="D410" s="10">
        <v>1</v>
      </c>
      <c r="E410" s="10">
        <v>22</v>
      </c>
      <c r="F410" s="10">
        <v>22</v>
      </c>
      <c r="L410" s="1">
        <v>408</v>
      </c>
      <c r="M410" s="1">
        <v>44</v>
      </c>
      <c r="N410" s="1">
        <v>0</v>
      </c>
      <c r="O410" s="1">
        <v>1</v>
      </c>
      <c r="P410" s="2">
        <v>1</v>
      </c>
      <c r="Q410" s="68">
        <v>10</v>
      </c>
    </row>
    <row r="411" spans="1:17" x14ac:dyDescent="0.25">
      <c r="A411" s="10">
        <v>20</v>
      </c>
      <c r="B411" s="10">
        <v>2</v>
      </c>
      <c r="C411" s="10">
        <v>2</v>
      </c>
      <c r="D411" s="10">
        <v>2</v>
      </c>
      <c r="E411" s="10">
        <v>16</v>
      </c>
      <c r="F411" s="10">
        <v>16</v>
      </c>
      <c r="L411" s="1">
        <v>409</v>
      </c>
      <c r="M411" s="1">
        <v>44</v>
      </c>
      <c r="N411" s="1">
        <v>0</v>
      </c>
      <c r="O411" s="1">
        <v>1</v>
      </c>
      <c r="P411" s="2">
        <v>1</v>
      </c>
      <c r="Q411" s="67">
        <v>8</v>
      </c>
    </row>
    <row r="412" spans="1:17" x14ac:dyDescent="0.25">
      <c r="A412" s="10">
        <v>20</v>
      </c>
      <c r="B412" s="10">
        <v>2</v>
      </c>
      <c r="C412" s="10">
        <v>2</v>
      </c>
      <c r="D412" s="10">
        <v>10</v>
      </c>
      <c r="E412" s="10">
        <v>4</v>
      </c>
      <c r="F412" s="10">
        <v>4</v>
      </c>
      <c r="L412" s="1">
        <v>410</v>
      </c>
      <c r="M412" s="1">
        <v>44</v>
      </c>
      <c r="N412" s="1">
        <v>0</v>
      </c>
      <c r="O412" s="1">
        <v>1</v>
      </c>
      <c r="P412" s="2">
        <v>1</v>
      </c>
      <c r="Q412" s="68">
        <v>7</v>
      </c>
    </row>
    <row r="413" spans="1:17" x14ac:dyDescent="0.25">
      <c r="A413" s="10">
        <v>20</v>
      </c>
      <c r="B413" s="10">
        <v>2</v>
      </c>
      <c r="C413" s="10">
        <v>2</v>
      </c>
      <c r="D413" s="10">
        <v>3</v>
      </c>
      <c r="E413" s="10">
        <v>2</v>
      </c>
      <c r="F413" s="10">
        <v>2</v>
      </c>
      <c r="L413" s="1">
        <v>411</v>
      </c>
      <c r="M413" s="1">
        <v>44</v>
      </c>
      <c r="N413" s="1">
        <v>0</v>
      </c>
      <c r="O413" s="1">
        <v>1</v>
      </c>
      <c r="P413" s="2">
        <v>1</v>
      </c>
      <c r="Q413" s="67">
        <v>6</v>
      </c>
    </row>
    <row r="414" spans="1:17" x14ac:dyDescent="0.25">
      <c r="A414" s="10">
        <v>318</v>
      </c>
      <c r="B414" s="10">
        <v>34</v>
      </c>
      <c r="C414" s="10">
        <v>3</v>
      </c>
      <c r="D414" s="10">
        <v>1</v>
      </c>
      <c r="E414" s="10">
        <v>15</v>
      </c>
      <c r="F414" s="10">
        <v>15</v>
      </c>
      <c r="L414" s="1">
        <v>412</v>
      </c>
      <c r="M414" s="1">
        <v>44</v>
      </c>
      <c r="N414" s="1">
        <v>0</v>
      </c>
      <c r="O414" s="1">
        <v>1</v>
      </c>
      <c r="P414" s="2">
        <v>1</v>
      </c>
      <c r="Q414" s="68">
        <v>6</v>
      </c>
    </row>
    <row r="415" spans="1:17" x14ac:dyDescent="0.25">
      <c r="A415" s="10">
        <v>341</v>
      </c>
      <c r="B415" s="10">
        <v>37</v>
      </c>
      <c r="C415" s="10">
        <v>1</v>
      </c>
      <c r="D415" s="10">
        <v>4</v>
      </c>
      <c r="E415" s="10">
        <v>1</v>
      </c>
      <c r="F415" s="10">
        <v>1</v>
      </c>
      <c r="L415" s="1">
        <v>413</v>
      </c>
      <c r="M415" s="1">
        <v>44</v>
      </c>
      <c r="N415" s="1">
        <v>0</v>
      </c>
      <c r="O415" s="1">
        <v>1</v>
      </c>
      <c r="P415" s="2">
        <v>1</v>
      </c>
      <c r="Q415" s="67">
        <v>11</v>
      </c>
    </row>
    <row r="416" spans="1:17" x14ac:dyDescent="0.25">
      <c r="A416" s="10">
        <v>15</v>
      </c>
      <c r="B416" s="10">
        <v>2</v>
      </c>
      <c r="C416" s="10">
        <v>1</v>
      </c>
      <c r="D416" s="10">
        <v>2</v>
      </c>
      <c r="E416" s="10">
        <v>20</v>
      </c>
      <c r="F416" s="10">
        <v>20</v>
      </c>
      <c r="L416" s="1">
        <v>414</v>
      </c>
      <c r="M416" s="1">
        <v>44</v>
      </c>
      <c r="N416" s="1">
        <v>0</v>
      </c>
      <c r="O416" s="1">
        <v>1</v>
      </c>
      <c r="P416" s="2">
        <v>1</v>
      </c>
      <c r="Q416" s="68">
        <v>12</v>
      </c>
    </row>
    <row r="417" spans="1:17" x14ac:dyDescent="0.25">
      <c r="A417" s="10">
        <v>32</v>
      </c>
      <c r="B417" s="10">
        <v>4</v>
      </c>
      <c r="C417" s="10">
        <v>1</v>
      </c>
      <c r="D417" s="10">
        <v>5</v>
      </c>
      <c r="E417" s="10">
        <v>1</v>
      </c>
      <c r="F417" s="10">
        <v>1</v>
      </c>
      <c r="L417" s="1">
        <v>415</v>
      </c>
      <c r="M417" s="1">
        <v>45</v>
      </c>
      <c r="N417" s="1">
        <v>0</v>
      </c>
      <c r="O417" s="1">
        <v>1</v>
      </c>
      <c r="P417" s="2">
        <v>1</v>
      </c>
      <c r="Q417" s="67">
        <v>10</v>
      </c>
    </row>
    <row r="418" spans="1:17" x14ac:dyDescent="0.25">
      <c r="A418" s="10">
        <v>32</v>
      </c>
      <c r="B418" s="10">
        <v>4</v>
      </c>
      <c r="C418" s="10">
        <v>1</v>
      </c>
      <c r="D418" s="10">
        <v>6</v>
      </c>
      <c r="E418" s="10">
        <v>1</v>
      </c>
      <c r="F418" s="10">
        <v>1</v>
      </c>
      <c r="L418" s="1">
        <v>416</v>
      </c>
      <c r="M418" s="1">
        <v>45</v>
      </c>
      <c r="N418" s="1">
        <v>0</v>
      </c>
      <c r="O418" s="1">
        <v>1</v>
      </c>
      <c r="P418" s="2">
        <v>1</v>
      </c>
      <c r="Q418" s="68">
        <v>4</v>
      </c>
    </row>
    <row r="419" spans="1:17" x14ac:dyDescent="0.25">
      <c r="A419" s="10">
        <v>27</v>
      </c>
      <c r="B419" s="10">
        <v>4</v>
      </c>
      <c r="C419" s="10">
        <v>1</v>
      </c>
      <c r="D419" s="10">
        <v>1</v>
      </c>
      <c r="E419" s="10">
        <v>630</v>
      </c>
      <c r="F419" s="10">
        <v>630</v>
      </c>
      <c r="L419" s="1">
        <v>417</v>
      </c>
      <c r="M419" s="1">
        <v>45</v>
      </c>
      <c r="N419" s="1">
        <v>0</v>
      </c>
      <c r="O419" s="1">
        <v>1</v>
      </c>
      <c r="P419" s="2">
        <v>1</v>
      </c>
      <c r="Q419" s="67">
        <v>7</v>
      </c>
    </row>
    <row r="420" spans="1:17" x14ac:dyDescent="0.25">
      <c r="A420" s="10">
        <v>202</v>
      </c>
      <c r="B420" s="10">
        <v>22</v>
      </c>
      <c r="C420" s="10">
        <v>1</v>
      </c>
      <c r="D420" s="10">
        <v>2</v>
      </c>
      <c r="E420" s="10">
        <v>25</v>
      </c>
      <c r="F420" s="10">
        <v>25</v>
      </c>
      <c r="L420" s="1">
        <v>418</v>
      </c>
      <c r="M420" s="1">
        <v>45</v>
      </c>
      <c r="N420" s="1">
        <v>0</v>
      </c>
      <c r="O420" s="1">
        <v>1</v>
      </c>
      <c r="P420" s="2">
        <v>1</v>
      </c>
      <c r="Q420" s="68">
        <v>11</v>
      </c>
    </row>
    <row r="421" spans="1:17" x14ac:dyDescent="0.25">
      <c r="A421" s="10">
        <v>27</v>
      </c>
      <c r="B421" s="10">
        <v>4</v>
      </c>
      <c r="C421" s="10">
        <v>1</v>
      </c>
      <c r="D421" s="10">
        <v>2</v>
      </c>
      <c r="E421" s="10">
        <v>367</v>
      </c>
      <c r="F421" s="10">
        <v>367</v>
      </c>
      <c r="L421" s="1">
        <v>419</v>
      </c>
      <c r="M421" s="1">
        <v>45</v>
      </c>
      <c r="N421" s="1">
        <v>0</v>
      </c>
      <c r="O421" s="1">
        <v>1</v>
      </c>
      <c r="P421" s="2">
        <v>1</v>
      </c>
      <c r="Q421" s="67">
        <v>12</v>
      </c>
    </row>
    <row r="422" spans="1:17" x14ac:dyDescent="0.25">
      <c r="A422" s="10">
        <v>386</v>
      </c>
      <c r="B422" s="10">
        <v>42</v>
      </c>
      <c r="C422" s="10">
        <v>1</v>
      </c>
      <c r="D422" s="10">
        <v>2</v>
      </c>
      <c r="E422" s="10">
        <v>7</v>
      </c>
      <c r="F422" s="10">
        <v>7</v>
      </c>
      <c r="L422" s="1">
        <v>420</v>
      </c>
      <c r="M422" s="1">
        <v>45</v>
      </c>
      <c r="N422" s="1">
        <v>0</v>
      </c>
      <c r="O422" s="1">
        <v>1</v>
      </c>
      <c r="P422" s="2">
        <v>1</v>
      </c>
      <c r="Q422" s="68">
        <v>12</v>
      </c>
    </row>
    <row r="423" spans="1:17" x14ac:dyDescent="0.25">
      <c r="A423" s="10">
        <v>386</v>
      </c>
      <c r="B423" s="10">
        <v>42</v>
      </c>
      <c r="C423" s="10">
        <v>1</v>
      </c>
      <c r="D423" s="10">
        <v>1</v>
      </c>
      <c r="E423" s="10">
        <v>1</v>
      </c>
      <c r="F423" s="10">
        <v>1</v>
      </c>
      <c r="L423" s="1">
        <v>421</v>
      </c>
      <c r="M423" s="1">
        <v>45</v>
      </c>
      <c r="N423" s="1">
        <v>0</v>
      </c>
      <c r="O423" s="1">
        <v>1</v>
      </c>
      <c r="P423" s="2">
        <v>1</v>
      </c>
      <c r="Q423" s="67">
        <v>12</v>
      </c>
    </row>
    <row r="424" spans="1:17" x14ac:dyDescent="0.25">
      <c r="A424" s="10">
        <v>386</v>
      </c>
      <c r="B424" s="10">
        <v>42</v>
      </c>
      <c r="C424" s="10">
        <v>1</v>
      </c>
      <c r="D424" s="10">
        <v>9</v>
      </c>
      <c r="E424" s="10">
        <v>1</v>
      </c>
      <c r="F424" s="10">
        <v>1</v>
      </c>
      <c r="L424" s="1">
        <v>422</v>
      </c>
      <c r="M424" s="1">
        <v>45</v>
      </c>
      <c r="N424" s="1">
        <v>0</v>
      </c>
      <c r="O424" s="1">
        <v>1</v>
      </c>
      <c r="P424" s="2">
        <v>1</v>
      </c>
      <c r="Q424" s="68">
        <v>11</v>
      </c>
    </row>
    <row r="425" spans="1:17" x14ac:dyDescent="0.25">
      <c r="A425" s="10">
        <v>394</v>
      </c>
      <c r="B425" s="10">
        <v>42</v>
      </c>
      <c r="C425" s="10">
        <v>2</v>
      </c>
      <c r="D425" s="10">
        <v>2</v>
      </c>
      <c r="E425" s="10">
        <v>1</v>
      </c>
      <c r="F425" s="10">
        <v>1</v>
      </c>
      <c r="L425" s="1">
        <v>423</v>
      </c>
      <c r="M425" s="1">
        <v>46</v>
      </c>
      <c r="N425" s="1">
        <v>0</v>
      </c>
      <c r="O425" s="1">
        <v>1</v>
      </c>
      <c r="P425" s="2">
        <v>1</v>
      </c>
      <c r="Q425" s="67">
        <v>12</v>
      </c>
    </row>
    <row r="426" spans="1:17" x14ac:dyDescent="0.25">
      <c r="A426" s="10">
        <v>36</v>
      </c>
      <c r="B426" s="10">
        <v>4</v>
      </c>
      <c r="C426" s="10">
        <v>1</v>
      </c>
      <c r="D426" s="10">
        <v>1</v>
      </c>
      <c r="E426" s="10">
        <v>20</v>
      </c>
      <c r="F426" s="10">
        <v>20</v>
      </c>
      <c r="L426" s="1">
        <v>424</v>
      </c>
      <c r="M426" s="1">
        <v>46</v>
      </c>
      <c r="N426" s="1">
        <v>0</v>
      </c>
      <c r="O426" s="1">
        <v>1</v>
      </c>
      <c r="P426" s="2">
        <v>1</v>
      </c>
      <c r="Q426" s="68">
        <v>13</v>
      </c>
    </row>
    <row r="427" spans="1:17" x14ac:dyDescent="0.25">
      <c r="A427" s="10">
        <v>386</v>
      </c>
      <c r="B427" s="10">
        <v>42</v>
      </c>
      <c r="C427" s="10">
        <v>1</v>
      </c>
      <c r="D427" s="10">
        <v>8</v>
      </c>
      <c r="E427" s="10">
        <v>1</v>
      </c>
      <c r="F427" s="10">
        <v>1</v>
      </c>
      <c r="L427" s="1">
        <v>425</v>
      </c>
      <c r="M427" s="1">
        <v>46</v>
      </c>
      <c r="N427" s="1">
        <v>0</v>
      </c>
      <c r="O427" s="1">
        <v>1</v>
      </c>
      <c r="P427" s="2">
        <v>1</v>
      </c>
      <c r="Q427" s="67">
        <v>12</v>
      </c>
    </row>
    <row r="428" spans="1:17" x14ac:dyDescent="0.25">
      <c r="A428" s="10">
        <v>394</v>
      </c>
      <c r="B428" s="10">
        <v>42</v>
      </c>
      <c r="C428" s="10">
        <v>2</v>
      </c>
      <c r="D428" s="10">
        <v>1</v>
      </c>
      <c r="E428" s="10">
        <v>2</v>
      </c>
      <c r="F428" s="10">
        <v>2</v>
      </c>
      <c r="L428" s="1">
        <v>426</v>
      </c>
      <c r="M428" s="1">
        <v>46</v>
      </c>
      <c r="N428" s="1">
        <v>0</v>
      </c>
      <c r="O428" s="1">
        <v>1</v>
      </c>
      <c r="P428" s="2">
        <v>1</v>
      </c>
      <c r="Q428" s="68">
        <v>13</v>
      </c>
    </row>
    <row r="429" spans="1:17" x14ac:dyDescent="0.25">
      <c r="A429" s="10">
        <v>386</v>
      </c>
      <c r="B429" s="10">
        <v>42</v>
      </c>
      <c r="C429" s="10">
        <v>1</v>
      </c>
      <c r="D429" s="10">
        <v>3</v>
      </c>
      <c r="E429" s="10">
        <v>1</v>
      </c>
      <c r="F429" s="10">
        <v>1</v>
      </c>
      <c r="L429" s="1">
        <v>427</v>
      </c>
      <c r="M429" s="1">
        <v>46</v>
      </c>
      <c r="N429" s="1">
        <v>0</v>
      </c>
      <c r="O429" s="1">
        <v>1</v>
      </c>
      <c r="P429" s="2">
        <v>1</v>
      </c>
      <c r="Q429" s="67">
        <v>12</v>
      </c>
    </row>
    <row r="430" spans="1:17" x14ac:dyDescent="0.25">
      <c r="A430" s="10">
        <v>9</v>
      </c>
      <c r="B430" s="10">
        <v>1</v>
      </c>
      <c r="C430" s="10">
        <v>1</v>
      </c>
      <c r="D430" s="10">
        <v>2</v>
      </c>
      <c r="E430" s="10">
        <v>36</v>
      </c>
      <c r="F430" s="10">
        <v>36</v>
      </c>
      <c r="L430" s="1">
        <v>428</v>
      </c>
      <c r="M430" s="1">
        <v>46</v>
      </c>
      <c r="N430" s="1">
        <v>0</v>
      </c>
      <c r="O430" s="1">
        <v>1</v>
      </c>
      <c r="P430" s="2">
        <v>1</v>
      </c>
      <c r="Q430" s="68">
        <v>11</v>
      </c>
    </row>
    <row r="431" spans="1:17" x14ac:dyDescent="0.25">
      <c r="A431" s="10">
        <v>1</v>
      </c>
      <c r="B431" s="10">
        <v>1</v>
      </c>
      <c r="C431" s="10">
        <v>1</v>
      </c>
      <c r="D431" s="10">
        <v>2</v>
      </c>
      <c r="E431" s="10">
        <v>544</v>
      </c>
      <c r="F431" s="10">
        <v>544</v>
      </c>
      <c r="L431" s="1">
        <v>429</v>
      </c>
      <c r="M431" s="1">
        <v>46</v>
      </c>
      <c r="N431" s="1">
        <v>0</v>
      </c>
      <c r="O431" s="1">
        <v>1</v>
      </c>
      <c r="P431" s="2">
        <v>1</v>
      </c>
      <c r="Q431" s="67">
        <v>15</v>
      </c>
    </row>
    <row r="432" spans="1:17" x14ac:dyDescent="0.25">
      <c r="A432" s="10">
        <v>9</v>
      </c>
      <c r="B432" s="10">
        <v>1</v>
      </c>
      <c r="C432" s="10">
        <v>1</v>
      </c>
      <c r="D432" s="10">
        <v>1</v>
      </c>
      <c r="E432" s="10">
        <v>1</v>
      </c>
      <c r="F432" s="10">
        <v>1</v>
      </c>
      <c r="L432" s="1">
        <v>430</v>
      </c>
      <c r="M432" s="1">
        <v>46</v>
      </c>
      <c r="N432" s="1">
        <v>0</v>
      </c>
      <c r="O432" s="1">
        <v>1</v>
      </c>
      <c r="P432" s="2">
        <v>1</v>
      </c>
      <c r="Q432" s="68">
        <v>18</v>
      </c>
    </row>
    <row r="433" spans="1:17" x14ac:dyDescent="0.25">
      <c r="A433" s="10">
        <v>394</v>
      </c>
      <c r="B433" s="10">
        <v>42</v>
      </c>
      <c r="C433" s="10">
        <v>1</v>
      </c>
      <c r="D433" s="10">
        <v>1</v>
      </c>
      <c r="E433" s="10">
        <v>1</v>
      </c>
      <c r="F433" s="10">
        <v>1</v>
      </c>
      <c r="L433" s="1">
        <v>431</v>
      </c>
      <c r="M433" s="1">
        <v>46</v>
      </c>
      <c r="N433" s="1">
        <v>0</v>
      </c>
      <c r="O433" s="1">
        <v>1</v>
      </c>
      <c r="P433" s="2">
        <v>1</v>
      </c>
      <c r="Q433" s="67">
        <v>11</v>
      </c>
    </row>
    <row r="434" spans="1:17" x14ac:dyDescent="0.25">
      <c r="A434" s="10">
        <v>394</v>
      </c>
      <c r="B434" s="10">
        <v>42</v>
      </c>
      <c r="C434" s="10">
        <v>1</v>
      </c>
      <c r="D434" s="10">
        <v>4</v>
      </c>
      <c r="E434" s="10">
        <v>1</v>
      </c>
      <c r="F434" s="10">
        <v>1</v>
      </c>
      <c r="L434" s="1">
        <v>432</v>
      </c>
      <c r="M434" s="1">
        <v>46</v>
      </c>
      <c r="N434" s="1">
        <v>0</v>
      </c>
      <c r="O434" s="1">
        <v>1</v>
      </c>
      <c r="P434" s="2">
        <v>1</v>
      </c>
      <c r="Q434" s="68">
        <v>13</v>
      </c>
    </row>
    <row r="435" spans="1:17" x14ac:dyDescent="0.25">
      <c r="A435" s="10">
        <v>280</v>
      </c>
      <c r="B435" s="10">
        <v>30</v>
      </c>
      <c r="C435" s="10">
        <v>2</v>
      </c>
      <c r="D435" s="10">
        <v>1</v>
      </c>
      <c r="E435" s="10">
        <v>12</v>
      </c>
      <c r="F435" s="10">
        <v>12</v>
      </c>
      <c r="L435" s="1">
        <v>433</v>
      </c>
      <c r="M435" s="1">
        <v>47</v>
      </c>
      <c r="N435" s="1">
        <v>0</v>
      </c>
      <c r="O435" s="1">
        <v>1</v>
      </c>
      <c r="P435" s="2">
        <v>1</v>
      </c>
      <c r="Q435" s="67">
        <v>12</v>
      </c>
    </row>
    <row r="436" spans="1:17" x14ac:dyDescent="0.25">
      <c r="A436" s="10">
        <v>11</v>
      </c>
      <c r="B436" s="10">
        <v>2</v>
      </c>
      <c r="C436" s="10">
        <v>1</v>
      </c>
      <c r="D436" s="10">
        <v>1</v>
      </c>
      <c r="E436" s="10">
        <v>5</v>
      </c>
      <c r="F436" s="10">
        <v>5</v>
      </c>
      <c r="L436" s="1">
        <v>434</v>
      </c>
      <c r="M436" s="1">
        <v>47</v>
      </c>
      <c r="N436" s="1">
        <v>0</v>
      </c>
      <c r="O436" s="1">
        <v>1</v>
      </c>
      <c r="P436" s="2">
        <v>1</v>
      </c>
      <c r="Q436" s="68">
        <v>11</v>
      </c>
    </row>
    <row r="437" spans="1:17" x14ac:dyDescent="0.25">
      <c r="A437" s="10">
        <v>280</v>
      </c>
      <c r="B437" s="10">
        <v>30</v>
      </c>
      <c r="C437" s="10">
        <v>2</v>
      </c>
      <c r="D437" s="10">
        <v>2</v>
      </c>
      <c r="E437" s="10">
        <v>15</v>
      </c>
      <c r="F437" s="10">
        <v>15</v>
      </c>
      <c r="L437" s="1">
        <v>435</v>
      </c>
      <c r="M437" s="1">
        <v>47</v>
      </c>
      <c r="N437" s="1">
        <v>0</v>
      </c>
      <c r="O437" s="1">
        <v>1</v>
      </c>
      <c r="P437" s="2">
        <v>1</v>
      </c>
      <c r="Q437" s="67">
        <v>12</v>
      </c>
    </row>
    <row r="438" spans="1:17" x14ac:dyDescent="0.25">
      <c r="A438" s="10">
        <v>11</v>
      </c>
      <c r="B438" s="10">
        <v>2</v>
      </c>
      <c r="C438" s="10">
        <v>1</v>
      </c>
      <c r="D438" s="10">
        <v>2</v>
      </c>
      <c r="E438" s="10">
        <v>3</v>
      </c>
      <c r="F438" s="10">
        <v>3</v>
      </c>
      <c r="L438" s="1">
        <v>436</v>
      </c>
      <c r="M438" s="1">
        <v>47</v>
      </c>
      <c r="N438" s="1">
        <v>0</v>
      </c>
      <c r="O438" s="1">
        <v>1</v>
      </c>
      <c r="P438" s="2">
        <v>1</v>
      </c>
      <c r="Q438" s="68">
        <v>12</v>
      </c>
    </row>
    <row r="439" spans="1:17" x14ac:dyDescent="0.25">
      <c r="A439" s="10">
        <v>7</v>
      </c>
      <c r="B439" s="10">
        <v>1</v>
      </c>
      <c r="C439" s="10">
        <v>1</v>
      </c>
      <c r="D439" s="10">
        <v>7</v>
      </c>
      <c r="E439" s="10">
        <v>1</v>
      </c>
      <c r="F439" s="10">
        <v>1</v>
      </c>
      <c r="L439" s="1">
        <v>437</v>
      </c>
      <c r="M439" s="1">
        <v>47</v>
      </c>
      <c r="N439" s="1">
        <v>0</v>
      </c>
      <c r="O439" s="1">
        <v>1</v>
      </c>
      <c r="P439" s="2">
        <v>1</v>
      </c>
      <c r="Q439" s="67">
        <v>14</v>
      </c>
    </row>
    <row r="440" spans="1:17" x14ac:dyDescent="0.25">
      <c r="A440" s="10">
        <v>123</v>
      </c>
      <c r="B440" s="10">
        <v>14</v>
      </c>
      <c r="C440" s="10">
        <v>1</v>
      </c>
      <c r="D440" s="10">
        <v>2</v>
      </c>
      <c r="E440" s="10">
        <v>4</v>
      </c>
      <c r="F440" s="10">
        <v>4</v>
      </c>
      <c r="L440" s="1">
        <v>438</v>
      </c>
      <c r="M440" s="1">
        <v>47</v>
      </c>
      <c r="N440" s="1">
        <v>0</v>
      </c>
      <c r="O440" s="1">
        <v>1</v>
      </c>
      <c r="P440" s="2">
        <v>1</v>
      </c>
      <c r="Q440" s="68">
        <v>10</v>
      </c>
    </row>
    <row r="441" spans="1:17" x14ac:dyDescent="0.25">
      <c r="A441" s="10">
        <v>123</v>
      </c>
      <c r="B441" s="10">
        <v>14</v>
      </c>
      <c r="C441" s="10">
        <v>1</v>
      </c>
      <c r="D441" s="10">
        <v>3</v>
      </c>
      <c r="E441" s="10">
        <v>2</v>
      </c>
      <c r="F441" s="10">
        <v>2</v>
      </c>
      <c r="L441" s="1">
        <v>439</v>
      </c>
      <c r="M441" s="1">
        <v>47</v>
      </c>
      <c r="N441" s="1">
        <v>0</v>
      </c>
      <c r="O441" s="1">
        <v>1</v>
      </c>
      <c r="P441" s="2">
        <v>1</v>
      </c>
      <c r="Q441" s="67">
        <v>9</v>
      </c>
    </row>
    <row r="442" spans="1:17" x14ac:dyDescent="0.25">
      <c r="A442" s="10">
        <v>123</v>
      </c>
      <c r="B442" s="10">
        <v>14</v>
      </c>
      <c r="C442" s="10">
        <v>1</v>
      </c>
      <c r="D442" s="10">
        <v>4</v>
      </c>
      <c r="E442" s="10">
        <v>1</v>
      </c>
      <c r="F442" s="10">
        <v>1</v>
      </c>
      <c r="L442" s="1">
        <v>440</v>
      </c>
      <c r="M442" s="1">
        <v>47</v>
      </c>
      <c r="N442" s="1">
        <v>0</v>
      </c>
      <c r="O442" s="1">
        <v>1</v>
      </c>
      <c r="P442" s="2">
        <v>1</v>
      </c>
      <c r="Q442" s="68">
        <v>13</v>
      </c>
    </row>
    <row r="443" spans="1:17" x14ac:dyDescent="0.25">
      <c r="A443" s="10">
        <v>208</v>
      </c>
      <c r="B443" s="10">
        <v>22</v>
      </c>
      <c r="C443" s="10">
        <v>1</v>
      </c>
      <c r="D443" s="10">
        <v>2</v>
      </c>
      <c r="E443" s="10">
        <v>13</v>
      </c>
      <c r="F443" s="10">
        <v>13</v>
      </c>
      <c r="L443" s="1">
        <v>441</v>
      </c>
      <c r="M443" s="1">
        <v>47</v>
      </c>
      <c r="N443" s="1">
        <v>0</v>
      </c>
      <c r="O443" s="1">
        <v>1</v>
      </c>
      <c r="P443" s="2">
        <v>1</v>
      </c>
      <c r="Q443" s="67">
        <v>7</v>
      </c>
    </row>
    <row r="444" spans="1:17" x14ac:dyDescent="0.25">
      <c r="A444" s="10">
        <v>208</v>
      </c>
      <c r="B444" s="10">
        <v>22</v>
      </c>
      <c r="C444" s="10">
        <v>1</v>
      </c>
      <c r="D444" s="10">
        <v>3</v>
      </c>
      <c r="E444" s="10">
        <v>2</v>
      </c>
      <c r="F444" s="10">
        <v>2</v>
      </c>
      <c r="L444" s="1">
        <v>442</v>
      </c>
      <c r="M444" s="1">
        <v>47</v>
      </c>
      <c r="N444" s="1">
        <v>0</v>
      </c>
      <c r="O444" s="1">
        <v>1</v>
      </c>
      <c r="P444" s="2">
        <v>1</v>
      </c>
      <c r="Q444" s="68">
        <v>7</v>
      </c>
    </row>
    <row r="445" spans="1:17" x14ac:dyDescent="0.25">
      <c r="A445" s="10">
        <v>208</v>
      </c>
      <c r="B445" s="10">
        <v>22</v>
      </c>
      <c r="C445" s="10">
        <v>1</v>
      </c>
      <c r="D445" s="10">
        <v>4</v>
      </c>
      <c r="E445" s="10">
        <v>0</v>
      </c>
      <c r="F445" s="10">
        <v>0</v>
      </c>
      <c r="L445" s="1">
        <v>443</v>
      </c>
      <c r="M445" s="1">
        <v>48</v>
      </c>
      <c r="N445" s="1">
        <v>0</v>
      </c>
      <c r="O445" s="1">
        <v>1</v>
      </c>
      <c r="P445" s="2">
        <v>1</v>
      </c>
      <c r="Q445" s="67">
        <v>8</v>
      </c>
    </row>
    <row r="446" spans="1:17" x14ac:dyDescent="0.25">
      <c r="A446" s="10">
        <v>45</v>
      </c>
      <c r="B446" s="10">
        <v>5</v>
      </c>
      <c r="C446" s="10">
        <v>1</v>
      </c>
      <c r="D446" s="10">
        <v>1</v>
      </c>
      <c r="E446" s="10">
        <v>2</v>
      </c>
      <c r="F446" s="10">
        <v>2</v>
      </c>
      <c r="L446" s="1">
        <v>444</v>
      </c>
      <c r="M446" s="1">
        <v>48</v>
      </c>
      <c r="N446" s="1">
        <v>0</v>
      </c>
      <c r="O446" s="1">
        <v>1</v>
      </c>
      <c r="P446" s="2">
        <v>1</v>
      </c>
      <c r="Q446" s="68">
        <v>4</v>
      </c>
    </row>
    <row r="447" spans="1:17" x14ac:dyDescent="0.25">
      <c r="A447" s="10">
        <v>45</v>
      </c>
      <c r="B447" s="10">
        <v>5</v>
      </c>
      <c r="C447" s="10">
        <v>1</v>
      </c>
      <c r="D447" s="10">
        <v>2</v>
      </c>
      <c r="E447" s="10">
        <v>12</v>
      </c>
      <c r="F447" s="10">
        <v>12</v>
      </c>
      <c r="L447" s="1">
        <v>445</v>
      </c>
      <c r="M447" s="1">
        <v>48</v>
      </c>
      <c r="N447" s="1">
        <v>0</v>
      </c>
      <c r="O447" s="1">
        <v>1</v>
      </c>
      <c r="P447" s="2">
        <v>1</v>
      </c>
      <c r="Q447" s="67">
        <v>15</v>
      </c>
    </row>
    <row r="448" spans="1:17" x14ac:dyDescent="0.25">
      <c r="A448" s="10">
        <v>5</v>
      </c>
      <c r="B448" s="10">
        <v>1</v>
      </c>
      <c r="C448" s="10">
        <v>1</v>
      </c>
      <c r="D448" s="10">
        <v>2</v>
      </c>
      <c r="E448" s="10">
        <v>455</v>
      </c>
      <c r="F448" s="10">
        <v>455</v>
      </c>
      <c r="L448" s="1">
        <v>446</v>
      </c>
      <c r="M448" s="1">
        <v>48</v>
      </c>
      <c r="N448" s="1">
        <v>0</v>
      </c>
      <c r="O448" s="1">
        <v>1</v>
      </c>
      <c r="P448" s="2">
        <v>1</v>
      </c>
      <c r="Q448" s="68">
        <v>8</v>
      </c>
    </row>
    <row r="449" spans="1:17" x14ac:dyDescent="0.25">
      <c r="A449" s="10">
        <v>252</v>
      </c>
      <c r="B449" s="10">
        <v>27</v>
      </c>
      <c r="C449" s="10">
        <v>1</v>
      </c>
      <c r="D449" s="10">
        <v>1</v>
      </c>
      <c r="E449" s="10">
        <v>8</v>
      </c>
      <c r="F449" s="10">
        <v>8</v>
      </c>
      <c r="L449" s="1">
        <v>447</v>
      </c>
      <c r="M449" s="1">
        <v>48</v>
      </c>
      <c r="N449" s="1">
        <v>0</v>
      </c>
      <c r="O449" s="1">
        <v>1</v>
      </c>
      <c r="P449" s="2">
        <v>1</v>
      </c>
      <c r="Q449" s="67">
        <v>4</v>
      </c>
    </row>
    <row r="450" spans="1:17" x14ac:dyDescent="0.25">
      <c r="A450" s="10">
        <v>252</v>
      </c>
      <c r="B450" s="10">
        <v>27</v>
      </c>
      <c r="C450" s="10">
        <v>1</v>
      </c>
      <c r="D450" s="10">
        <v>2</v>
      </c>
      <c r="E450" s="10">
        <v>5</v>
      </c>
      <c r="F450" s="10">
        <v>5</v>
      </c>
      <c r="L450" s="1">
        <v>448</v>
      </c>
      <c r="M450" s="1">
        <v>48</v>
      </c>
      <c r="N450" s="1">
        <v>0</v>
      </c>
      <c r="O450" s="1">
        <v>1</v>
      </c>
      <c r="P450" s="2">
        <v>1</v>
      </c>
      <c r="Q450" s="68">
        <v>2</v>
      </c>
    </row>
    <row r="451" spans="1:17" x14ac:dyDescent="0.25">
      <c r="A451" s="10">
        <v>252</v>
      </c>
      <c r="B451" s="10">
        <v>27</v>
      </c>
      <c r="C451" s="10">
        <v>1</v>
      </c>
      <c r="D451" s="10">
        <v>4</v>
      </c>
      <c r="E451" s="10">
        <v>5</v>
      </c>
      <c r="F451" s="10">
        <v>5</v>
      </c>
      <c r="L451" s="1">
        <v>449</v>
      </c>
      <c r="M451" s="1">
        <v>48</v>
      </c>
      <c r="N451" s="1">
        <v>0</v>
      </c>
      <c r="O451" s="1">
        <v>1</v>
      </c>
      <c r="P451" s="2">
        <v>1</v>
      </c>
      <c r="Q451" s="67">
        <v>9</v>
      </c>
    </row>
    <row r="452" spans="1:17" x14ac:dyDescent="0.25">
      <c r="A452" s="10">
        <v>392</v>
      </c>
      <c r="B452" s="10">
        <v>42</v>
      </c>
      <c r="C452" s="10">
        <v>1</v>
      </c>
      <c r="D452" s="10">
        <v>1</v>
      </c>
      <c r="E452" s="10">
        <v>8</v>
      </c>
      <c r="F452" s="10">
        <v>8</v>
      </c>
      <c r="L452" s="1">
        <v>450</v>
      </c>
      <c r="M452" s="1">
        <v>48</v>
      </c>
      <c r="N452" s="1">
        <v>0</v>
      </c>
      <c r="O452" s="1">
        <v>1</v>
      </c>
      <c r="P452" s="2">
        <v>1</v>
      </c>
      <c r="Q452" s="68">
        <v>10</v>
      </c>
    </row>
    <row r="453" spans="1:17" x14ac:dyDescent="0.25">
      <c r="A453" s="10">
        <v>252</v>
      </c>
      <c r="B453" s="10">
        <v>27</v>
      </c>
      <c r="C453" s="10">
        <v>1</v>
      </c>
      <c r="D453" s="10">
        <v>6</v>
      </c>
      <c r="E453" s="10">
        <v>1</v>
      </c>
      <c r="F453" s="10">
        <v>1</v>
      </c>
      <c r="L453" s="1">
        <v>451</v>
      </c>
      <c r="M453" s="1">
        <v>48</v>
      </c>
      <c r="N453" s="1">
        <v>0</v>
      </c>
      <c r="O453" s="1">
        <v>1</v>
      </c>
      <c r="P453" s="2">
        <v>1</v>
      </c>
      <c r="Q453" s="67">
        <v>0</v>
      </c>
    </row>
    <row r="454" spans="1:17" x14ac:dyDescent="0.25">
      <c r="A454" s="10">
        <v>392</v>
      </c>
      <c r="B454" s="10">
        <v>42</v>
      </c>
      <c r="C454" s="10">
        <v>1</v>
      </c>
      <c r="D454" s="10">
        <v>2</v>
      </c>
      <c r="E454" s="10">
        <v>13</v>
      </c>
      <c r="F454" s="10">
        <v>13</v>
      </c>
      <c r="L454" s="1">
        <v>452</v>
      </c>
      <c r="M454" s="1">
        <v>48</v>
      </c>
      <c r="N454" s="1">
        <v>0</v>
      </c>
      <c r="O454" s="1">
        <v>1</v>
      </c>
      <c r="P454" s="2">
        <v>1</v>
      </c>
      <c r="Q454" s="68">
        <v>3</v>
      </c>
    </row>
    <row r="455" spans="1:17" x14ac:dyDescent="0.25">
      <c r="A455" s="10">
        <v>392</v>
      </c>
      <c r="B455" s="10">
        <v>42</v>
      </c>
      <c r="C455" s="10">
        <v>1</v>
      </c>
      <c r="D455" s="10">
        <v>4</v>
      </c>
      <c r="E455" s="10">
        <v>2</v>
      </c>
      <c r="F455" s="10">
        <v>2</v>
      </c>
      <c r="L455" s="1">
        <v>453</v>
      </c>
      <c r="M455" s="1">
        <v>49</v>
      </c>
      <c r="N455" s="1">
        <v>0</v>
      </c>
      <c r="O455" s="1">
        <v>1</v>
      </c>
      <c r="P455" s="2">
        <v>1</v>
      </c>
      <c r="Q455" s="67">
        <v>9</v>
      </c>
    </row>
    <row r="456" spans="1:17" x14ac:dyDescent="0.25">
      <c r="A456" s="10">
        <v>392</v>
      </c>
      <c r="B456" s="10">
        <v>42</v>
      </c>
      <c r="C456" s="10">
        <v>1</v>
      </c>
      <c r="D456" s="10">
        <v>8</v>
      </c>
      <c r="E456" s="10">
        <v>1</v>
      </c>
      <c r="F456" s="10">
        <v>1</v>
      </c>
      <c r="L456" s="1">
        <v>454</v>
      </c>
      <c r="M456" s="1">
        <v>49</v>
      </c>
      <c r="N456" s="1">
        <v>0</v>
      </c>
      <c r="O456" s="1">
        <v>1</v>
      </c>
      <c r="P456" s="2">
        <v>1</v>
      </c>
      <c r="Q456" s="68">
        <v>11</v>
      </c>
    </row>
    <row r="457" spans="1:17" x14ac:dyDescent="0.25">
      <c r="A457" s="10">
        <v>343</v>
      </c>
      <c r="B457" s="10">
        <v>37</v>
      </c>
      <c r="C457" s="10">
        <v>1</v>
      </c>
      <c r="D457" s="10">
        <v>1</v>
      </c>
      <c r="E457" s="10">
        <v>2</v>
      </c>
      <c r="F457" s="10">
        <v>2</v>
      </c>
      <c r="L457" s="1">
        <v>455</v>
      </c>
      <c r="M457" s="1">
        <v>49</v>
      </c>
      <c r="N457" s="1">
        <v>0</v>
      </c>
      <c r="O457" s="1">
        <v>1</v>
      </c>
      <c r="P457" s="2">
        <v>1</v>
      </c>
      <c r="Q457" s="67">
        <v>12</v>
      </c>
    </row>
    <row r="458" spans="1:17" x14ac:dyDescent="0.25">
      <c r="A458" s="10">
        <v>343</v>
      </c>
      <c r="B458" s="10">
        <v>37</v>
      </c>
      <c r="C458" s="10">
        <v>1</v>
      </c>
      <c r="D458" s="10">
        <v>3</v>
      </c>
      <c r="E458" s="10">
        <v>2</v>
      </c>
      <c r="F458" s="10">
        <v>2</v>
      </c>
      <c r="L458" s="1">
        <v>456</v>
      </c>
      <c r="M458" s="1">
        <v>49</v>
      </c>
      <c r="N458" s="1">
        <v>0</v>
      </c>
      <c r="O458" s="1">
        <v>1</v>
      </c>
      <c r="P458" s="2">
        <v>1</v>
      </c>
      <c r="Q458" s="68">
        <v>9</v>
      </c>
    </row>
    <row r="459" spans="1:17" x14ac:dyDescent="0.25">
      <c r="A459" s="10">
        <v>343</v>
      </c>
      <c r="B459" s="10">
        <v>37</v>
      </c>
      <c r="C459" s="10">
        <v>1</v>
      </c>
      <c r="D459" s="10">
        <v>5</v>
      </c>
      <c r="E459" s="10">
        <v>3</v>
      </c>
      <c r="F459" s="10">
        <v>3</v>
      </c>
      <c r="L459" s="1">
        <v>457</v>
      </c>
      <c r="M459" s="1">
        <v>49</v>
      </c>
      <c r="N459" s="1">
        <v>0</v>
      </c>
      <c r="O459" s="1">
        <v>1</v>
      </c>
      <c r="P459" s="2">
        <v>1</v>
      </c>
      <c r="Q459" s="67">
        <v>10</v>
      </c>
    </row>
    <row r="460" spans="1:17" x14ac:dyDescent="0.25">
      <c r="A460" s="10">
        <v>343</v>
      </c>
      <c r="B460" s="10">
        <v>37</v>
      </c>
      <c r="C460" s="10">
        <v>1</v>
      </c>
      <c r="D460" s="10">
        <v>8</v>
      </c>
      <c r="E460" s="10">
        <v>1</v>
      </c>
      <c r="F460" s="10">
        <v>1</v>
      </c>
      <c r="L460" s="1">
        <v>458</v>
      </c>
      <c r="M460" s="1">
        <v>49</v>
      </c>
      <c r="N460" s="1">
        <v>0</v>
      </c>
      <c r="O460" s="1">
        <v>1</v>
      </c>
      <c r="P460" s="2">
        <v>1</v>
      </c>
      <c r="Q460" s="68">
        <v>9</v>
      </c>
    </row>
    <row r="461" spans="1:17" x14ac:dyDescent="0.25">
      <c r="A461" s="10">
        <v>441</v>
      </c>
      <c r="B461" s="10">
        <v>47</v>
      </c>
      <c r="C461" s="10">
        <v>2</v>
      </c>
      <c r="D461" s="10">
        <v>1</v>
      </c>
      <c r="E461" s="10">
        <v>7</v>
      </c>
      <c r="F461" s="10">
        <v>7</v>
      </c>
      <c r="L461" s="1">
        <v>459</v>
      </c>
      <c r="M461" s="1">
        <v>49</v>
      </c>
      <c r="N461" s="1">
        <v>0</v>
      </c>
      <c r="O461" s="1">
        <v>1</v>
      </c>
      <c r="P461" s="2">
        <v>1</v>
      </c>
      <c r="Q461" s="67">
        <v>11</v>
      </c>
    </row>
    <row r="462" spans="1:17" x14ac:dyDescent="0.25">
      <c r="A462" s="10">
        <v>441</v>
      </c>
      <c r="B462" s="10">
        <v>47</v>
      </c>
      <c r="C462" s="10">
        <v>2</v>
      </c>
      <c r="D462" s="10">
        <v>2</v>
      </c>
      <c r="E462" s="10">
        <v>6</v>
      </c>
      <c r="F462" s="10">
        <v>6</v>
      </c>
      <c r="L462" s="1">
        <v>460</v>
      </c>
      <c r="M462" s="1">
        <v>49</v>
      </c>
      <c r="N462" s="1">
        <v>0</v>
      </c>
      <c r="O462" s="1">
        <v>1</v>
      </c>
      <c r="P462" s="2">
        <v>1</v>
      </c>
      <c r="Q462" s="68">
        <v>7</v>
      </c>
    </row>
    <row r="463" spans="1:17" x14ac:dyDescent="0.25">
      <c r="A463" s="10">
        <v>439</v>
      </c>
      <c r="B463" s="10">
        <v>47</v>
      </c>
      <c r="C463" s="10">
        <v>2</v>
      </c>
      <c r="D463" s="10">
        <v>1</v>
      </c>
      <c r="E463" s="10">
        <v>39</v>
      </c>
      <c r="F463" s="10">
        <v>39</v>
      </c>
      <c r="L463" s="1">
        <v>461</v>
      </c>
      <c r="M463" s="1">
        <v>49</v>
      </c>
      <c r="N463" s="1">
        <v>0</v>
      </c>
      <c r="O463" s="1">
        <v>1</v>
      </c>
      <c r="P463" s="2">
        <v>1</v>
      </c>
      <c r="Q463" s="67">
        <v>5</v>
      </c>
    </row>
    <row r="464" spans="1:17" x14ac:dyDescent="0.25">
      <c r="A464" s="10">
        <v>439</v>
      </c>
      <c r="B464" s="10">
        <v>47</v>
      </c>
      <c r="C464" s="10">
        <v>2</v>
      </c>
      <c r="D464" s="10">
        <v>2</v>
      </c>
      <c r="E464" s="10">
        <v>19</v>
      </c>
      <c r="F464" s="10">
        <v>19</v>
      </c>
      <c r="L464" s="1">
        <v>462</v>
      </c>
      <c r="M464" s="1">
        <v>49</v>
      </c>
      <c r="N464" s="1">
        <v>0</v>
      </c>
      <c r="O464" s="1">
        <v>1</v>
      </c>
      <c r="P464" s="2">
        <v>1</v>
      </c>
      <c r="Q464" s="68">
        <v>8</v>
      </c>
    </row>
    <row r="465" spans="1:17" x14ac:dyDescent="0.25">
      <c r="A465" s="10">
        <v>279</v>
      </c>
      <c r="B465" s="10">
        <v>30</v>
      </c>
      <c r="C465" s="10">
        <v>1</v>
      </c>
      <c r="D465" s="10">
        <v>1</v>
      </c>
      <c r="E465" s="10">
        <v>5</v>
      </c>
      <c r="F465" s="10">
        <v>5</v>
      </c>
      <c r="L465" s="1">
        <v>463</v>
      </c>
      <c r="M465" s="1">
        <v>50</v>
      </c>
      <c r="N465" s="1">
        <v>0</v>
      </c>
      <c r="O465" s="1">
        <v>1</v>
      </c>
      <c r="P465" s="2">
        <v>1</v>
      </c>
      <c r="Q465" s="67">
        <v>4</v>
      </c>
    </row>
    <row r="466" spans="1:17" x14ac:dyDescent="0.25">
      <c r="A466" s="10">
        <v>5</v>
      </c>
      <c r="B466" s="10">
        <v>1</v>
      </c>
      <c r="C466" s="10">
        <v>1</v>
      </c>
      <c r="D466" s="10">
        <v>9</v>
      </c>
      <c r="E466" s="10">
        <v>3</v>
      </c>
      <c r="F466" s="10">
        <v>3</v>
      </c>
      <c r="L466" s="1">
        <v>464</v>
      </c>
      <c r="M466" s="1">
        <v>50</v>
      </c>
      <c r="N466" s="1">
        <v>0</v>
      </c>
      <c r="O466" s="1">
        <v>1</v>
      </c>
      <c r="P466" s="2">
        <v>1</v>
      </c>
      <c r="Q466" s="68">
        <v>15</v>
      </c>
    </row>
    <row r="467" spans="1:17" x14ac:dyDescent="0.25">
      <c r="A467" s="10">
        <v>279</v>
      </c>
      <c r="B467" s="10">
        <v>30</v>
      </c>
      <c r="C467" s="10">
        <v>1</v>
      </c>
      <c r="D467" s="10">
        <v>2</v>
      </c>
      <c r="E467" s="10">
        <v>15</v>
      </c>
      <c r="F467" s="10">
        <v>15</v>
      </c>
      <c r="L467" s="1">
        <v>465</v>
      </c>
      <c r="M467" s="1">
        <v>50</v>
      </c>
      <c r="N467" s="1">
        <v>0</v>
      </c>
      <c r="O467" s="1">
        <v>1</v>
      </c>
      <c r="P467" s="2">
        <v>1</v>
      </c>
      <c r="Q467" s="67">
        <v>10</v>
      </c>
    </row>
    <row r="468" spans="1:17" x14ac:dyDescent="0.25">
      <c r="A468" s="10">
        <v>437</v>
      </c>
      <c r="B468" s="10">
        <v>47</v>
      </c>
      <c r="C468" s="10">
        <v>2</v>
      </c>
      <c r="D468" s="10">
        <v>1</v>
      </c>
      <c r="E468" s="10">
        <v>20</v>
      </c>
      <c r="F468" s="10">
        <v>20</v>
      </c>
      <c r="L468" s="1">
        <v>466</v>
      </c>
      <c r="M468" s="1">
        <v>50</v>
      </c>
      <c r="N468" s="1">
        <v>0</v>
      </c>
      <c r="O468" s="1">
        <v>1</v>
      </c>
      <c r="P468" s="2">
        <v>1</v>
      </c>
      <c r="Q468" s="68">
        <v>15</v>
      </c>
    </row>
    <row r="469" spans="1:17" x14ac:dyDescent="0.25">
      <c r="A469" s="10">
        <v>437</v>
      </c>
      <c r="B469" s="10">
        <v>47</v>
      </c>
      <c r="C469" s="10">
        <v>2</v>
      </c>
      <c r="D469" s="10">
        <v>2</v>
      </c>
      <c r="E469" s="10">
        <v>14</v>
      </c>
      <c r="F469" s="10">
        <v>14</v>
      </c>
      <c r="L469" s="1">
        <v>467</v>
      </c>
      <c r="M469" s="1">
        <v>50</v>
      </c>
      <c r="N469" s="1">
        <v>0</v>
      </c>
      <c r="O469" s="1">
        <v>1</v>
      </c>
      <c r="P469" s="2">
        <v>1</v>
      </c>
      <c r="Q469" s="67">
        <v>12</v>
      </c>
    </row>
    <row r="470" spans="1:17" x14ac:dyDescent="0.25">
      <c r="A470" s="10">
        <v>435</v>
      </c>
      <c r="B470" s="10">
        <v>47</v>
      </c>
      <c r="C470" s="10">
        <v>1</v>
      </c>
      <c r="D470" s="10">
        <v>2</v>
      </c>
      <c r="E470" s="10">
        <v>19</v>
      </c>
      <c r="F470" s="10">
        <v>19</v>
      </c>
      <c r="L470" s="1">
        <v>468</v>
      </c>
      <c r="M470" s="1">
        <v>50</v>
      </c>
      <c r="N470" s="1">
        <v>0</v>
      </c>
      <c r="O470" s="1">
        <v>1</v>
      </c>
      <c r="P470" s="2">
        <v>1</v>
      </c>
      <c r="Q470" s="68">
        <v>11</v>
      </c>
    </row>
    <row r="471" spans="1:17" x14ac:dyDescent="0.25">
      <c r="A471" s="10">
        <v>435</v>
      </c>
      <c r="B471" s="10">
        <v>47</v>
      </c>
      <c r="C471" s="10">
        <v>1</v>
      </c>
      <c r="D471" s="10">
        <v>3</v>
      </c>
      <c r="E471" s="10">
        <v>3</v>
      </c>
      <c r="F471" s="10">
        <v>3</v>
      </c>
      <c r="L471" s="1">
        <v>469</v>
      </c>
      <c r="M471" s="1">
        <v>50</v>
      </c>
      <c r="N471" s="1">
        <v>0</v>
      </c>
      <c r="O471" s="1">
        <v>1</v>
      </c>
      <c r="P471" s="2">
        <v>1</v>
      </c>
      <c r="Q471" s="67">
        <v>7</v>
      </c>
    </row>
    <row r="472" spans="1:17" x14ac:dyDescent="0.25">
      <c r="A472" s="10">
        <v>28</v>
      </c>
      <c r="B472" s="10">
        <v>4</v>
      </c>
      <c r="C472" s="10">
        <v>1</v>
      </c>
      <c r="D472" s="10">
        <v>1</v>
      </c>
      <c r="E472" s="10">
        <v>26</v>
      </c>
      <c r="F472" s="10">
        <v>26</v>
      </c>
      <c r="L472" s="1">
        <v>470</v>
      </c>
      <c r="M472" s="1">
        <v>50</v>
      </c>
      <c r="N472" s="1">
        <v>0</v>
      </c>
      <c r="O472" s="1">
        <v>1</v>
      </c>
      <c r="P472" s="2">
        <v>1</v>
      </c>
      <c r="Q472" s="68">
        <v>3</v>
      </c>
    </row>
    <row r="473" spans="1:17" x14ac:dyDescent="0.25">
      <c r="A473" s="10">
        <v>28</v>
      </c>
      <c r="B473" s="10">
        <v>4</v>
      </c>
      <c r="C473" s="10">
        <v>1</v>
      </c>
      <c r="D473" s="10">
        <v>2</v>
      </c>
      <c r="E473" s="10">
        <v>20</v>
      </c>
      <c r="F473" s="10">
        <v>20</v>
      </c>
      <c r="L473" s="1">
        <v>471</v>
      </c>
      <c r="M473" s="1">
        <v>50</v>
      </c>
      <c r="N473" s="1">
        <v>0</v>
      </c>
      <c r="O473" s="1">
        <v>1</v>
      </c>
      <c r="P473" s="2">
        <v>1</v>
      </c>
      <c r="Q473" s="67">
        <v>7</v>
      </c>
    </row>
    <row r="474" spans="1:17" x14ac:dyDescent="0.25">
      <c r="A474" s="10">
        <v>28</v>
      </c>
      <c r="B474" s="10">
        <v>4</v>
      </c>
      <c r="C474" s="10">
        <v>1</v>
      </c>
      <c r="D474" s="10">
        <v>4</v>
      </c>
      <c r="E474" s="10">
        <v>4</v>
      </c>
      <c r="F474" s="10">
        <v>4</v>
      </c>
      <c r="L474" s="1">
        <v>472</v>
      </c>
      <c r="M474" s="1">
        <v>50</v>
      </c>
      <c r="N474" s="1">
        <v>0</v>
      </c>
      <c r="O474" s="1">
        <v>1</v>
      </c>
      <c r="P474" s="2">
        <v>1</v>
      </c>
      <c r="Q474" s="68">
        <v>3</v>
      </c>
    </row>
    <row r="475" spans="1:17" x14ac:dyDescent="0.25">
      <c r="A475" s="10">
        <v>44</v>
      </c>
      <c r="B475" s="10">
        <v>5</v>
      </c>
      <c r="C475" s="10">
        <v>1</v>
      </c>
      <c r="D475" s="10">
        <v>1</v>
      </c>
      <c r="E475" s="10">
        <v>20</v>
      </c>
      <c r="F475" s="10">
        <v>20</v>
      </c>
      <c r="L475" s="1">
        <v>473</v>
      </c>
      <c r="M475" s="1">
        <v>51</v>
      </c>
      <c r="N475" s="1">
        <v>0</v>
      </c>
      <c r="O475" s="1">
        <v>1</v>
      </c>
      <c r="P475" s="2">
        <v>1</v>
      </c>
      <c r="Q475" s="67">
        <v>7</v>
      </c>
    </row>
    <row r="476" spans="1:17" x14ac:dyDescent="0.25">
      <c r="A476" s="10">
        <v>44</v>
      </c>
      <c r="B476" s="10">
        <v>5</v>
      </c>
      <c r="C476" s="10">
        <v>1</v>
      </c>
      <c r="D476" s="10">
        <v>2</v>
      </c>
      <c r="E476" s="10">
        <v>22</v>
      </c>
      <c r="F476" s="10">
        <v>22</v>
      </c>
      <c r="L476" s="1">
        <v>474</v>
      </c>
      <c r="M476" s="1">
        <v>51</v>
      </c>
      <c r="N476" s="1">
        <v>0</v>
      </c>
      <c r="O476" s="1">
        <v>1</v>
      </c>
      <c r="P476" s="2">
        <v>1</v>
      </c>
      <c r="Q476" s="68">
        <v>5</v>
      </c>
    </row>
    <row r="477" spans="1:17" x14ac:dyDescent="0.25">
      <c r="A477" s="10">
        <v>242</v>
      </c>
      <c r="B477" s="10">
        <v>26</v>
      </c>
      <c r="C477" s="10">
        <v>1</v>
      </c>
      <c r="D477" s="10">
        <v>1</v>
      </c>
      <c r="E477" s="10">
        <v>13</v>
      </c>
      <c r="F477" s="10">
        <v>13</v>
      </c>
      <c r="L477" s="1">
        <v>475</v>
      </c>
      <c r="M477" s="1">
        <v>51</v>
      </c>
      <c r="N477" s="1">
        <v>0</v>
      </c>
      <c r="O477" s="1">
        <v>1</v>
      </c>
      <c r="P477" s="2">
        <v>1</v>
      </c>
      <c r="Q477" s="67">
        <v>9</v>
      </c>
    </row>
    <row r="478" spans="1:17" x14ac:dyDescent="0.25">
      <c r="A478" s="10">
        <v>242</v>
      </c>
      <c r="B478" s="10">
        <v>26</v>
      </c>
      <c r="C478" s="10">
        <v>1</v>
      </c>
      <c r="D478" s="10">
        <v>2</v>
      </c>
      <c r="E478" s="10">
        <v>12</v>
      </c>
      <c r="F478" s="10">
        <v>12</v>
      </c>
      <c r="L478" s="1">
        <v>476</v>
      </c>
      <c r="M478" s="1">
        <v>51</v>
      </c>
      <c r="N478" s="1">
        <v>0</v>
      </c>
      <c r="O478" s="1">
        <v>1</v>
      </c>
      <c r="P478" s="2">
        <v>1</v>
      </c>
      <c r="Q478" s="68">
        <v>6</v>
      </c>
    </row>
    <row r="479" spans="1:17" x14ac:dyDescent="0.25">
      <c r="A479" s="10">
        <v>37</v>
      </c>
      <c r="B479" s="10">
        <v>5</v>
      </c>
      <c r="C479" s="10">
        <v>2</v>
      </c>
      <c r="D479" s="10">
        <v>1</v>
      </c>
      <c r="E479" s="10">
        <v>15</v>
      </c>
      <c r="F479" s="10">
        <v>15</v>
      </c>
      <c r="L479" s="1">
        <v>477</v>
      </c>
      <c r="M479" s="1">
        <v>51</v>
      </c>
      <c r="N479" s="1">
        <v>0</v>
      </c>
      <c r="O479" s="1">
        <v>1</v>
      </c>
      <c r="P479" s="2">
        <v>1</v>
      </c>
      <c r="Q479" s="67">
        <v>10</v>
      </c>
    </row>
    <row r="480" spans="1:17" x14ac:dyDescent="0.25">
      <c r="A480" s="10">
        <v>39</v>
      </c>
      <c r="B480" s="10">
        <v>5</v>
      </c>
      <c r="C480" s="10">
        <v>2</v>
      </c>
      <c r="D480" s="10">
        <v>1</v>
      </c>
      <c r="E480" s="10">
        <v>3</v>
      </c>
      <c r="F480" s="10">
        <v>3</v>
      </c>
      <c r="L480" s="1">
        <v>478</v>
      </c>
      <c r="M480" s="1">
        <v>51</v>
      </c>
      <c r="N480" s="1">
        <v>0</v>
      </c>
      <c r="O480" s="1">
        <v>1</v>
      </c>
      <c r="P480" s="2">
        <v>1</v>
      </c>
      <c r="Q480" s="68">
        <v>20</v>
      </c>
    </row>
    <row r="481" spans="1:17" x14ac:dyDescent="0.25">
      <c r="A481" s="10">
        <v>37</v>
      </c>
      <c r="B481" s="10">
        <v>5</v>
      </c>
      <c r="C481" s="10">
        <v>2</v>
      </c>
      <c r="D481" s="10">
        <v>2</v>
      </c>
      <c r="E481" s="10">
        <v>26</v>
      </c>
      <c r="F481" s="10">
        <v>26</v>
      </c>
      <c r="L481" s="1">
        <v>479</v>
      </c>
      <c r="M481" s="1">
        <v>51</v>
      </c>
      <c r="N481" s="1">
        <v>0</v>
      </c>
      <c r="O481" s="1">
        <v>1</v>
      </c>
      <c r="P481" s="2">
        <v>1</v>
      </c>
      <c r="Q481" s="67">
        <v>7</v>
      </c>
    </row>
    <row r="482" spans="1:17" x14ac:dyDescent="0.25">
      <c r="A482" s="10">
        <v>29</v>
      </c>
      <c r="B482" s="10">
        <v>4</v>
      </c>
      <c r="C482" s="10">
        <v>2</v>
      </c>
      <c r="D482" s="10">
        <v>1</v>
      </c>
      <c r="E482" s="10">
        <v>29</v>
      </c>
      <c r="F482" s="10">
        <v>29</v>
      </c>
      <c r="L482" s="1">
        <v>480</v>
      </c>
      <c r="M482" s="1">
        <v>51</v>
      </c>
      <c r="N482" s="1">
        <v>0</v>
      </c>
      <c r="O482" s="1">
        <v>1</v>
      </c>
      <c r="P482" s="2">
        <v>1</v>
      </c>
      <c r="Q482" s="68">
        <v>7</v>
      </c>
    </row>
    <row r="483" spans="1:17" x14ac:dyDescent="0.25">
      <c r="A483" s="10">
        <v>37</v>
      </c>
      <c r="B483" s="10">
        <v>5</v>
      </c>
      <c r="C483" s="10">
        <v>2</v>
      </c>
      <c r="D483" s="10">
        <v>6</v>
      </c>
      <c r="E483" s="10">
        <v>2</v>
      </c>
      <c r="F483" s="10">
        <v>2</v>
      </c>
      <c r="L483" s="1">
        <v>481</v>
      </c>
      <c r="M483" s="1">
        <v>51</v>
      </c>
      <c r="N483" s="1">
        <v>0</v>
      </c>
      <c r="O483" s="1">
        <v>1</v>
      </c>
      <c r="P483" s="2">
        <v>1</v>
      </c>
      <c r="Q483" s="67">
        <v>8</v>
      </c>
    </row>
    <row r="484" spans="1:17" x14ac:dyDescent="0.25">
      <c r="A484" s="10">
        <v>37</v>
      </c>
      <c r="B484" s="10">
        <v>5</v>
      </c>
      <c r="C484" s="10">
        <v>2</v>
      </c>
      <c r="D484" s="10">
        <v>8</v>
      </c>
      <c r="E484" s="10">
        <v>1</v>
      </c>
      <c r="F484" s="10">
        <v>1</v>
      </c>
      <c r="L484" s="1">
        <v>482</v>
      </c>
      <c r="M484" s="1">
        <v>51</v>
      </c>
      <c r="N484" s="1">
        <v>0</v>
      </c>
      <c r="O484" s="1">
        <v>1</v>
      </c>
      <c r="P484" s="2">
        <v>1</v>
      </c>
      <c r="Q484" s="68">
        <v>0</v>
      </c>
    </row>
    <row r="485" spans="1:17" x14ac:dyDescent="0.25">
      <c r="A485" s="10">
        <v>29</v>
      </c>
      <c r="B485" s="10">
        <v>4</v>
      </c>
      <c r="C485" s="10">
        <v>2</v>
      </c>
      <c r="D485" s="10">
        <v>2</v>
      </c>
      <c r="E485" s="10">
        <v>20</v>
      </c>
      <c r="F485" s="10">
        <v>20</v>
      </c>
      <c r="L485" s="1">
        <v>483</v>
      </c>
      <c r="M485" s="1">
        <v>52</v>
      </c>
      <c r="N485" s="1">
        <v>0</v>
      </c>
      <c r="O485" s="1">
        <v>1</v>
      </c>
      <c r="P485" s="2">
        <v>1</v>
      </c>
      <c r="Q485" s="67">
        <v>10</v>
      </c>
    </row>
    <row r="486" spans="1:17" x14ac:dyDescent="0.25">
      <c r="A486" s="10">
        <v>17</v>
      </c>
      <c r="B486" s="10">
        <v>2</v>
      </c>
      <c r="C486" s="10">
        <v>2</v>
      </c>
      <c r="D486" s="10">
        <v>1</v>
      </c>
      <c r="E486" s="10">
        <v>601</v>
      </c>
      <c r="F486" s="10">
        <v>601</v>
      </c>
      <c r="L486" s="1">
        <v>484</v>
      </c>
      <c r="M486" s="1">
        <v>52</v>
      </c>
      <c r="N486" s="1">
        <v>0</v>
      </c>
      <c r="O486" s="1">
        <v>1</v>
      </c>
      <c r="P486" s="2">
        <v>1</v>
      </c>
      <c r="Q486" s="68">
        <v>4</v>
      </c>
    </row>
    <row r="487" spans="1:17" x14ac:dyDescent="0.25">
      <c r="A487" s="10">
        <v>17</v>
      </c>
      <c r="B487" s="10">
        <v>2</v>
      </c>
      <c r="C487" s="10">
        <v>2</v>
      </c>
      <c r="D487" s="10">
        <v>2</v>
      </c>
      <c r="E487" s="10">
        <v>396</v>
      </c>
      <c r="F487" s="10">
        <v>396</v>
      </c>
      <c r="L487" s="1">
        <v>485</v>
      </c>
      <c r="M487" s="1">
        <v>52</v>
      </c>
      <c r="N487" s="1">
        <v>0</v>
      </c>
      <c r="O487" s="1">
        <v>1</v>
      </c>
      <c r="P487" s="2">
        <v>1</v>
      </c>
      <c r="Q487" s="67">
        <v>4</v>
      </c>
    </row>
    <row r="488" spans="1:17" x14ac:dyDescent="0.25">
      <c r="A488" s="10">
        <v>27</v>
      </c>
      <c r="B488" s="10">
        <v>4</v>
      </c>
      <c r="C488" s="10">
        <v>2</v>
      </c>
      <c r="D488" s="10">
        <v>1</v>
      </c>
      <c r="E488" s="10">
        <v>630</v>
      </c>
      <c r="F488" s="10">
        <v>630</v>
      </c>
      <c r="L488" s="1">
        <v>486</v>
      </c>
      <c r="M488" s="1">
        <v>52</v>
      </c>
      <c r="N488" s="1">
        <v>0</v>
      </c>
      <c r="O488" s="1">
        <v>1</v>
      </c>
      <c r="P488" s="2">
        <v>1</v>
      </c>
      <c r="Q488" s="68">
        <v>1</v>
      </c>
    </row>
    <row r="489" spans="1:17" x14ac:dyDescent="0.25">
      <c r="A489" s="10">
        <v>27</v>
      </c>
      <c r="B489" s="10">
        <v>4</v>
      </c>
      <c r="C489" s="10">
        <v>2</v>
      </c>
      <c r="D489" s="10">
        <v>2</v>
      </c>
      <c r="E489" s="10">
        <v>367</v>
      </c>
      <c r="F489" s="10">
        <v>367</v>
      </c>
      <c r="L489" s="1">
        <v>487</v>
      </c>
      <c r="M489" s="1">
        <v>52</v>
      </c>
      <c r="N489" s="1">
        <v>0</v>
      </c>
      <c r="O489" s="1">
        <v>1</v>
      </c>
      <c r="P489" s="2">
        <v>1</v>
      </c>
      <c r="Q489" s="67">
        <v>7</v>
      </c>
    </row>
    <row r="490" spans="1:17" x14ac:dyDescent="0.25">
      <c r="A490" s="10">
        <v>279</v>
      </c>
      <c r="B490" s="10">
        <v>30</v>
      </c>
      <c r="C490" s="10">
        <v>2</v>
      </c>
      <c r="D490" s="10">
        <v>1</v>
      </c>
      <c r="E490" s="10">
        <v>9</v>
      </c>
      <c r="F490" s="10">
        <v>9</v>
      </c>
      <c r="L490" s="1">
        <v>488</v>
      </c>
      <c r="M490" s="1">
        <v>52</v>
      </c>
      <c r="N490" s="1">
        <v>0</v>
      </c>
      <c r="O490" s="1">
        <v>1</v>
      </c>
      <c r="P490" s="2">
        <v>1</v>
      </c>
      <c r="Q490" s="68">
        <v>22</v>
      </c>
    </row>
    <row r="491" spans="1:17" x14ac:dyDescent="0.25">
      <c r="A491" s="10">
        <v>279</v>
      </c>
      <c r="B491" s="10">
        <v>30</v>
      </c>
      <c r="C491" s="10">
        <v>2</v>
      </c>
      <c r="D491" s="10">
        <v>2</v>
      </c>
      <c r="E491" s="10">
        <v>16</v>
      </c>
      <c r="F491" s="10">
        <v>16</v>
      </c>
      <c r="L491" s="1">
        <v>1</v>
      </c>
      <c r="M491" s="1">
        <v>1</v>
      </c>
      <c r="N491" s="1">
        <v>0</v>
      </c>
      <c r="O491" s="1">
        <v>2</v>
      </c>
      <c r="P491" s="2">
        <v>1</v>
      </c>
      <c r="Q491" s="67">
        <v>15</v>
      </c>
    </row>
    <row r="492" spans="1:17" x14ac:dyDescent="0.25">
      <c r="A492" s="10">
        <v>311</v>
      </c>
      <c r="B492" s="10">
        <v>34</v>
      </c>
      <c r="C492" s="10">
        <v>2</v>
      </c>
      <c r="D492" s="10">
        <v>1</v>
      </c>
      <c r="E492" s="10">
        <v>8</v>
      </c>
      <c r="F492" s="10">
        <v>8</v>
      </c>
      <c r="L492" s="1">
        <v>2</v>
      </c>
      <c r="M492" s="1">
        <v>1</v>
      </c>
      <c r="N492" s="1">
        <v>0</v>
      </c>
      <c r="O492" s="1">
        <v>2</v>
      </c>
      <c r="P492" s="2">
        <v>1</v>
      </c>
      <c r="Q492" s="68">
        <v>9</v>
      </c>
    </row>
    <row r="493" spans="1:17" x14ac:dyDescent="0.25">
      <c r="A493" s="10">
        <v>311</v>
      </c>
      <c r="B493" s="10">
        <v>34</v>
      </c>
      <c r="C493" s="10">
        <v>2</v>
      </c>
      <c r="D493" s="10">
        <v>2</v>
      </c>
      <c r="E493" s="10">
        <v>4</v>
      </c>
      <c r="F493" s="10">
        <v>4</v>
      </c>
      <c r="L493" s="1">
        <v>3</v>
      </c>
      <c r="M493" s="1">
        <v>1</v>
      </c>
      <c r="N493" s="1">
        <v>0</v>
      </c>
      <c r="O493" s="1">
        <v>2</v>
      </c>
      <c r="P493" s="2">
        <v>1</v>
      </c>
      <c r="Q493" s="67">
        <v>3</v>
      </c>
    </row>
    <row r="494" spans="1:17" x14ac:dyDescent="0.25">
      <c r="A494" s="10">
        <v>389</v>
      </c>
      <c r="B494" s="10">
        <v>42</v>
      </c>
      <c r="C494" s="10">
        <v>2</v>
      </c>
      <c r="D494" s="10">
        <v>1</v>
      </c>
      <c r="E494" s="10">
        <v>8</v>
      </c>
      <c r="F494" s="10">
        <v>8</v>
      </c>
      <c r="L494" s="1">
        <v>4</v>
      </c>
      <c r="M494" s="1">
        <v>1</v>
      </c>
      <c r="N494" s="1">
        <v>0</v>
      </c>
      <c r="O494" s="1">
        <v>2</v>
      </c>
      <c r="P494" s="2">
        <v>1</v>
      </c>
      <c r="Q494" s="68">
        <v>3</v>
      </c>
    </row>
    <row r="495" spans="1:17" x14ac:dyDescent="0.25">
      <c r="A495" s="10">
        <v>389</v>
      </c>
      <c r="B495" s="10">
        <v>42</v>
      </c>
      <c r="C495" s="10">
        <v>2</v>
      </c>
      <c r="D495" s="10">
        <v>2</v>
      </c>
      <c r="E495" s="10">
        <v>16</v>
      </c>
      <c r="F495" s="10">
        <v>16</v>
      </c>
      <c r="L495" s="1">
        <v>5</v>
      </c>
      <c r="M495" s="1">
        <v>1</v>
      </c>
      <c r="N495" s="1">
        <v>0</v>
      </c>
      <c r="O495" s="1">
        <v>2</v>
      </c>
      <c r="P495" s="2">
        <v>1</v>
      </c>
      <c r="Q495" s="67">
        <v>12</v>
      </c>
    </row>
    <row r="496" spans="1:17" x14ac:dyDescent="0.25">
      <c r="A496" s="10">
        <v>389</v>
      </c>
      <c r="B496" s="10">
        <v>42</v>
      </c>
      <c r="C496" s="10">
        <v>2</v>
      </c>
      <c r="D496" s="10">
        <v>4</v>
      </c>
      <c r="E496" s="10">
        <v>1</v>
      </c>
      <c r="F496" s="10">
        <v>1</v>
      </c>
      <c r="L496" s="1">
        <v>6</v>
      </c>
      <c r="M496" s="1">
        <v>1</v>
      </c>
      <c r="N496" s="1">
        <v>0</v>
      </c>
      <c r="O496" s="1">
        <v>2</v>
      </c>
      <c r="P496" s="2">
        <v>1</v>
      </c>
      <c r="Q496" s="68">
        <v>0</v>
      </c>
    </row>
    <row r="497" spans="1:17" x14ac:dyDescent="0.25">
      <c r="A497" s="10">
        <v>420</v>
      </c>
      <c r="B497" s="10">
        <v>45</v>
      </c>
      <c r="C497" s="10">
        <v>2</v>
      </c>
      <c r="D497" s="10">
        <v>1</v>
      </c>
      <c r="E497" s="10">
        <v>19</v>
      </c>
      <c r="F497" s="10">
        <v>19</v>
      </c>
      <c r="L497" s="1">
        <v>7</v>
      </c>
      <c r="M497" s="1">
        <v>1</v>
      </c>
      <c r="N497" s="1">
        <v>0</v>
      </c>
      <c r="O497" s="1">
        <v>2</v>
      </c>
      <c r="P497" s="2">
        <v>1</v>
      </c>
      <c r="Q497" s="67">
        <v>4</v>
      </c>
    </row>
    <row r="498" spans="1:17" x14ac:dyDescent="0.25">
      <c r="A498" s="10">
        <v>420</v>
      </c>
      <c r="B498" s="10">
        <v>45</v>
      </c>
      <c r="C498" s="10">
        <v>2</v>
      </c>
      <c r="D498" s="10">
        <v>2</v>
      </c>
      <c r="E498" s="10">
        <v>3</v>
      </c>
      <c r="F498" s="10">
        <v>3</v>
      </c>
      <c r="L498" s="1">
        <v>8</v>
      </c>
      <c r="M498" s="1">
        <v>1</v>
      </c>
      <c r="N498" s="1">
        <v>0</v>
      </c>
      <c r="O498" s="1">
        <v>2</v>
      </c>
      <c r="P498" s="2">
        <v>1</v>
      </c>
      <c r="Q498" s="68">
        <v>7</v>
      </c>
    </row>
    <row r="499" spans="1:17" x14ac:dyDescent="0.25">
      <c r="A499" s="10">
        <v>420</v>
      </c>
      <c r="B499" s="10">
        <v>45</v>
      </c>
      <c r="C499" s="10">
        <v>2</v>
      </c>
      <c r="D499" s="10">
        <v>3</v>
      </c>
      <c r="E499" s="10">
        <v>4</v>
      </c>
      <c r="F499" s="10">
        <v>4</v>
      </c>
      <c r="L499" s="1">
        <v>9</v>
      </c>
      <c r="M499" s="1">
        <v>1</v>
      </c>
      <c r="N499" s="1">
        <v>0</v>
      </c>
      <c r="O499" s="1">
        <v>2</v>
      </c>
      <c r="P499" s="2">
        <v>1</v>
      </c>
      <c r="Q499" s="67">
        <v>6</v>
      </c>
    </row>
    <row r="500" spans="1:17" x14ac:dyDescent="0.25">
      <c r="A500" s="10">
        <v>42</v>
      </c>
      <c r="B500" s="10">
        <v>5</v>
      </c>
      <c r="C500" s="10">
        <v>1</v>
      </c>
      <c r="D500" s="10">
        <v>1</v>
      </c>
      <c r="E500" s="10">
        <v>23</v>
      </c>
      <c r="F500" s="10">
        <v>23</v>
      </c>
      <c r="L500" s="1">
        <v>10</v>
      </c>
      <c r="M500" s="1">
        <v>1</v>
      </c>
      <c r="N500" s="1">
        <v>0</v>
      </c>
      <c r="O500" s="1">
        <v>2</v>
      </c>
      <c r="P500" s="2">
        <v>1</v>
      </c>
      <c r="Q500" s="68">
        <v>12</v>
      </c>
    </row>
    <row r="501" spans="1:17" x14ac:dyDescent="0.25">
      <c r="A501" s="10">
        <v>312</v>
      </c>
      <c r="B501" s="10">
        <v>34</v>
      </c>
      <c r="C501" s="10">
        <v>1</v>
      </c>
      <c r="D501" s="10">
        <v>1</v>
      </c>
      <c r="E501" s="10">
        <v>20</v>
      </c>
      <c r="F501" s="10">
        <v>20</v>
      </c>
      <c r="L501" s="1">
        <v>11</v>
      </c>
      <c r="M501" s="1">
        <v>2</v>
      </c>
      <c r="N501" s="1">
        <v>0</v>
      </c>
      <c r="O501" s="1">
        <v>2</v>
      </c>
      <c r="P501" s="2">
        <v>1</v>
      </c>
      <c r="Q501" s="67">
        <v>3</v>
      </c>
    </row>
    <row r="502" spans="1:17" x14ac:dyDescent="0.25">
      <c r="A502" s="10">
        <v>42</v>
      </c>
      <c r="B502" s="10">
        <v>5</v>
      </c>
      <c r="C502" s="10">
        <v>1</v>
      </c>
      <c r="D502" s="10">
        <v>2</v>
      </c>
      <c r="E502" s="10">
        <v>26</v>
      </c>
      <c r="F502" s="10">
        <v>26</v>
      </c>
      <c r="L502" s="1">
        <v>12</v>
      </c>
      <c r="M502" s="1">
        <v>2</v>
      </c>
      <c r="N502" s="1">
        <v>0</v>
      </c>
      <c r="O502" s="1">
        <v>2</v>
      </c>
      <c r="P502" s="2">
        <v>1</v>
      </c>
      <c r="Q502" s="68">
        <v>2</v>
      </c>
    </row>
    <row r="503" spans="1:17" x14ac:dyDescent="0.25">
      <c r="A503" s="10">
        <v>206</v>
      </c>
      <c r="B503" s="10">
        <v>22</v>
      </c>
      <c r="C503" s="10">
        <v>1</v>
      </c>
      <c r="D503" s="10">
        <v>1</v>
      </c>
      <c r="E503" s="10">
        <v>18</v>
      </c>
      <c r="F503" s="10">
        <v>18</v>
      </c>
      <c r="L503" s="1">
        <v>13</v>
      </c>
      <c r="M503" s="1">
        <v>2</v>
      </c>
      <c r="N503" s="1">
        <v>0</v>
      </c>
      <c r="O503" s="1">
        <v>2</v>
      </c>
      <c r="P503" s="2">
        <v>1</v>
      </c>
      <c r="Q503" s="67">
        <v>15</v>
      </c>
    </row>
    <row r="504" spans="1:17" x14ac:dyDescent="0.25">
      <c r="A504" s="10">
        <v>38</v>
      </c>
      <c r="B504" s="10">
        <v>5</v>
      </c>
      <c r="C504" s="10">
        <v>1</v>
      </c>
      <c r="D504" s="10">
        <v>2</v>
      </c>
      <c r="E504" s="10">
        <v>36</v>
      </c>
      <c r="F504" s="10">
        <v>36</v>
      </c>
      <c r="L504" s="1">
        <v>14</v>
      </c>
      <c r="M504" s="1">
        <v>2</v>
      </c>
      <c r="N504" s="1">
        <v>0</v>
      </c>
      <c r="O504" s="1">
        <v>2</v>
      </c>
      <c r="P504" s="2">
        <v>1</v>
      </c>
      <c r="Q504" s="68">
        <v>13</v>
      </c>
    </row>
    <row r="505" spans="1:17" x14ac:dyDescent="0.25">
      <c r="A505" s="10">
        <v>206</v>
      </c>
      <c r="B505" s="10">
        <v>22</v>
      </c>
      <c r="C505" s="10">
        <v>1</v>
      </c>
      <c r="D505" s="10">
        <v>2</v>
      </c>
      <c r="E505" s="10">
        <v>5</v>
      </c>
      <c r="F505" s="10">
        <v>5</v>
      </c>
      <c r="L505" s="1">
        <v>15</v>
      </c>
      <c r="M505" s="1">
        <v>2</v>
      </c>
      <c r="N505" s="1">
        <v>0</v>
      </c>
      <c r="O505" s="1">
        <v>2</v>
      </c>
      <c r="P505" s="2">
        <v>1</v>
      </c>
      <c r="Q505" s="67">
        <v>4</v>
      </c>
    </row>
    <row r="506" spans="1:17" x14ac:dyDescent="0.25">
      <c r="A506" s="10">
        <v>41</v>
      </c>
      <c r="B506" s="10">
        <v>5</v>
      </c>
      <c r="C506" s="10">
        <v>1</v>
      </c>
      <c r="D506" s="10">
        <v>2</v>
      </c>
      <c r="E506" s="10">
        <v>21</v>
      </c>
      <c r="F506" s="10">
        <v>21</v>
      </c>
      <c r="L506" s="1">
        <v>16</v>
      </c>
      <c r="M506" s="1">
        <v>2</v>
      </c>
      <c r="N506" s="1">
        <v>0</v>
      </c>
      <c r="O506" s="1">
        <v>2</v>
      </c>
      <c r="P506" s="2">
        <v>1</v>
      </c>
      <c r="Q506" s="68">
        <v>5</v>
      </c>
    </row>
    <row r="507" spans="1:17" x14ac:dyDescent="0.25">
      <c r="A507" s="10">
        <v>312</v>
      </c>
      <c r="B507" s="10">
        <v>34</v>
      </c>
      <c r="C507" s="10">
        <v>1</v>
      </c>
      <c r="D507" s="10">
        <v>5</v>
      </c>
      <c r="E507" s="10">
        <v>1</v>
      </c>
      <c r="F507" s="10">
        <v>1</v>
      </c>
      <c r="L507" s="1">
        <v>17</v>
      </c>
      <c r="M507" s="1">
        <v>2</v>
      </c>
      <c r="N507" s="1">
        <v>0</v>
      </c>
      <c r="O507" s="1">
        <v>2</v>
      </c>
      <c r="P507" s="2">
        <v>1</v>
      </c>
      <c r="Q507" s="67">
        <v>9</v>
      </c>
    </row>
    <row r="508" spans="1:17" x14ac:dyDescent="0.25">
      <c r="A508" s="10">
        <v>312</v>
      </c>
      <c r="B508" s="10">
        <v>34</v>
      </c>
      <c r="C508" s="10">
        <v>1</v>
      </c>
      <c r="D508" s="10">
        <v>6</v>
      </c>
      <c r="E508" s="10">
        <v>1</v>
      </c>
      <c r="F508" s="10">
        <v>1</v>
      </c>
      <c r="L508" s="1">
        <v>18</v>
      </c>
      <c r="M508" s="1">
        <v>2</v>
      </c>
      <c r="N508" s="1">
        <v>0</v>
      </c>
      <c r="O508" s="1">
        <v>2</v>
      </c>
      <c r="P508" s="2">
        <v>1</v>
      </c>
      <c r="Q508" s="68">
        <v>7</v>
      </c>
    </row>
    <row r="509" spans="1:17" x14ac:dyDescent="0.25">
      <c r="A509" s="10">
        <v>341</v>
      </c>
      <c r="B509" s="10">
        <v>37</v>
      </c>
      <c r="C509" s="10">
        <v>1</v>
      </c>
      <c r="D509" s="10">
        <v>2</v>
      </c>
      <c r="E509" s="10">
        <v>1</v>
      </c>
      <c r="F509" s="10">
        <v>1</v>
      </c>
      <c r="L509" s="1">
        <v>19</v>
      </c>
      <c r="M509" s="1">
        <v>2</v>
      </c>
      <c r="N509" s="1">
        <v>0</v>
      </c>
      <c r="O509" s="1">
        <v>2</v>
      </c>
      <c r="P509" s="2">
        <v>1</v>
      </c>
      <c r="Q509" s="67">
        <v>15</v>
      </c>
    </row>
    <row r="510" spans="1:17" x14ac:dyDescent="0.25">
      <c r="A510" s="10">
        <v>116</v>
      </c>
      <c r="B510" s="10">
        <v>13</v>
      </c>
      <c r="C510" s="10">
        <v>1</v>
      </c>
      <c r="D510" s="10">
        <v>2</v>
      </c>
      <c r="E510" s="10">
        <v>4</v>
      </c>
      <c r="F510" s="10">
        <v>4</v>
      </c>
      <c r="L510" s="1">
        <v>20</v>
      </c>
      <c r="M510" s="1">
        <v>2</v>
      </c>
      <c r="N510" s="1">
        <v>0</v>
      </c>
      <c r="O510" s="1">
        <v>2</v>
      </c>
      <c r="P510" s="2">
        <v>1</v>
      </c>
      <c r="Q510" s="68">
        <v>10</v>
      </c>
    </row>
    <row r="511" spans="1:17" x14ac:dyDescent="0.25">
      <c r="A511" s="10">
        <v>341</v>
      </c>
      <c r="B511" s="10">
        <v>37</v>
      </c>
      <c r="C511" s="10">
        <v>1</v>
      </c>
      <c r="D511" s="10">
        <v>5</v>
      </c>
      <c r="E511" s="10">
        <v>2</v>
      </c>
      <c r="F511" s="10">
        <v>2</v>
      </c>
      <c r="L511" s="1">
        <v>21</v>
      </c>
      <c r="M511" s="1">
        <v>3</v>
      </c>
      <c r="N511" s="1">
        <v>0</v>
      </c>
      <c r="O511" s="1">
        <v>2</v>
      </c>
      <c r="P511" s="2">
        <v>1</v>
      </c>
      <c r="Q511" s="67">
        <v>15</v>
      </c>
    </row>
    <row r="512" spans="1:17" x14ac:dyDescent="0.25">
      <c r="A512" s="10">
        <v>15</v>
      </c>
      <c r="B512" s="10">
        <v>2</v>
      </c>
      <c r="C512" s="10">
        <v>1</v>
      </c>
      <c r="D512" s="10">
        <v>1</v>
      </c>
      <c r="E512" s="10">
        <v>10</v>
      </c>
      <c r="F512" s="10">
        <v>10</v>
      </c>
      <c r="L512" s="1">
        <v>22</v>
      </c>
      <c r="M512" s="1">
        <v>3</v>
      </c>
      <c r="N512" s="1">
        <v>0</v>
      </c>
      <c r="O512" s="1">
        <v>2</v>
      </c>
      <c r="P512" s="2">
        <v>1</v>
      </c>
      <c r="Q512" s="68">
        <v>10</v>
      </c>
    </row>
    <row r="513" spans="1:17" x14ac:dyDescent="0.25">
      <c r="A513" s="10">
        <v>7</v>
      </c>
      <c r="B513" s="10">
        <v>1</v>
      </c>
      <c r="C513" s="10">
        <v>1</v>
      </c>
      <c r="D513" s="10">
        <v>1</v>
      </c>
      <c r="E513" s="10">
        <v>455</v>
      </c>
      <c r="F513" s="10">
        <v>455</v>
      </c>
      <c r="L513" s="1">
        <v>23</v>
      </c>
      <c r="M513" s="1">
        <v>3</v>
      </c>
      <c r="N513" s="1">
        <v>0</v>
      </c>
      <c r="O513" s="1">
        <v>2</v>
      </c>
      <c r="P513" s="2">
        <v>1</v>
      </c>
      <c r="Q513" s="67">
        <v>13</v>
      </c>
    </row>
    <row r="514" spans="1:17" x14ac:dyDescent="0.25">
      <c r="A514" s="10">
        <v>123</v>
      </c>
      <c r="B514" s="10">
        <v>14</v>
      </c>
      <c r="C514" s="10">
        <v>1</v>
      </c>
      <c r="D514" s="10">
        <v>1</v>
      </c>
      <c r="E514" s="10">
        <v>4</v>
      </c>
      <c r="F514" s="10">
        <v>4</v>
      </c>
      <c r="L514" s="1">
        <v>24</v>
      </c>
      <c r="M514" s="1">
        <v>3</v>
      </c>
      <c r="N514" s="1">
        <v>0</v>
      </c>
      <c r="O514" s="1">
        <v>2</v>
      </c>
      <c r="P514" s="2">
        <v>1</v>
      </c>
      <c r="Q514" s="68">
        <v>7</v>
      </c>
    </row>
    <row r="515" spans="1:17" x14ac:dyDescent="0.25">
      <c r="A515" s="10">
        <v>280</v>
      </c>
      <c r="B515" s="10">
        <v>30</v>
      </c>
      <c r="C515" s="10">
        <v>2</v>
      </c>
      <c r="D515" s="10">
        <v>3</v>
      </c>
      <c r="E515" s="10">
        <v>4</v>
      </c>
      <c r="F515" s="10">
        <v>4</v>
      </c>
      <c r="L515" s="1">
        <v>25</v>
      </c>
      <c r="M515" s="1">
        <v>3</v>
      </c>
      <c r="N515" s="1">
        <v>0</v>
      </c>
      <c r="O515" s="1">
        <v>2</v>
      </c>
      <c r="P515" s="2">
        <v>1</v>
      </c>
      <c r="Q515" s="67">
        <v>3</v>
      </c>
    </row>
    <row r="516" spans="1:17" x14ac:dyDescent="0.25">
      <c r="A516" s="10">
        <v>394</v>
      </c>
      <c r="B516" s="10">
        <v>42</v>
      </c>
      <c r="C516" s="10">
        <v>1</v>
      </c>
      <c r="D516" s="10">
        <v>2</v>
      </c>
      <c r="E516" s="10">
        <v>2</v>
      </c>
      <c r="F516" s="10">
        <v>2</v>
      </c>
      <c r="L516" s="1">
        <v>26</v>
      </c>
      <c r="M516" s="1">
        <v>3</v>
      </c>
      <c r="N516" s="1">
        <v>0</v>
      </c>
      <c r="O516" s="1">
        <v>2</v>
      </c>
      <c r="P516" s="2">
        <v>1</v>
      </c>
      <c r="Q516" s="68">
        <v>14</v>
      </c>
    </row>
    <row r="517" spans="1:17" x14ac:dyDescent="0.25">
      <c r="A517" s="10">
        <v>208</v>
      </c>
      <c r="B517" s="10">
        <v>22</v>
      </c>
      <c r="C517" s="10">
        <v>1</v>
      </c>
      <c r="D517" s="10">
        <v>1</v>
      </c>
      <c r="E517" s="10">
        <v>22</v>
      </c>
      <c r="F517" s="10">
        <v>22</v>
      </c>
      <c r="L517" s="1">
        <v>27</v>
      </c>
      <c r="M517" s="1">
        <v>4</v>
      </c>
      <c r="N517" s="1">
        <v>0</v>
      </c>
      <c r="O517" s="1">
        <v>2</v>
      </c>
      <c r="P517" s="2">
        <v>1</v>
      </c>
      <c r="Q517" s="67">
        <v>12</v>
      </c>
    </row>
    <row r="518" spans="1:17" x14ac:dyDescent="0.25">
      <c r="A518" s="10">
        <v>208</v>
      </c>
      <c r="B518" s="10">
        <v>22</v>
      </c>
      <c r="C518" s="10">
        <v>1</v>
      </c>
      <c r="D518" s="10">
        <v>5</v>
      </c>
      <c r="E518" s="10">
        <v>1</v>
      </c>
      <c r="F518" s="10">
        <v>1</v>
      </c>
      <c r="L518" s="1">
        <v>28</v>
      </c>
      <c r="M518" s="1">
        <v>4</v>
      </c>
      <c r="N518" s="1">
        <v>0</v>
      </c>
      <c r="O518" s="1">
        <v>2</v>
      </c>
      <c r="P518" s="2">
        <v>1</v>
      </c>
      <c r="Q518" s="68">
        <v>10</v>
      </c>
    </row>
    <row r="519" spans="1:17" x14ac:dyDescent="0.25">
      <c r="A519" s="10">
        <v>2</v>
      </c>
      <c r="B519" s="10">
        <v>1</v>
      </c>
      <c r="C519" s="10">
        <v>1</v>
      </c>
      <c r="D519" s="10">
        <v>2</v>
      </c>
      <c r="E519" s="10">
        <v>481</v>
      </c>
      <c r="F519" s="10">
        <v>481</v>
      </c>
      <c r="L519" s="1">
        <v>29</v>
      </c>
      <c r="M519" s="1">
        <v>4</v>
      </c>
      <c r="N519" s="1">
        <v>0</v>
      </c>
      <c r="O519" s="1">
        <v>2</v>
      </c>
      <c r="P519" s="2">
        <v>1</v>
      </c>
      <c r="Q519" s="67">
        <v>10</v>
      </c>
    </row>
    <row r="520" spans="1:17" x14ac:dyDescent="0.25">
      <c r="A520" s="10">
        <v>435</v>
      </c>
      <c r="B520" s="10">
        <v>47</v>
      </c>
      <c r="C520" s="10">
        <v>1</v>
      </c>
      <c r="D520" s="10">
        <v>1</v>
      </c>
      <c r="E520" s="10">
        <v>15</v>
      </c>
      <c r="F520" s="10">
        <v>15</v>
      </c>
      <c r="L520" s="1">
        <v>30</v>
      </c>
      <c r="M520" s="1">
        <v>4</v>
      </c>
      <c r="N520" s="1">
        <v>0</v>
      </c>
      <c r="O520" s="1">
        <v>2</v>
      </c>
      <c r="P520" s="2">
        <v>1</v>
      </c>
      <c r="Q520" s="68">
        <v>16</v>
      </c>
    </row>
    <row r="521" spans="1:17" x14ac:dyDescent="0.25">
      <c r="A521" s="10">
        <v>39</v>
      </c>
      <c r="B521" s="10">
        <v>5</v>
      </c>
      <c r="C521" s="10">
        <v>2</v>
      </c>
      <c r="D521" s="10">
        <v>2</v>
      </c>
      <c r="E521" s="10">
        <v>11</v>
      </c>
      <c r="F521" s="10">
        <v>11</v>
      </c>
      <c r="L521" s="1">
        <v>31</v>
      </c>
      <c r="M521" s="1">
        <v>4</v>
      </c>
      <c r="N521" s="1">
        <v>0</v>
      </c>
      <c r="O521" s="1">
        <v>2</v>
      </c>
      <c r="P521" s="2">
        <v>1</v>
      </c>
      <c r="Q521" s="67">
        <v>14</v>
      </c>
    </row>
    <row r="522" spans="1:17" x14ac:dyDescent="0.25">
      <c r="A522" s="10">
        <v>430</v>
      </c>
      <c r="B522" s="10">
        <v>46</v>
      </c>
      <c r="C522" s="10">
        <v>2</v>
      </c>
      <c r="D522" s="10">
        <v>1</v>
      </c>
      <c r="E522" s="10">
        <v>22</v>
      </c>
      <c r="F522" s="10">
        <v>22</v>
      </c>
      <c r="L522" s="1">
        <v>32</v>
      </c>
      <c r="M522" s="1">
        <v>4</v>
      </c>
      <c r="N522" s="1">
        <v>0</v>
      </c>
      <c r="O522" s="1">
        <v>2</v>
      </c>
      <c r="P522" s="2">
        <v>1</v>
      </c>
      <c r="Q522" s="68">
        <v>18</v>
      </c>
    </row>
    <row r="523" spans="1:17" x14ac:dyDescent="0.25">
      <c r="A523" s="10">
        <v>430</v>
      </c>
      <c r="B523" s="10">
        <v>46</v>
      </c>
      <c r="C523" s="10">
        <v>2</v>
      </c>
      <c r="D523" s="10">
        <v>2</v>
      </c>
      <c r="E523" s="10">
        <v>18</v>
      </c>
      <c r="F523" s="10">
        <v>18</v>
      </c>
      <c r="L523" s="1">
        <v>33</v>
      </c>
      <c r="M523" s="1">
        <v>4</v>
      </c>
      <c r="N523" s="1">
        <v>0</v>
      </c>
      <c r="O523" s="1">
        <v>2</v>
      </c>
      <c r="P523" s="2">
        <v>1</v>
      </c>
      <c r="Q523" s="67">
        <v>17</v>
      </c>
    </row>
    <row r="524" spans="1:17" x14ac:dyDescent="0.25">
      <c r="A524" s="10">
        <v>430</v>
      </c>
      <c r="B524" s="10">
        <v>46</v>
      </c>
      <c r="C524" s="10">
        <v>2</v>
      </c>
      <c r="D524" s="10">
        <v>3</v>
      </c>
      <c r="E524" s="10">
        <v>10</v>
      </c>
      <c r="F524" s="10">
        <v>10</v>
      </c>
      <c r="L524" s="1">
        <v>34</v>
      </c>
      <c r="M524" s="1">
        <v>4</v>
      </c>
      <c r="N524" s="1">
        <v>0</v>
      </c>
      <c r="O524" s="1">
        <v>2</v>
      </c>
      <c r="P524" s="2">
        <v>1</v>
      </c>
      <c r="Q524" s="68">
        <v>16</v>
      </c>
    </row>
    <row r="525" spans="1:17" x14ac:dyDescent="0.25">
      <c r="A525" s="10">
        <v>419</v>
      </c>
      <c r="B525" s="10">
        <v>45</v>
      </c>
      <c r="C525" s="10">
        <v>2</v>
      </c>
      <c r="D525" s="10">
        <v>1</v>
      </c>
      <c r="E525" s="10">
        <v>10</v>
      </c>
      <c r="F525" s="10">
        <v>10</v>
      </c>
      <c r="L525" s="1">
        <v>35</v>
      </c>
      <c r="M525" s="1">
        <v>4</v>
      </c>
      <c r="N525" s="1">
        <v>0</v>
      </c>
      <c r="O525" s="1">
        <v>2</v>
      </c>
      <c r="P525" s="2">
        <v>1</v>
      </c>
      <c r="Q525" s="67">
        <v>18</v>
      </c>
    </row>
    <row r="526" spans="1:17" x14ac:dyDescent="0.25">
      <c r="A526" s="10">
        <v>419</v>
      </c>
      <c r="B526" s="10">
        <v>45</v>
      </c>
      <c r="C526" s="10">
        <v>2</v>
      </c>
      <c r="D526" s="10">
        <v>2</v>
      </c>
      <c r="E526" s="10">
        <v>30</v>
      </c>
      <c r="F526" s="10">
        <v>30</v>
      </c>
      <c r="L526" s="1">
        <v>36</v>
      </c>
      <c r="M526" s="1">
        <v>4</v>
      </c>
      <c r="N526" s="1">
        <v>0</v>
      </c>
      <c r="O526" s="1">
        <v>2</v>
      </c>
      <c r="P526" s="2">
        <v>1</v>
      </c>
      <c r="Q526" s="68">
        <v>14</v>
      </c>
    </row>
    <row r="527" spans="1:17" x14ac:dyDescent="0.25">
      <c r="A527" s="10">
        <v>411</v>
      </c>
      <c r="B527" s="10">
        <v>44</v>
      </c>
      <c r="C527" s="10">
        <v>2</v>
      </c>
      <c r="D527" s="10">
        <v>1</v>
      </c>
      <c r="E527" s="10">
        <v>35</v>
      </c>
      <c r="F527" s="10">
        <v>35</v>
      </c>
      <c r="L527" s="1">
        <v>37</v>
      </c>
      <c r="M527" s="1">
        <v>5</v>
      </c>
      <c r="N527" s="1">
        <v>0</v>
      </c>
      <c r="O527" s="1">
        <v>2</v>
      </c>
      <c r="P527" s="2">
        <v>1</v>
      </c>
      <c r="Q527" s="67">
        <v>18</v>
      </c>
    </row>
    <row r="528" spans="1:17" x14ac:dyDescent="0.25">
      <c r="A528" s="10">
        <v>411</v>
      </c>
      <c r="B528" s="10">
        <v>44</v>
      </c>
      <c r="C528" s="10">
        <v>2</v>
      </c>
      <c r="D528" s="10">
        <v>2</v>
      </c>
      <c r="E528" s="10">
        <v>10</v>
      </c>
      <c r="F528" s="10">
        <v>10</v>
      </c>
      <c r="L528" s="1">
        <v>38</v>
      </c>
      <c r="M528" s="1">
        <v>5</v>
      </c>
      <c r="N528" s="1">
        <v>0</v>
      </c>
      <c r="O528" s="1">
        <v>2</v>
      </c>
      <c r="P528" s="2">
        <v>1</v>
      </c>
      <c r="Q528" s="68">
        <v>15</v>
      </c>
    </row>
    <row r="529" spans="1:17" x14ac:dyDescent="0.25">
      <c r="A529" s="10">
        <v>421</v>
      </c>
      <c r="B529" s="10">
        <v>45</v>
      </c>
      <c r="C529" s="10">
        <v>2</v>
      </c>
      <c r="D529" s="10">
        <v>1</v>
      </c>
      <c r="E529" s="10">
        <v>50</v>
      </c>
      <c r="F529" s="10">
        <v>50</v>
      </c>
      <c r="L529" s="1">
        <v>39</v>
      </c>
      <c r="M529" s="1">
        <v>5</v>
      </c>
      <c r="N529" s="1">
        <v>0</v>
      </c>
      <c r="O529" s="1">
        <v>2</v>
      </c>
      <c r="P529" s="2">
        <v>1</v>
      </c>
      <c r="Q529" s="67">
        <v>6</v>
      </c>
    </row>
    <row r="530" spans="1:17" x14ac:dyDescent="0.25">
      <c r="A530" s="10">
        <v>421</v>
      </c>
      <c r="B530" s="10">
        <v>45</v>
      </c>
      <c r="C530" s="10">
        <v>2</v>
      </c>
      <c r="D530" s="10">
        <v>2</v>
      </c>
      <c r="E530" s="10">
        <v>0</v>
      </c>
      <c r="F530" s="10">
        <v>0</v>
      </c>
      <c r="L530" s="1">
        <v>40</v>
      </c>
      <c r="M530" s="1">
        <v>5</v>
      </c>
      <c r="N530" s="1">
        <v>0</v>
      </c>
      <c r="O530" s="1">
        <v>2</v>
      </c>
      <c r="P530" s="2">
        <v>1</v>
      </c>
      <c r="Q530" s="68">
        <v>8</v>
      </c>
    </row>
    <row r="531" spans="1:17" x14ac:dyDescent="0.25">
      <c r="A531" s="10">
        <v>413</v>
      </c>
      <c r="B531" s="10">
        <v>44</v>
      </c>
      <c r="C531" s="10">
        <v>2</v>
      </c>
      <c r="D531" s="10">
        <v>1</v>
      </c>
      <c r="E531" s="10">
        <v>32</v>
      </c>
      <c r="F531" s="10">
        <v>32</v>
      </c>
      <c r="L531" s="1">
        <v>41</v>
      </c>
      <c r="M531" s="1">
        <v>5</v>
      </c>
      <c r="N531" s="1">
        <v>0</v>
      </c>
      <c r="O531" s="1">
        <v>2</v>
      </c>
      <c r="P531" s="2">
        <v>1</v>
      </c>
      <c r="Q531" s="67">
        <v>9</v>
      </c>
    </row>
    <row r="532" spans="1:17" x14ac:dyDescent="0.25">
      <c r="A532" s="10">
        <v>413</v>
      </c>
      <c r="B532" s="10">
        <v>44</v>
      </c>
      <c r="C532" s="10">
        <v>2</v>
      </c>
      <c r="D532" s="10">
        <v>2</v>
      </c>
      <c r="E532" s="10">
        <v>11</v>
      </c>
      <c r="F532" s="10">
        <v>11</v>
      </c>
      <c r="L532" s="1">
        <v>42</v>
      </c>
      <c r="M532" s="1">
        <v>5</v>
      </c>
      <c r="N532" s="1">
        <v>0</v>
      </c>
      <c r="O532" s="1">
        <v>2</v>
      </c>
      <c r="P532" s="2">
        <v>1</v>
      </c>
      <c r="Q532" s="68">
        <v>12</v>
      </c>
    </row>
    <row r="533" spans="1:17" x14ac:dyDescent="0.25">
      <c r="A533" s="10">
        <v>433</v>
      </c>
      <c r="B533" s="10">
        <v>47</v>
      </c>
      <c r="C533" s="10">
        <v>2</v>
      </c>
      <c r="D533" s="10">
        <v>1</v>
      </c>
      <c r="E533" s="10">
        <v>30</v>
      </c>
      <c r="F533" s="10">
        <v>30</v>
      </c>
      <c r="L533" s="1">
        <v>43</v>
      </c>
      <c r="M533" s="1">
        <v>5</v>
      </c>
      <c r="N533" s="1">
        <v>0</v>
      </c>
      <c r="O533" s="1">
        <v>2</v>
      </c>
      <c r="P533" s="2">
        <v>1</v>
      </c>
      <c r="Q533" s="67">
        <v>2</v>
      </c>
    </row>
    <row r="534" spans="1:17" x14ac:dyDescent="0.25">
      <c r="A534" s="10">
        <v>433</v>
      </c>
      <c r="B534" s="10">
        <v>47</v>
      </c>
      <c r="C534" s="10">
        <v>2</v>
      </c>
      <c r="D534" s="10">
        <v>2</v>
      </c>
      <c r="E534" s="10">
        <v>10</v>
      </c>
      <c r="F534" s="10">
        <v>10</v>
      </c>
      <c r="L534" s="1">
        <v>44</v>
      </c>
      <c r="M534" s="1">
        <v>5</v>
      </c>
      <c r="N534" s="1">
        <v>0</v>
      </c>
      <c r="O534" s="1">
        <v>2</v>
      </c>
      <c r="P534" s="2">
        <v>1</v>
      </c>
      <c r="Q534" s="68">
        <v>12</v>
      </c>
    </row>
    <row r="535" spans="1:17" x14ac:dyDescent="0.25">
      <c r="A535" s="10">
        <v>433</v>
      </c>
      <c r="B535" s="10">
        <v>47</v>
      </c>
      <c r="C535" s="10">
        <v>2</v>
      </c>
      <c r="D535" s="10">
        <v>4</v>
      </c>
      <c r="E535" s="10">
        <v>7</v>
      </c>
      <c r="F535" s="10">
        <v>7</v>
      </c>
      <c r="L535" s="1">
        <v>45</v>
      </c>
      <c r="M535" s="1">
        <v>5</v>
      </c>
      <c r="N535" s="1">
        <v>0</v>
      </c>
      <c r="O535" s="1">
        <v>2</v>
      </c>
      <c r="P535" s="2">
        <v>1</v>
      </c>
      <c r="Q535" s="67">
        <v>12</v>
      </c>
    </row>
    <row r="536" spans="1:17" x14ac:dyDescent="0.25">
      <c r="A536" s="10">
        <v>2</v>
      </c>
      <c r="B536" s="10">
        <v>1</v>
      </c>
      <c r="C536" s="10">
        <v>2</v>
      </c>
      <c r="D536" s="10">
        <v>1</v>
      </c>
      <c r="E536" s="10">
        <v>513</v>
      </c>
      <c r="F536" s="10">
        <v>513</v>
      </c>
      <c r="L536" s="1">
        <v>46</v>
      </c>
      <c r="M536" s="1">
        <v>5</v>
      </c>
      <c r="N536" s="1">
        <v>0</v>
      </c>
      <c r="O536" s="1">
        <v>2</v>
      </c>
      <c r="P536" s="2">
        <v>1</v>
      </c>
      <c r="Q536" s="68">
        <v>15</v>
      </c>
    </row>
    <row r="537" spans="1:17" x14ac:dyDescent="0.25">
      <c r="A537" s="10">
        <v>2</v>
      </c>
      <c r="B537" s="10">
        <v>1</v>
      </c>
      <c r="C537" s="10">
        <v>2</v>
      </c>
      <c r="D537" s="10">
        <v>2</v>
      </c>
      <c r="E537" s="10">
        <v>481</v>
      </c>
      <c r="F537" s="10">
        <v>481</v>
      </c>
      <c r="L537" s="1">
        <v>47</v>
      </c>
      <c r="M537" s="1">
        <v>6</v>
      </c>
      <c r="N537" s="1">
        <v>0</v>
      </c>
      <c r="O537" s="1">
        <v>2</v>
      </c>
      <c r="P537" s="2">
        <v>1</v>
      </c>
      <c r="Q537" s="67">
        <v>17</v>
      </c>
    </row>
    <row r="538" spans="1:17" x14ac:dyDescent="0.25">
      <c r="A538" s="10">
        <v>434</v>
      </c>
      <c r="B538" s="10">
        <v>47</v>
      </c>
      <c r="C538" s="10">
        <v>2</v>
      </c>
      <c r="D538" s="10">
        <v>1</v>
      </c>
      <c r="E538" s="10">
        <v>23</v>
      </c>
      <c r="F538" s="10">
        <v>23</v>
      </c>
      <c r="L538" s="1">
        <v>48</v>
      </c>
      <c r="M538" s="1">
        <v>6</v>
      </c>
      <c r="N538" s="1">
        <v>0</v>
      </c>
      <c r="O538" s="1">
        <v>2</v>
      </c>
      <c r="P538" s="2">
        <v>1</v>
      </c>
      <c r="Q538" s="68">
        <v>14</v>
      </c>
    </row>
    <row r="539" spans="1:17" x14ac:dyDescent="0.25">
      <c r="A539" s="10">
        <v>434</v>
      </c>
      <c r="B539" s="10">
        <v>47</v>
      </c>
      <c r="C539" s="10">
        <v>2</v>
      </c>
      <c r="D539" s="10">
        <v>2</v>
      </c>
      <c r="E539" s="10">
        <v>16</v>
      </c>
      <c r="F539" s="10">
        <v>16</v>
      </c>
      <c r="L539" s="1">
        <v>49</v>
      </c>
      <c r="M539" s="1">
        <v>6</v>
      </c>
      <c r="N539" s="1">
        <v>0</v>
      </c>
      <c r="O539" s="1">
        <v>2</v>
      </c>
      <c r="P539" s="2">
        <v>1</v>
      </c>
      <c r="Q539" s="67">
        <v>17</v>
      </c>
    </row>
    <row r="540" spans="1:17" x14ac:dyDescent="0.25">
      <c r="A540" s="10">
        <v>434</v>
      </c>
      <c r="B540" s="10">
        <v>47</v>
      </c>
      <c r="C540" s="10">
        <v>2</v>
      </c>
      <c r="D540" s="10">
        <v>3</v>
      </c>
      <c r="E540" s="10">
        <v>4</v>
      </c>
      <c r="F540" s="10">
        <v>4</v>
      </c>
      <c r="L540" s="1">
        <v>50</v>
      </c>
      <c r="M540" s="1">
        <v>6</v>
      </c>
      <c r="N540" s="1">
        <v>0</v>
      </c>
      <c r="O540" s="1">
        <v>2</v>
      </c>
      <c r="P540" s="2">
        <v>1</v>
      </c>
      <c r="Q540" s="68">
        <v>11</v>
      </c>
    </row>
    <row r="541" spans="1:17" x14ac:dyDescent="0.25">
      <c r="A541" s="10">
        <v>435</v>
      </c>
      <c r="B541" s="10">
        <v>47</v>
      </c>
      <c r="C541" s="10">
        <v>2</v>
      </c>
      <c r="D541" s="10">
        <v>1</v>
      </c>
      <c r="E541" s="10">
        <v>7</v>
      </c>
      <c r="F541" s="10">
        <v>7</v>
      </c>
      <c r="L541" s="1">
        <v>51</v>
      </c>
      <c r="M541" s="1">
        <v>6</v>
      </c>
      <c r="N541" s="1">
        <v>0</v>
      </c>
      <c r="O541" s="1">
        <v>2</v>
      </c>
      <c r="P541" s="2">
        <v>1</v>
      </c>
      <c r="Q541" s="67">
        <v>8</v>
      </c>
    </row>
    <row r="542" spans="1:17" x14ac:dyDescent="0.25">
      <c r="A542" s="10">
        <v>435</v>
      </c>
      <c r="B542" s="10">
        <v>47</v>
      </c>
      <c r="C542" s="10">
        <v>2</v>
      </c>
      <c r="D542" s="10">
        <v>2</v>
      </c>
      <c r="E542" s="10">
        <v>1</v>
      </c>
      <c r="F542" s="10">
        <v>1</v>
      </c>
      <c r="L542" s="1">
        <v>52</v>
      </c>
      <c r="M542" s="1">
        <v>6</v>
      </c>
      <c r="N542" s="1">
        <v>0</v>
      </c>
      <c r="O542" s="1">
        <v>2</v>
      </c>
      <c r="P542" s="2">
        <v>1</v>
      </c>
      <c r="Q542" s="68">
        <v>10</v>
      </c>
    </row>
    <row r="543" spans="1:17" x14ac:dyDescent="0.25">
      <c r="A543" s="10">
        <v>6</v>
      </c>
      <c r="B543" s="10">
        <v>1</v>
      </c>
      <c r="C543" s="10">
        <v>2</v>
      </c>
      <c r="D543" s="10">
        <v>1</v>
      </c>
      <c r="E543" s="10">
        <v>10</v>
      </c>
      <c r="F543" s="10">
        <v>10</v>
      </c>
      <c r="L543" s="1">
        <v>53</v>
      </c>
      <c r="M543" s="1">
        <v>6</v>
      </c>
      <c r="N543" s="1">
        <v>0</v>
      </c>
      <c r="O543" s="1">
        <v>2</v>
      </c>
      <c r="P543" s="2">
        <v>1</v>
      </c>
      <c r="Q543" s="67">
        <v>15</v>
      </c>
    </row>
    <row r="544" spans="1:17" x14ac:dyDescent="0.25">
      <c r="A544" s="10">
        <v>6</v>
      </c>
      <c r="B544" s="10">
        <v>1</v>
      </c>
      <c r="C544" s="10">
        <v>2</v>
      </c>
      <c r="D544" s="10">
        <v>2</v>
      </c>
      <c r="E544" s="10">
        <v>18</v>
      </c>
      <c r="F544" s="10">
        <v>18</v>
      </c>
      <c r="L544" s="1">
        <v>54</v>
      </c>
      <c r="M544" s="1">
        <v>6</v>
      </c>
      <c r="N544" s="1">
        <v>0</v>
      </c>
      <c r="O544" s="1">
        <v>2</v>
      </c>
      <c r="P544" s="2">
        <v>1</v>
      </c>
      <c r="Q544" s="68">
        <v>19</v>
      </c>
    </row>
    <row r="545" spans="1:17" x14ac:dyDescent="0.25">
      <c r="A545" s="10">
        <v>6</v>
      </c>
      <c r="B545" s="10">
        <v>1</v>
      </c>
      <c r="C545" s="10">
        <v>2</v>
      </c>
      <c r="D545" s="10">
        <v>4</v>
      </c>
      <c r="E545" s="10">
        <v>2</v>
      </c>
      <c r="F545" s="10">
        <v>2</v>
      </c>
      <c r="L545" s="1">
        <v>55</v>
      </c>
      <c r="M545" s="1">
        <v>6</v>
      </c>
      <c r="N545" s="1">
        <v>0</v>
      </c>
      <c r="O545" s="1">
        <v>2</v>
      </c>
      <c r="P545" s="2">
        <v>1</v>
      </c>
      <c r="Q545" s="67">
        <v>16</v>
      </c>
    </row>
    <row r="546" spans="1:17" x14ac:dyDescent="0.25">
      <c r="A546" s="10">
        <v>6</v>
      </c>
      <c r="B546" s="10">
        <v>1</v>
      </c>
      <c r="C546" s="10">
        <v>2</v>
      </c>
      <c r="D546" s="10">
        <v>7</v>
      </c>
      <c r="E546" s="10">
        <v>1</v>
      </c>
      <c r="F546" s="10">
        <v>1</v>
      </c>
      <c r="L546" s="1">
        <v>56</v>
      </c>
      <c r="M546" s="1">
        <v>6</v>
      </c>
      <c r="N546" s="1">
        <v>0</v>
      </c>
      <c r="O546" s="1">
        <v>2</v>
      </c>
      <c r="P546" s="2">
        <v>1</v>
      </c>
      <c r="Q546" s="68">
        <v>5</v>
      </c>
    </row>
    <row r="547" spans="1:17" x14ac:dyDescent="0.25">
      <c r="A547" s="10">
        <v>28</v>
      </c>
      <c r="B547" s="10">
        <v>4</v>
      </c>
      <c r="C547" s="10">
        <v>2</v>
      </c>
      <c r="D547" s="10">
        <v>1</v>
      </c>
      <c r="E547" s="10">
        <v>32</v>
      </c>
      <c r="F547" s="10">
        <v>32</v>
      </c>
      <c r="L547" s="1">
        <v>57</v>
      </c>
      <c r="M547" s="1">
        <v>7</v>
      </c>
      <c r="N547" s="1">
        <v>0</v>
      </c>
      <c r="O547" s="1">
        <v>2</v>
      </c>
      <c r="P547" s="2">
        <v>1</v>
      </c>
      <c r="Q547" s="67">
        <v>12</v>
      </c>
    </row>
    <row r="548" spans="1:17" x14ac:dyDescent="0.25">
      <c r="A548" s="10">
        <v>28</v>
      </c>
      <c r="B548" s="10">
        <v>4</v>
      </c>
      <c r="C548" s="10">
        <v>2</v>
      </c>
      <c r="D548" s="10">
        <v>2</v>
      </c>
      <c r="E548" s="10">
        <v>18</v>
      </c>
      <c r="F548" s="10">
        <v>18</v>
      </c>
      <c r="L548" s="1">
        <v>58</v>
      </c>
      <c r="M548" s="1">
        <v>7</v>
      </c>
      <c r="N548" s="1">
        <v>0</v>
      </c>
      <c r="O548" s="1">
        <v>2</v>
      </c>
      <c r="P548" s="2">
        <v>1</v>
      </c>
      <c r="Q548" s="68">
        <v>11</v>
      </c>
    </row>
    <row r="549" spans="1:17" x14ac:dyDescent="0.25">
      <c r="A549" s="10">
        <v>121</v>
      </c>
      <c r="B549" s="10">
        <v>13</v>
      </c>
      <c r="C549" s="10">
        <v>2</v>
      </c>
      <c r="D549" s="10">
        <v>1</v>
      </c>
      <c r="E549" s="10">
        <v>12</v>
      </c>
      <c r="F549" s="10">
        <v>12</v>
      </c>
      <c r="L549" s="1">
        <v>59</v>
      </c>
      <c r="M549" s="1">
        <v>7</v>
      </c>
      <c r="N549" s="1">
        <v>0</v>
      </c>
      <c r="O549" s="1">
        <v>2</v>
      </c>
      <c r="P549" s="2">
        <v>1</v>
      </c>
      <c r="Q549" s="67">
        <v>17</v>
      </c>
    </row>
    <row r="550" spans="1:17" x14ac:dyDescent="0.25">
      <c r="A550" s="10">
        <v>121</v>
      </c>
      <c r="B550" s="10">
        <v>13</v>
      </c>
      <c r="C550" s="10">
        <v>2</v>
      </c>
      <c r="D550" s="10">
        <v>2</v>
      </c>
      <c r="E550" s="10">
        <v>19</v>
      </c>
      <c r="F550" s="10">
        <v>19</v>
      </c>
      <c r="L550" s="1">
        <v>60</v>
      </c>
      <c r="M550" s="1">
        <v>7</v>
      </c>
      <c r="N550" s="1">
        <v>0</v>
      </c>
      <c r="O550" s="1">
        <v>2</v>
      </c>
      <c r="P550" s="2">
        <v>1</v>
      </c>
      <c r="Q550" s="68">
        <v>10</v>
      </c>
    </row>
    <row r="551" spans="1:17" x14ac:dyDescent="0.25">
      <c r="A551" s="10">
        <v>121</v>
      </c>
      <c r="B551" s="10">
        <v>13</v>
      </c>
      <c r="C551" s="10">
        <v>2</v>
      </c>
      <c r="D551" s="10">
        <v>3</v>
      </c>
      <c r="E551" s="10">
        <v>5</v>
      </c>
      <c r="F551" s="10">
        <v>5</v>
      </c>
      <c r="L551" s="1">
        <v>61</v>
      </c>
      <c r="M551" s="1">
        <v>7</v>
      </c>
      <c r="N551" s="1">
        <v>0</v>
      </c>
      <c r="O551" s="1">
        <v>2</v>
      </c>
      <c r="P551" s="2">
        <v>1</v>
      </c>
      <c r="Q551" s="67">
        <v>10</v>
      </c>
    </row>
    <row r="552" spans="1:17" x14ac:dyDescent="0.25">
      <c r="A552" s="10">
        <v>265</v>
      </c>
      <c r="B552" s="10">
        <v>29</v>
      </c>
      <c r="C552" s="10">
        <v>2</v>
      </c>
      <c r="D552" s="10">
        <v>1</v>
      </c>
      <c r="E552" s="10">
        <v>4</v>
      </c>
      <c r="F552" s="10">
        <v>4</v>
      </c>
      <c r="L552" s="1">
        <v>62</v>
      </c>
      <c r="M552" s="1">
        <v>7</v>
      </c>
      <c r="N552" s="1">
        <v>0</v>
      </c>
      <c r="O552" s="1">
        <v>2</v>
      </c>
      <c r="P552" s="2">
        <v>1</v>
      </c>
      <c r="Q552" s="68">
        <v>14</v>
      </c>
    </row>
    <row r="553" spans="1:17" x14ac:dyDescent="0.25">
      <c r="A553" s="10">
        <v>43</v>
      </c>
      <c r="B553" s="10">
        <v>5</v>
      </c>
      <c r="C553" s="10">
        <v>2</v>
      </c>
      <c r="D553" s="10">
        <v>1</v>
      </c>
      <c r="E553" s="10">
        <v>9</v>
      </c>
      <c r="F553" s="10">
        <v>9</v>
      </c>
      <c r="L553" s="1">
        <v>63</v>
      </c>
      <c r="M553" s="1">
        <v>7</v>
      </c>
      <c r="N553" s="1">
        <v>0</v>
      </c>
      <c r="O553" s="1">
        <v>2</v>
      </c>
      <c r="P553" s="2">
        <v>1</v>
      </c>
      <c r="Q553" s="67">
        <v>14</v>
      </c>
    </row>
    <row r="554" spans="1:17" x14ac:dyDescent="0.25">
      <c r="A554" s="10">
        <v>123</v>
      </c>
      <c r="B554" s="10">
        <v>14</v>
      </c>
      <c r="C554" s="10">
        <v>2</v>
      </c>
      <c r="D554" s="10">
        <v>1</v>
      </c>
      <c r="E554" s="10">
        <v>6</v>
      </c>
      <c r="F554" s="10">
        <v>6</v>
      </c>
      <c r="L554" s="1">
        <v>64</v>
      </c>
      <c r="M554" s="1">
        <v>7</v>
      </c>
      <c r="N554" s="1">
        <v>0</v>
      </c>
      <c r="O554" s="1">
        <v>2</v>
      </c>
      <c r="P554" s="2">
        <v>1</v>
      </c>
      <c r="Q554" s="68">
        <v>16</v>
      </c>
    </row>
    <row r="555" spans="1:17" x14ac:dyDescent="0.25">
      <c r="A555" s="10">
        <v>41</v>
      </c>
      <c r="B555" s="10">
        <v>5</v>
      </c>
      <c r="C555" s="10">
        <v>2</v>
      </c>
      <c r="D555" s="10">
        <v>1</v>
      </c>
      <c r="E555" s="10">
        <v>1</v>
      </c>
      <c r="F555" s="10">
        <v>1</v>
      </c>
      <c r="L555" s="1">
        <v>65</v>
      </c>
      <c r="M555" s="1">
        <v>7</v>
      </c>
      <c r="N555" s="1">
        <v>0</v>
      </c>
      <c r="O555" s="1">
        <v>2</v>
      </c>
      <c r="P555" s="2">
        <v>1</v>
      </c>
      <c r="Q555" s="67">
        <v>15</v>
      </c>
    </row>
    <row r="556" spans="1:17" x14ac:dyDescent="0.25">
      <c r="A556" s="10">
        <v>123</v>
      </c>
      <c r="B556" s="10">
        <v>14</v>
      </c>
      <c r="C556" s="10">
        <v>2</v>
      </c>
      <c r="D556" s="10">
        <v>2</v>
      </c>
      <c r="E556" s="10">
        <v>5</v>
      </c>
      <c r="F556" s="10">
        <v>5</v>
      </c>
      <c r="L556" s="1">
        <v>66</v>
      </c>
      <c r="M556" s="1">
        <v>7</v>
      </c>
      <c r="N556" s="1">
        <v>0</v>
      </c>
      <c r="O556" s="1">
        <v>2</v>
      </c>
      <c r="P556" s="2">
        <v>1</v>
      </c>
      <c r="Q556" s="68">
        <v>12</v>
      </c>
    </row>
    <row r="557" spans="1:17" x14ac:dyDescent="0.25">
      <c r="A557" s="10">
        <v>123</v>
      </c>
      <c r="B557" s="10">
        <v>14</v>
      </c>
      <c r="C557" s="10">
        <v>2</v>
      </c>
      <c r="D557" s="10">
        <v>3</v>
      </c>
      <c r="E557" s="10">
        <v>5</v>
      </c>
      <c r="F557" s="10">
        <v>5</v>
      </c>
      <c r="L557" s="1">
        <v>67</v>
      </c>
      <c r="M557" s="1">
        <v>8</v>
      </c>
      <c r="N557" s="1">
        <v>0</v>
      </c>
      <c r="O557" s="1">
        <v>2</v>
      </c>
      <c r="P557" s="2">
        <v>1</v>
      </c>
      <c r="Q557" s="67">
        <v>17</v>
      </c>
    </row>
    <row r="558" spans="1:17" x14ac:dyDescent="0.25">
      <c r="A558" s="10">
        <v>341</v>
      </c>
      <c r="B558" s="10">
        <v>37</v>
      </c>
      <c r="C558" s="10">
        <v>2</v>
      </c>
      <c r="D558" s="10">
        <v>1</v>
      </c>
      <c r="E558" s="10">
        <v>7</v>
      </c>
      <c r="F558" s="10">
        <v>7</v>
      </c>
      <c r="L558" s="1">
        <v>68</v>
      </c>
      <c r="M558" s="1">
        <v>8</v>
      </c>
      <c r="N558" s="1">
        <v>0</v>
      </c>
      <c r="O558" s="1">
        <v>2</v>
      </c>
      <c r="P558" s="2">
        <v>1</v>
      </c>
      <c r="Q558" s="68">
        <v>14</v>
      </c>
    </row>
    <row r="559" spans="1:17" x14ac:dyDescent="0.25">
      <c r="A559" s="10">
        <v>123</v>
      </c>
      <c r="B559" s="10">
        <v>14</v>
      </c>
      <c r="C559" s="10">
        <v>2</v>
      </c>
      <c r="D559" s="10">
        <v>6</v>
      </c>
      <c r="E559" s="10">
        <v>6</v>
      </c>
      <c r="F559" s="10">
        <v>6</v>
      </c>
      <c r="L559" s="1">
        <v>69</v>
      </c>
      <c r="M559" s="1">
        <v>8</v>
      </c>
      <c r="N559" s="1">
        <v>0</v>
      </c>
      <c r="O559" s="1">
        <v>2</v>
      </c>
      <c r="P559" s="2">
        <v>1</v>
      </c>
      <c r="Q559" s="67">
        <v>11</v>
      </c>
    </row>
    <row r="560" spans="1:17" x14ac:dyDescent="0.25">
      <c r="A560" s="10">
        <v>341</v>
      </c>
      <c r="B560" s="10">
        <v>37</v>
      </c>
      <c r="C560" s="10">
        <v>2</v>
      </c>
      <c r="D560" s="10">
        <v>2</v>
      </c>
      <c r="E560" s="10">
        <v>3</v>
      </c>
      <c r="F560" s="10">
        <v>3</v>
      </c>
      <c r="L560" s="1">
        <v>70</v>
      </c>
      <c r="M560" s="1">
        <v>8</v>
      </c>
      <c r="N560" s="1">
        <v>0</v>
      </c>
      <c r="O560" s="1">
        <v>2</v>
      </c>
      <c r="P560" s="2">
        <v>1</v>
      </c>
      <c r="Q560" s="68">
        <v>8</v>
      </c>
    </row>
    <row r="561" spans="1:17" x14ac:dyDescent="0.25">
      <c r="A561" s="10">
        <v>341</v>
      </c>
      <c r="B561" s="10">
        <v>37</v>
      </c>
      <c r="C561" s="10">
        <v>2</v>
      </c>
      <c r="D561" s="10">
        <v>3</v>
      </c>
      <c r="E561" s="10">
        <v>1</v>
      </c>
      <c r="F561" s="10">
        <v>1</v>
      </c>
      <c r="L561" s="1">
        <v>71</v>
      </c>
      <c r="M561" s="1">
        <v>8</v>
      </c>
      <c r="N561" s="1">
        <v>0</v>
      </c>
      <c r="O561" s="1">
        <v>2</v>
      </c>
      <c r="P561" s="2">
        <v>1</v>
      </c>
      <c r="Q561" s="67">
        <v>18</v>
      </c>
    </row>
    <row r="562" spans="1:17" x14ac:dyDescent="0.25">
      <c r="A562" s="10">
        <v>127</v>
      </c>
      <c r="B562" s="10">
        <v>14</v>
      </c>
      <c r="C562" s="10">
        <v>2</v>
      </c>
      <c r="D562" s="10">
        <v>1</v>
      </c>
      <c r="E562" s="10">
        <v>56</v>
      </c>
      <c r="F562" s="10">
        <v>56</v>
      </c>
      <c r="L562" s="1">
        <v>72</v>
      </c>
      <c r="M562" s="1">
        <v>8</v>
      </c>
      <c r="N562" s="1">
        <v>0</v>
      </c>
      <c r="O562" s="1">
        <v>2</v>
      </c>
      <c r="P562" s="2">
        <v>1</v>
      </c>
      <c r="Q562" s="68">
        <v>14</v>
      </c>
    </row>
    <row r="563" spans="1:17" x14ac:dyDescent="0.25">
      <c r="A563" s="10">
        <v>41</v>
      </c>
      <c r="B563" s="10">
        <v>5</v>
      </c>
      <c r="C563" s="10">
        <v>2</v>
      </c>
      <c r="D563" s="10">
        <v>2</v>
      </c>
      <c r="E563" s="10">
        <v>1</v>
      </c>
      <c r="F563" s="10">
        <v>1</v>
      </c>
      <c r="L563" s="1">
        <v>73</v>
      </c>
      <c r="M563" s="1">
        <v>8</v>
      </c>
      <c r="N563" s="1">
        <v>0</v>
      </c>
      <c r="O563" s="1">
        <v>2</v>
      </c>
      <c r="P563" s="2">
        <v>1</v>
      </c>
      <c r="Q563" s="67">
        <v>12</v>
      </c>
    </row>
    <row r="564" spans="1:17" x14ac:dyDescent="0.25">
      <c r="A564" s="10">
        <v>341</v>
      </c>
      <c r="B564" s="10">
        <v>37</v>
      </c>
      <c r="C564" s="10">
        <v>2</v>
      </c>
      <c r="D564" s="10">
        <v>4</v>
      </c>
      <c r="E564" s="10">
        <v>1</v>
      </c>
      <c r="F564" s="10">
        <v>1</v>
      </c>
      <c r="L564" s="1">
        <v>74</v>
      </c>
      <c r="M564" s="1">
        <v>8</v>
      </c>
      <c r="N564" s="1">
        <v>0</v>
      </c>
      <c r="O564" s="1">
        <v>2</v>
      </c>
      <c r="P564" s="2">
        <v>1</v>
      </c>
      <c r="Q564" s="68">
        <v>15</v>
      </c>
    </row>
    <row r="565" spans="1:17" x14ac:dyDescent="0.25">
      <c r="A565" s="10">
        <v>341</v>
      </c>
      <c r="B565" s="10">
        <v>37</v>
      </c>
      <c r="C565" s="10">
        <v>2</v>
      </c>
      <c r="D565" s="10">
        <v>5</v>
      </c>
      <c r="E565" s="10">
        <v>6</v>
      </c>
      <c r="F565" s="10">
        <v>6</v>
      </c>
      <c r="L565" s="1">
        <v>75</v>
      </c>
      <c r="M565" s="1">
        <v>8</v>
      </c>
      <c r="N565" s="1">
        <v>0</v>
      </c>
      <c r="O565" s="1">
        <v>2</v>
      </c>
      <c r="P565" s="2">
        <v>1</v>
      </c>
      <c r="Q565" s="67">
        <v>10</v>
      </c>
    </row>
    <row r="566" spans="1:17" x14ac:dyDescent="0.25">
      <c r="A566" s="10">
        <v>440</v>
      </c>
      <c r="B566" s="10">
        <v>47</v>
      </c>
      <c r="C566" s="10">
        <v>2</v>
      </c>
      <c r="D566" s="10">
        <v>1</v>
      </c>
      <c r="E566" s="10">
        <v>16</v>
      </c>
      <c r="F566" s="10">
        <v>16</v>
      </c>
      <c r="L566" s="1">
        <v>76</v>
      </c>
      <c r="M566" s="1">
        <v>8</v>
      </c>
      <c r="N566" s="1">
        <v>0</v>
      </c>
      <c r="O566" s="1">
        <v>2</v>
      </c>
      <c r="P566" s="2">
        <v>1</v>
      </c>
      <c r="Q566" s="68">
        <v>8</v>
      </c>
    </row>
    <row r="567" spans="1:17" x14ac:dyDescent="0.25">
      <c r="A567" s="10">
        <v>438</v>
      </c>
      <c r="B567" s="10">
        <v>47</v>
      </c>
      <c r="C567" s="10">
        <v>2</v>
      </c>
      <c r="D567" s="10">
        <v>1</v>
      </c>
      <c r="E567" s="10">
        <v>13</v>
      </c>
      <c r="F567" s="10">
        <v>13</v>
      </c>
      <c r="L567" s="1">
        <v>77</v>
      </c>
      <c r="M567" s="1">
        <v>9</v>
      </c>
      <c r="N567" s="1">
        <v>0</v>
      </c>
      <c r="O567" s="1">
        <v>2</v>
      </c>
      <c r="P567" s="2">
        <v>1</v>
      </c>
      <c r="Q567" s="67">
        <v>7</v>
      </c>
    </row>
    <row r="568" spans="1:17" x14ac:dyDescent="0.25">
      <c r="A568" s="10">
        <v>440</v>
      </c>
      <c r="B568" s="10">
        <v>47</v>
      </c>
      <c r="C568" s="10">
        <v>2</v>
      </c>
      <c r="D568" s="10">
        <v>2</v>
      </c>
      <c r="E568" s="10">
        <v>20</v>
      </c>
      <c r="F568" s="10">
        <v>20</v>
      </c>
      <c r="L568" s="1">
        <v>78</v>
      </c>
      <c r="M568" s="1">
        <v>9</v>
      </c>
      <c r="N568" s="1">
        <v>0</v>
      </c>
      <c r="O568" s="1">
        <v>2</v>
      </c>
      <c r="P568" s="2">
        <v>1</v>
      </c>
      <c r="Q568" s="68">
        <v>13</v>
      </c>
    </row>
    <row r="569" spans="1:17" x14ac:dyDescent="0.25">
      <c r="A569" s="10">
        <v>438</v>
      </c>
      <c r="B569" s="10">
        <v>47</v>
      </c>
      <c r="C569" s="10">
        <v>2</v>
      </c>
      <c r="D569" s="10">
        <v>2</v>
      </c>
      <c r="E569" s="10">
        <v>7</v>
      </c>
      <c r="F569" s="10">
        <v>7</v>
      </c>
      <c r="L569" s="1">
        <v>79</v>
      </c>
      <c r="M569" s="1">
        <v>9</v>
      </c>
      <c r="N569" s="1">
        <v>0</v>
      </c>
      <c r="O569" s="1">
        <v>2</v>
      </c>
      <c r="P569" s="2">
        <v>1</v>
      </c>
      <c r="Q569" s="67">
        <v>15</v>
      </c>
    </row>
    <row r="570" spans="1:17" x14ac:dyDescent="0.25">
      <c r="A570" s="10">
        <v>438</v>
      </c>
      <c r="B570" s="10">
        <v>47</v>
      </c>
      <c r="C570" s="10">
        <v>2</v>
      </c>
      <c r="D570" s="10">
        <v>3</v>
      </c>
      <c r="E570" s="10">
        <v>3</v>
      </c>
      <c r="F570" s="10">
        <v>3</v>
      </c>
      <c r="L570" s="1">
        <v>80</v>
      </c>
      <c r="M570" s="1">
        <v>9</v>
      </c>
      <c r="N570" s="1">
        <v>0</v>
      </c>
      <c r="O570" s="1">
        <v>2</v>
      </c>
      <c r="P570" s="2">
        <v>1</v>
      </c>
      <c r="Q570" s="68">
        <v>15</v>
      </c>
    </row>
    <row r="571" spans="1:17" x14ac:dyDescent="0.25">
      <c r="A571" s="10">
        <v>343</v>
      </c>
      <c r="B571" s="10">
        <v>37</v>
      </c>
      <c r="C571" s="10">
        <v>2</v>
      </c>
      <c r="D571" s="10">
        <v>5</v>
      </c>
      <c r="E571" s="10">
        <v>6</v>
      </c>
      <c r="F571" s="10">
        <v>6</v>
      </c>
      <c r="L571" s="1">
        <v>81</v>
      </c>
      <c r="M571" s="1">
        <v>9</v>
      </c>
      <c r="N571" s="1">
        <v>0</v>
      </c>
      <c r="O571" s="1">
        <v>2</v>
      </c>
      <c r="P571" s="2">
        <v>1</v>
      </c>
      <c r="Q571" s="67">
        <v>7</v>
      </c>
    </row>
    <row r="572" spans="1:17" x14ac:dyDescent="0.25">
      <c r="A572" s="10">
        <v>4</v>
      </c>
      <c r="B572" s="10">
        <v>1</v>
      </c>
      <c r="C572" s="10">
        <v>2</v>
      </c>
      <c r="D572" s="10">
        <v>1</v>
      </c>
      <c r="E572" s="10">
        <v>22</v>
      </c>
      <c r="F572" s="10">
        <v>22</v>
      </c>
      <c r="L572" s="1">
        <v>82</v>
      </c>
      <c r="M572" s="1">
        <v>9</v>
      </c>
      <c r="N572" s="1">
        <v>0</v>
      </c>
      <c r="O572" s="1">
        <v>2</v>
      </c>
      <c r="P572" s="2">
        <v>1</v>
      </c>
      <c r="Q572" s="68">
        <v>10</v>
      </c>
    </row>
    <row r="573" spans="1:17" x14ac:dyDescent="0.25">
      <c r="A573" s="10">
        <v>45</v>
      </c>
      <c r="B573" s="10">
        <v>5</v>
      </c>
      <c r="C573" s="10">
        <v>2</v>
      </c>
      <c r="D573" s="10">
        <v>1</v>
      </c>
      <c r="E573" s="10">
        <v>3</v>
      </c>
      <c r="F573" s="10">
        <v>3</v>
      </c>
      <c r="L573" s="1">
        <v>83</v>
      </c>
      <c r="M573" s="1">
        <v>9</v>
      </c>
      <c r="N573" s="1">
        <v>0</v>
      </c>
      <c r="O573" s="1">
        <v>2</v>
      </c>
      <c r="P573" s="2">
        <v>1</v>
      </c>
      <c r="Q573" s="67">
        <v>8</v>
      </c>
    </row>
    <row r="574" spans="1:17" x14ac:dyDescent="0.25">
      <c r="A574" s="10">
        <v>343</v>
      </c>
      <c r="B574" s="10">
        <v>37</v>
      </c>
      <c r="C574" s="10">
        <v>2</v>
      </c>
      <c r="D574" s="10">
        <v>8</v>
      </c>
      <c r="E574" s="10">
        <v>3</v>
      </c>
      <c r="F574" s="10">
        <v>3</v>
      </c>
      <c r="L574" s="1">
        <v>84</v>
      </c>
      <c r="M574" s="1">
        <v>9</v>
      </c>
      <c r="N574" s="1">
        <v>0</v>
      </c>
      <c r="O574" s="1">
        <v>2</v>
      </c>
      <c r="P574" s="2">
        <v>1</v>
      </c>
      <c r="Q574" s="68">
        <v>7</v>
      </c>
    </row>
    <row r="575" spans="1:17" x14ac:dyDescent="0.25">
      <c r="A575" s="10">
        <v>45</v>
      </c>
      <c r="B575" s="10">
        <v>5</v>
      </c>
      <c r="C575" s="10">
        <v>2</v>
      </c>
      <c r="D575" s="10">
        <v>2</v>
      </c>
      <c r="E575" s="10">
        <v>4</v>
      </c>
      <c r="F575" s="10">
        <v>4</v>
      </c>
      <c r="L575" s="1">
        <v>85</v>
      </c>
      <c r="M575" s="1">
        <v>9</v>
      </c>
      <c r="N575" s="1">
        <v>0</v>
      </c>
      <c r="O575" s="1">
        <v>2</v>
      </c>
      <c r="P575" s="2">
        <v>1</v>
      </c>
      <c r="Q575" s="67">
        <v>9</v>
      </c>
    </row>
    <row r="576" spans="1:17" x14ac:dyDescent="0.25">
      <c r="A576" s="10">
        <v>205</v>
      </c>
      <c r="B576" s="10">
        <v>22</v>
      </c>
      <c r="C576" s="10">
        <v>2</v>
      </c>
      <c r="D576" s="10">
        <v>1</v>
      </c>
      <c r="E576" s="10">
        <v>23</v>
      </c>
      <c r="F576" s="10">
        <v>23</v>
      </c>
      <c r="L576" s="1">
        <v>86</v>
      </c>
      <c r="M576" s="1">
        <v>9</v>
      </c>
      <c r="N576" s="1">
        <v>0</v>
      </c>
      <c r="O576" s="1">
        <v>2</v>
      </c>
      <c r="P576" s="2">
        <v>1</v>
      </c>
      <c r="Q576" s="68">
        <v>7</v>
      </c>
    </row>
    <row r="577" spans="1:17" x14ac:dyDescent="0.25">
      <c r="A577" s="10">
        <v>4</v>
      </c>
      <c r="B577" s="10">
        <v>1</v>
      </c>
      <c r="C577" s="10">
        <v>2</v>
      </c>
      <c r="D577" s="10">
        <v>5</v>
      </c>
      <c r="E577" s="10">
        <v>10</v>
      </c>
      <c r="F577" s="10">
        <v>10</v>
      </c>
      <c r="L577" s="1">
        <v>87</v>
      </c>
      <c r="M577" s="1">
        <v>10</v>
      </c>
      <c r="N577" s="1">
        <v>0</v>
      </c>
      <c r="O577" s="1">
        <v>2</v>
      </c>
      <c r="P577" s="2">
        <v>1</v>
      </c>
      <c r="Q577" s="67">
        <v>11</v>
      </c>
    </row>
    <row r="578" spans="1:17" x14ac:dyDescent="0.25">
      <c r="A578" s="10">
        <v>45</v>
      </c>
      <c r="B578" s="10">
        <v>5</v>
      </c>
      <c r="C578" s="10">
        <v>2</v>
      </c>
      <c r="D578" s="10">
        <v>3</v>
      </c>
      <c r="E578" s="10">
        <v>3</v>
      </c>
      <c r="F578" s="10">
        <v>3</v>
      </c>
      <c r="L578" s="1">
        <v>88</v>
      </c>
      <c r="M578" s="1">
        <v>10</v>
      </c>
      <c r="N578" s="1">
        <v>0</v>
      </c>
      <c r="O578" s="1">
        <v>2</v>
      </c>
      <c r="P578" s="2">
        <v>1</v>
      </c>
      <c r="Q578" s="68">
        <v>8</v>
      </c>
    </row>
    <row r="579" spans="1:17" x14ac:dyDescent="0.25">
      <c r="A579" s="10">
        <v>442</v>
      </c>
      <c r="B579" s="10">
        <v>47</v>
      </c>
      <c r="C579" s="10">
        <v>2</v>
      </c>
      <c r="D579" s="10">
        <v>1</v>
      </c>
      <c r="E579" s="10">
        <v>8</v>
      </c>
      <c r="F579" s="10">
        <v>8</v>
      </c>
      <c r="L579" s="1">
        <v>89</v>
      </c>
      <c r="M579" s="1">
        <v>10</v>
      </c>
      <c r="N579" s="1">
        <v>0</v>
      </c>
      <c r="O579" s="1">
        <v>2</v>
      </c>
      <c r="P579" s="2">
        <v>1</v>
      </c>
      <c r="Q579" s="67">
        <v>10</v>
      </c>
    </row>
    <row r="580" spans="1:17" x14ac:dyDescent="0.25">
      <c r="A580" s="10">
        <v>201</v>
      </c>
      <c r="B580" s="10">
        <v>22</v>
      </c>
      <c r="C580" s="10">
        <v>2</v>
      </c>
      <c r="D580" s="10">
        <v>1</v>
      </c>
      <c r="E580" s="10">
        <v>8</v>
      </c>
      <c r="F580" s="10">
        <v>8</v>
      </c>
      <c r="L580" s="1">
        <v>90</v>
      </c>
      <c r="M580" s="1">
        <v>10</v>
      </c>
      <c r="N580" s="1">
        <v>0</v>
      </c>
      <c r="O580" s="1">
        <v>2</v>
      </c>
      <c r="P580" s="2">
        <v>1</v>
      </c>
      <c r="Q580" s="68">
        <v>6</v>
      </c>
    </row>
    <row r="581" spans="1:17" x14ac:dyDescent="0.25">
      <c r="A581" s="10">
        <v>442</v>
      </c>
      <c r="B581" s="10">
        <v>47</v>
      </c>
      <c r="C581" s="10">
        <v>2</v>
      </c>
      <c r="D581" s="10">
        <v>2</v>
      </c>
      <c r="E581" s="10">
        <v>5</v>
      </c>
      <c r="F581" s="10">
        <v>5</v>
      </c>
      <c r="L581" s="1">
        <v>91</v>
      </c>
      <c r="M581" s="1">
        <v>10</v>
      </c>
      <c r="N581" s="1">
        <v>0</v>
      </c>
      <c r="O581" s="1">
        <v>2</v>
      </c>
      <c r="P581" s="2">
        <v>1</v>
      </c>
      <c r="Q581" s="67">
        <v>5</v>
      </c>
    </row>
    <row r="582" spans="1:17" x14ac:dyDescent="0.25">
      <c r="A582" s="10">
        <v>205</v>
      </c>
      <c r="B582" s="10">
        <v>22</v>
      </c>
      <c r="C582" s="10">
        <v>2</v>
      </c>
      <c r="D582" s="10">
        <v>4</v>
      </c>
      <c r="E582" s="10">
        <v>2</v>
      </c>
      <c r="F582" s="10">
        <v>2</v>
      </c>
      <c r="L582" s="1">
        <v>92</v>
      </c>
      <c r="M582" s="1">
        <v>10</v>
      </c>
      <c r="N582" s="1">
        <v>0</v>
      </c>
      <c r="O582" s="1">
        <v>2</v>
      </c>
      <c r="P582" s="2">
        <v>1</v>
      </c>
      <c r="Q582" s="68">
        <v>2</v>
      </c>
    </row>
    <row r="583" spans="1:17" x14ac:dyDescent="0.25">
      <c r="A583" s="10">
        <v>442</v>
      </c>
      <c r="B583" s="10">
        <v>47</v>
      </c>
      <c r="C583" s="10">
        <v>2</v>
      </c>
      <c r="D583" s="10">
        <v>3</v>
      </c>
      <c r="E583" s="10">
        <v>5</v>
      </c>
      <c r="F583" s="10">
        <v>5</v>
      </c>
      <c r="L583" s="1">
        <v>93</v>
      </c>
      <c r="M583" s="1">
        <v>10</v>
      </c>
      <c r="N583" s="1">
        <v>0</v>
      </c>
      <c r="O583" s="1">
        <v>2</v>
      </c>
      <c r="P583" s="2">
        <v>1</v>
      </c>
      <c r="Q583" s="67">
        <v>8</v>
      </c>
    </row>
    <row r="584" spans="1:17" x14ac:dyDescent="0.25">
      <c r="A584" s="10">
        <v>442</v>
      </c>
      <c r="B584" s="10">
        <v>47</v>
      </c>
      <c r="C584" s="10">
        <v>2</v>
      </c>
      <c r="D584" s="10">
        <v>4</v>
      </c>
      <c r="E584" s="10">
        <v>8</v>
      </c>
      <c r="F584" s="10">
        <v>8</v>
      </c>
      <c r="L584" s="1">
        <v>94</v>
      </c>
      <c r="M584" s="1">
        <v>10</v>
      </c>
      <c r="N584" s="1">
        <v>0</v>
      </c>
      <c r="O584" s="1">
        <v>2</v>
      </c>
      <c r="P584" s="2">
        <v>1</v>
      </c>
      <c r="Q584" s="68">
        <v>10</v>
      </c>
    </row>
    <row r="585" spans="1:17" x14ac:dyDescent="0.25">
      <c r="A585" s="10">
        <v>442</v>
      </c>
      <c r="B585" s="10">
        <v>47</v>
      </c>
      <c r="C585" s="10">
        <v>2</v>
      </c>
      <c r="D585" s="10">
        <v>5</v>
      </c>
      <c r="E585" s="10">
        <v>10</v>
      </c>
      <c r="F585" s="10">
        <v>10</v>
      </c>
      <c r="L585" s="1">
        <v>95</v>
      </c>
      <c r="M585" s="1">
        <v>10</v>
      </c>
      <c r="N585" s="1">
        <v>0</v>
      </c>
      <c r="O585" s="1">
        <v>2</v>
      </c>
      <c r="P585" s="2">
        <v>1</v>
      </c>
      <c r="Q585" s="67">
        <v>9</v>
      </c>
    </row>
    <row r="586" spans="1:17" x14ac:dyDescent="0.25">
      <c r="A586" s="10">
        <v>442</v>
      </c>
      <c r="B586" s="10">
        <v>47</v>
      </c>
      <c r="C586" s="10">
        <v>2</v>
      </c>
      <c r="D586" s="10">
        <v>7</v>
      </c>
      <c r="E586" s="10">
        <v>15</v>
      </c>
      <c r="F586" s="10">
        <v>15</v>
      </c>
      <c r="L586" s="1">
        <v>96</v>
      </c>
      <c r="M586" s="1">
        <v>10</v>
      </c>
      <c r="N586" s="1">
        <v>0</v>
      </c>
      <c r="O586" s="1">
        <v>2</v>
      </c>
      <c r="P586" s="2">
        <v>1</v>
      </c>
      <c r="Q586" s="68">
        <v>3</v>
      </c>
    </row>
    <row r="587" spans="1:17" x14ac:dyDescent="0.25">
      <c r="A587" s="10">
        <v>247</v>
      </c>
      <c r="B587" s="10">
        <v>27</v>
      </c>
      <c r="C587" s="10">
        <v>2</v>
      </c>
      <c r="D587" s="10">
        <v>2</v>
      </c>
      <c r="E587" s="10">
        <v>16</v>
      </c>
      <c r="F587" s="10">
        <v>16</v>
      </c>
      <c r="L587" s="1">
        <v>97</v>
      </c>
      <c r="M587" s="1">
        <v>11</v>
      </c>
      <c r="N587" s="1">
        <v>0</v>
      </c>
      <c r="O587" s="1">
        <v>2</v>
      </c>
      <c r="P587" s="2">
        <v>1</v>
      </c>
      <c r="Q587" s="67">
        <v>18</v>
      </c>
    </row>
    <row r="588" spans="1:17" x14ac:dyDescent="0.25">
      <c r="A588" s="10">
        <v>131</v>
      </c>
      <c r="B588" s="10">
        <v>14</v>
      </c>
      <c r="C588" s="10">
        <v>2</v>
      </c>
      <c r="D588" s="10">
        <v>1</v>
      </c>
      <c r="E588" s="10">
        <v>80</v>
      </c>
      <c r="F588" s="10">
        <v>80</v>
      </c>
      <c r="L588" s="1">
        <v>98</v>
      </c>
      <c r="M588" s="1">
        <v>11</v>
      </c>
      <c r="N588" s="1">
        <v>0</v>
      </c>
      <c r="O588" s="1">
        <v>2</v>
      </c>
      <c r="P588" s="2">
        <v>1</v>
      </c>
      <c r="Q588" s="68">
        <v>1</v>
      </c>
    </row>
    <row r="589" spans="1:17" x14ac:dyDescent="0.25">
      <c r="A589" s="10">
        <v>247</v>
      </c>
      <c r="B589" s="10">
        <v>27</v>
      </c>
      <c r="C589" s="10">
        <v>2</v>
      </c>
      <c r="D589" s="10">
        <v>4</v>
      </c>
      <c r="E589" s="10">
        <v>15</v>
      </c>
      <c r="F589" s="10">
        <v>15</v>
      </c>
      <c r="L589" s="1">
        <v>99</v>
      </c>
      <c r="M589" s="1">
        <v>11</v>
      </c>
      <c r="N589" s="1">
        <v>0</v>
      </c>
      <c r="O589" s="1">
        <v>2</v>
      </c>
      <c r="P589" s="2">
        <v>1</v>
      </c>
      <c r="Q589" s="67">
        <v>8</v>
      </c>
    </row>
    <row r="590" spans="1:17" x14ac:dyDescent="0.25">
      <c r="A590" s="10">
        <v>247</v>
      </c>
      <c r="B590" s="10">
        <v>27</v>
      </c>
      <c r="C590" s="10">
        <v>2</v>
      </c>
      <c r="D590" s="10">
        <v>6</v>
      </c>
      <c r="E590" s="10">
        <v>16</v>
      </c>
      <c r="F590" s="10">
        <v>16</v>
      </c>
      <c r="L590" s="1">
        <v>100</v>
      </c>
      <c r="M590" s="1">
        <v>11</v>
      </c>
      <c r="N590" s="1">
        <v>0</v>
      </c>
      <c r="O590" s="1">
        <v>2</v>
      </c>
      <c r="P590" s="2">
        <v>1</v>
      </c>
      <c r="Q590" s="68">
        <v>3</v>
      </c>
    </row>
    <row r="591" spans="1:17" x14ac:dyDescent="0.25">
      <c r="A591" s="10">
        <v>249</v>
      </c>
      <c r="B591" s="10">
        <v>27</v>
      </c>
      <c r="C591" s="10">
        <v>2</v>
      </c>
      <c r="D591" s="10">
        <v>1</v>
      </c>
      <c r="E591" s="10">
        <v>8</v>
      </c>
      <c r="F591" s="10">
        <v>8</v>
      </c>
      <c r="L591" s="1">
        <v>101</v>
      </c>
      <c r="M591" s="1">
        <v>11</v>
      </c>
      <c r="N591" s="1">
        <v>0</v>
      </c>
      <c r="O591" s="1">
        <v>2</v>
      </c>
      <c r="P591" s="2">
        <v>1</v>
      </c>
      <c r="Q591" s="67">
        <v>10</v>
      </c>
    </row>
    <row r="592" spans="1:17" x14ac:dyDescent="0.25">
      <c r="A592" s="10">
        <v>249</v>
      </c>
      <c r="B592" s="10">
        <v>27</v>
      </c>
      <c r="C592" s="10">
        <v>2</v>
      </c>
      <c r="D592" s="10">
        <v>2</v>
      </c>
      <c r="E592" s="10">
        <v>8</v>
      </c>
      <c r="F592" s="10">
        <v>8</v>
      </c>
      <c r="L592" s="1">
        <v>102</v>
      </c>
      <c r="M592" s="1">
        <v>11</v>
      </c>
      <c r="N592" s="1">
        <v>0</v>
      </c>
      <c r="O592" s="1">
        <v>2</v>
      </c>
      <c r="P592" s="2">
        <v>1</v>
      </c>
      <c r="Q592" s="68">
        <v>1</v>
      </c>
    </row>
    <row r="593" spans="1:17" x14ac:dyDescent="0.25">
      <c r="A593" s="10">
        <v>131</v>
      </c>
      <c r="B593" s="10">
        <v>14</v>
      </c>
      <c r="C593" s="10">
        <v>2</v>
      </c>
      <c r="D593" s="10">
        <v>2</v>
      </c>
      <c r="E593" s="10">
        <v>78</v>
      </c>
      <c r="F593" s="10">
        <v>78</v>
      </c>
      <c r="L593" s="1">
        <v>103</v>
      </c>
      <c r="M593" s="1">
        <v>11</v>
      </c>
      <c r="N593" s="1">
        <v>0</v>
      </c>
      <c r="O593" s="1">
        <v>2</v>
      </c>
      <c r="P593" s="2">
        <v>1</v>
      </c>
      <c r="Q593" s="67">
        <v>15</v>
      </c>
    </row>
    <row r="594" spans="1:17" x14ac:dyDescent="0.25">
      <c r="A594" s="10">
        <v>249</v>
      </c>
      <c r="B594" s="10">
        <v>27</v>
      </c>
      <c r="C594" s="10">
        <v>2</v>
      </c>
      <c r="D594" s="10">
        <v>4</v>
      </c>
      <c r="E594" s="10">
        <v>1</v>
      </c>
      <c r="F594" s="10">
        <v>1</v>
      </c>
      <c r="L594" s="1">
        <v>104</v>
      </c>
      <c r="M594" s="1">
        <v>11</v>
      </c>
      <c r="N594" s="1">
        <v>0</v>
      </c>
      <c r="O594" s="1">
        <v>2</v>
      </c>
      <c r="P594" s="2">
        <v>1</v>
      </c>
      <c r="Q594" s="68">
        <v>15</v>
      </c>
    </row>
    <row r="595" spans="1:17" x14ac:dyDescent="0.25">
      <c r="A595" s="10">
        <v>131</v>
      </c>
      <c r="B595" s="10">
        <v>14</v>
      </c>
      <c r="C595" s="10">
        <v>2</v>
      </c>
      <c r="D595" s="10">
        <v>6</v>
      </c>
      <c r="E595" s="10">
        <v>10</v>
      </c>
      <c r="F595" s="10">
        <v>10</v>
      </c>
      <c r="L595" s="1">
        <v>105</v>
      </c>
      <c r="M595" s="1">
        <v>11</v>
      </c>
      <c r="N595" s="1">
        <v>0</v>
      </c>
      <c r="O595" s="1">
        <v>2</v>
      </c>
      <c r="P595" s="2">
        <v>1</v>
      </c>
      <c r="Q595" s="67">
        <v>5</v>
      </c>
    </row>
    <row r="596" spans="1:17" x14ac:dyDescent="0.25">
      <c r="A596" s="10">
        <v>131</v>
      </c>
      <c r="B596" s="10">
        <v>14</v>
      </c>
      <c r="C596" s="10">
        <v>2</v>
      </c>
      <c r="D596" s="10">
        <v>7</v>
      </c>
      <c r="E596" s="10">
        <v>20</v>
      </c>
      <c r="F596" s="10">
        <v>20</v>
      </c>
      <c r="L596" s="1">
        <v>106</v>
      </c>
      <c r="M596" s="1">
        <v>11</v>
      </c>
      <c r="N596" s="1">
        <v>0</v>
      </c>
      <c r="O596" s="1">
        <v>2</v>
      </c>
      <c r="P596" s="2">
        <v>1</v>
      </c>
      <c r="Q596" s="68">
        <v>13</v>
      </c>
    </row>
    <row r="597" spans="1:17" x14ac:dyDescent="0.25">
      <c r="A597" s="10">
        <v>221</v>
      </c>
      <c r="B597" s="10">
        <v>24</v>
      </c>
      <c r="C597" s="10">
        <v>2</v>
      </c>
      <c r="D597" s="10">
        <v>1</v>
      </c>
      <c r="E597" s="10">
        <v>3</v>
      </c>
      <c r="F597" s="10">
        <v>3</v>
      </c>
      <c r="L597" s="1">
        <v>107</v>
      </c>
      <c r="M597" s="1">
        <v>12</v>
      </c>
      <c r="N597" s="1">
        <v>0</v>
      </c>
      <c r="O597" s="1">
        <v>2</v>
      </c>
      <c r="P597" s="2">
        <v>1</v>
      </c>
      <c r="Q597" s="67">
        <v>11</v>
      </c>
    </row>
    <row r="598" spans="1:17" x14ac:dyDescent="0.25">
      <c r="A598" s="10">
        <v>5</v>
      </c>
      <c r="B598" s="10">
        <v>1</v>
      </c>
      <c r="C598" s="10">
        <v>2</v>
      </c>
      <c r="D598" s="10">
        <v>1</v>
      </c>
      <c r="E598" s="10">
        <v>542</v>
      </c>
      <c r="F598" s="10">
        <v>542</v>
      </c>
      <c r="L598" s="1">
        <v>108</v>
      </c>
      <c r="M598" s="1">
        <v>12</v>
      </c>
      <c r="N598" s="1">
        <v>0</v>
      </c>
      <c r="O598" s="1">
        <v>2</v>
      </c>
      <c r="P598" s="2">
        <v>1</v>
      </c>
      <c r="Q598" s="68">
        <v>9</v>
      </c>
    </row>
    <row r="599" spans="1:17" x14ac:dyDescent="0.25">
      <c r="A599" s="10">
        <v>5</v>
      </c>
      <c r="B599" s="10">
        <v>1</v>
      </c>
      <c r="C599" s="10">
        <v>2</v>
      </c>
      <c r="D599" s="10">
        <v>2</v>
      </c>
      <c r="E599" s="10">
        <v>455</v>
      </c>
      <c r="F599" s="10">
        <v>455</v>
      </c>
      <c r="L599" s="1">
        <v>109</v>
      </c>
      <c r="M599" s="1">
        <v>12</v>
      </c>
      <c r="N599" s="1">
        <v>0</v>
      </c>
      <c r="O599" s="1">
        <v>2</v>
      </c>
      <c r="P599" s="2">
        <v>1</v>
      </c>
      <c r="Q599" s="67">
        <v>7</v>
      </c>
    </row>
    <row r="600" spans="1:17" x14ac:dyDescent="0.25">
      <c r="A600" s="10">
        <v>5</v>
      </c>
      <c r="B600" s="10">
        <v>1</v>
      </c>
      <c r="C600" s="10">
        <v>2</v>
      </c>
      <c r="D600" s="10">
        <v>5</v>
      </c>
      <c r="E600" s="10">
        <v>2</v>
      </c>
      <c r="F600" s="10">
        <v>2</v>
      </c>
      <c r="L600" s="1">
        <v>110</v>
      </c>
      <c r="M600" s="1">
        <v>12</v>
      </c>
      <c r="N600" s="1">
        <v>0</v>
      </c>
      <c r="O600" s="1">
        <v>2</v>
      </c>
      <c r="P600" s="2">
        <v>1</v>
      </c>
      <c r="Q600" s="68">
        <v>9</v>
      </c>
    </row>
    <row r="601" spans="1:17" x14ac:dyDescent="0.25">
      <c r="A601" s="10">
        <v>221</v>
      </c>
      <c r="B601" s="10">
        <v>24</v>
      </c>
      <c r="C601" s="10">
        <v>2</v>
      </c>
      <c r="D601" s="10">
        <v>4</v>
      </c>
      <c r="E601" s="10">
        <v>0</v>
      </c>
      <c r="F601" s="10">
        <v>0</v>
      </c>
      <c r="L601" s="1">
        <v>111</v>
      </c>
      <c r="M601" s="1">
        <v>12</v>
      </c>
      <c r="N601" s="1">
        <v>0</v>
      </c>
      <c r="O601" s="1">
        <v>2</v>
      </c>
      <c r="P601" s="2">
        <v>1</v>
      </c>
      <c r="Q601" s="67">
        <v>8</v>
      </c>
    </row>
    <row r="602" spans="1:17" x14ac:dyDescent="0.25">
      <c r="A602" s="10">
        <v>386</v>
      </c>
      <c r="B602" s="10">
        <v>42</v>
      </c>
      <c r="C602" s="10">
        <v>9</v>
      </c>
      <c r="D602" s="10">
        <v>1</v>
      </c>
      <c r="E602" s="10">
        <v>8</v>
      </c>
      <c r="F602" s="10">
        <v>8</v>
      </c>
      <c r="L602" s="1">
        <v>112</v>
      </c>
      <c r="M602" s="1">
        <v>12</v>
      </c>
      <c r="N602" s="1">
        <v>0</v>
      </c>
      <c r="O602" s="1">
        <v>2</v>
      </c>
      <c r="P602" s="2">
        <v>1</v>
      </c>
      <c r="Q602" s="68">
        <v>8</v>
      </c>
    </row>
    <row r="603" spans="1:17" x14ac:dyDescent="0.25">
      <c r="A603" s="10">
        <v>2</v>
      </c>
      <c r="B603" s="10">
        <v>1</v>
      </c>
      <c r="C603" s="10">
        <v>16</v>
      </c>
      <c r="D603" s="10">
        <v>3</v>
      </c>
      <c r="E603" s="10">
        <v>5</v>
      </c>
      <c r="F603" s="10">
        <v>5</v>
      </c>
      <c r="L603" s="1">
        <v>113</v>
      </c>
      <c r="M603" s="1">
        <v>12</v>
      </c>
      <c r="N603" s="1">
        <v>0</v>
      </c>
      <c r="O603" s="1">
        <v>2</v>
      </c>
      <c r="P603" s="2">
        <v>1</v>
      </c>
      <c r="Q603" s="67">
        <v>11</v>
      </c>
    </row>
    <row r="604" spans="1:17" x14ac:dyDescent="0.25">
      <c r="A604" s="10">
        <v>30</v>
      </c>
      <c r="B604" s="10">
        <v>4</v>
      </c>
      <c r="C604" s="10">
        <v>7</v>
      </c>
      <c r="D604" s="10">
        <v>1</v>
      </c>
      <c r="E604" s="10">
        <v>16</v>
      </c>
      <c r="F604" s="10">
        <v>16</v>
      </c>
      <c r="L604" s="1">
        <v>114</v>
      </c>
      <c r="M604" s="1">
        <v>12</v>
      </c>
      <c r="N604" s="1">
        <v>0</v>
      </c>
      <c r="O604" s="1">
        <v>2</v>
      </c>
      <c r="P604" s="2">
        <v>1</v>
      </c>
      <c r="Q604" s="68">
        <v>10</v>
      </c>
    </row>
    <row r="605" spans="1:17" x14ac:dyDescent="0.25">
      <c r="A605" s="10">
        <v>390</v>
      </c>
      <c r="B605" s="10">
        <v>42</v>
      </c>
      <c r="C605" s="10">
        <v>1</v>
      </c>
      <c r="D605" s="10">
        <v>4</v>
      </c>
      <c r="E605" s="10">
        <v>8</v>
      </c>
      <c r="F605" s="10">
        <v>8</v>
      </c>
      <c r="L605" s="1">
        <v>115</v>
      </c>
      <c r="M605" s="1">
        <v>13</v>
      </c>
      <c r="N605" s="1">
        <v>0</v>
      </c>
      <c r="O605" s="1">
        <v>2</v>
      </c>
      <c r="P605" s="2">
        <v>1</v>
      </c>
      <c r="Q605" s="67">
        <v>8</v>
      </c>
    </row>
    <row r="606" spans="1:17" x14ac:dyDescent="0.25">
      <c r="A606" s="10">
        <v>5</v>
      </c>
      <c r="B606" s="10">
        <v>1</v>
      </c>
      <c r="C606" s="10">
        <v>0</v>
      </c>
      <c r="D606" s="10">
        <v>1</v>
      </c>
      <c r="E606" s="10">
        <v>1</v>
      </c>
      <c r="F606" s="10">
        <v>1</v>
      </c>
      <c r="L606" s="1">
        <v>116</v>
      </c>
      <c r="M606" s="1">
        <v>13</v>
      </c>
      <c r="N606" s="1">
        <v>0</v>
      </c>
      <c r="O606" s="1">
        <v>2</v>
      </c>
      <c r="P606" s="2">
        <v>1</v>
      </c>
      <c r="Q606" s="68">
        <v>10</v>
      </c>
    </row>
    <row r="607" spans="1:17" x14ac:dyDescent="0.25">
      <c r="A607" s="10">
        <v>6</v>
      </c>
      <c r="B607" s="10">
        <v>1</v>
      </c>
      <c r="C607" s="10">
        <v>0</v>
      </c>
      <c r="D607" s="10">
        <v>1</v>
      </c>
      <c r="E607" s="10">
        <v>1</v>
      </c>
      <c r="F607" s="10">
        <v>1</v>
      </c>
      <c r="L607" s="1">
        <v>117</v>
      </c>
      <c r="M607" s="1">
        <v>13</v>
      </c>
      <c r="N607" s="1">
        <v>0</v>
      </c>
      <c r="O607" s="1">
        <v>2</v>
      </c>
      <c r="P607" s="2">
        <v>1</v>
      </c>
      <c r="Q607" s="67">
        <v>2</v>
      </c>
    </row>
    <row r="608" spans="1:17" x14ac:dyDescent="0.25">
      <c r="A608" s="10">
        <v>7</v>
      </c>
      <c r="B608" s="10">
        <v>1</v>
      </c>
      <c r="C608" s="10">
        <v>0</v>
      </c>
      <c r="D608" s="10">
        <v>1</v>
      </c>
      <c r="E608" s="10">
        <v>455</v>
      </c>
      <c r="F608" s="10">
        <v>455</v>
      </c>
      <c r="L608" s="1">
        <v>118</v>
      </c>
      <c r="M608" s="1">
        <v>13</v>
      </c>
      <c r="N608" s="1">
        <v>0</v>
      </c>
      <c r="O608" s="1">
        <v>2</v>
      </c>
      <c r="P608" s="2">
        <v>1</v>
      </c>
      <c r="Q608" s="68">
        <v>3</v>
      </c>
    </row>
    <row r="609" spans="1:17" x14ac:dyDescent="0.25">
      <c r="A609" s="10">
        <v>8</v>
      </c>
      <c r="B609" s="10">
        <v>1</v>
      </c>
      <c r="C609" s="10">
        <v>0</v>
      </c>
      <c r="D609" s="10">
        <v>1</v>
      </c>
      <c r="E609" s="10">
        <v>1</v>
      </c>
      <c r="F609" s="10">
        <v>1</v>
      </c>
      <c r="L609" s="1">
        <v>119</v>
      </c>
      <c r="M609" s="1">
        <v>13</v>
      </c>
      <c r="N609" s="1">
        <v>0</v>
      </c>
      <c r="O609" s="1">
        <v>2</v>
      </c>
      <c r="P609" s="2">
        <v>1</v>
      </c>
      <c r="Q609" s="67">
        <v>2</v>
      </c>
    </row>
    <row r="610" spans="1:17" x14ac:dyDescent="0.25">
      <c r="A610" s="10">
        <v>9</v>
      </c>
      <c r="B610" s="10">
        <v>1</v>
      </c>
      <c r="C610" s="10">
        <v>0</v>
      </c>
      <c r="D610" s="10">
        <v>1</v>
      </c>
      <c r="E610" s="10">
        <v>1</v>
      </c>
      <c r="F610" s="10">
        <v>1</v>
      </c>
      <c r="L610" s="1">
        <v>120</v>
      </c>
      <c r="M610" s="1">
        <v>13</v>
      </c>
      <c r="N610" s="1">
        <v>0</v>
      </c>
      <c r="O610" s="1">
        <v>2</v>
      </c>
      <c r="P610" s="2">
        <v>1</v>
      </c>
      <c r="Q610" s="68">
        <v>15</v>
      </c>
    </row>
    <row r="611" spans="1:17" x14ac:dyDescent="0.25">
      <c r="A611" s="10">
        <v>10</v>
      </c>
      <c r="B611" s="10">
        <v>1</v>
      </c>
      <c r="C611" s="10">
        <v>0</v>
      </c>
      <c r="D611" s="10">
        <v>1</v>
      </c>
      <c r="E611" s="10">
        <v>1</v>
      </c>
      <c r="F611" s="10">
        <v>1</v>
      </c>
      <c r="L611" s="1">
        <v>121</v>
      </c>
      <c r="M611" s="1">
        <v>13</v>
      </c>
      <c r="N611" s="1">
        <v>0</v>
      </c>
      <c r="O611" s="1">
        <v>2</v>
      </c>
      <c r="P611" s="2">
        <v>1</v>
      </c>
      <c r="Q611" s="67">
        <v>15</v>
      </c>
    </row>
    <row r="612" spans="1:17" x14ac:dyDescent="0.25">
      <c r="A612" s="10">
        <v>11</v>
      </c>
      <c r="B612" s="10">
        <v>2</v>
      </c>
      <c r="C612" s="10">
        <v>0</v>
      </c>
      <c r="D612" s="10">
        <v>1</v>
      </c>
      <c r="E612" s="10">
        <v>1</v>
      </c>
      <c r="F612" s="10">
        <v>1</v>
      </c>
      <c r="L612" s="1">
        <v>122</v>
      </c>
      <c r="M612" s="1">
        <v>13</v>
      </c>
      <c r="N612" s="1">
        <v>0</v>
      </c>
      <c r="O612" s="1">
        <v>2</v>
      </c>
      <c r="P612" s="2">
        <v>1</v>
      </c>
      <c r="Q612" s="68">
        <v>1</v>
      </c>
    </row>
    <row r="613" spans="1:17" x14ac:dyDescent="0.25">
      <c r="A613" s="10">
        <v>12</v>
      </c>
      <c r="B613" s="10">
        <v>2</v>
      </c>
      <c r="C613" s="10">
        <v>0</v>
      </c>
      <c r="D613" s="10">
        <v>1</v>
      </c>
      <c r="E613" s="10">
        <v>1</v>
      </c>
      <c r="F613" s="10">
        <v>1</v>
      </c>
      <c r="L613" s="1">
        <v>123</v>
      </c>
      <c r="M613" s="1">
        <v>14</v>
      </c>
      <c r="N613" s="1">
        <v>0</v>
      </c>
      <c r="O613" s="1">
        <v>2</v>
      </c>
      <c r="P613" s="2">
        <v>1</v>
      </c>
      <c r="Q613" s="67">
        <v>2</v>
      </c>
    </row>
    <row r="614" spans="1:17" x14ac:dyDescent="0.25">
      <c r="A614" s="10">
        <v>14</v>
      </c>
      <c r="B614" s="10">
        <v>2</v>
      </c>
      <c r="C614" s="10">
        <v>0</v>
      </c>
      <c r="D614" s="10">
        <v>1</v>
      </c>
      <c r="E614" s="10">
        <v>496</v>
      </c>
      <c r="F614" s="10">
        <v>496</v>
      </c>
      <c r="L614" s="1">
        <v>124</v>
      </c>
      <c r="M614" s="1">
        <v>14</v>
      </c>
      <c r="N614" s="1">
        <v>0</v>
      </c>
      <c r="O614" s="1">
        <v>2</v>
      </c>
      <c r="P614" s="2">
        <v>1</v>
      </c>
      <c r="Q614" s="68">
        <v>5</v>
      </c>
    </row>
    <row r="615" spans="1:17" x14ac:dyDescent="0.25">
      <c r="A615" s="10">
        <v>15</v>
      </c>
      <c r="B615" s="10">
        <v>2</v>
      </c>
      <c r="C615" s="10">
        <v>0</v>
      </c>
      <c r="D615" s="10">
        <v>1</v>
      </c>
      <c r="E615" s="10">
        <v>1</v>
      </c>
      <c r="F615" s="10">
        <v>1</v>
      </c>
      <c r="L615" s="1">
        <v>125</v>
      </c>
      <c r="M615" s="1">
        <v>14</v>
      </c>
      <c r="N615" s="1">
        <v>0</v>
      </c>
      <c r="O615" s="1">
        <v>2</v>
      </c>
      <c r="P615" s="2">
        <v>1</v>
      </c>
      <c r="Q615" s="67">
        <v>2</v>
      </c>
    </row>
    <row r="616" spans="1:17" x14ac:dyDescent="0.25">
      <c r="A616" s="10">
        <v>16</v>
      </c>
      <c r="B616" s="10">
        <v>2</v>
      </c>
      <c r="C616" s="10">
        <v>0</v>
      </c>
      <c r="D616" s="10">
        <v>1</v>
      </c>
      <c r="E616" s="10">
        <v>501</v>
      </c>
      <c r="F616" s="10">
        <v>501</v>
      </c>
      <c r="L616" s="1">
        <v>126</v>
      </c>
      <c r="M616" s="1">
        <v>14</v>
      </c>
      <c r="N616" s="1">
        <v>0</v>
      </c>
      <c r="O616" s="1">
        <v>2</v>
      </c>
      <c r="P616" s="2">
        <v>1</v>
      </c>
      <c r="Q616" s="68">
        <v>7</v>
      </c>
    </row>
    <row r="617" spans="1:17" x14ac:dyDescent="0.25">
      <c r="A617" s="10">
        <v>17</v>
      </c>
      <c r="B617" s="10">
        <v>2</v>
      </c>
      <c r="C617" s="10">
        <v>0</v>
      </c>
      <c r="D617" s="10">
        <v>1</v>
      </c>
      <c r="E617" s="10">
        <v>601</v>
      </c>
      <c r="F617" s="10">
        <v>601</v>
      </c>
      <c r="L617" s="1">
        <v>127</v>
      </c>
      <c r="M617" s="1">
        <v>14</v>
      </c>
      <c r="N617" s="1">
        <v>0</v>
      </c>
      <c r="O617" s="1">
        <v>2</v>
      </c>
      <c r="P617" s="2">
        <v>1</v>
      </c>
      <c r="Q617" s="67">
        <v>5</v>
      </c>
    </row>
    <row r="618" spans="1:17" x14ac:dyDescent="0.25">
      <c r="A618" s="10">
        <v>18</v>
      </c>
      <c r="B618" s="10">
        <v>2</v>
      </c>
      <c r="C618" s="10">
        <v>0</v>
      </c>
      <c r="D618" s="10">
        <v>1</v>
      </c>
      <c r="E618" s="10">
        <v>1</v>
      </c>
      <c r="F618" s="10">
        <v>1</v>
      </c>
      <c r="L618" s="1">
        <v>128</v>
      </c>
      <c r="M618" s="1">
        <v>14</v>
      </c>
      <c r="N618" s="1">
        <v>0</v>
      </c>
      <c r="O618" s="1">
        <v>2</v>
      </c>
      <c r="P618" s="2">
        <v>1</v>
      </c>
      <c r="Q618" s="68">
        <v>16</v>
      </c>
    </row>
    <row r="619" spans="1:17" x14ac:dyDescent="0.25">
      <c r="A619" s="10">
        <v>19</v>
      </c>
      <c r="B619" s="10">
        <v>2</v>
      </c>
      <c r="C619" s="10">
        <v>0</v>
      </c>
      <c r="D619" s="10">
        <v>1</v>
      </c>
      <c r="E619" s="10">
        <v>441</v>
      </c>
      <c r="F619" s="10">
        <v>441</v>
      </c>
      <c r="L619" s="1">
        <v>129</v>
      </c>
      <c r="M619" s="1">
        <v>14</v>
      </c>
      <c r="N619" s="1">
        <v>0</v>
      </c>
      <c r="O619" s="1">
        <v>2</v>
      </c>
      <c r="P619" s="2">
        <v>1</v>
      </c>
      <c r="Q619" s="67">
        <v>18</v>
      </c>
    </row>
    <row r="620" spans="1:17" x14ac:dyDescent="0.25">
      <c r="A620" s="10">
        <v>20</v>
      </c>
      <c r="B620" s="10">
        <v>2</v>
      </c>
      <c r="C620" s="10">
        <v>0</v>
      </c>
      <c r="D620" s="10">
        <v>1</v>
      </c>
      <c r="E620" s="10">
        <v>1</v>
      </c>
      <c r="F620" s="10">
        <v>1</v>
      </c>
      <c r="L620" s="1">
        <v>130</v>
      </c>
      <c r="M620" s="1">
        <v>14</v>
      </c>
      <c r="N620" s="1">
        <v>0</v>
      </c>
      <c r="O620" s="1">
        <v>2</v>
      </c>
      <c r="P620" s="2">
        <v>1</v>
      </c>
      <c r="Q620" s="68">
        <v>17</v>
      </c>
    </row>
    <row r="621" spans="1:17" x14ac:dyDescent="0.25">
      <c r="A621" s="10">
        <v>21</v>
      </c>
      <c r="B621" s="10">
        <v>3</v>
      </c>
      <c r="C621" s="10">
        <v>0</v>
      </c>
      <c r="D621" s="10">
        <v>1</v>
      </c>
      <c r="E621" s="10">
        <v>1</v>
      </c>
      <c r="F621" s="10">
        <v>1</v>
      </c>
      <c r="L621" s="1">
        <v>131</v>
      </c>
      <c r="M621" s="1">
        <v>14</v>
      </c>
      <c r="N621" s="1">
        <v>0</v>
      </c>
      <c r="O621" s="1">
        <v>2</v>
      </c>
      <c r="P621" s="2">
        <v>1</v>
      </c>
      <c r="Q621" s="67">
        <v>18</v>
      </c>
    </row>
    <row r="622" spans="1:17" x14ac:dyDescent="0.25">
      <c r="A622" s="10">
        <v>22</v>
      </c>
      <c r="B622" s="10">
        <v>3</v>
      </c>
      <c r="C622" s="10">
        <v>0</v>
      </c>
      <c r="D622" s="10">
        <v>1</v>
      </c>
      <c r="E622" s="10">
        <v>518</v>
      </c>
      <c r="F622" s="10">
        <v>518</v>
      </c>
      <c r="L622" s="1">
        <v>132</v>
      </c>
      <c r="M622" s="1">
        <v>14</v>
      </c>
      <c r="N622" s="1">
        <v>0</v>
      </c>
      <c r="O622" s="1">
        <v>2</v>
      </c>
      <c r="P622" s="2">
        <v>1</v>
      </c>
      <c r="Q622" s="68">
        <v>19</v>
      </c>
    </row>
    <row r="623" spans="1:17" x14ac:dyDescent="0.25">
      <c r="A623" s="10">
        <v>23</v>
      </c>
      <c r="B623" s="10">
        <v>3</v>
      </c>
      <c r="C623" s="10">
        <v>0</v>
      </c>
      <c r="D623" s="10">
        <v>1</v>
      </c>
      <c r="E623" s="10">
        <v>1</v>
      </c>
      <c r="F623" s="10">
        <v>1</v>
      </c>
      <c r="L623" s="1">
        <v>133</v>
      </c>
      <c r="M623" s="1">
        <v>15</v>
      </c>
      <c r="N623" s="1">
        <v>0</v>
      </c>
      <c r="O623" s="1">
        <v>2</v>
      </c>
      <c r="P623" s="2">
        <v>1</v>
      </c>
      <c r="Q623" s="67">
        <v>9</v>
      </c>
    </row>
    <row r="624" spans="1:17" x14ac:dyDescent="0.25">
      <c r="A624" s="10">
        <v>24</v>
      </c>
      <c r="B624" s="10">
        <v>3</v>
      </c>
      <c r="C624" s="10">
        <v>0</v>
      </c>
      <c r="D624" s="10">
        <v>1</v>
      </c>
      <c r="E624" s="10">
        <v>1</v>
      </c>
      <c r="F624" s="10">
        <v>1</v>
      </c>
      <c r="L624" s="1">
        <v>134</v>
      </c>
      <c r="M624" s="1">
        <v>15</v>
      </c>
      <c r="N624" s="1">
        <v>0</v>
      </c>
      <c r="O624" s="1">
        <v>2</v>
      </c>
      <c r="P624" s="2">
        <v>1</v>
      </c>
      <c r="Q624" s="68">
        <v>16</v>
      </c>
    </row>
    <row r="625" spans="1:17" x14ac:dyDescent="0.25">
      <c r="A625" s="10">
        <v>25</v>
      </c>
      <c r="B625" s="10">
        <v>3</v>
      </c>
      <c r="C625" s="10">
        <v>0</v>
      </c>
      <c r="D625" s="10">
        <v>1</v>
      </c>
      <c r="E625" s="10">
        <v>1</v>
      </c>
      <c r="F625" s="10">
        <v>1</v>
      </c>
      <c r="L625" s="1">
        <v>135</v>
      </c>
      <c r="M625" s="1">
        <v>15</v>
      </c>
      <c r="N625" s="1">
        <v>0</v>
      </c>
      <c r="O625" s="1">
        <v>2</v>
      </c>
      <c r="P625" s="2">
        <v>1</v>
      </c>
      <c r="Q625" s="67">
        <v>13</v>
      </c>
    </row>
    <row r="626" spans="1:17" x14ac:dyDescent="0.25">
      <c r="A626" s="10">
        <v>26</v>
      </c>
      <c r="B626" s="10">
        <v>3</v>
      </c>
      <c r="C626" s="10">
        <v>0</v>
      </c>
      <c r="D626" s="10">
        <v>1</v>
      </c>
      <c r="E626" s="10">
        <v>431</v>
      </c>
      <c r="F626" s="10">
        <v>431</v>
      </c>
      <c r="L626" s="1">
        <v>136</v>
      </c>
      <c r="M626" s="1">
        <v>15</v>
      </c>
      <c r="N626" s="1">
        <v>0</v>
      </c>
      <c r="O626" s="1">
        <v>2</v>
      </c>
      <c r="P626" s="2">
        <v>1</v>
      </c>
      <c r="Q626" s="68">
        <v>15</v>
      </c>
    </row>
    <row r="627" spans="1:17" x14ac:dyDescent="0.25">
      <c r="A627" s="10">
        <v>27</v>
      </c>
      <c r="B627" s="10">
        <v>4</v>
      </c>
      <c r="C627" s="10">
        <v>0</v>
      </c>
      <c r="D627" s="10">
        <v>1</v>
      </c>
      <c r="E627" s="10">
        <v>630</v>
      </c>
      <c r="F627" s="10">
        <v>630</v>
      </c>
      <c r="L627" s="1">
        <v>137</v>
      </c>
      <c r="M627" s="1">
        <v>15</v>
      </c>
      <c r="N627" s="1">
        <v>0</v>
      </c>
      <c r="O627" s="1">
        <v>2</v>
      </c>
      <c r="P627" s="2">
        <v>1</v>
      </c>
      <c r="Q627" s="67">
        <v>13</v>
      </c>
    </row>
    <row r="628" spans="1:17" x14ac:dyDescent="0.25">
      <c r="A628" s="10">
        <v>28</v>
      </c>
      <c r="B628" s="10">
        <v>4</v>
      </c>
      <c r="C628" s="10">
        <v>0</v>
      </c>
      <c r="D628" s="10">
        <v>1</v>
      </c>
      <c r="E628" s="10">
        <v>1</v>
      </c>
      <c r="F628" s="10">
        <v>1</v>
      </c>
      <c r="L628" s="1">
        <v>138</v>
      </c>
      <c r="M628" s="1">
        <v>15</v>
      </c>
      <c r="N628" s="1">
        <v>0</v>
      </c>
      <c r="O628" s="1">
        <v>2</v>
      </c>
      <c r="P628" s="2">
        <v>1</v>
      </c>
      <c r="Q628" s="68">
        <v>15</v>
      </c>
    </row>
    <row r="629" spans="1:17" x14ac:dyDescent="0.25">
      <c r="A629" s="10">
        <v>29</v>
      </c>
      <c r="B629" s="10">
        <v>4</v>
      </c>
      <c r="C629" s="10">
        <v>0</v>
      </c>
      <c r="D629" s="10">
        <v>1</v>
      </c>
      <c r="E629" s="10">
        <v>1</v>
      </c>
      <c r="F629" s="10">
        <v>1</v>
      </c>
      <c r="L629" s="1">
        <v>139</v>
      </c>
      <c r="M629" s="1">
        <v>15</v>
      </c>
      <c r="N629" s="1">
        <v>0</v>
      </c>
      <c r="O629" s="1">
        <v>2</v>
      </c>
      <c r="P629" s="2">
        <v>1</v>
      </c>
      <c r="Q629" s="67">
        <v>9</v>
      </c>
    </row>
    <row r="630" spans="1:17" x14ac:dyDescent="0.25">
      <c r="A630" s="10">
        <v>30</v>
      </c>
      <c r="B630" s="10">
        <v>4</v>
      </c>
      <c r="C630" s="10">
        <v>0</v>
      </c>
      <c r="D630" s="10">
        <v>1</v>
      </c>
      <c r="E630" s="10">
        <v>1</v>
      </c>
      <c r="F630" s="10">
        <v>1</v>
      </c>
      <c r="L630" s="1">
        <v>140</v>
      </c>
      <c r="M630" s="1">
        <v>15</v>
      </c>
      <c r="N630" s="1">
        <v>0</v>
      </c>
      <c r="O630" s="1">
        <v>2</v>
      </c>
      <c r="P630" s="2">
        <v>1</v>
      </c>
      <c r="Q630" s="68">
        <v>6</v>
      </c>
    </row>
    <row r="631" spans="1:17" x14ac:dyDescent="0.25">
      <c r="A631" s="10">
        <v>31</v>
      </c>
      <c r="B631" s="10">
        <v>4</v>
      </c>
      <c r="C631" s="10">
        <v>0</v>
      </c>
      <c r="D631" s="10">
        <v>1</v>
      </c>
      <c r="E631" s="10">
        <v>1</v>
      </c>
      <c r="F631" s="10">
        <v>1</v>
      </c>
      <c r="L631" s="1">
        <v>141</v>
      </c>
      <c r="M631" s="1">
        <v>15</v>
      </c>
      <c r="N631" s="1">
        <v>0</v>
      </c>
      <c r="O631" s="1">
        <v>2</v>
      </c>
      <c r="P631" s="2">
        <v>1</v>
      </c>
      <c r="Q631" s="67">
        <v>13</v>
      </c>
    </row>
    <row r="632" spans="1:17" x14ac:dyDescent="0.25">
      <c r="A632" s="10">
        <v>32</v>
      </c>
      <c r="B632" s="10">
        <v>4</v>
      </c>
      <c r="C632" s="10">
        <v>0</v>
      </c>
      <c r="D632" s="10">
        <v>1</v>
      </c>
      <c r="E632" s="10">
        <v>1</v>
      </c>
      <c r="F632" s="10">
        <v>1</v>
      </c>
      <c r="L632" s="1">
        <v>142</v>
      </c>
      <c r="M632" s="1">
        <v>15</v>
      </c>
      <c r="N632" s="1">
        <v>0</v>
      </c>
      <c r="O632" s="1">
        <v>2</v>
      </c>
      <c r="P632" s="2">
        <v>1</v>
      </c>
      <c r="Q632" s="68">
        <v>13</v>
      </c>
    </row>
    <row r="633" spans="1:17" x14ac:dyDescent="0.25">
      <c r="A633" s="10">
        <v>33</v>
      </c>
      <c r="B633" s="10">
        <v>4</v>
      </c>
      <c r="C633" s="10">
        <v>0</v>
      </c>
      <c r="D633" s="10">
        <v>1</v>
      </c>
      <c r="E633" s="10">
        <v>1</v>
      </c>
      <c r="F633" s="10">
        <v>1</v>
      </c>
      <c r="L633" s="1">
        <v>143</v>
      </c>
      <c r="M633" s="1">
        <v>16</v>
      </c>
      <c r="N633" s="1">
        <v>0</v>
      </c>
      <c r="O633" s="1">
        <v>2</v>
      </c>
      <c r="P633" s="2">
        <v>1</v>
      </c>
      <c r="Q633" s="67">
        <v>15</v>
      </c>
    </row>
    <row r="634" spans="1:17" x14ac:dyDescent="0.25">
      <c r="A634" s="10">
        <v>34</v>
      </c>
      <c r="B634" s="10">
        <v>4</v>
      </c>
      <c r="C634" s="10">
        <v>0</v>
      </c>
      <c r="D634" s="10">
        <v>1</v>
      </c>
      <c r="E634" s="10">
        <v>1</v>
      </c>
      <c r="F634" s="10">
        <v>1</v>
      </c>
      <c r="L634" s="1">
        <v>144</v>
      </c>
      <c r="M634" s="1">
        <v>16</v>
      </c>
      <c r="N634" s="1">
        <v>0</v>
      </c>
      <c r="O634" s="1">
        <v>2</v>
      </c>
      <c r="P634" s="2">
        <v>1</v>
      </c>
      <c r="Q634" s="68">
        <v>7</v>
      </c>
    </row>
    <row r="635" spans="1:17" x14ac:dyDescent="0.25">
      <c r="A635" s="10">
        <v>35</v>
      </c>
      <c r="B635" s="10">
        <v>4</v>
      </c>
      <c r="C635" s="10">
        <v>0</v>
      </c>
      <c r="D635" s="10">
        <v>1</v>
      </c>
      <c r="E635" s="10">
        <v>1</v>
      </c>
      <c r="F635" s="10">
        <v>1</v>
      </c>
      <c r="L635" s="1">
        <v>145</v>
      </c>
      <c r="M635" s="1">
        <v>16</v>
      </c>
      <c r="N635" s="1">
        <v>0</v>
      </c>
      <c r="O635" s="1">
        <v>2</v>
      </c>
      <c r="P635" s="2">
        <v>1</v>
      </c>
      <c r="Q635" s="67">
        <v>12</v>
      </c>
    </row>
    <row r="636" spans="1:17" x14ac:dyDescent="0.25">
      <c r="A636" s="10">
        <v>36</v>
      </c>
      <c r="B636" s="10">
        <v>4</v>
      </c>
      <c r="C636" s="10">
        <v>0</v>
      </c>
      <c r="D636" s="10">
        <v>1</v>
      </c>
      <c r="E636" s="10">
        <v>1</v>
      </c>
      <c r="F636" s="10">
        <v>1</v>
      </c>
      <c r="L636" s="1">
        <v>146</v>
      </c>
      <c r="M636" s="1">
        <v>16</v>
      </c>
      <c r="N636" s="1">
        <v>0</v>
      </c>
      <c r="O636" s="1">
        <v>2</v>
      </c>
      <c r="P636" s="2">
        <v>1</v>
      </c>
      <c r="Q636" s="68">
        <v>10</v>
      </c>
    </row>
    <row r="637" spans="1:17" x14ac:dyDescent="0.25">
      <c r="A637" s="10">
        <v>37</v>
      </c>
      <c r="B637" s="10">
        <v>5</v>
      </c>
      <c r="C637" s="10">
        <v>0</v>
      </c>
      <c r="D637" s="10">
        <v>1</v>
      </c>
      <c r="E637" s="10">
        <v>1</v>
      </c>
      <c r="F637" s="10">
        <v>1</v>
      </c>
      <c r="L637" s="1">
        <v>147</v>
      </c>
      <c r="M637" s="1">
        <v>16</v>
      </c>
      <c r="N637" s="1">
        <v>0</v>
      </c>
      <c r="O637" s="1">
        <v>2</v>
      </c>
      <c r="P637" s="2">
        <v>1</v>
      </c>
      <c r="Q637" s="67">
        <v>7</v>
      </c>
    </row>
    <row r="638" spans="1:17" x14ac:dyDescent="0.25">
      <c r="A638" s="10">
        <v>38</v>
      </c>
      <c r="B638" s="10">
        <v>5</v>
      </c>
      <c r="C638" s="10">
        <v>0</v>
      </c>
      <c r="D638" s="10">
        <v>1</v>
      </c>
      <c r="E638" s="10">
        <v>1</v>
      </c>
      <c r="F638" s="10">
        <v>1</v>
      </c>
      <c r="L638" s="1">
        <v>148</v>
      </c>
      <c r="M638" s="1">
        <v>16</v>
      </c>
      <c r="N638" s="1">
        <v>0</v>
      </c>
      <c r="O638" s="1">
        <v>2</v>
      </c>
      <c r="P638" s="2">
        <v>1</v>
      </c>
      <c r="Q638" s="68">
        <v>15</v>
      </c>
    </row>
    <row r="639" spans="1:17" x14ac:dyDescent="0.25">
      <c r="A639" s="10">
        <v>39</v>
      </c>
      <c r="B639" s="10">
        <v>5</v>
      </c>
      <c r="C639" s="10">
        <v>0</v>
      </c>
      <c r="D639" s="10">
        <v>1</v>
      </c>
      <c r="E639" s="10">
        <v>1</v>
      </c>
      <c r="F639" s="10">
        <v>1</v>
      </c>
      <c r="L639" s="1">
        <v>149</v>
      </c>
      <c r="M639" s="1">
        <v>16</v>
      </c>
      <c r="N639" s="1">
        <v>0</v>
      </c>
      <c r="O639" s="1">
        <v>2</v>
      </c>
      <c r="P639" s="2">
        <v>1</v>
      </c>
      <c r="Q639" s="67">
        <v>7</v>
      </c>
    </row>
    <row r="640" spans="1:17" x14ac:dyDescent="0.25">
      <c r="A640" s="10">
        <v>40</v>
      </c>
      <c r="B640" s="10">
        <v>5</v>
      </c>
      <c r="C640" s="10">
        <v>0</v>
      </c>
      <c r="D640" s="10">
        <v>1</v>
      </c>
      <c r="E640" s="10">
        <v>1</v>
      </c>
      <c r="F640" s="10">
        <v>1</v>
      </c>
      <c r="L640" s="1">
        <v>150</v>
      </c>
      <c r="M640" s="1">
        <v>16</v>
      </c>
      <c r="N640" s="1">
        <v>0</v>
      </c>
      <c r="O640" s="1">
        <v>2</v>
      </c>
      <c r="P640" s="2">
        <v>1</v>
      </c>
      <c r="Q640" s="68">
        <v>15</v>
      </c>
    </row>
    <row r="641" spans="1:17" x14ac:dyDescent="0.25">
      <c r="A641" s="10">
        <v>41</v>
      </c>
      <c r="B641" s="10">
        <v>5</v>
      </c>
      <c r="C641" s="10">
        <v>0</v>
      </c>
      <c r="D641" s="10">
        <v>1</v>
      </c>
      <c r="E641" s="10">
        <v>1</v>
      </c>
      <c r="F641" s="10">
        <v>1</v>
      </c>
      <c r="L641" s="1">
        <v>151</v>
      </c>
      <c r="M641" s="1">
        <v>16</v>
      </c>
      <c r="N641" s="1">
        <v>0</v>
      </c>
      <c r="O641" s="1">
        <v>2</v>
      </c>
      <c r="P641" s="2">
        <v>1</v>
      </c>
      <c r="Q641" s="67">
        <v>10</v>
      </c>
    </row>
    <row r="642" spans="1:17" x14ac:dyDescent="0.25">
      <c r="A642" s="10">
        <v>42</v>
      </c>
      <c r="B642" s="10">
        <v>5</v>
      </c>
      <c r="C642" s="10">
        <v>0</v>
      </c>
      <c r="D642" s="10">
        <v>1</v>
      </c>
      <c r="E642" s="10">
        <v>1</v>
      </c>
      <c r="F642" s="10">
        <v>1</v>
      </c>
      <c r="L642" s="1">
        <v>152</v>
      </c>
      <c r="M642" s="1">
        <v>16</v>
      </c>
      <c r="N642" s="1">
        <v>0</v>
      </c>
      <c r="O642" s="1">
        <v>2</v>
      </c>
      <c r="P642" s="2">
        <v>1</v>
      </c>
      <c r="Q642" s="68">
        <v>6</v>
      </c>
    </row>
    <row r="643" spans="1:17" x14ac:dyDescent="0.25">
      <c r="A643" s="10">
        <v>43</v>
      </c>
      <c r="B643" s="10">
        <v>5</v>
      </c>
      <c r="C643" s="10">
        <v>0</v>
      </c>
      <c r="D643" s="10">
        <v>1</v>
      </c>
      <c r="E643" s="10">
        <v>1</v>
      </c>
      <c r="F643" s="10">
        <v>1</v>
      </c>
      <c r="L643" s="1">
        <v>153</v>
      </c>
      <c r="M643" s="1">
        <v>17</v>
      </c>
      <c r="N643" s="1">
        <v>0</v>
      </c>
      <c r="O643" s="1">
        <v>2</v>
      </c>
      <c r="P643" s="2">
        <v>1</v>
      </c>
      <c r="Q643" s="67">
        <v>4</v>
      </c>
    </row>
    <row r="644" spans="1:17" x14ac:dyDescent="0.25">
      <c r="A644" s="10">
        <v>44</v>
      </c>
      <c r="B644" s="10">
        <v>5</v>
      </c>
      <c r="C644" s="10">
        <v>0</v>
      </c>
      <c r="D644" s="10">
        <v>1</v>
      </c>
      <c r="E644" s="10">
        <v>1</v>
      </c>
      <c r="F644" s="10">
        <v>1</v>
      </c>
      <c r="L644" s="1">
        <v>154</v>
      </c>
      <c r="M644" s="1">
        <v>17</v>
      </c>
      <c r="N644" s="1">
        <v>0</v>
      </c>
      <c r="O644" s="1">
        <v>2</v>
      </c>
      <c r="P644" s="2">
        <v>1</v>
      </c>
      <c r="Q644" s="68">
        <v>10</v>
      </c>
    </row>
    <row r="645" spans="1:17" x14ac:dyDescent="0.25">
      <c r="A645" s="10">
        <v>45</v>
      </c>
      <c r="B645" s="10">
        <v>5</v>
      </c>
      <c r="C645" s="10">
        <v>0</v>
      </c>
      <c r="D645" s="10">
        <v>1</v>
      </c>
      <c r="E645" s="10">
        <v>1</v>
      </c>
      <c r="F645" s="10">
        <v>1</v>
      </c>
      <c r="L645" s="1">
        <v>155</v>
      </c>
      <c r="M645" s="1">
        <v>17</v>
      </c>
      <c r="N645" s="1">
        <v>0</v>
      </c>
      <c r="O645" s="1">
        <v>2</v>
      </c>
      <c r="P645" s="2">
        <v>1</v>
      </c>
      <c r="Q645" s="67">
        <v>18</v>
      </c>
    </row>
    <row r="646" spans="1:17" x14ac:dyDescent="0.25">
      <c r="A646" s="10">
        <v>46</v>
      </c>
      <c r="B646" s="10">
        <v>5</v>
      </c>
      <c r="C646" s="10">
        <v>0</v>
      </c>
      <c r="D646" s="10">
        <v>1</v>
      </c>
      <c r="E646" s="10">
        <v>1</v>
      </c>
      <c r="F646" s="10">
        <v>1</v>
      </c>
      <c r="L646" s="1">
        <v>156</v>
      </c>
      <c r="M646" s="1">
        <v>17</v>
      </c>
      <c r="N646" s="1">
        <v>0</v>
      </c>
      <c r="O646" s="1">
        <v>2</v>
      </c>
      <c r="P646" s="2">
        <v>1</v>
      </c>
      <c r="Q646" s="68">
        <v>5</v>
      </c>
    </row>
    <row r="647" spans="1:17" x14ac:dyDescent="0.25">
      <c r="A647" s="10">
        <v>47</v>
      </c>
      <c r="B647" s="10">
        <v>6</v>
      </c>
      <c r="C647" s="10">
        <v>0</v>
      </c>
      <c r="D647" s="10">
        <v>1</v>
      </c>
      <c r="E647" s="10">
        <v>1</v>
      </c>
      <c r="F647" s="10">
        <v>1</v>
      </c>
      <c r="L647" s="1">
        <v>157</v>
      </c>
      <c r="M647" s="1">
        <v>17</v>
      </c>
      <c r="N647" s="1">
        <v>0</v>
      </c>
      <c r="O647" s="1">
        <v>2</v>
      </c>
      <c r="P647" s="2">
        <v>1</v>
      </c>
      <c r="Q647" s="67">
        <v>6</v>
      </c>
    </row>
    <row r="648" spans="1:17" x14ac:dyDescent="0.25">
      <c r="A648" s="10">
        <v>48</v>
      </c>
      <c r="B648" s="10">
        <v>6</v>
      </c>
      <c r="C648" s="10">
        <v>0</v>
      </c>
      <c r="D648" s="10">
        <v>1</v>
      </c>
      <c r="E648" s="10">
        <v>1</v>
      </c>
      <c r="F648" s="10">
        <v>1</v>
      </c>
      <c r="L648" s="1">
        <v>158</v>
      </c>
      <c r="M648" s="1">
        <v>17</v>
      </c>
      <c r="N648" s="1">
        <v>0</v>
      </c>
      <c r="O648" s="1">
        <v>2</v>
      </c>
      <c r="P648" s="2">
        <v>1</v>
      </c>
      <c r="Q648" s="68">
        <v>5</v>
      </c>
    </row>
    <row r="649" spans="1:17" x14ac:dyDescent="0.25">
      <c r="A649" s="10">
        <v>49</v>
      </c>
      <c r="B649" s="10">
        <v>6</v>
      </c>
      <c r="C649" s="10">
        <v>0</v>
      </c>
      <c r="D649" s="10">
        <v>1</v>
      </c>
      <c r="E649" s="10">
        <v>1</v>
      </c>
      <c r="F649" s="10">
        <v>1</v>
      </c>
      <c r="L649" s="1">
        <v>159</v>
      </c>
      <c r="M649" s="1">
        <v>17</v>
      </c>
      <c r="N649" s="1">
        <v>0</v>
      </c>
      <c r="O649" s="1">
        <v>2</v>
      </c>
      <c r="P649" s="2">
        <v>1</v>
      </c>
      <c r="Q649" s="67">
        <v>11</v>
      </c>
    </row>
    <row r="650" spans="1:17" x14ac:dyDescent="0.25">
      <c r="A650" s="10">
        <v>50</v>
      </c>
      <c r="B650" s="10">
        <v>6</v>
      </c>
      <c r="C650" s="10">
        <v>0</v>
      </c>
      <c r="D650" s="10">
        <v>1</v>
      </c>
      <c r="E650" s="10">
        <v>1</v>
      </c>
      <c r="F650" s="10">
        <v>1</v>
      </c>
      <c r="L650" s="1">
        <v>160</v>
      </c>
      <c r="M650" s="1">
        <v>17</v>
      </c>
      <c r="N650" s="1">
        <v>0</v>
      </c>
      <c r="O650" s="1">
        <v>2</v>
      </c>
      <c r="P650" s="2">
        <v>1</v>
      </c>
      <c r="Q650" s="68">
        <v>14</v>
      </c>
    </row>
    <row r="651" spans="1:17" x14ac:dyDescent="0.25">
      <c r="A651" s="10">
        <v>51</v>
      </c>
      <c r="B651" s="10">
        <v>6</v>
      </c>
      <c r="C651" s="10">
        <v>0</v>
      </c>
      <c r="D651" s="10">
        <v>1</v>
      </c>
      <c r="E651" s="10">
        <v>1</v>
      </c>
      <c r="F651" s="10">
        <v>1</v>
      </c>
      <c r="L651" s="1">
        <v>161</v>
      </c>
      <c r="M651" s="1">
        <v>17</v>
      </c>
      <c r="N651" s="1">
        <v>0</v>
      </c>
      <c r="O651" s="1">
        <v>2</v>
      </c>
      <c r="P651" s="2">
        <v>1</v>
      </c>
      <c r="Q651" s="67">
        <v>8</v>
      </c>
    </row>
    <row r="652" spans="1:17" x14ac:dyDescent="0.25">
      <c r="A652" s="10">
        <v>52</v>
      </c>
      <c r="B652" s="10">
        <v>6</v>
      </c>
      <c r="C652" s="10">
        <v>0</v>
      </c>
      <c r="D652" s="10">
        <v>1</v>
      </c>
      <c r="E652" s="10">
        <v>1</v>
      </c>
      <c r="F652" s="10">
        <v>1</v>
      </c>
      <c r="L652" s="1">
        <v>162</v>
      </c>
      <c r="M652" s="1">
        <v>17</v>
      </c>
      <c r="N652" s="1">
        <v>0</v>
      </c>
      <c r="O652" s="1">
        <v>2</v>
      </c>
      <c r="P652" s="2">
        <v>1</v>
      </c>
      <c r="Q652" s="68">
        <v>8</v>
      </c>
    </row>
    <row r="653" spans="1:17" x14ac:dyDescent="0.25">
      <c r="A653" s="10">
        <v>53</v>
      </c>
      <c r="B653" s="10">
        <v>6</v>
      </c>
      <c r="C653" s="10">
        <v>0</v>
      </c>
      <c r="D653" s="10">
        <v>1</v>
      </c>
      <c r="E653" s="10">
        <v>1</v>
      </c>
      <c r="F653" s="10">
        <v>1</v>
      </c>
      <c r="L653" s="1">
        <v>163</v>
      </c>
      <c r="M653" s="1">
        <v>18</v>
      </c>
      <c r="N653" s="1">
        <v>0</v>
      </c>
      <c r="O653" s="1">
        <v>2</v>
      </c>
      <c r="P653" s="2">
        <v>1</v>
      </c>
      <c r="Q653" s="67">
        <v>5</v>
      </c>
    </row>
    <row r="654" spans="1:17" x14ac:dyDescent="0.25">
      <c r="A654" s="10">
        <v>54</v>
      </c>
      <c r="B654" s="10">
        <v>6</v>
      </c>
      <c r="C654" s="10">
        <v>0</v>
      </c>
      <c r="D654" s="10">
        <v>1</v>
      </c>
      <c r="E654" s="10">
        <v>1</v>
      </c>
      <c r="F654" s="10">
        <v>1</v>
      </c>
      <c r="L654" s="1">
        <v>164</v>
      </c>
      <c r="M654" s="1">
        <v>18</v>
      </c>
      <c r="N654" s="1">
        <v>0</v>
      </c>
      <c r="O654" s="1">
        <v>2</v>
      </c>
      <c r="P654" s="2">
        <v>1</v>
      </c>
      <c r="Q654" s="68">
        <v>5</v>
      </c>
    </row>
    <row r="655" spans="1:17" x14ac:dyDescent="0.25">
      <c r="A655" s="10">
        <v>55</v>
      </c>
      <c r="B655" s="10">
        <v>6</v>
      </c>
      <c r="C655" s="10">
        <v>0</v>
      </c>
      <c r="D655" s="10">
        <v>1</v>
      </c>
      <c r="E655" s="10">
        <v>1</v>
      </c>
      <c r="F655" s="10">
        <v>1</v>
      </c>
      <c r="L655" s="1">
        <v>165</v>
      </c>
      <c r="M655" s="1">
        <v>18</v>
      </c>
      <c r="N655" s="1">
        <v>0</v>
      </c>
      <c r="O655" s="1">
        <v>2</v>
      </c>
      <c r="P655" s="2">
        <v>1</v>
      </c>
      <c r="Q655" s="67">
        <v>6</v>
      </c>
    </row>
    <row r="656" spans="1:17" x14ac:dyDescent="0.25">
      <c r="A656" s="10">
        <v>56</v>
      </c>
      <c r="B656" s="10">
        <v>6</v>
      </c>
      <c r="C656" s="10">
        <v>0</v>
      </c>
      <c r="D656" s="10">
        <v>1</v>
      </c>
      <c r="E656" s="10">
        <v>1</v>
      </c>
      <c r="F656" s="10">
        <v>1</v>
      </c>
      <c r="L656" s="1">
        <v>166</v>
      </c>
      <c r="M656" s="1">
        <v>18</v>
      </c>
      <c r="N656" s="1">
        <v>0</v>
      </c>
      <c r="O656" s="1">
        <v>2</v>
      </c>
      <c r="P656" s="2">
        <v>1</v>
      </c>
      <c r="Q656" s="68">
        <v>6</v>
      </c>
    </row>
    <row r="657" spans="1:17" x14ac:dyDescent="0.25">
      <c r="A657" s="10">
        <v>57</v>
      </c>
      <c r="B657" s="10">
        <v>7</v>
      </c>
      <c r="C657" s="10">
        <v>0</v>
      </c>
      <c r="D657" s="10">
        <v>1</v>
      </c>
      <c r="E657" s="10">
        <v>1</v>
      </c>
      <c r="F657" s="10">
        <v>1</v>
      </c>
      <c r="L657" s="1">
        <v>167</v>
      </c>
      <c r="M657" s="1">
        <v>18</v>
      </c>
      <c r="N657" s="1">
        <v>0</v>
      </c>
      <c r="O657" s="1">
        <v>2</v>
      </c>
      <c r="P657" s="2">
        <v>1</v>
      </c>
      <c r="Q657" s="67">
        <v>11</v>
      </c>
    </row>
    <row r="658" spans="1:17" x14ac:dyDescent="0.25">
      <c r="A658" s="10">
        <v>58</v>
      </c>
      <c r="B658" s="10">
        <v>7</v>
      </c>
      <c r="C658" s="10">
        <v>0</v>
      </c>
      <c r="D658" s="10">
        <v>1</v>
      </c>
      <c r="E658" s="10">
        <v>1</v>
      </c>
      <c r="F658" s="10">
        <v>1</v>
      </c>
      <c r="L658" s="1">
        <v>168</v>
      </c>
      <c r="M658" s="1">
        <v>18</v>
      </c>
      <c r="N658" s="1">
        <v>0</v>
      </c>
      <c r="O658" s="1">
        <v>2</v>
      </c>
      <c r="P658" s="2">
        <v>1</v>
      </c>
      <c r="Q658" s="68">
        <v>3</v>
      </c>
    </row>
    <row r="659" spans="1:17" x14ac:dyDescent="0.25">
      <c r="A659" s="10">
        <v>59</v>
      </c>
      <c r="B659" s="10">
        <v>7</v>
      </c>
      <c r="C659" s="10">
        <v>0</v>
      </c>
      <c r="D659" s="10">
        <v>1</v>
      </c>
      <c r="E659" s="10">
        <v>1</v>
      </c>
      <c r="F659" s="10">
        <v>1</v>
      </c>
      <c r="L659" s="1">
        <v>169</v>
      </c>
      <c r="M659" s="1">
        <v>18</v>
      </c>
      <c r="N659" s="1">
        <v>0</v>
      </c>
      <c r="O659" s="1">
        <v>2</v>
      </c>
      <c r="P659" s="2">
        <v>1</v>
      </c>
      <c r="Q659" s="67">
        <v>5</v>
      </c>
    </row>
    <row r="660" spans="1:17" x14ac:dyDescent="0.25">
      <c r="A660" s="10">
        <v>60</v>
      </c>
      <c r="B660" s="10">
        <v>7</v>
      </c>
      <c r="C660" s="10">
        <v>0</v>
      </c>
      <c r="D660" s="10">
        <v>1</v>
      </c>
      <c r="E660" s="10">
        <v>1</v>
      </c>
      <c r="F660" s="10">
        <v>1</v>
      </c>
      <c r="L660" s="1">
        <v>170</v>
      </c>
      <c r="M660" s="1">
        <v>18</v>
      </c>
      <c r="N660" s="1">
        <v>0</v>
      </c>
      <c r="O660" s="1">
        <v>2</v>
      </c>
      <c r="P660" s="2">
        <v>1</v>
      </c>
      <c r="Q660" s="68">
        <v>8</v>
      </c>
    </row>
    <row r="661" spans="1:17" x14ac:dyDescent="0.25">
      <c r="A661" s="10">
        <v>61</v>
      </c>
      <c r="B661" s="10">
        <v>7</v>
      </c>
      <c r="C661" s="10">
        <v>0</v>
      </c>
      <c r="D661" s="10">
        <v>1</v>
      </c>
      <c r="E661" s="10">
        <v>1</v>
      </c>
      <c r="F661" s="10">
        <v>1</v>
      </c>
      <c r="L661" s="1">
        <v>171</v>
      </c>
      <c r="M661" s="1">
        <v>18</v>
      </c>
      <c r="N661" s="1">
        <v>0</v>
      </c>
      <c r="O661" s="1">
        <v>2</v>
      </c>
      <c r="P661" s="2">
        <v>1</v>
      </c>
      <c r="Q661" s="67">
        <v>4</v>
      </c>
    </row>
    <row r="662" spans="1:17" x14ac:dyDescent="0.25">
      <c r="A662" s="10">
        <v>62</v>
      </c>
      <c r="B662" s="10">
        <v>7</v>
      </c>
      <c r="C662" s="10">
        <v>0</v>
      </c>
      <c r="D662" s="10">
        <v>1</v>
      </c>
      <c r="E662" s="10">
        <v>1</v>
      </c>
      <c r="F662" s="10">
        <v>1</v>
      </c>
      <c r="L662" s="1">
        <v>172</v>
      </c>
      <c r="M662" s="1">
        <v>18</v>
      </c>
      <c r="N662" s="1">
        <v>0</v>
      </c>
      <c r="O662" s="1">
        <v>2</v>
      </c>
      <c r="P662" s="2">
        <v>1</v>
      </c>
      <c r="Q662" s="68">
        <v>17</v>
      </c>
    </row>
    <row r="663" spans="1:17" x14ac:dyDescent="0.25">
      <c r="A663" s="10">
        <v>63</v>
      </c>
      <c r="B663" s="10">
        <v>7</v>
      </c>
      <c r="C663" s="10">
        <v>0</v>
      </c>
      <c r="D663" s="10">
        <v>1</v>
      </c>
      <c r="E663" s="10">
        <v>1</v>
      </c>
      <c r="F663" s="10">
        <v>1</v>
      </c>
      <c r="L663" s="1">
        <v>173</v>
      </c>
      <c r="M663" s="1">
        <v>19</v>
      </c>
      <c r="N663" s="1">
        <v>0</v>
      </c>
      <c r="O663" s="1">
        <v>2</v>
      </c>
      <c r="P663" s="2">
        <v>1</v>
      </c>
      <c r="Q663" s="67">
        <v>3</v>
      </c>
    </row>
    <row r="664" spans="1:17" x14ac:dyDescent="0.25">
      <c r="A664" s="10">
        <v>64</v>
      </c>
      <c r="B664" s="10">
        <v>7</v>
      </c>
      <c r="C664" s="10">
        <v>0</v>
      </c>
      <c r="D664" s="10">
        <v>1</v>
      </c>
      <c r="E664" s="10">
        <v>1</v>
      </c>
      <c r="F664" s="10">
        <v>1</v>
      </c>
      <c r="L664" s="1">
        <v>174</v>
      </c>
      <c r="M664" s="1">
        <v>19</v>
      </c>
      <c r="N664" s="1">
        <v>0</v>
      </c>
      <c r="O664" s="1">
        <v>2</v>
      </c>
      <c r="P664" s="2">
        <v>1</v>
      </c>
      <c r="Q664" s="68">
        <v>5</v>
      </c>
    </row>
    <row r="665" spans="1:17" x14ac:dyDescent="0.25">
      <c r="A665" s="10">
        <v>65</v>
      </c>
      <c r="B665" s="10">
        <v>7</v>
      </c>
      <c r="C665" s="10">
        <v>0</v>
      </c>
      <c r="D665" s="10">
        <v>1</v>
      </c>
      <c r="E665" s="10">
        <v>1</v>
      </c>
      <c r="F665" s="10">
        <v>1</v>
      </c>
      <c r="L665" s="1">
        <v>175</v>
      </c>
      <c r="M665" s="1">
        <v>19</v>
      </c>
      <c r="N665" s="1">
        <v>0</v>
      </c>
      <c r="O665" s="1">
        <v>2</v>
      </c>
      <c r="P665" s="2">
        <v>1</v>
      </c>
      <c r="Q665" s="67">
        <v>7</v>
      </c>
    </row>
    <row r="666" spans="1:17" x14ac:dyDescent="0.25">
      <c r="A666" s="10">
        <v>66</v>
      </c>
      <c r="B666" s="10">
        <v>7</v>
      </c>
      <c r="C666" s="10">
        <v>0</v>
      </c>
      <c r="D666" s="10">
        <v>1</v>
      </c>
      <c r="E666" s="10">
        <v>1</v>
      </c>
      <c r="F666" s="10">
        <v>1</v>
      </c>
      <c r="L666" s="1">
        <v>176</v>
      </c>
      <c r="M666" s="1">
        <v>19</v>
      </c>
      <c r="N666" s="1">
        <v>0</v>
      </c>
      <c r="O666" s="1">
        <v>2</v>
      </c>
      <c r="P666" s="2">
        <v>1</v>
      </c>
      <c r="Q666" s="68">
        <v>8</v>
      </c>
    </row>
    <row r="667" spans="1:17" x14ac:dyDescent="0.25">
      <c r="A667" s="10">
        <v>67</v>
      </c>
      <c r="B667" s="10">
        <v>8</v>
      </c>
      <c r="C667" s="10">
        <v>0</v>
      </c>
      <c r="D667" s="10">
        <v>1</v>
      </c>
      <c r="E667" s="10">
        <v>1</v>
      </c>
      <c r="F667" s="10">
        <v>1</v>
      </c>
      <c r="L667" s="1">
        <v>177</v>
      </c>
      <c r="M667" s="1">
        <v>19</v>
      </c>
      <c r="N667" s="1">
        <v>0</v>
      </c>
      <c r="O667" s="1">
        <v>2</v>
      </c>
      <c r="P667" s="2">
        <v>1</v>
      </c>
      <c r="Q667" s="67">
        <v>3</v>
      </c>
    </row>
    <row r="668" spans="1:17" x14ac:dyDescent="0.25">
      <c r="A668" s="10">
        <v>68</v>
      </c>
      <c r="B668" s="10">
        <v>8</v>
      </c>
      <c r="C668" s="10">
        <v>0</v>
      </c>
      <c r="D668" s="10">
        <v>1</v>
      </c>
      <c r="E668" s="10">
        <v>1</v>
      </c>
      <c r="F668" s="10">
        <v>1</v>
      </c>
      <c r="L668" s="1">
        <v>178</v>
      </c>
      <c r="M668" s="1">
        <v>19</v>
      </c>
      <c r="N668" s="1">
        <v>0</v>
      </c>
      <c r="O668" s="1">
        <v>2</v>
      </c>
      <c r="P668" s="2">
        <v>1</v>
      </c>
      <c r="Q668" s="68">
        <v>8</v>
      </c>
    </row>
    <row r="669" spans="1:17" x14ac:dyDescent="0.25">
      <c r="A669" s="10">
        <v>69</v>
      </c>
      <c r="B669" s="10">
        <v>8</v>
      </c>
      <c r="C669" s="10">
        <v>0</v>
      </c>
      <c r="D669" s="10">
        <v>1</v>
      </c>
      <c r="E669" s="10">
        <v>1</v>
      </c>
      <c r="F669" s="10">
        <v>1</v>
      </c>
      <c r="L669" s="1">
        <v>179</v>
      </c>
      <c r="M669" s="1">
        <v>19</v>
      </c>
      <c r="N669" s="1">
        <v>0</v>
      </c>
      <c r="O669" s="1">
        <v>2</v>
      </c>
      <c r="P669" s="2">
        <v>1</v>
      </c>
      <c r="Q669" s="67">
        <v>4</v>
      </c>
    </row>
    <row r="670" spans="1:17" x14ac:dyDescent="0.25">
      <c r="A670" s="10">
        <v>70</v>
      </c>
      <c r="B670" s="10">
        <v>8</v>
      </c>
      <c r="C670" s="10">
        <v>0</v>
      </c>
      <c r="D670" s="10">
        <v>1</v>
      </c>
      <c r="E670" s="10">
        <v>1</v>
      </c>
      <c r="F670" s="10">
        <v>1</v>
      </c>
      <c r="L670" s="1">
        <v>180</v>
      </c>
      <c r="M670" s="1">
        <v>19</v>
      </c>
      <c r="N670" s="1">
        <v>0</v>
      </c>
      <c r="O670" s="1">
        <v>2</v>
      </c>
      <c r="P670" s="2">
        <v>1</v>
      </c>
      <c r="Q670" s="68">
        <v>10</v>
      </c>
    </row>
    <row r="671" spans="1:17" x14ac:dyDescent="0.25">
      <c r="A671" s="10">
        <v>71</v>
      </c>
      <c r="B671" s="10">
        <v>8</v>
      </c>
      <c r="C671" s="10">
        <v>0</v>
      </c>
      <c r="D671" s="10">
        <v>1</v>
      </c>
      <c r="E671" s="10">
        <v>1</v>
      </c>
      <c r="F671" s="10">
        <v>1</v>
      </c>
      <c r="L671" s="1">
        <v>181</v>
      </c>
      <c r="M671" s="1">
        <v>19</v>
      </c>
      <c r="N671" s="1">
        <v>0</v>
      </c>
      <c r="O671" s="1">
        <v>2</v>
      </c>
      <c r="P671" s="2">
        <v>1</v>
      </c>
      <c r="Q671" s="67">
        <v>15</v>
      </c>
    </row>
    <row r="672" spans="1:17" x14ac:dyDescent="0.25">
      <c r="A672" s="10">
        <v>72</v>
      </c>
      <c r="B672" s="10">
        <v>8</v>
      </c>
      <c r="C672" s="10">
        <v>0</v>
      </c>
      <c r="D672" s="10">
        <v>1</v>
      </c>
      <c r="E672" s="10">
        <v>1</v>
      </c>
      <c r="F672" s="10">
        <v>1</v>
      </c>
      <c r="L672" s="1">
        <v>182</v>
      </c>
      <c r="M672" s="1">
        <v>19</v>
      </c>
      <c r="N672" s="1">
        <v>0</v>
      </c>
      <c r="O672" s="1">
        <v>2</v>
      </c>
      <c r="P672" s="2">
        <v>1</v>
      </c>
      <c r="Q672" s="68">
        <v>19</v>
      </c>
    </row>
    <row r="673" spans="1:17" x14ac:dyDescent="0.25">
      <c r="A673" s="10">
        <v>73</v>
      </c>
      <c r="B673" s="10">
        <v>8</v>
      </c>
      <c r="C673" s="10">
        <v>0</v>
      </c>
      <c r="D673" s="10">
        <v>1</v>
      </c>
      <c r="E673" s="10">
        <v>1</v>
      </c>
      <c r="F673" s="10">
        <v>1</v>
      </c>
      <c r="L673" s="1">
        <v>183</v>
      </c>
      <c r="M673" s="1">
        <v>20</v>
      </c>
      <c r="N673" s="1">
        <v>0</v>
      </c>
      <c r="O673" s="1">
        <v>2</v>
      </c>
      <c r="P673" s="2">
        <v>1</v>
      </c>
      <c r="Q673" s="67">
        <v>13</v>
      </c>
    </row>
    <row r="674" spans="1:17" x14ac:dyDescent="0.25">
      <c r="A674" s="10">
        <v>74</v>
      </c>
      <c r="B674" s="10">
        <v>8</v>
      </c>
      <c r="C674" s="10">
        <v>0</v>
      </c>
      <c r="D674" s="10">
        <v>1</v>
      </c>
      <c r="E674" s="10">
        <v>1</v>
      </c>
      <c r="F674" s="10">
        <v>1</v>
      </c>
      <c r="L674" s="1">
        <v>184</v>
      </c>
      <c r="M674" s="1">
        <v>20</v>
      </c>
      <c r="N674" s="1">
        <v>0</v>
      </c>
      <c r="O674" s="1">
        <v>2</v>
      </c>
      <c r="P674" s="2">
        <v>1</v>
      </c>
      <c r="Q674" s="68">
        <v>11</v>
      </c>
    </row>
    <row r="675" spans="1:17" x14ac:dyDescent="0.25">
      <c r="A675" s="10">
        <v>75</v>
      </c>
      <c r="B675" s="10">
        <v>8</v>
      </c>
      <c r="C675" s="10">
        <v>0</v>
      </c>
      <c r="D675" s="10">
        <v>1</v>
      </c>
      <c r="E675" s="10">
        <v>1</v>
      </c>
      <c r="F675" s="10">
        <v>1</v>
      </c>
      <c r="L675" s="1">
        <v>185</v>
      </c>
      <c r="M675" s="1">
        <v>20</v>
      </c>
      <c r="N675" s="1">
        <v>0</v>
      </c>
      <c r="O675" s="1">
        <v>2</v>
      </c>
      <c r="P675" s="2">
        <v>1</v>
      </c>
      <c r="Q675" s="67">
        <v>15</v>
      </c>
    </row>
    <row r="676" spans="1:17" x14ac:dyDescent="0.25">
      <c r="A676" s="10">
        <v>76</v>
      </c>
      <c r="B676" s="10">
        <v>8</v>
      </c>
      <c r="C676" s="10">
        <v>0</v>
      </c>
      <c r="D676" s="10">
        <v>1</v>
      </c>
      <c r="E676" s="10">
        <v>1</v>
      </c>
      <c r="F676" s="10">
        <v>1</v>
      </c>
      <c r="L676" s="1">
        <v>186</v>
      </c>
      <c r="M676" s="1">
        <v>20</v>
      </c>
      <c r="N676" s="1">
        <v>0</v>
      </c>
      <c r="O676" s="1">
        <v>2</v>
      </c>
      <c r="P676" s="2">
        <v>1</v>
      </c>
      <c r="Q676" s="68">
        <v>3</v>
      </c>
    </row>
    <row r="677" spans="1:17" x14ac:dyDescent="0.25">
      <c r="A677" s="10">
        <v>77</v>
      </c>
      <c r="B677" s="10">
        <v>9</v>
      </c>
      <c r="C677" s="10">
        <v>0</v>
      </c>
      <c r="D677" s="10">
        <v>1</v>
      </c>
      <c r="E677" s="10">
        <v>1</v>
      </c>
      <c r="F677" s="10">
        <v>1</v>
      </c>
      <c r="L677" s="1">
        <v>187</v>
      </c>
      <c r="M677" s="1">
        <v>20</v>
      </c>
      <c r="N677" s="1">
        <v>0</v>
      </c>
      <c r="O677" s="1">
        <v>2</v>
      </c>
      <c r="P677" s="2">
        <v>1</v>
      </c>
      <c r="Q677" s="67">
        <v>6</v>
      </c>
    </row>
    <row r="678" spans="1:17" x14ac:dyDescent="0.25">
      <c r="A678" s="10">
        <v>78</v>
      </c>
      <c r="B678" s="10">
        <v>9</v>
      </c>
      <c r="C678" s="10">
        <v>0</v>
      </c>
      <c r="D678" s="10">
        <v>1</v>
      </c>
      <c r="E678" s="10">
        <v>1</v>
      </c>
      <c r="F678" s="10">
        <v>1</v>
      </c>
      <c r="L678" s="1">
        <v>188</v>
      </c>
      <c r="M678" s="1">
        <v>20</v>
      </c>
      <c r="N678" s="1">
        <v>0</v>
      </c>
      <c r="O678" s="1">
        <v>2</v>
      </c>
      <c r="P678" s="2">
        <v>1</v>
      </c>
      <c r="Q678" s="68">
        <v>4</v>
      </c>
    </row>
    <row r="679" spans="1:17" x14ac:dyDescent="0.25">
      <c r="A679" s="10">
        <v>79</v>
      </c>
      <c r="B679" s="10">
        <v>9</v>
      </c>
      <c r="C679" s="10">
        <v>0</v>
      </c>
      <c r="D679" s="10">
        <v>1</v>
      </c>
      <c r="E679" s="10">
        <v>1</v>
      </c>
      <c r="F679" s="10">
        <v>1</v>
      </c>
      <c r="L679" s="1">
        <v>189</v>
      </c>
      <c r="M679" s="1">
        <v>20</v>
      </c>
      <c r="N679" s="1">
        <v>0</v>
      </c>
      <c r="O679" s="1">
        <v>2</v>
      </c>
      <c r="P679" s="2">
        <v>1</v>
      </c>
      <c r="Q679" s="67">
        <v>9</v>
      </c>
    </row>
    <row r="680" spans="1:17" x14ac:dyDescent="0.25">
      <c r="A680" s="10">
        <v>80</v>
      </c>
      <c r="B680" s="10">
        <v>9</v>
      </c>
      <c r="C680" s="10">
        <v>0</v>
      </c>
      <c r="D680" s="10">
        <v>1</v>
      </c>
      <c r="E680" s="10">
        <v>1</v>
      </c>
      <c r="F680" s="10">
        <v>1</v>
      </c>
      <c r="L680" s="1">
        <v>190</v>
      </c>
      <c r="M680" s="1">
        <v>20</v>
      </c>
      <c r="N680" s="1">
        <v>0</v>
      </c>
      <c r="O680" s="1">
        <v>2</v>
      </c>
      <c r="P680" s="2">
        <v>1</v>
      </c>
      <c r="Q680" s="68">
        <v>10</v>
      </c>
    </row>
    <row r="681" spans="1:17" x14ac:dyDescent="0.25">
      <c r="A681" s="10">
        <v>81</v>
      </c>
      <c r="B681" s="10">
        <v>9</v>
      </c>
      <c r="C681" s="10">
        <v>0</v>
      </c>
      <c r="D681" s="10">
        <v>1</v>
      </c>
      <c r="E681" s="10">
        <v>1</v>
      </c>
      <c r="F681" s="10">
        <v>1</v>
      </c>
      <c r="L681" s="1">
        <v>191</v>
      </c>
      <c r="M681" s="1">
        <v>21</v>
      </c>
      <c r="N681" s="1">
        <v>0</v>
      </c>
      <c r="O681" s="1">
        <v>2</v>
      </c>
      <c r="P681" s="2">
        <v>1</v>
      </c>
      <c r="Q681" s="67">
        <v>9</v>
      </c>
    </row>
    <row r="682" spans="1:17" x14ac:dyDescent="0.25">
      <c r="A682" s="10">
        <v>82</v>
      </c>
      <c r="B682" s="10">
        <v>9</v>
      </c>
      <c r="C682" s="10">
        <v>0</v>
      </c>
      <c r="D682" s="10">
        <v>1</v>
      </c>
      <c r="E682" s="10">
        <v>1</v>
      </c>
      <c r="F682" s="10">
        <v>1</v>
      </c>
      <c r="L682" s="1">
        <v>192</v>
      </c>
      <c r="M682" s="1">
        <v>21</v>
      </c>
      <c r="N682" s="1">
        <v>0</v>
      </c>
      <c r="O682" s="1">
        <v>2</v>
      </c>
      <c r="P682" s="2">
        <v>1</v>
      </c>
      <c r="Q682" s="68">
        <v>11</v>
      </c>
    </row>
    <row r="683" spans="1:17" x14ac:dyDescent="0.25">
      <c r="A683" s="10">
        <v>83</v>
      </c>
      <c r="B683" s="10">
        <v>9</v>
      </c>
      <c r="C683" s="10">
        <v>0</v>
      </c>
      <c r="D683" s="10">
        <v>1</v>
      </c>
      <c r="E683" s="10">
        <v>1</v>
      </c>
      <c r="F683" s="10">
        <v>1</v>
      </c>
      <c r="L683" s="1">
        <v>193</v>
      </c>
      <c r="M683" s="1">
        <v>21</v>
      </c>
      <c r="N683" s="1">
        <v>0</v>
      </c>
      <c r="O683" s="1">
        <v>2</v>
      </c>
      <c r="P683" s="2">
        <v>1</v>
      </c>
      <c r="Q683" s="67">
        <v>16</v>
      </c>
    </row>
    <row r="684" spans="1:17" x14ac:dyDescent="0.25">
      <c r="A684" s="10">
        <v>84</v>
      </c>
      <c r="B684" s="10">
        <v>9</v>
      </c>
      <c r="C684" s="10">
        <v>0</v>
      </c>
      <c r="D684" s="10">
        <v>1</v>
      </c>
      <c r="E684" s="10">
        <v>1</v>
      </c>
      <c r="F684" s="10">
        <v>1</v>
      </c>
      <c r="L684" s="1">
        <v>194</v>
      </c>
      <c r="M684" s="1">
        <v>21</v>
      </c>
      <c r="N684" s="1">
        <v>0</v>
      </c>
      <c r="O684" s="1">
        <v>2</v>
      </c>
      <c r="P684" s="2">
        <v>1</v>
      </c>
      <c r="Q684" s="68">
        <v>20</v>
      </c>
    </row>
    <row r="685" spans="1:17" x14ac:dyDescent="0.25">
      <c r="A685" s="10">
        <v>85</v>
      </c>
      <c r="B685" s="10">
        <v>9</v>
      </c>
      <c r="C685" s="10">
        <v>0</v>
      </c>
      <c r="D685" s="10">
        <v>1</v>
      </c>
      <c r="E685" s="10">
        <v>1</v>
      </c>
      <c r="F685" s="10">
        <v>1</v>
      </c>
      <c r="L685" s="1">
        <v>195</v>
      </c>
      <c r="M685" s="1">
        <v>21</v>
      </c>
      <c r="N685" s="1">
        <v>0</v>
      </c>
      <c r="O685" s="1">
        <v>2</v>
      </c>
      <c r="P685" s="2">
        <v>1</v>
      </c>
      <c r="Q685" s="67">
        <v>4</v>
      </c>
    </row>
    <row r="686" spans="1:17" x14ac:dyDescent="0.25">
      <c r="A686" s="10">
        <v>86</v>
      </c>
      <c r="B686" s="10">
        <v>9</v>
      </c>
      <c r="C686" s="10">
        <v>0</v>
      </c>
      <c r="D686" s="10">
        <v>1</v>
      </c>
      <c r="E686" s="10">
        <v>1</v>
      </c>
      <c r="F686" s="10">
        <v>1</v>
      </c>
      <c r="L686" s="1">
        <v>196</v>
      </c>
      <c r="M686" s="1">
        <v>21</v>
      </c>
      <c r="N686" s="1">
        <v>0</v>
      </c>
      <c r="O686" s="1">
        <v>2</v>
      </c>
      <c r="P686" s="2">
        <v>1</v>
      </c>
      <c r="Q686" s="68">
        <v>4</v>
      </c>
    </row>
    <row r="687" spans="1:17" x14ac:dyDescent="0.25">
      <c r="A687" s="10">
        <v>87</v>
      </c>
      <c r="B687" s="10">
        <v>10</v>
      </c>
      <c r="C687" s="10">
        <v>0</v>
      </c>
      <c r="D687" s="10">
        <v>1</v>
      </c>
      <c r="E687" s="10">
        <v>1</v>
      </c>
      <c r="F687" s="10">
        <v>1</v>
      </c>
      <c r="L687" s="1">
        <v>197</v>
      </c>
      <c r="M687" s="1">
        <v>21</v>
      </c>
      <c r="N687" s="1">
        <v>0</v>
      </c>
      <c r="O687" s="1">
        <v>2</v>
      </c>
      <c r="P687" s="2">
        <v>1</v>
      </c>
      <c r="Q687" s="67">
        <v>9</v>
      </c>
    </row>
    <row r="688" spans="1:17" x14ac:dyDescent="0.25">
      <c r="A688" s="10">
        <v>88</v>
      </c>
      <c r="B688" s="10">
        <v>10</v>
      </c>
      <c r="C688" s="10">
        <v>0</v>
      </c>
      <c r="D688" s="10">
        <v>1</v>
      </c>
      <c r="E688" s="10">
        <v>1</v>
      </c>
      <c r="F688" s="10">
        <v>1</v>
      </c>
      <c r="L688" s="1">
        <v>198</v>
      </c>
      <c r="M688" s="1">
        <v>21</v>
      </c>
      <c r="N688" s="1">
        <v>0</v>
      </c>
      <c r="O688" s="1">
        <v>2</v>
      </c>
      <c r="P688" s="2">
        <v>1</v>
      </c>
      <c r="Q688" s="68">
        <v>8</v>
      </c>
    </row>
    <row r="689" spans="1:17" x14ac:dyDescent="0.25">
      <c r="A689" s="10">
        <v>89</v>
      </c>
      <c r="B689" s="10">
        <v>10</v>
      </c>
      <c r="C689" s="10">
        <v>0</v>
      </c>
      <c r="D689" s="10">
        <v>1</v>
      </c>
      <c r="E689" s="10">
        <v>1</v>
      </c>
      <c r="F689" s="10">
        <v>1</v>
      </c>
      <c r="L689" s="1">
        <v>199</v>
      </c>
      <c r="M689" s="1">
        <v>22</v>
      </c>
      <c r="N689" s="1">
        <v>0</v>
      </c>
      <c r="O689" s="1">
        <v>2</v>
      </c>
      <c r="P689" s="2">
        <v>1</v>
      </c>
      <c r="Q689" s="67">
        <v>10</v>
      </c>
    </row>
    <row r="690" spans="1:17" x14ac:dyDescent="0.25">
      <c r="A690" s="10">
        <v>90</v>
      </c>
      <c r="B690" s="10">
        <v>10</v>
      </c>
      <c r="C690" s="10">
        <v>0</v>
      </c>
      <c r="D690" s="10">
        <v>1</v>
      </c>
      <c r="E690" s="10">
        <v>1</v>
      </c>
      <c r="F690" s="10">
        <v>1</v>
      </c>
      <c r="L690" s="1">
        <v>200</v>
      </c>
      <c r="M690" s="1">
        <v>22</v>
      </c>
      <c r="N690" s="1">
        <v>0</v>
      </c>
      <c r="O690" s="1">
        <v>2</v>
      </c>
      <c r="P690" s="2">
        <v>1</v>
      </c>
      <c r="Q690" s="68">
        <v>11</v>
      </c>
    </row>
    <row r="691" spans="1:17" x14ac:dyDescent="0.25">
      <c r="A691" s="10">
        <v>91</v>
      </c>
      <c r="B691" s="10">
        <v>10</v>
      </c>
      <c r="C691" s="10">
        <v>0</v>
      </c>
      <c r="D691" s="10">
        <v>1</v>
      </c>
      <c r="E691" s="10">
        <v>1</v>
      </c>
      <c r="F691" s="10">
        <v>1</v>
      </c>
      <c r="L691" s="1">
        <v>201</v>
      </c>
      <c r="M691" s="1">
        <v>22</v>
      </c>
      <c r="N691" s="1">
        <v>0</v>
      </c>
      <c r="O691" s="1">
        <v>2</v>
      </c>
      <c r="P691" s="2">
        <v>1</v>
      </c>
      <c r="Q691" s="67">
        <v>11</v>
      </c>
    </row>
    <row r="692" spans="1:17" x14ac:dyDescent="0.25">
      <c r="A692" s="10">
        <v>92</v>
      </c>
      <c r="B692" s="10">
        <v>10</v>
      </c>
      <c r="C692" s="10">
        <v>0</v>
      </c>
      <c r="D692" s="10">
        <v>1</v>
      </c>
      <c r="E692" s="10">
        <v>1</v>
      </c>
      <c r="F692" s="10">
        <v>1</v>
      </c>
      <c r="L692" s="1">
        <v>202</v>
      </c>
      <c r="M692" s="1">
        <v>22</v>
      </c>
      <c r="N692" s="1">
        <v>0</v>
      </c>
      <c r="O692" s="1">
        <v>2</v>
      </c>
      <c r="P692" s="2">
        <v>1</v>
      </c>
      <c r="Q692" s="68">
        <v>11</v>
      </c>
    </row>
    <row r="693" spans="1:17" x14ac:dyDescent="0.25">
      <c r="A693" s="10">
        <v>93</v>
      </c>
      <c r="B693" s="10">
        <v>10</v>
      </c>
      <c r="C693" s="10">
        <v>0</v>
      </c>
      <c r="D693" s="10">
        <v>1</v>
      </c>
      <c r="E693" s="10">
        <v>1</v>
      </c>
      <c r="F693" s="10">
        <v>1</v>
      </c>
      <c r="L693" s="1">
        <v>203</v>
      </c>
      <c r="M693" s="1">
        <v>22</v>
      </c>
      <c r="N693" s="1">
        <v>0</v>
      </c>
      <c r="O693" s="1">
        <v>2</v>
      </c>
      <c r="P693" s="2">
        <v>1</v>
      </c>
      <c r="Q693" s="67">
        <v>3</v>
      </c>
    </row>
    <row r="694" spans="1:17" x14ac:dyDescent="0.25">
      <c r="A694" s="10">
        <v>94</v>
      </c>
      <c r="B694" s="10">
        <v>10</v>
      </c>
      <c r="C694" s="10">
        <v>0</v>
      </c>
      <c r="D694" s="10">
        <v>1</v>
      </c>
      <c r="E694" s="10">
        <v>1</v>
      </c>
      <c r="F694" s="10">
        <v>1</v>
      </c>
      <c r="L694" s="1">
        <v>204</v>
      </c>
      <c r="M694" s="1">
        <v>22</v>
      </c>
      <c r="N694" s="1">
        <v>0</v>
      </c>
      <c r="O694" s="1">
        <v>2</v>
      </c>
      <c r="P694" s="2">
        <v>1</v>
      </c>
      <c r="Q694" s="68">
        <v>9</v>
      </c>
    </row>
    <row r="695" spans="1:17" x14ac:dyDescent="0.25">
      <c r="A695" s="10">
        <v>95</v>
      </c>
      <c r="B695" s="10">
        <v>10</v>
      </c>
      <c r="C695" s="10">
        <v>0</v>
      </c>
      <c r="D695" s="10">
        <v>1</v>
      </c>
      <c r="E695" s="10">
        <v>1</v>
      </c>
      <c r="F695" s="10">
        <v>1</v>
      </c>
      <c r="L695" s="1">
        <v>205</v>
      </c>
      <c r="M695" s="1">
        <v>22</v>
      </c>
      <c r="N695" s="1">
        <v>0</v>
      </c>
      <c r="O695" s="1">
        <v>2</v>
      </c>
      <c r="P695" s="2">
        <v>1</v>
      </c>
      <c r="Q695" s="67">
        <v>16</v>
      </c>
    </row>
    <row r="696" spans="1:17" x14ac:dyDescent="0.25">
      <c r="A696" s="10">
        <v>96</v>
      </c>
      <c r="B696" s="10">
        <v>10</v>
      </c>
      <c r="C696" s="10">
        <v>0</v>
      </c>
      <c r="D696" s="10">
        <v>1</v>
      </c>
      <c r="E696" s="10">
        <v>1</v>
      </c>
      <c r="F696" s="10">
        <v>1</v>
      </c>
      <c r="L696" s="1">
        <v>206</v>
      </c>
      <c r="M696" s="1">
        <v>22</v>
      </c>
      <c r="N696" s="1">
        <v>0</v>
      </c>
      <c r="O696" s="1">
        <v>2</v>
      </c>
      <c r="P696" s="2">
        <v>1</v>
      </c>
      <c r="Q696" s="68">
        <v>9</v>
      </c>
    </row>
    <row r="697" spans="1:17" x14ac:dyDescent="0.25">
      <c r="A697" s="10">
        <v>97</v>
      </c>
      <c r="B697" s="10">
        <v>11</v>
      </c>
      <c r="C697" s="10">
        <v>0</v>
      </c>
      <c r="D697" s="10">
        <v>1</v>
      </c>
      <c r="E697" s="10">
        <v>1</v>
      </c>
      <c r="F697" s="10">
        <v>1</v>
      </c>
      <c r="L697" s="1">
        <v>207</v>
      </c>
      <c r="M697" s="1">
        <v>22</v>
      </c>
      <c r="N697" s="1">
        <v>0</v>
      </c>
      <c r="O697" s="1">
        <v>2</v>
      </c>
      <c r="P697" s="2">
        <v>1</v>
      </c>
      <c r="Q697" s="67">
        <v>3</v>
      </c>
    </row>
    <row r="698" spans="1:17" x14ac:dyDescent="0.25">
      <c r="A698" s="10">
        <v>98</v>
      </c>
      <c r="B698" s="10">
        <v>11</v>
      </c>
      <c r="C698" s="10">
        <v>0</v>
      </c>
      <c r="D698" s="10">
        <v>1</v>
      </c>
      <c r="E698" s="10">
        <v>1</v>
      </c>
      <c r="F698" s="10">
        <v>1</v>
      </c>
      <c r="L698" s="1">
        <v>208</v>
      </c>
      <c r="M698" s="1">
        <v>22</v>
      </c>
      <c r="N698" s="1">
        <v>0</v>
      </c>
      <c r="O698" s="1">
        <v>2</v>
      </c>
      <c r="P698" s="2">
        <v>1</v>
      </c>
      <c r="Q698" s="68">
        <v>9</v>
      </c>
    </row>
    <row r="699" spans="1:17" x14ac:dyDescent="0.25">
      <c r="A699" s="10">
        <v>99</v>
      </c>
      <c r="B699" s="10">
        <v>11</v>
      </c>
      <c r="C699" s="10">
        <v>0</v>
      </c>
      <c r="D699" s="10">
        <v>1</v>
      </c>
      <c r="E699" s="10">
        <v>1</v>
      </c>
      <c r="F699" s="10">
        <v>1</v>
      </c>
      <c r="L699" s="1">
        <v>209</v>
      </c>
      <c r="M699" s="1">
        <v>23</v>
      </c>
      <c r="N699" s="1">
        <v>0</v>
      </c>
      <c r="O699" s="1">
        <v>2</v>
      </c>
      <c r="P699" s="2">
        <v>1</v>
      </c>
      <c r="Q699" s="67">
        <v>11</v>
      </c>
    </row>
    <row r="700" spans="1:17" x14ac:dyDescent="0.25">
      <c r="A700" s="10">
        <v>100</v>
      </c>
      <c r="B700" s="10">
        <v>11</v>
      </c>
      <c r="C700" s="10">
        <v>0</v>
      </c>
      <c r="D700" s="10">
        <v>1</v>
      </c>
      <c r="E700" s="10">
        <v>1</v>
      </c>
      <c r="F700" s="10">
        <v>1</v>
      </c>
      <c r="L700" s="1">
        <v>210</v>
      </c>
      <c r="M700" s="1">
        <v>23</v>
      </c>
      <c r="N700" s="1">
        <v>0</v>
      </c>
      <c r="O700" s="1">
        <v>2</v>
      </c>
      <c r="P700" s="2">
        <v>1</v>
      </c>
      <c r="Q700" s="68">
        <v>8</v>
      </c>
    </row>
    <row r="701" spans="1:17" x14ac:dyDescent="0.25">
      <c r="A701" s="10">
        <v>101</v>
      </c>
      <c r="B701" s="10">
        <v>11</v>
      </c>
      <c r="C701" s="10">
        <v>0</v>
      </c>
      <c r="D701" s="10">
        <v>1</v>
      </c>
      <c r="E701" s="10">
        <v>1</v>
      </c>
      <c r="F701" s="10">
        <v>1</v>
      </c>
      <c r="L701" s="1">
        <v>211</v>
      </c>
      <c r="M701" s="1">
        <v>23</v>
      </c>
      <c r="N701" s="1">
        <v>0</v>
      </c>
      <c r="O701" s="1">
        <v>2</v>
      </c>
      <c r="P701" s="2">
        <v>1</v>
      </c>
      <c r="Q701" s="67">
        <v>8</v>
      </c>
    </row>
    <row r="702" spans="1:17" x14ac:dyDescent="0.25">
      <c r="A702" s="10">
        <v>102</v>
      </c>
      <c r="B702" s="10">
        <v>11</v>
      </c>
      <c r="C702" s="10">
        <v>0</v>
      </c>
      <c r="D702" s="10">
        <v>1</v>
      </c>
      <c r="E702" s="10">
        <v>1</v>
      </c>
      <c r="F702" s="10">
        <v>1</v>
      </c>
      <c r="L702" s="1">
        <v>212</v>
      </c>
      <c r="M702" s="1">
        <v>23</v>
      </c>
      <c r="N702" s="1">
        <v>0</v>
      </c>
      <c r="O702" s="1">
        <v>2</v>
      </c>
      <c r="P702" s="2">
        <v>1</v>
      </c>
      <c r="Q702" s="68">
        <v>12</v>
      </c>
    </row>
    <row r="703" spans="1:17" x14ac:dyDescent="0.25">
      <c r="A703" s="10">
        <v>103</v>
      </c>
      <c r="B703" s="10">
        <v>11</v>
      </c>
      <c r="C703" s="10">
        <v>0</v>
      </c>
      <c r="D703" s="10">
        <v>1</v>
      </c>
      <c r="E703" s="10">
        <v>1</v>
      </c>
      <c r="F703" s="10">
        <v>1</v>
      </c>
      <c r="L703" s="1">
        <v>213</v>
      </c>
      <c r="M703" s="1">
        <v>23</v>
      </c>
      <c r="N703" s="1">
        <v>0</v>
      </c>
      <c r="O703" s="1">
        <v>2</v>
      </c>
      <c r="P703" s="2">
        <v>1</v>
      </c>
      <c r="Q703" s="67">
        <v>12</v>
      </c>
    </row>
    <row r="704" spans="1:17" x14ac:dyDescent="0.25">
      <c r="A704" s="10">
        <v>104</v>
      </c>
      <c r="B704" s="10">
        <v>11</v>
      </c>
      <c r="C704" s="10">
        <v>0</v>
      </c>
      <c r="D704" s="10">
        <v>1</v>
      </c>
      <c r="E704" s="10">
        <v>1</v>
      </c>
      <c r="F704" s="10">
        <v>1</v>
      </c>
      <c r="L704" s="1">
        <v>214</v>
      </c>
      <c r="M704" s="1">
        <v>23</v>
      </c>
      <c r="N704" s="1">
        <v>0</v>
      </c>
      <c r="O704" s="1">
        <v>2</v>
      </c>
      <c r="P704" s="2">
        <v>1</v>
      </c>
      <c r="Q704" s="68">
        <v>10</v>
      </c>
    </row>
    <row r="705" spans="1:17" x14ac:dyDescent="0.25">
      <c r="A705" s="10">
        <v>105</v>
      </c>
      <c r="B705" s="10">
        <v>11</v>
      </c>
      <c r="C705" s="10">
        <v>0</v>
      </c>
      <c r="D705" s="10">
        <v>1</v>
      </c>
      <c r="E705" s="10">
        <v>1</v>
      </c>
      <c r="F705" s="10">
        <v>1</v>
      </c>
      <c r="L705" s="1">
        <v>215</v>
      </c>
      <c r="M705" s="1">
        <v>23</v>
      </c>
      <c r="N705" s="1">
        <v>0</v>
      </c>
      <c r="O705" s="1">
        <v>2</v>
      </c>
      <c r="P705" s="2">
        <v>1</v>
      </c>
      <c r="Q705" s="67">
        <v>10</v>
      </c>
    </row>
    <row r="706" spans="1:17" x14ac:dyDescent="0.25">
      <c r="A706" s="10">
        <v>106</v>
      </c>
      <c r="B706" s="10">
        <v>11</v>
      </c>
      <c r="C706" s="10">
        <v>0</v>
      </c>
      <c r="D706" s="10">
        <v>1</v>
      </c>
      <c r="E706" s="10">
        <v>1</v>
      </c>
      <c r="F706" s="10">
        <v>1</v>
      </c>
      <c r="L706" s="1">
        <v>216</v>
      </c>
      <c r="M706" s="1">
        <v>23</v>
      </c>
      <c r="N706" s="1">
        <v>0</v>
      </c>
      <c r="O706" s="1">
        <v>2</v>
      </c>
      <c r="P706" s="2">
        <v>1</v>
      </c>
      <c r="Q706" s="68">
        <v>8</v>
      </c>
    </row>
    <row r="707" spans="1:17" x14ac:dyDescent="0.25">
      <c r="A707" s="10">
        <v>107</v>
      </c>
      <c r="B707" s="10">
        <v>12</v>
      </c>
      <c r="C707" s="10">
        <v>0</v>
      </c>
      <c r="D707" s="10">
        <v>1</v>
      </c>
      <c r="E707" s="10">
        <v>1</v>
      </c>
      <c r="F707" s="10">
        <v>1</v>
      </c>
      <c r="L707" s="1">
        <v>217</v>
      </c>
      <c r="M707" s="1">
        <v>23</v>
      </c>
      <c r="N707" s="1">
        <v>0</v>
      </c>
      <c r="O707" s="1">
        <v>2</v>
      </c>
      <c r="P707" s="2">
        <v>1</v>
      </c>
      <c r="Q707" s="67">
        <v>10</v>
      </c>
    </row>
    <row r="708" spans="1:17" x14ac:dyDescent="0.25">
      <c r="A708" s="10">
        <v>108</v>
      </c>
      <c r="B708" s="10">
        <v>12</v>
      </c>
      <c r="C708" s="10">
        <v>0</v>
      </c>
      <c r="D708" s="10">
        <v>1</v>
      </c>
      <c r="E708" s="10">
        <v>1</v>
      </c>
      <c r="F708" s="10">
        <v>1</v>
      </c>
      <c r="L708" s="1">
        <v>218</v>
      </c>
      <c r="M708" s="1">
        <v>23</v>
      </c>
      <c r="N708" s="1">
        <v>0</v>
      </c>
      <c r="O708" s="1">
        <v>2</v>
      </c>
      <c r="P708" s="2">
        <v>1</v>
      </c>
      <c r="Q708" s="68">
        <v>12</v>
      </c>
    </row>
    <row r="709" spans="1:17" x14ac:dyDescent="0.25">
      <c r="A709" s="10">
        <v>109</v>
      </c>
      <c r="B709" s="10">
        <v>12</v>
      </c>
      <c r="C709" s="10">
        <v>0</v>
      </c>
      <c r="D709" s="10">
        <v>1</v>
      </c>
      <c r="E709" s="10">
        <v>1</v>
      </c>
      <c r="F709" s="10">
        <v>1</v>
      </c>
      <c r="L709" s="1">
        <v>219</v>
      </c>
      <c r="M709" s="1">
        <v>24</v>
      </c>
      <c r="N709" s="1">
        <v>0</v>
      </c>
      <c r="O709" s="1">
        <v>2</v>
      </c>
      <c r="P709" s="2">
        <v>1</v>
      </c>
      <c r="Q709" s="67">
        <v>10</v>
      </c>
    </row>
    <row r="710" spans="1:17" x14ac:dyDescent="0.25">
      <c r="A710" s="10">
        <v>110</v>
      </c>
      <c r="B710" s="10">
        <v>12</v>
      </c>
      <c r="C710" s="10">
        <v>0</v>
      </c>
      <c r="D710" s="10">
        <v>1</v>
      </c>
      <c r="E710" s="10">
        <v>1</v>
      </c>
      <c r="F710" s="10">
        <v>1</v>
      </c>
      <c r="L710" s="1">
        <v>220</v>
      </c>
      <c r="M710" s="1">
        <v>24</v>
      </c>
      <c r="N710" s="1">
        <v>0</v>
      </c>
      <c r="O710" s="1">
        <v>2</v>
      </c>
      <c r="P710" s="2">
        <v>1</v>
      </c>
      <c r="Q710" s="68">
        <v>10</v>
      </c>
    </row>
    <row r="711" spans="1:17" x14ac:dyDescent="0.25">
      <c r="A711" s="10">
        <v>111</v>
      </c>
      <c r="B711" s="10">
        <v>12</v>
      </c>
      <c r="C711" s="10">
        <v>0</v>
      </c>
      <c r="D711" s="10">
        <v>1</v>
      </c>
      <c r="E711" s="10">
        <v>1</v>
      </c>
      <c r="F711" s="10">
        <v>1</v>
      </c>
      <c r="L711" s="1">
        <v>221</v>
      </c>
      <c r="M711" s="1">
        <v>24</v>
      </c>
      <c r="N711" s="1">
        <v>0</v>
      </c>
      <c r="O711" s="1">
        <v>2</v>
      </c>
      <c r="P711" s="2">
        <v>1</v>
      </c>
      <c r="Q711" s="67">
        <v>12</v>
      </c>
    </row>
    <row r="712" spans="1:17" x14ac:dyDescent="0.25">
      <c r="A712" s="10">
        <v>112</v>
      </c>
      <c r="B712" s="10">
        <v>12</v>
      </c>
      <c r="C712" s="10">
        <v>0</v>
      </c>
      <c r="D712" s="10">
        <v>1</v>
      </c>
      <c r="E712" s="10">
        <v>1</v>
      </c>
      <c r="F712" s="10">
        <v>1</v>
      </c>
      <c r="L712" s="1">
        <v>222</v>
      </c>
      <c r="M712" s="1">
        <v>24</v>
      </c>
      <c r="N712" s="1">
        <v>0</v>
      </c>
      <c r="O712" s="1">
        <v>2</v>
      </c>
      <c r="P712" s="2">
        <v>1</v>
      </c>
      <c r="Q712" s="68">
        <v>8</v>
      </c>
    </row>
    <row r="713" spans="1:17" x14ac:dyDescent="0.25">
      <c r="A713" s="10">
        <v>113</v>
      </c>
      <c r="B713" s="10">
        <v>12</v>
      </c>
      <c r="C713" s="10">
        <v>0</v>
      </c>
      <c r="D713" s="10">
        <v>1</v>
      </c>
      <c r="E713" s="10">
        <v>1</v>
      </c>
      <c r="F713" s="10">
        <v>1</v>
      </c>
      <c r="L713" s="1">
        <v>223</v>
      </c>
      <c r="M713" s="1">
        <v>24</v>
      </c>
      <c r="N713" s="1">
        <v>0</v>
      </c>
      <c r="O713" s="1">
        <v>2</v>
      </c>
      <c r="P713" s="2">
        <v>1</v>
      </c>
      <c r="Q713" s="67">
        <v>9</v>
      </c>
    </row>
    <row r="714" spans="1:17" x14ac:dyDescent="0.25">
      <c r="A714" s="10">
        <v>114</v>
      </c>
      <c r="B714" s="10">
        <v>12</v>
      </c>
      <c r="C714" s="10">
        <v>0</v>
      </c>
      <c r="D714" s="10">
        <v>1</v>
      </c>
      <c r="E714" s="10">
        <v>1</v>
      </c>
      <c r="F714" s="10">
        <v>1</v>
      </c>
      <c r="L714" s="1">
        <v>224</v>
      </c>
      <c r="M714" s="1">
        <v>24</v>
      </c>
      <c r="N714" s="1">
        <v>0</v>
      </c>
      <c r="O714" s="1">
        <v>2</v>
      </c>
      <c r="P714" s="2">
        <v>1</v>
      </c>
      <c r="Q714" s="68">
        <v>8</v>
      </c>
    </row>
    <row r="715" spans="1:17" x14ac:dyDescent="0.25">
      <c r="A715" s="10">
        <v>115</v>
      </c>
      <c r="B715" s="10">
        <v>13</v>
      </c>
      <c r="C715" s="10">
        <v>0</v>
      </c>
      <c r="D715" s="10">
        <v>1</v>
      </c>
      <c r="E715" s="10">
        <v>1</v>
      </c>
      <c r="F715" s="10">
        <v>1</v>
      </c>
      <c r="L715" s="1">
        <v>225</v>
      </c>
      <c r="M715" s="1">
        <v>24</v>
      </c>
      <c r="N715" s="1">
        <v>0</v>
      </c>
      <c r="O715" s="1">
        <v>2</v>
      </c>
      <c r="P715" s="2">
        <v>1</v>
      </c>
      <c r="Q715" s="67">
        <v>11</v>
      </c>
    </row>
    <row r="716" spans="1:17" x14ac:dyDescent="0.25">
      <c r="A716" s="10">
        <v>116</v>
      </c>
      <c r="B716" s="10">
        <v>13</v>
      </c>
      <c r="C716" s="10">
        <v>0</v>
      </c>
      <c r="D716" s="10">
        <v>1</v>
      </c>
      <c r="E716" s="10">
        <v>1</v>
      </c>
      <c r="F716" s="10">
        <v>1</v>
      </c>
      <c r="L716" s="1">
        <v>226</v>
      </c>
      <c r="M716" s="1">
        <v>24</v>
      </c>
      <c r="N716" s="1">
        <v>0</v>
      </c>
      <c r="O716" s="1">
        <v>2</v>
      </c>
      <c r="P716" s="2">
        <v>1</v>
      </c>
      <c r="Q716" s="68">
        <v>13</v>
      </c>
    </row>
    <row r="717" spans="1:17" x14ac:dyDescent="0.25">
      <c r="A717" s="10">
        <v>117</v>
      </c>
      <c r="B717" s="10">
        <v>13</v>
      </c>
      <c r="C717" s="10">
        <v>0</v>
      </c>
      <c r="D717" s="10">
        <v>1</v>
      </c>
      <c r="E717" s="10">
        <v>1</v>
      </c>
      <c r="F717" s="10">
        <v>1</v>
      </c>
      <c r="L717" s="1">
        <v>227</v>
      </c>
      <c r="M717" s="1">
        <v>24</v>
      </c>
      <c r="N717" s="1">
        <v>0</v>
      </c>
      <c r="O717" s="1">
        <v>2</v>
      </c>
      <c r="P717" s="2">
        <v>1</v>
      </c>
      <c r="Q717" s="67">
        <v>9</v>
      </c>
    </row>
    <row r="718" spans="1:17" x14ac:dyDescent="0.25">
      <c r="A718" s="10">
        <v>118</v>
      </c>
      <c r="B718" s="10">
        <v>13</v>
      </c>
      <c r="C718" s="10">
        <v>0</v>
      </c>
      <c r="D718" s="10">
        <v>1</v>
      </c>
      <c r="E718" s="10">
        <v>1</v>
      </c>
      <c r="F718" s="10">
        <v>1</v>
      </c>
      <c r="L718" s="1">
        <v>228</v>
      </c>
      <c r="M718" s="1">
        <v>24</v>
      </c>
      <c r="N718" s="1">
        <v>0</v>
      </c>
      <c r="O718" s="1">
        <v>2</v>
      </c>
      <c r="P718" s="2">
        <v>1</v>
      </c>
      <c r="Q718" s="68">
        <v>8</v>
      </c>
    </row>
    <row r="719" spans="1:17" x14ac:dyDescent="0.25">
      <c r="A719" s="10">
        <v>119</v>
      </c>
      <c r="B719" s="10">
        <v>13</v>
      </c>
      <c r="C719" s="10">
        <v>0</v>
      </c>
      <c r="D719" s="10">
        <v>1</v>
      </c>
      <c r="E719" s="10">
        <v>1</v>
      </c>
      <c r="F719" s="10">
        <v>1</v>
      </c>
      <c r="L719" s="1">
        <v>229</v>
      </c>
      <c r="M719" s="1">
        <v>25</v>
      </c>
      <c r="N719" s="1">
        <v>0</v>
      </c>
      <c r="O719" s="1">
        <v>2</v>
      </c>
      <c r="P719" s="2">
        <v>1</v>
      </c>
      <c r="Q719" s="67">
        <v>9</v>
      </c>
    </row>
    <row r="720" spans="1:17" x14ac:dyDescent="0.25">
      <c r="A720" s="10">
        <v>120</v>
      </c>
      <c r="B720" s="10">
        <v>13</v>
      </c>
      <c r="C720" s="10">
        <v>0</v>
      </c>
      <c r="D720" s="10">
        <v>1</v>
      </c>
      <c r="E720" s="10">
        <v>1</v>
      </c>
      <c r="F720" s="10">
        <v>1</v>
      </c>
      <c r="L720" s="1">
        <v>230</v>
      </c>
      <c r="M720" s="1">
        <v>25</v>
      </c>
      <c r="N720" s="1">
        <v>0</v>
      </c>
      <c r="O720" s="1">
        <v>2</v>
      </c>
      <c r="P720" s="2">
        <v>1</v>
      </c>
      <c r="Q720" s="68">
        <v>7</v>
      </c>
    </row>
    <row r="721" spans="1:17" x14ac:dyDescent="0.25">
      <c r="A721" s="10">
        <v>121</v>
      </c>
      <c r="B721" s="10">
        <v>13</v>
      </c>
      <c r="C721" s="10">
        <v>0</v>
      </c>
      <c r="D721" s="10">
        <v>1</v>
      </c>
      <c r="E721" s="10">
        <v>1</v>
      </c>
      <c r="F721" s="10">
        <v>1</v>
      </c>
      <c r="L721" s="1">
        <v>231</v>
      </c>
      <c r="M721" s="1">
        <v>25</v>
      </c>
      <c r="N721" s="1">
        <v>0</v>
      </c>
      <c r="O721" s="1">
        <v>2</v>
      </c>
      <c r="P721" s="2">
        <v>1</v>
      </c>
      <c r="Q721" s="67">
        <v>7</v>
      </c>
    </row>
    <row r="722" spans="1:17" x14ac:dyDescent="0.25">
      <c r="A722" s="10">
        <v>122</v>
      </c>
      <c r="B722" s="10">
        <v>13</v>
      </c>
      <c r="C722" s="10">
        <v>0</v>
      </c>
      <c r="D722" s="10">
        <v>1</v>
      </c>
      <c r="E722" s="10">
        <v>1</v>
      </c>
      <c r="F722" s="10">
        <v>1</v>
      </c>
      <c r="L722" s="1">
        <v>232</v>
      </c>
      <c r="M722" s="1">
        <v>25</v>
      </c>
      <c r="N722" s="1">
        <v>0</v>
      </c>
      <c r="O722" s="1">
        <v>2</v>
      </c>
      <c r="P722" s="2">
        <v>1</v>
      </c>
      <c r="Q722" s="68">
        <v>9</v>
      </c>
    </row>
    <row r="723" spans="1:17" x14ac:dyDescent="0.25">
      <c r="A723" s="10">
        <v>123</v>
      </c>
      <c r="B723" s="10">
        <v>14</v>
      </c>
      <c r="C723" s="10">
        <v>0</v>
      </c>
      <c r="D723" s="10">
        <v>1</v>
      </c>
      <c r="E723" s="10">
        <v>1</v>
      </c>
      <c r="F723" s="10">
        <v>1</v>
      </c>
      <c r="L723" s="1">
        <v>233</v>
      </c>
      <c r="M723" s="1">
        <v>25</v>
      </c>
      <c r="N723" s="1">
        <v>0</v>
      </c>
      <c r="O723" s="1">
        <v>2</v>
      </c>
      <c r="P723" s="2">
        <v>1</v>
      </c>
      <c r="Q723" s="67">
        <v>7</v>
      </c>
    </row>
    <row r="724" spans="1:17" x14ac:dyDescent="0.25">
      <c r="A724" s="10">
        <v>124</v>
      </c>
      <c r="B724" s="10">
        <v>14</v>
      </c>
      <c r="C724" s="10">
        <v>0</v>
      </c>
      <c r="D724" s="10">
        <v>1</v>
      </c>
      <c r="E724" s="10">
        <v>1</v>
      </c>
      <c r="F724" s="10">
        <v>1</v>
      </c>
      <c r="L724" s="1">
        <v>234</v>
      </c>
      <c r="M724" s="1">
        <v>25</v>
      </c>
      <c r="N724" s="1">
        <v>0</v>
      </c>
      <c r="O724" s="1">
        <v>2</v>
      </c>
      <c r="P724" s="2">
        <v>1</v>
      </c>
      <c r="Q724" s="68">
        <v>13</v>
      </c>
    </row>
    <row r="725" spans="1:17" x14ac:dyDescent="0.25">
      <c r="A725" s="10">
        <v>125</v>
      </c>
      <c r="B725" s="10">
        <v>14</v>
      </c>
      <c r="C725" s="10">
        <v>0</v>
      </c>
      <c r="D725" s="10">
        <v>1</v>
      </c>
      <c r="E725" s="10">
        <v>1</v>
      </c>
      <c r="F725" s="10">
        <v>1</v>
      </c>
      <c r="L725" s="1">
        <v>235</v>
      </c>
      <c r="M725" s="1">
        <v>25</v>
      </c>
      <c r="N725" s="1">
        <v>0</v>
      </c>
      <c r="O725" s="1">
        <v>2</v>
      </c>
      <c r="P725" s="2">
        <v>1</v>
      </c>
      <c r="Q725" s="67">
        <v>8</v>
      </c>
    </row>
    <row r="726" spans="1:17" x14ac:dyDescent="0.25">
      <c r="A726" s="10">
        <v>126</v>
      </c>
      <c r="B726" s="10">
        <v>14</v>
      </c>
      <c r="C726" s="10">
        <v>0</v>
      </c>
      <c r="D726" s="10">
        <v>1</v>
      </c>
      <c r="E726" s="10">
        <v>1</v>
      </c>
      <c r="F726" s="10">
        <v>1</v>
      </c>
      <c r="L726" s="1">
        <v>236</v>
      </c>
      <c r="M726" s="1">
        <v>25</v>
      </c>
      <c r="N726" s="1">
        <v>0</v>
      </c>
      <c r="O726" s="1">
        <v>2</v>
      </c>
      <c r="P726" s="2">
        <v>1</v>
      </c>
      <c r="Q726" s="68">
        <v>5</v>
      </c>
    </row>
    <row r="727" spans="1:17" x14ac:dyDescent="0.25">
      <c r="A727" s="10">
        <v>127</v>
      </c>
      <c r="B727" s="10">
        <v>14</v>
      </c>
      <c r="C727" s="10">
        <v>0</v>
      </c>
      <c r="D727" s="10">
        <v>1</v>
      </c>
      <c r="E727" s="10">
        <v>1</v>
      </c>
      <c r="F727" s="10">
        <v>1</v>
      </c>
      <c r="L727" s="1">
        <v>237</v>
      </c>
      <c r="M727" s="1">
        <v>26</v>
      </c>
      <c r="N727" s="1">
        <v>0</v>
      </c>
      <c r="O727" s="1">
        <v>2</v>
      </c>
      <c r="P727" s="2">
        <v>1</v>
      </c>
      <c r="Q727" s="67">
        <v>7</v>
      </c>
    </row>
    <row r="728" spans="1:17" x14ac:dyDescent="0.25">
      <c r="A728" s="10">
        <v>128</v>
      </c>
      <c r="B728" s="10">
        <v>14</v>
      </c>
      <c r="C728" s="10">
        <v>0</v>
      </c>
      <c r="D728" s="10">
        <v>1</v>
      </c>
      <c r="E728" s="10">
        <v>1</v>
      </c>
      <c r="F728" s="10">
        <v>1</v>
      </c>
      <c r="L728" s="1">
        <v>238</v>
      </c>
      <c r="M728" s="1">
        <v>26</v>
      </c>
      <c r="N728" s="1">
        <v>0</v>
      </c>
      <c r="O728" s="1">
        <v>2</v>
      </c>
      <c r="P728" s="2">
        <v>1</v>
      </c>
      <c r="Q728" s="68">
        <v>5</v>
      </c>
    </row>
    <row r="729" spans="1:17" x14ac:dyDescent="0.25">
      <c r="A729" s="10">
        <v>129</v>
      </c>
      <c r="B729" s="10">
        <v>14</v>
      </c>
      <c r="C729" s="10">
        <v>0</v>
      </c>
      <c r="D729" s="10">
        <v>1</v>
      </c>
      <c r="E729" s="10">
        <v>1</v>
      </c>
      <c r="F729" s="10">
        <v>1</v>
      </c>
      <c r="L729" s="1">
        <v>239</v>
      </c>
      <c r="M729" s="1">
        <v>26</v>
      </c>
      <c r="N729" s="1">
        <v>0</v>
      </c>
      <c r="O729" s="1">
        <v>2</v>
      </c>
      <c r="P729" s="2">
        <v>1</v>
      </c>
      <c r="Q729" s="67">
        <v>11</v>
      </c>
    </row>
    <row r="730" spans="1:17" x14ac:dyDescent="0.25">
      <c r="A730" s="10">
        <v>130</v>
      </c>
      <c r="B730" s="10">
        <v>14</v>
      </c>
      <c r="C730" s="10">
        <v>0</v>
      </c>
      <c r="D730" s="10">
        <v>1</v>
      </c>
      <c r="E730" s="10">
        <v>1</v>
      </c>
      <c r="F730" s="10">
        <v>1</v>
      </c>
      <c r="L730" s="1">
        <v>240</v>
      </c>
      <c r="M730" s="1">
        <v>26</v>
      </c>
      <c r="N730" s="1">
        <v>0</v>
      </c>
      <c r="O730" s="1">
        <v>2</v>
      </c>
      <c r="P730" s="2">
        <v>1</v>
      </c>
      <c r="Q730" s="68">
        <v>13</v>
      </c>
    </row>
    <row r="731" spans="1:17" x14ac:dyDescent="0.25">
      <c r="A731" s="10">
        <v>131</v>
      </c>
      <c r="B731" s="10">
        <v>14</v>
      </c>
      <c r="C731" s="10">
        <v>0</v>
      </c>
      <c r="D731" s="10">
        <v>1</v>
      </c>
      <c r="E731" s="10">
        <v>1</v>
      </c>
      <c r="F731" s="10">
        <v>1</v>
      </c>
      <c r="L731" s="1">
        <v>241</v>
      </c>
      <c r="M731" s="1">
        <v>26</v>
      </c>
      <c r="N731" s="1">
        <v>0</v>
      </c>
      <c r="O731" s="1">
        <v>2</v>
      </c>
      <c r="P731" s="2">
        <v>1</v>
      </c>
      <c r="Q731" s="67">
        <v>8</v>
      </c>
    </row>
    <row r="732" spans="1:17" x14ac:dyDescent="0.25">
      <c r="A732" s="10">
        <v>132</v>
      </c>
      <c r="B732" s="10">
        <v>14</v>
      </c>
      <c r="C732" s="10">
        <v>0</v>
      </c>
      <c r="D732" s="10">
        <v>1</v>
      </c>
      <c r="E732" s="10">
        <v>1</v>
      </c>
      <c r="F732" s="10">
        <v>1</v>
      </c>
      <c r="L732" s="1">
        <v>242</v>
      </c>
      <c r="M732" s="1">
        <v>26</v>
      </c>
      <c r="N732" s="1">
        <v>0</v>
      </c>
      <c r="O732" s="1">
        <v>2</v>
      </c>
      <c r="P732" s="2">
        <v>1</v>
      </c>
      <c r="Q732" s="68">
        <v>3</v>
      </c>
    </row>
    <row r="733" spans="1:17" x14ac:dyDescent="0.25">
      <c r="A733" s="10">
        <v>133</v>
      </c>
      <c r="B733" s="10">
        <v>15</v>
      </c>
      <c r="C733" s="10">
        <v>0</v>
      </c>
      <c r="D733" s="10">
        <v>1</v>
      </c>
      <c r="E733" s="10">
        <v>1</v>
      </c>
      <c r="F733" s="10">
        <v>1</v>
      </c>
      <c r="L733" s="1">
        <v>243</v>
      </c>
      <c r="M733" s="1">
        <v>26</v>
      </c>
      <c r="N733" s="1">
        <v>0</v>
      </c>
      <c r="O733" s="1">
        <v>2</v>
      </c>
      <c r="P733" s="2">
        <v>1</v>
      </c>
      <c r="Q733" s="67">
        <v>9</v>
      </c>
    </row>
    <row r="734" spans="1:17" x14ac:dyDescent="0.25">
      <c r="A734" s="10">
        <v>134</v>
      </c>
      <c r="B734" s="10">
        <v>15</v>
      </c>
      <c r="C734" s="10">
        <v>0</v>
      </c>
      <c r="D734" s="10">
        <v>1</v>
      </c>
      <c r="E734" s="10">
        <v>1</v>
      </c>
      <c r="F734" s="10">
        <v>1</v>
      </c>
      <c r="L734" s="1">
        <v>244</v>
      </c>
      <c r="M734" s="1">
        <v>26</v>
      </c>
      <c r="N734" s="1">
        <v>0</v>
      </c>
      <c r="O734" s="1">
        <v>2</v>
      </c>
      <c r="P734" s="2">
        <v>1</v>
      </c>
      <c r="Q734" s="68">
        <v>7</v>
      </c>
    </row>
    <row r="735" spans="1:17" x14ac:dyDescent="0.25">
      <c r="A735" s="10">
        <v>135</v>
      </c>
      <c r="B735" s="10">
        <v>15</v>
      </c>
      <c r="C735" s="10">
        <v>0</v>
      </c>
      <c r="D735" s="10">
        <v>1</v>
      </c>
      <c r="E735" s="10">
        <v>1</v>
      </c>
      <c r="F735" s="10">
        <v>1</v>
      </c>
      <c r="L735" s="1">
        <v>245</v>
      </c>
      <c r="M735" s="1">
        <v>26</v>
      </c>
      <c r="N735" s="1">
        <v>0</v>
      </c>
      <c r="O735" s="1">
        <v>2</v>
      </c>
      <c r="P735" s="2">
        <v>1</v>
      </c>
      <c r="Q735" s="67">
        <v>5</v>
      </c>
    </row>
    <row r="736" spans="1:17" x14ac:dyDescent="0.25">
      <c r="A736" s="10">
        <v>136</v>
      </c>
      <c r="B736" s="10">
        <v>15</v>
      </c>
      <c r="C736" s="10">
        <v>0</v>
      </c>
      <c r="D736" s="10">
        <v>1</v>
      </c>
      <c r="E736" s="10">
        <v>1</v>
      </c>
      <c r="F736" s="10">
        <v>1</v>
      </c>
      <c r="L736" s="1">
        <v>246</v>
      </c>
      <c r="M736" s="1">
        <v>26</v>
      </c>
      <c r="N736" s="1">
        <v>0</v>
      </c>
      <c r="O736" s="1">
        <v>2</v>
      </c>
      <c r="P736" s="2">
        <v>1</v>
      </c>
      <c r="Q736" s="68">
        <v>4</v>
      </c>
    </row>
    <row r="737" spans="1:17" x14ac:dyDescent="0.25">
      <c r="A737" s="10">
        <v>137</v>
      </c>
      <c r="B737" s="10">
        <v>15</v>
      </c>
      <c r="C737" s="10">
        <v>0</v>
      </c>
      <c r="D737" s="10">
        <v>1</v>
      </c>
      <c r="E737" s="10">
        <v>1</v>
      </c>
      <c r="F737" s="10">
        <v>1</v>
      </c>
      <c r="L737" s="1">
        <v>247</v>
      </c>
      <c r="M737" s="1">
        <v>27</v>
      </c>
      <c r="N737" s="1">
        <v>0</v>
      </c>
      <c r="O737" s="1">
        <v>2</v>
      </c>
      <c r="P737" s="2">
        <v>1</v>
      </c>
      <c r="Q737" s="67">
        <v>9</v>
      </c>
    </row>
    <row r="738" spans="1:17" x14ac:dyDescent="0.25">
      <c r="A738" s="10">
        <v>138</v>
      </c>
      <c r="B738" s="10">
        <v>15</v>
      </c>
      <c r="C738" s="10">
        <v>0</v>
      </c>
      <c r="D738" s="10">
        <v>1</v>
      </c>
      <c r="E738" s="10">
        <v>1</v>
      </c>
      <c r="F738" s="10">
        <v>1</v>
      </c>
      <c r="L738" s="1">
        <v>248</v>
      </c>
      <c r="M738" s="1">
        <v>27</v>
      </c>
      <c r="N738" s="1">
        <v>0</v>
      </c>
      <c r="O738" s="1">
        <v>2</v>
      </c>
      <c r="P738" s="2">
        <v>1</v>
      </c>
      <c r="Q738" s="68">
        <v>15</v>
      </c>
    </row>
    <row r="739" spans="1:17" x14ac:dyDescent="0.25">
      <c r="A739" s="10">
        <v>139</v>
      </c>
      <c r="B739" s="10">
        <v>15</v>
      </c>
      <c r="C739" s="10">
        <v>0</v>
      </c>
      <c r="D739" s="10">
        <v>1</v>
      </c>
      <c r="E739" s="10">
        <v>1</v>
      </c>
      <c r="F739" s="10">
        <v>1</v>
      </c>
      <c r="L739" s="1">
        <v>249</v>
      </c>
      <c r="M739" s="1">
        <v>27</v>
      </c>
      <c r="N739" s="1">
        <v>0</v>
      </c>
      <c r="O739" s="1">
        <v>2</v>
      </c>
      <c r="P739" s="2">
        <v>1</v>
      </c>
      <c r="Q739" s="67">
        <v>12</v>
      </c>
    </row>
    <row r="740" spans="1:17" x14ac:dyDescent="0.25">
      <c r="A740" s="10">
        <v>140</v>
      </c>
      <c r="B740" s="10">
        <v>15</v>
      </c>
      <c r="C740" s="10">
        <v>0</v>
      </c>
      <c r="D740" s="10">
        <v>1</v>
      </c>
      <c r="E740" s="10">
        <v>1</v>
      </c>
      <c r="F740" s="10">
        <v>1</v>
      </c>
      <c r="L740" s="1">
        <v>250</v>
      </c>
      <c r="M740" s="1">
        <v>27</v>
      </c>
      <c r="N740" s="1">
        <v>0</v>
      </c>
      <c r="O740" s="1">
        <v>2</v>
      </c>
      <c r="P740" s="2">
        <v>1</v>
      </c>
      <c r="Q740" s="68">
        <v>16</v>
      </c>
    </row>
    <row r="741" spans="1:17" x14ac:dyDescent="0.25">
      <c r="A741" s="10">
        <v>141</v>
      </c>
      <c r="B741" s="10">
        <v>15</v>
      </c>
      <c r="C741" s="10">
        <v>0</v>
      </c>
      <c r="D741" s="10">
        <v>1</v>
      </c>
      <c r="E741" s="10">
        <v>1</v>
      </c>
      <c r="F741" s="10">
        <v>1</v>
      </c>
      <c r="L741" s="1">
        <v>251</v>
      </c>
      <c r="M741" s="1">
        <v>27</v>
      </c>
      <c r="N741" s="1">
        <v>0</v>
      </c>
      <c r="O741" s="1">
        <v>2</v>
      </c>
      <c r="P741" s="2">
        <v>1</v>
      </c>
      <c r="Q741" s="67">
        <v>10</v>
      </c>
    </row>
    <row r="742" spans="1:17" x14ac:dyDescent="0.25">
      <c r="A742" s="10">
        <v>142</v>
      </c>
      <c r="B742" s="10">
        <v>15</v>
      </c>
      <c r="C742" s="10">
        <v>0</v>
      </c>
      <c r="D742" s="10">
        <v>1</v>
      </c>
      <c r="E742" s="10">
        <v>1</v>
      </c>
      <c r="F742" s="10">
        <v>1</v>
      </c>
      <c r="L742" s="1">
        <v>252</v>
      </c>
      <c r="M742" s="1">
        <v>27</v>
      </c>
      <c r="N742" s="1">
        <v>0</v>
      </c>
      <c r="O742" s="1">
        <v>2</v>
      </c>
      <c r="P742" s="2">
        <v>1</v>
      </c>
      <c r="Q742" s="68">
        <v>3</v>
      </c>
    </row>
    <row r="743" spans="1:17" x14ac:dyDescent="0.25">
      <c r="A743" s="10">
        <v>143</v>
      </c>
      <c r="B743" s="10">
        <v>16</v>
      </c>
      <c r="C743" s="10">
        <v>0</v>
      </c>
      <c r="D743" s="10">
        <v>1</v>
      </c>
      <c r="E743" s="10">
        <v>1</v>
      </c>
      <c r="F743" s="10">
        <v>1</v>
      </c>
      <c r="L743" s="1">
        <v>253</v>
      </c>
      <c r="M743" s="1">
        <v>27</v>
      </c>
      <c r="N743" s="1">
        <v>0</v>
      </c>
      <c r="O743" s="1">
        <v>2</v>
      </c>
      <c r="P743" s="2">
        <v>1</v>
      </c>
      <c r="Q743" s="67">
        <v>3</v>
      </c>
    </row>
    <row r="744" spans="1:17" x14ac:dyDescent="0.25">
      <c r="A744" s="10">
        <v>144</v>
      </c>
      <c r="B744" s="10">
        <v>16</v>
      </c>
      <c r="C744" s="10">
        <v>0</v>
      </c>
      <c r="D744" s="10">
        <v>1</v>
      </c>
      <c r="E744" s="10">
        <v>1</v>
      </c>
      <c r="F744" s="10">
        <v>1</v>
      </c>
      <c r="L744" s="1">
        <v>254</v>
      </c>
      <c r="M744" s="1">
        <v>27</v>
      </c>
      <c r="N744" s="1">
        <v>0</v>
      </c>
      <c r="O744" s="1">
        <v>2</v>
      </c>
      <c r="P744" s="2">
        <v>1</v>
      </c>
      <c r="Q744" s="68">
        <v>8</v>
      </c>
    </row>
    <row r="745" spans="1:17" x14ac:dyDescent="0.25">
      <c r="A745" s="10">
        <v>145</v>
      </c>
      <c r="B745" s="10">
        <v>16</v>
      </c>
      <c r="C745" s="10">
        <v>0</v>
      </c>
      <c r="D745" s="10">
        <v>1</v>
      </c>
      <c r="E745" s="10">
        <v>1</v>
      </c>
      <c r="F745" s="10">
        <v>1</v>
      </c>
      <c r="L745" s="1">
        <v>255</v>
      </c>
      <c r="M745" s="1">
        <v>28</v>
      </c>
      <c r="N745" s="1">
        <v>0</v>
      </c>
      <c r="O745" s="1">
        <v>2</v>
      </c>
      <c r="P745" s="2">
        <v>1</v>
      </c>
      <c r="Q745" s="67">
        <v>15</v>
      </c>
    </row>
    <row r="746" spans="1:17" x14ac:dyDescent="0.25">
      <c r="A746" s="10">
        <v>146</v>
      </c>
      <c r="B746" s="10">
        <v>16</v>
      </c>
      <c r="C746" s="10">
        <v>0</v>
      </c>
      <c r="D746" s="10">
        <v>1</v>
      </c>
      <c r="E746" s="10">
        <v>1</v>
      </c>
      <c r="F746" s="10">
        <v>1</v>
      </c>
      <c r="L746" s="1">
        <v>256</v>
      </c>
      <c r="M746" s="1">
        <v>28</v>
      </c>
      <c r="N746" s="1">
        <v>0</v>
      </c>
      <c r="O746" s="1">
        <v>2</v>
      </c>
      <c r="P746" s="2">
        <v>1</v>
      </c>
      <c r="Q746" s="68">
        <v>18</v>
      </c>
    </row>
    <row r="747" spans="1:17" x14ac:dyDescent="0.25">
      <c r="A747" s="10">
        <v>147</v>
      </c>
      <c r="B747" s="10">
        <v>16</v>
      </c>
      <c r="C747" s="10">
        <v>0</v>
      </c>
      <c r="D747" s="10">
        <v>1</v>
      </c>
      <c r="E747" s="10">
        <v>1</v>
      </c>
      <c r="F747" s="10">
        <v>1</v>
      </c>
      <c r="L747" s="1">
        <v>257</v>
      </c>
      <c r="M747" s="1">
        <v>28</v>
      </c>
      <c r="N747" s="1">
        <v>0</v>
      </c>
      <c r="O747" s="1">
        <v>2</v>
      </c>
      <c r="P747" s="2">
        <v>1</v>
      </c>
      <c r="Q747" s="67">
        <v>17</v>
      </c>
    </row>
    <row r="748" spans="1:17" x14ac:dyDescent="0.25">
      <c r="A748" s="10">
        <v>148</v>
      </c>
      <c r="B748" s="10">
        <v>16</v>
      </c>
      <c r="C748" s="10">
        <v>0</v>
      </c>
      <c r="D748" s="10">
        <v>1</v>
      </c>
      <c r="E748" s="10">
        <v>1</v>
      </c>
      <c r="F748" s="10">
        <v>1</v>
      </c>
      <c r="L748" s="1">
        <v>258</v>
      </c>
      <c r="M748" s="1">
        <v>28</v>
      </c>
      <c r="N748" s="1">
        <v>0</v>
      </c>
      <c r="O748" s="1">
        <v>2</v>
      </c>
      <c r="P748" s="2">
        <v>1</v>
      </c>
      <c r="Q748" s="68">
        <v>13</v>
      </c>
    </row>
    <row r="749" spans="1:17" x14ac:dyDescent="0.25">
      <c r="A749" s="10">
        <v>149</v>
      </c>
      <c r="B749" s="10">
        <v>16</v>
      </c>
      <c r="C749" s="10">
        <v>0</v>
      </c>
      <c r="D749" s="10">
        <v>1</v>
      </c>
      <c r="E749" s="10">
        <v>1</v>
      </c>
      <c r="F749" s="10">
        <v>1</v>
      </c>
      <c r="L749" s="1">
        <v>259</v>
      </c>
      <c r="M749" s="1">
        <v>28</v>
      </c>
      <c r="N749" s="1">
        <v>0</v>
      </c>
      <c r="O749" s="1">
        <v>2</v>
      </c>
      <c r="P749" s="2">
        <v>1</v>
      </c>
      <c r="Q749" s="67">
        <v>14</v>
      </c>
    </row>
    <row r="750" spans="1:17" x14ac:dyDescent="0.25">
      <c r="A750" s="10">
        <v>150</v>
      </c>
      <c r="B750" s="10">
        <v>16</v>
      </c>
      <c r="C750" s="10">
        <v>0</v>
      </c>
      <c r="D750" s="10">
        <v>1</v>
      </c>
      <c r="E750" s="10">
        <v>1</v>
      </c>
      <c r="F750" s="10">
        <v>1</v>
      </c>
      <c r="L750" s="1">
        <v>260</v>
      </c>
      <c r="M750" s="1">
        <v>28</v>
      </c>
      <c r="N750" s="1">
        <v>0</v>
      </c>
      <c r="O750" s="1">
        <v>2</v>
      </c>
      <c r="P750" s="2">
        <v>1</v>
      </c>
      <c r="Q750" s="68">
        <v>15</v>
      </c>
    </row>
    <row r="751" spans="1:17" x14ac:dyDescent="0.25">
      <c r="A751" s="10">
        <v>151</v>
      </c>
      <c r="B751" s="10">
        <v>16</v>
      </c>
      <c r="C751" s="10">
        <v>0</v>
      </c>
      <c r="D751" s="10">
        <v>1</v>
      </c>
      <c r="E751" s="10">
        <v>1</v>
      </c>
      <c r="F751" s="10">
        <v>1</v>
      </c>
      <c r="L751" s="1">
        <v>261</v>
      </c>
      <c r="M751" s="1">
        <v>28</v>
      </c>
      <c r="N751" s="1">
        <v>0</v>
      </c>
      <c r="O751" s="1">
        <v>2</v>
      </c>
      <c r="P751" s="2">
        <v>1</v>
      </c>
      <c r="Q751" s="67">
        <v>19</v>
      </c>
    </row>
    <row r="752" spans="1:17" x14ac:dyDescent="0.25">
      <c r="A752" s="10">
        <v>152</v>
      </c>
      <c r="B752" s="10">
        <v>16</v>
      </c>
      <c r="C752" s="10">
        <v>0</v>
      </c>
      <c r="D752" s="10">
        <v>1</v>
      </c>
      <c r="E752" s="10">
        <v>1</v>
      </c>
      <c r="F752" s="10">
        <v>1</v>
      </c>
      <c r="L752" s="1">
        <v>262</v>
      </c>
      <c r="M752" s="1">
        <v>28</v>
      </c>
      <c r="N752" s="1">
        <v>0</v>
      </c>
      <c r="O752" s="1">
        <v>2</v>
      </c>
      <c r="P752" s="2">
        <v>1</v>
      </c>
      <c r="Q752" s="68">
        <v>18</v>
      </c>
    </row>
    <row r="753" spans="1:17" x14ac:dyDescent="0.25">
      <c r="A753" s="10">
        <v>153</v>
      </c>
      <c r="B753" s="10">
        <v>17</v>
      </c>
      <c r="C753" s="10">
        <v>0</v>
      </c>
      <c r="D753" s="10">
        <v>1</v>
      </c>
      <c r="E753" s="10">
        <v>1</v>
      </c>
      <c r="F753" s="10">
        <v>1</v>
      </c>
      <c r="L753" s="1">
        <v>263</v>
      </c>
      <c r="M753" s="1">
        <v>29</v>
      </c>
      <c r="N753" s="1">
        <v>0</v>
      </c>
      <c r="O753" s="1">
        <v>2</v>
      </c>
      <c r="P753" s="2">
        <v>1</v>
      </c>
      <c r="Q753" s="67">
        <v>13</v>
      </c>
    </row>
    <row r="754" spans="1:17" x14ac:dyDescent="0.25">
      <c r="A754" s="10">
        <v>154</v>
      </c>
      <c r="B754" s="10">
        <v>17</v>
      </c>
      <c r="C754" s="10">
        <v>0</v>
      </c>
      <c r="D754" s="10">
        <v>1</v>
      </c>
      <c r="E754" s="10">
        <v>1</v>
      </c>
      <c r="F754" s="10">
        <v>1</v>
      </c>
      <c r="L754" s="1">
        <v>264</v>
      </c>
      <c r="M754" s="1">
        <v>29</v>
      </c>
      <c r="N754" s="1">
        <v>0</v>
      </c>
      <c r="O754" s="1">
        <v>2</v>
      </c>
      <c r="P754" s="2">
        <v>1</v>
      </c>
      <c r="Q754" s="68">
        <v>12</v>
      </c>
    </row>
    <row r="755" spans="1:17" x14ac:dyDescent="0.25">
      <c r="A755" s="10">
        <v>155</v>
      </c>
      <c r="B755" s="10">
        <v>17</v>
      </c>
      <c r="C755" s="10">
        <v>0</v>
      </c>
      <c r="D755" s="10">
        <v>1</v>
      </c>
      <c r="E755" s="10">
        <v>1</v>
      </c>
      <c r="F755" s="10">
        <v>1</v>
      </c>
      <c r="L755" s="1">
        <v>265</v>
      </c>
      <c r="M755" s="1">
        <v>29</v>
      </c>
      <c r="N755" s="1">
        <v>0</v>
      </c>
      <c r="O755" s="1">
        <v>2</v>
      </c>
      <c r="P755" s="2">
        <v>1</v>
      </c>
      <c r="Q755" s="67">
        <v>10</v>
      </c>
    </row>
    <row r="756" spans="1:17" x14ac:dyDescent="0.25">
      <c r="A756" s="10">
        <v>411</v>
      </c>
      <c r="B756" s="10">
        <v>44</v>
      </c>
      <c r="C756" s="10">
        <v>4</v>
      </c>
      <c r="D756" s="10">
        <v>1</v>
      </c>
      <c r="E756" s="10">
        <v>40</v>
      </c>
      <c r="F756" s="10">
        <v>40</v>
      </c>
      <c r="L756" s="1">
        <v>266</v>
      </c>
      <c r="M756" s="1">
        <v>29</v>
      </c>
      <c r="N756" s="1">
        <v>0</v>
      </c>
      <c r="O756" s="1">
        <v>2</v>
      </c>
      <c r="P756" s="2">
        <v>1</v>
      </c>
      <c r="Q756" s="68">
        <v>16</v>
      </c>
    </row>
    <row r="757" spans="1:17" x14ac:dyDescent="0.25">
      <c r="A757" s="10">
        <v>411</v>
      </c>
      <c r="B757" s="10">
        <v>44</v>
      </c>
      <c r="C757" s="10">
        <v>4</v>
      </c>
      <c r="D757" s="10">
        <v>2</v>
      </c>
      <c r="E757" s="10">
        <v>8</v>
      </c>
      <c r="F757" s="10">
        <v>8</v>
      </c>
      <c r="L757" s="1">
        <v>267</v>
      </c>
      <c r="M757" s="1">
        <v>29</v>
      </c>
      <c r="N757" s="1">
        <v>0</v>
      </c>
      <c r="O757" s="1">
        <v>2</v>
      </c>
      <c r="P757" s="2">
        <v>1</v>
      </c>
      <c r="Q757" s="67">
        <v>15</v>
      </c>
    </row>
    <row r="758" spans="1:17" x14ac:dyDescent="0.25">
      <c r="A758" s="10">
        <v>158</v>
      </c>
      <c r="B758" s="10">
        <v>17</v>
      </c>
      <c r="C758" s="10">
        <v>0</v>
      </c>
      <c r="D758" s="10">
        <v>1</v>
      </c>
      <c r="E758" s="10">
        <v>1</v>
      </c>
      <c r="F758" s="10">
        <v>1</v>
      </c>
      <c r="L758" s="1">
        <v>268</v>
      </c>
      <c r="M758" s="1">
        <v>29</v>
      </c>
      <c r="N758" s="1">
        <v>0</v>
      </c>
      <c r="O758" s="1">
        <v>2</v>
      </c>
      <c r="P758" s="2">
        <v>1</v>
      </c>
      <c r="Q758" s="68">
        <v>14</v>
      </c>
    </row>
    <row r="759" spans="1:17" x14ac:dyDescent="0.25">
      <c r="A759" s="10">
        <v>159</v>
      </c>
      <c r="B759" s="10">
        <v>17</v>
      </c>
      <c r="C759" s="10">
        <v>0</v>
      </c>
      <c r="D759" s="10">
        <v>1</v>
      </c>
      <c r="E759" s="10">
        <v>1</v>
      </c>
      <c r="F759" s="10">
        <v>1</v>
      </c>
      <c r="L759" s="1">
        <v>269</v>
      </c>
      <c r="M759" s="1">
        <v>29</v>
      </c>
      <c r="N759" s="1">
        <v>0</v>
      </c>
      <c r="O759" s="1">
        <v>2</v>
      </c>
      <c r="P759" s="2">
        <v>1</v>
      </c>
      <c r="Q759" s="67">
        <v>10</v>
      </c>
    </row>
    <row r="760" spans="1:17" x14ac:dyDescent="0.25">
      <c r="A760" s="10">
        <v>160</v>
      </c>
      <c r="B760" s="10">
        <v>17</v>
      </c>
      <c r="C760" s="10">
        <v>0</v>
      </c>
      <c r="D760" s="10">
        <v>1</v>
      </c>
      <c r="E760" s="10">
        <v>1</v>
      </c>
      <c r="F760" s="10">
        <v>1</v>
      </c>
      <c r="L760" s="1">
        <v>270</v>
      </c>
      <c r="M760" s="1">
        <v>29</v>
      </c>
      <c r="N760" s="1">
        <v>0</v>
      </c>
      <c r="O760" s="1">
        <v>2</v>
      </c>
      <c r="P760" s="2">
        <v>1</v>
      </c>
      <c r="Q760" s="68">
        <v>15</v>
      </c>
    </row>
    <row r="761" spans="1:17" x14ac:dyDescent="0.25">
      <c r="A761" s="10">
        <v>161</v>
      </c>
      <c r="B761" s="10">
        <v>17</v>
      </c>
      <c r="C761" s="10">
        <v>0</v>
      </c>
      <c r="D761" s="10">
        <v>1</v>
      </c>
      <c r="E761" s="10">
        <v>1</v>
      </c>
      <c r="F761" s="10">
        <v>1</v>
      </c>
      <c r="L761" s="1">
        <v>271</v>
      </c>
      <c r="M761" s="1">
        <v>30</v>
      </c>
      <c r="N761" s="1">
        <v>0</v>
      </c>
      <c r="O761" s="1">
        <v>2</v>
      </c>
      <c r="P761" s="2">
        <v>1</v>
      </c>
      <c r="Q761" s="67">
        <v>12</v>
      </c>
    </row>
    <row r="762" spans="1:17" x14ac:dyDescent="0.25">
      <c r="A762" s="10">
        <v>162</v>
      </c>
      <c r="B762" s="10">
        <v>17</v>
      </c>
      <c r="C762" s="10">
        <v>0</v>
      </c>
      <c r="D762" s="10">
        <v>1</v>
      </c>
      <c r="E762" s="10">
        <v>1</v>
      </c>
      <c r="F762" s="10">
        <v>1</v>
      </c>
      <c r="L762" s="1">
        <v>272</v>
      </c>
      <c r="M762" s="1">
        <v>30</v>
      </c>
      <c r="N762" s="1">
        <v>0</v>
      </c>
      <c r="O762" s="1">
        <v>2</v>
      </c>
      <c r="P762" s="2">
        <v>1</v>
      </c>
      <c r="Q762" s="68">
        <v>9</v>
      </c>
    </row>
    <row r="763" spans="1:17" x14ac:dyDescent="0.25">
      <c r="A763" s="10">
        <v>163</v>
      </c>
      <c r="B763" s="10">
        <v>18</v>
      </c>
      <c r="C763" s="10">
        <v>0</v>
      </c>
      <c r="D763" s="10">
        <v>1</v>
      </c>
      <c r="E763" s="10">
        <v>1</v>
      </c>
      <c r="F763" s="10">
        <v>1</v>
      </c>
      <c r="L763" s="1">
        <v>273</v>
      </c>
      <c r="M763" s="1">
        <v>30</v>
      </c>
      <c r="N763" s="1">
        <v>0</v>
      </c>
      <c r="O763" s="1">
        <v>2</v>
      </c>
      <c r="P763" s="2">
        <v>1</v>
      </c>
      <c r="Q763" s="67">
        <v>12</v>
      </c>
    </row>
    <row r="764" spans="1:17" x14ac:dyDescent="0.25">
      <c r="A764" s="10">
        <v>164</v>
      </c>
      <c r="B764" s="10">
        <v>18</v>
      </c>
      <c r="C764" s="10">
        <v>0</v>
      </c>
      <c r="D764" s="10">
        <v>1</v>
      </c>
      <c r="E764" s="10">
        <v>1</v>
      </c>
      <c r="F764" s="10">
        <v>1</v>
      </c>
      <c r="L764" s="1">
        <v>274</v>
      </c>
      <c r="M764" s="1">
        <v>30</v>
      </c>
      <c r="N764" s="1">
        <v>0</v>
      </c>
      <c r="O764" s="1">
        <v>2</v>
      </c>
      <c r="P764" s="2">
        <v>1</v>
      </c>
      <c r="Q764" s="68">
        <v>13</v>
      </c>
    </row>
    <row r="765" spans="1:17" x14ac:dyDescent="0.25">
      <c r="A765" s="10">
        <v>165</v>
      </c>
      <c r="B765" s="10">
        <v>18</v>
      </c>
      <c r="C765" s="10">
        <v>0</v>
      </c>
      <c r="D765" s="10">
        <v>1</v>
      </c>
      <c r="E765" s="10">
        <v>1</v>
      </c>
      <c r="F765" s="10">
        <v>1</v>
      </c>
      <c r="L765" s="1">
        <v>275</v>
      </c>
      <c r="M765" s="1">
        <v>30</v>
      </c>
      <c r="N765" s="1">
        <v>0</v>
      </c>
      <c r="O765" s="1">
        <v>2</v>
      </c>
      <c r="P765" s="2">
        <v>1</v>
      </c>
      <c r="Q765" s="67">
        <v>14</v>
      </c>
    </row>
    <row r="766" spans="1:17" x14ac:dyDescent="0.25">
      <c r="A766" s="10">
        <v>166</v>
      </c>
      <c r="B766" s="10">
        <v>18</v>
      </c>
      <c r="C766" s="10">
        <v>0</v>
      </c>
      <c r="D766" s="10">
        <v>1</v>
      </c>
      <c r="E766" s="10">
        <v>1</v>
      </c>
      <c r="F766" s="10">
        <v>1</v>
      </c>
      <c r="L766" s="1">
        <v>276</v>
      </c>
      <c r="M766" s="1">
        <v>30</v>
      </c>
      <c r="N766" s="1">
        <v>0</v>
      </c>
      <c r="O766" s="1">
        <v>2</v>
      </c>
      <c r="P766" s="2">
        <v>1</v>
      </c>
      <c r="Q766" s="68">
        <v>6</v>
      </c>
    </row>
    <row r="767" spans="1:17" x14ac:dyDescent="0.25">
      <c r="A767" s="10">
        <v>167</v>
      </c>
      <c r="B767" s="10">
        <v>18</v>
      </c>
      <c r="C767" s="10">
        <v>0</v>
      </c>
      <c r="D767" s="10">
        <v>1</v>
      </c>
      <c r="E767" s="10">
        <v>1</v>
      </c>
      <c r="F767" s="10">
        <v>1</v>
      </c>
      <c r="L767" s="1">
        <v>277</v>
      </c>
      <c r="M767" s="1">
        <v>30</v>
      </c>
      <c r="N767" s="1">
        <v>0</v>
      </c>
      <c r="O767" s="1">
        <v>2</v>
      </c>
      <c r="P767" s="2">
        <v>1</v>
      </c>
      <c r="Q767" s="67">
        <v>6</v>
      </c>
    </row>
    <row r="768" spans="1:17" x14ac:dyDescent="0.25">
      <c r="A768" s="10">
        <v>168</v>
      </c>
      <c r="B768" s="10">
        <v>18</v>
      </c>
      <c r="C768" s="10">
        <v>0</v>
      </c>
      <c r="D768" s="10">
        <v>1</v>
      </c>
      <c r="E768" s="10">
        <v>1</v>
      </c>
      <c r="F768" s="10">
        <v>1</v>
      </c>
      <c r="L768" s="1">
        <v>278</v>
      </c>
      <c r="M768" s="1">
        <v>30</v>
      </c>
      <c r="N768" s="1">
        <v>0</v>
      </c>
      <c r="O768" s="1">
        <v>2</v>
      </c>
      <c r="P768" s="2">
        <v>1</v>
      </c>
      <c r="Q768" s="68">
        <v>7</v>
      </c>
    </row>
    <row r="769" spans="1:17" x14ac:dyDescent="0.25">
      <c r="A769" s="10">
        <v>169</v>
      </c>
      <c r="B769" s="10">
        <v>18</v>
      </c>
      <c r="C769" s="10">
        <v>0</v>
      </c>
      <c r="D769" s="10">
        <v>1</v>
      </c>
      <c r="E769" s="10">
        <v>1</v>
      </c>
      <c r="F769" s="10">
        <v>1</v>
      </c>
      <c r="L769" s="1">
        <v>279</v>
      </c>
      <c r="M769" s="1">
        <v>30</v>
      </c>
      <c r="N769" s="1">
        <v>0</v>
      </c>
      <c r="O769" s="1">
        <v>2</v>
      </c>
      <c r="P769" s="2">
        <v>1</v>
      </c>
      <c r="Q769" s="67">
        <v>11</v>
      </c>
    </row>
    <row r="770" spans="1:17" x14ac:dyDescent="0.25">
      <c r="A770" s="10">
        <v>170</v>
      </c>
      <c r="B770" s="10">
        <v>18</v>
      </c>
      <c r="C770" s="10">
        <v>0</v>
      </c>
      <c r="D770" s="10">
        <v>1</v>
      </c>
      <c r="E770" s="10">
        <v>1</v>
      </c>
      <c r="F770" s="10">
        <v>1</v>
      </c>
      <c r="L770" s="1">
        <v>280</v>
      </c>
      <c r="M770" s="1">
        <v>30</v>
      </c>
      <c r="N770" s="1">
        <v>0</v>
      </c>
      <c r="O770" s="1">
        <v>2</v>
      </c>
      <c r="P770" s="2">
        <v>1</v>
      </c>
      <c r="Q770" s="68">
        <v>10</v>
      </c>
    </row>
    <row r="771" spans="1:17" x14ac:dyDescent="0.25">
      <c r="A771" s="10">
        <v>171</v>
      </c>
      <c r="B771" s="10">
        <v>18</v>
      </c>
      <c r="C771" s="10">
        <v>0</v>
      </c>
      <c r="D771" s="10">
        <v>1</v>
      </c>
      <c r="E771" s="10">
        <v>1</v>
      </c>
      <c r="F771" s="10">
        <v>1</v>
      </c>
      <c r="L771" s="1">
        <v>281</v>
      </c>
      <c r="M771" s="1">
        <v>31</v>
      </c>
      <c r="N771" s="1">
        <v>0</v>
      </c>
      <c r="O771" s="1">
        <v>2</v>
      </c>
      <c r="P771" s="2">
        <v>1</v>
      </c>
      <c r="Q771" s="67">
        <v>7</v>
      </c>
    </row>
    <row r="772" spans="1:17" x14ac:dyDescent="0.25">
      <c r="A772" s="10">
        <v>172</v>
      </c>
      <c r="B772" s="10">
        <v>18</v>
      </c>
      <c r="C772" s="10">
        <v>0</v>
      </c>
      <c r="D772" s="10">
        <v>1</v>
      </c>
      <c r="E772" s="10">
        <v>1</v>
      </c>
      <c r="F772" s="10">
        <v>1</v>
      </c>
      <c r="L772" s="1">
        <v>282</v>
      </c>
      <c r="M772" s="1">
        <v>31</v>
      </c>
      <c r="N772" s="1">
        <v>0</v>
      </c>
      <c r="O772" s="1">
        <v>2</v>
      </c>
      <c r="P772" s="2">
        <v>1</v>
      </c>
      <c r="Q772" s="68">
        <v>5</v>
      </c>
    </row>
    <row r="773" spans="1:17" x14ac:dyDescent="0.25">
      <c r="A773" s="10">
        <v>173</v>
      </c>
      <c r="B773" s="10">
        <v>19</v>
      </c>
      <c r="C773" s="10">
        <v>0</v>
      </c>
      <c r="D773" s="10">
        <v>1</v>
      </c>
      <c r="E773" s="10">
        <v>1</v>
      </c>
      <c r="F773" s="10">
        <v>1</v>
      </c>
      <c r="L773" s="1">
        <v>283</v>
      </c>
      <c r="M773" s="1">
        <v>31</v>
      </c>
      <c r="N773" s="1">
        <v>0</v>
      </c>
      <c r="O773" s="1">
        <v>2</v>
      </c>
      <c r="P773" s="2">
        <v>1</v>
      </c>
      <c r="Q773" s="67">
        <v>11</v>
      </c>
    </row>
    <row r="774" spans="1:17" x14ac:dyDescent="0.25">
      <c r="A774" s="10">
        <v>174</v>
      </c>
      <c r="B774" s="10">
        <v>19</v>
      </c>
      <c r="C774" s="10">
        <v>0</v>
      </c>
      <c r="D774" s="10">
        <v>1</v>
      </c>
      <c r="E774" s="10">
        <v>1</v>
      </c>
      <c r="F774" s="10">
        <v>1</v>
      </c>
      <c r="L774" s="1">
        <v>284</v>
      </c>
      <c r="M774" s="1">
        <v>31</v>
      </c>
      <c r="N774" s="1">
        <v>0</v>
      </c>
      <c r="O774" s="1">
        <v>2</v>
      </c>
      <c r="P774" s="2">
        <v>1</v>
      </c>
      <c r="Q774" s="68">
        <v>9</v>
      </c>
    </row>
    <row r="775" spans="1:17" x14ac:dyDescent="0.25">
      <c r="A775" s="10">
        <v>175</v>
      </c>
      <c r="B775" s="10">
        <v>19</v>
      </c>
      <c r="C775" s="10">
        <v>0</v>
      </c>
      <c r="D775" s="10">
        <v>1</v>
      </c>
      <c r="E775" s="10">
        <v>1</v>
      </c>
      <c r="F775" s="10">
        <v>1</v>
      </c>
      <c r="L775" s="1">
        <v>285</v>
      </c>
      <c r="M775" s="1">
        <v>31</v>
      </c>
      <c r="N775" s="1">
        <v>0</v>
      </c>
      <c r="O775" s="1">
        <v>2</v>
      </c>
      <c r="P775" s="2">
        <v>1</v>
      </c>
      <c r="Q775" s="67">
        <v>12</v>
      </c>
    </row>
    <row r="776" spans="1:17" x14ac:dyDescent="0.25">
      <c r="A776" s="10">
        <v>176</v>
      </c>
      <c r="B776" s="10">
        <v>19</v>
      </c>
      <c r="C776" s="10">
        <v>0</v>
      </c>
      <c r="D776" s="10">
        <v>1</v>
      </c>
      <c r="E776" s="10">
        <v>1</v>
      </c>
      <c r="F776" s="10">
        <v>1</v>
      </c>
      <c r="L776" s="1">
        <v>286</v>
      </c>
      <c r="M776" s="1">
        <v>31</v>
      </c>
      <c r="N776" s="1">
        <v>0</v>
      </c>
      <c r="O776" s="1">
        <v>2</v>
      </c>
      <c r="P776" s="2">
        <v>1</v>
      </c>
      <c r="Q776" s="68">
        <v>10</v>
      </c>
    </row>
    <row r="777" spans="1:17" x14ac:dyDescent="0.25">
      <c r="A777" s="10">
        <v>177</v>
      </c>
      <c r="B777" s="10">
        <v>19</v>
      </c>
      <c r="C777" s="10">
        <v>0</v>
      </c>
      <c r="D777" s="10">
        <v>1</v>
      </c>
      <c r="E777" s="10">
        <v>1</v>
      </c>
      <c r="F777" s="10">
        <v>1</v>
      </c>
      <c r="L777" s="1">
        <v>287</v>
      </c>
      <c r="M777" s="1">
        <v>31</v>
      </c>
      <c r="N777" s="1">
        <v>0</v>
      </c>
      <c r="O777" s="1">
        <v>2</v>
      </c>
      <c r="P777" s="2">
        <v>1</v>
      </c>
      <c r="Q777" s="67">
        <v>2</v>
      </c>
    </row>
    <row r="778" spans="1:17" x14ac:dyDescent="0.25">
      <c r="A778" s="10">
        <v>178</v>
      </c>
      <c r="B778" s="10">
        <v>19</v>
      </c>
      <c r="C778" s="10">
        <v>0</v>
      </c>
      <c r="D778" s="10">
        <v>1</v>
      </c>
      <c r="E778" s="10">
        <v>1</v>
      </c>
      <c r="F778" s="10">
        <v>1</v>
      </c>
      <c r="L778" s="1">
        <v>288</v>
      </c>
      <c r="M778" s="1">
        <v>31</v>
      </c>
      <c r="N778" s="1">
        <v>0</v>
      </c>
      <c r="O778" s="1">
        <v>2</v>
      </c>
      <c r="P778" s="2">
        <v>1</v>
      </c>
      <c r="Q778" s="68">
        <v>1</v>
      </c>
    </row>
    <row r="779" spans="1:17" x14ac:dyDescent="0.25">
      <c r="A779" s="10">
        <v>179</v>
      </c>
      <c r="B779" s="10">
        <v>19</v>
      </c>
      <c r="C779" s="10">
        <v>0</v>
      </c>
      <c r="D779" s="10">
        <v>1</v>
      </c>
      <c r="E779" s="10">
        <v>1</v>
      </c>
      <c r="F779" s="10">
        <v>1</v>
      </c>
      <c r="L779" s="1">
        <v>289</v>
      </c>
      <c r="M779" s="1">
        <v>31</v>
      </c>
      <c r="N779" s="1">
        <v>0</v>
      </c>
      <c r="O779" s="1">
        <v>2</v>
      </c>
      <c r="P779" s="2">
        <v>1</v>
      </c>
      <c r="Q779" s="67">
        <v>4</v>
      </c>
    </row>
    <row r="780" spans="1:17" x14ac:dyDescent="0.25">
      <c r="A780" s="10">
        <v>180</v>
      </c>
      <c r="B780" s="10">
        <v>19</v>
      </c>
      <c r="C780" s="10">
        <v>0</v>
      </c>
      <c r="D780" s="10">
        <v>1</v>
      </c>
      <c r="E780" s="10">
        <v>1</v>
      </c>
      <c r="F780" s="10">
        <v>1</v>
      </c>
      <c r="L780" s="1">
        <v>290</v>
      </c>
      <c r="M780" s="1">
        <v>31</v>
      </c>
      <c r="N780" s="1">
        <v>0</v>
      </c>
      <c r="O780" s="1">
        <v>2</v>
      </c>
      <c r="P780" s="2">
        <v>1</v>
      </c>
      <c r="Q780" s="68">
        <v>6</v>
      </c>
    </row>
    <row r="781" spans="1:17" x14ac:dyDescent="0.25">
      <c r="A781" s="10">
        <v>181</v>
      </c>
      <c r="B781" s="10">
        <v>19</v>
      </c>
      <c r="C781" s="10">
        <v>0</v>
      </c>
      <c r="D781" s="10">
        <v>1</v>
      </c>
      <c r="E781" s="10">
        <v>1</v>
      </c>
      <c r="F781" s="10">
        <v>1</v>
      </c>
      <c r="L781" s="1">
        <v>291</v>
      </c>
      <c r="M781" s="1">
        <v>32</v>
      </c>
      <c r="N781" s="1">
        <v>0</v>
      </c>
      <c r="O781" s="1">
        <v>2</v>
      </c>
      <c r="P781" s="2">
        <v>1</v>
      </c>
      <c r="Q781" s="67">
        <v>7</v>
      </c>
    </row>
    <row r="782" spans="1:17" x14ac:dyDescent="0.25">
      <c r="A782" s="10">
        <v>182</v>
      </c>
      <c r="B782" s="10">
        <v>19</v>
      </c>
      <c r="C782" s="10">
        <v>0</v>
      </c>
      <c r="D782" s="10">
        <v>1</v>
      </c>
      <c r="E782" s="10">
        <v>1</v>
      </c>
      <c r="F782" s="10">
        <v>1</v>
      </c>
      <c r="L782" s="1">
        <v>292</v>
      </c>
      <c r="M782" s="1">
        <v>32</v>
      </c>
      <c r="N782" s="1">
        <v>0</v>
      </c>
      <c r="O782" s="1">
        <v>2</v>
      </c>
      <c r="P782" s="2">
        <v>1</v>
      </c>
      <c r="Q782" s="68">
        <v>3</v>
      </c>
    </row>
    <row r="783" spans="1:17" x14ac:dyDescent="0.25">
      <c r="A783" s="10">
        <v>183</v>
      </c>
      <c r="B783" s="10">
        <v>20</v>
      </c>
      <c r="C783" s="10">
        <v>0</v>
      </c>
      <c r="D783" s="10">
        <v>1</v>
      </c>
      <c r="E783" s="10">
        <v>1</v>
      </c>
      <c r="F783" s="10">
        <v>1</v>
      </c>
      <c r="L783" s="1">
        <v>293</v>
      </c>
      <c r="M783" s="1">
        <v>32</v>
      </c>
      <c r="N783" s="1">
        <v>0</v>
      </c>
      <c r="O783" s="1">
        <v>2</v>
      </c>
      <c r="P783" s="2">
        <v>1</v>
      </c>
      <c r="Q783" s="67">
        <v>1</v>
      </c>
    </row>
    <row r="784" spans="1:17" x14ac:dyDescent="0.25">
      <c r="A784" s="10">
        <v>184</v>
      </c>
      <c r="B784" s="10">
        <v>20</v>
      </c>
      <c r="C784" s="10">
        <v>0</v>
      </c>
      <c r="D784" s="10">
        <v>1</v>
      </c>
      <c r="E784" s="10">
        <v>1</v>
      </c>
      <c r="F784" s="10">
        <v>1</v>
      </c>
      <c r="L784" s="1">
        <v>294</v>
      </c>
      <c r="M784" s="1">
        <v>32</v>
      </c>
      <c r="N784" s="1">
        <v>0</v>
      </c>
      <c r="O784" s="1">
        <v>2</v>
      </c>
      <c r="P784" s="2">
        <v>1</v>
      </c>
      <c r="Q784" s="68">
        <v>2</v>
      </c>
    </row>
    <row r="785" spans="1:17" x14ac:dyDescent="0.25">
      <c r="A785" s="10">
        <v>185</v>
      </c>
      <c r="B785" s="10">
        <v>20</v>
      </c>
      <c r="C785" s="10">
        <v>0</v>
      </c>
      <c r="D785" s="10">
        <v>1</v>
      </c>
      <c r="E785" s="10">
        <v>1</v>
      </c>
      <c r="F785" s="10">
        <v>1</v>
      </c>
      <c r="L785" s="1">
        <v>295</v>
      </c>
      <c r="M785" s="1">
        <v>32</v>
      </c>
      <c r="N785" s="1">
        <v>0</v>
      </c>
      <c r="O785" s="1">
        <v>2</v>
      </c>
      <c r="P785" s="2">
        <v>1</v>
      </c>
      <c r="Q785" s="67">
        <v>7</v>
      </c>
    </row>
    <row r="786" spans="1:17" x14ac:dyDescent="0.25">
      <c r="A786" s="10">
        <v>186</v>
      </c>
      <c r="B786" s="10">
        <v>20</v>
      </c>
      <c r="C786" s="10">
        <v>0</v>
      </c>
      <c r="D786" s="10">
        <v>1</v>
      </c>
      <c r="E786" s="10">
        <v>1</v>
      </c>
      <c r="F786" s="10">
        <v>1</v>
      </c>
      <c r="L786" s="1">
        <v>296</v>
      </c>
      <c r="M786" s="1">
        <v>32</v>
      </c>
      <c r="N786" s="1">
        <v>0</v>
      </c>
      <c r="O786" s="1">
        <v>2</v>
      </c>
      <c r="P786" s="2">
        <v>1</v>
      </c>
      <c r="Q786" s="68">
        <v>12</v>
      </c>
    </row>
    <row r="787" spans="1:17" x14ac:dyDescent="0.25">
      <c r="A787" s="10">
        <v>187</v>
      </c>
      <c r="B787" s="10">
        <v>20</v>
      </c>
      <c r="C787" s="10">
        <v>0</v>
      </c>
      <c r="D787" s="10">
        <v>1</v>
      </c>
      <c r="E787" s="10">
        <v>1</v>
      </c>
      <c r="F787" s="10">
        <v>1</v>
      </c>
      <c r="L787" s="1">
        <v>297</v>
      </c>
      <c r="M787" s="1">
        <v>32</v>
      </c>
      <c r="N787" s="1">
        <v>0</v>
      </c>
      <c r="O787" s="1">
        <v>2</v>
      </c>
      <c r="P787" s="2">
        <v>1</v>
      </c>
      <c r="Q787" s="67">
        <v>9</v>
      </c>
    </row>
    <row r="788" spans="1:17" x14ac:dyDescent="0.25">
      <c r="A788" s="10">
        <v>188</v>
      </c>
      <c r="B788" s="10">
        <v>20</v>
      </c>
      <c r="C788" s="10">
        <v>0</v>
      </c>
      <c r="D788" s="10">
        <v>1</v>
      </c>
      <c r="E788" s="10">
        <v>1</v>
      </c>
      <c r="F788" s="10">
        <v>1</v>
      </c>
      <c r="L788" s="1">
        <v>298</v>
      </c>
      <c r="M788" s="1">
        <v>32</v>
      </c>
      <c r="N788" s="1">
        <v>0</v>
      </c>
      <c r="O788" s="1">
        <v>2</v>
      </c>
      <c r="P788" s="2">
        <v>1</v>
      </c>
      <c r="Q788" s="68">
        <v>6</v>
      </c>
    </row>
    <row r="789" spans="1:17" x14ac:dyDescent="0.25">
      <c r="A789" s="10">
        <v>189</v>
      </c>
      <c r="B789" s="10">
        <v>20</v>
      </c>
      <c r="C789" s="10">
        <v>0</v>
      </c>
      <c r="D789" s="10">
        <v>1</v>
      </c>
      <c r="E789" s="10">
        <v>1</v>
      </c>
      <c r="F789" s="10">
        <v>1</v>
      </c>
      <c r="L789" s="1">
        <v>299</v>
      </c>
      <c r="M789" s="1">
        <v>32</v>
      </c>
      <c r="N789" s="1">
        <v>0</v>
      </c>
      <c r="O789" s="1">
        <v>2</v>
      </c>
      <c r="P789" s="2">
        <v>1</v>
      </c>
      <c r="Q789" s="67">
        <v>8</v>
      </c>
    </row>
    <row r="790" spans="1:17" x14ac:dyDescent="0.25">
      <c r="A790" s="10">
        <v>190</v>
      </c>
      <c r="B790" s="10">
        <v>20</v>
      </c>
      <c r="C790" s="10">
        <v>0</v>
      </c>
      <c r="D790" s="10">
        <v>1</v>
      </c>
      <c r="E790" s="10">
        <v>1</v>
      </c>
      <c r="F790" s="10">
        <v>1</v>
      </c>
      <c r="L790" s="1">
        <v>300</v>
      </c>
      <c r="M790" s="1">
        <v>32</v>
      </c>
      <c r="N790" s="1">
        <v>0</v>
      </c>
      <c r="O790" s="1">
        <v>2</v>
      </c>
      <c r="P790" s="2">
        <v>1</v>
      </c>
      <c r="Q790" s="68">
        <v>11</v>
      </c>
    </row>
    <row r="791" spans="1:17" x14ac:dyDescent="0.25">
      <c r="A791" s="10">
        <v>191</v>
      </c>
      <c r="B791" s="10">
        <v>21</v>
      </c>
      <c r="C791" s="10">
        <v>0</v>
      </c>
      <c r="D791" s="10">
        <v>1</v>
      </c>
      <c r="E791" s="10">
        <v>1</v>
      </c>
      <c r="F791" s="10">
        <v>1</v>
      </c>
      <c r="L791" s="1">
        <v>301</v>
      </c>
      <c r="M791" s="1">
        <v>33</v>
      </c>
      <c r="N791" s="1">
        <v>0</v>
      </c>
      <c r="O791" s="1">
        <v>2</v>
      </c>
      <c r="P791" s="2">
        <v>1</v>
      </c>
      <c r="Q791" s="67">
        <v>15</v>
      </c>
    </row>
    <row r="792" spans="1:17" x14ac:dyDescent="0.25">
      <c r="A792" s="10">
        <v>192</v>
      </c>
      <c r="B792" s="10">
        <v>21</v>
      </c>
      <c r="C792" s="10">
        <v>0</v>
      </c>
      <c r="D792" s="10">
        <v>1</v>
      </c>
      <c r="E792" s="10">
        <v>1</v>
      </c>
      <c r="F792" s="10">
        <v>1</v>
      </c>
      <c r="L792" s="1">
        <v>302</v>
      </c>
      <c r="M792" s="1">
        <v>33</v>
      </c>
      <c r="N792" s="1">
        <v>0</v>
      </c>
      <c r="O792" s="1">
        <v>2</v>
      </c>
      <c r="P792" s="2">
        <v>1</v>
      </c>
      <c r="Q792" s="68">
        <v>3</v>
      </c>
    </row>
    <row r="793" spans="1:17" x14ac:dyDescent="0.25">
      <c r="A793" s="10">
        <v>193</v>
      </c>
      <c r="B793" s="10">
        <v>21</v>
      </c>
      <c r="C793" s="10">
        <v>0</v>
      </c>
      <c r="D793" s="10">
        <v>1</v>
      </c>
      <c r="E793" s="10">
        <v>1</v>
      </c>
      <c r="F793" s="10">
        <v>1</v>
      </c>
      <c r="L793" s="1">
        <v>303</v>
      </c>
      <c r="M793" s="1">
        <v>33</v>
      </c>
      <c r="N793" s="1">
        <v>0</v>
      </c>
      <c r="O793" s="1">
        <v>2</v>
      </c>
      <c r="P793" s="2">
        <v>1</v>
      </c>
      <c r="Q793" s="67">
        <v>10</v>
      </c>
    </row>
    <row r="794" spans="1:17" x14ac:dyDescent="0.25">
      <c r="A794" s="10">
        <v>194</v>
      </c>
      <c r="B794" s="10">
        <v>21</v>
      </c>
      <c r="C794" s="10">
        <v>0</v>
      </c>
      <c r="D794" s="10">
        <v>1</v>
      </c>
      <c r="E794" s="10">
        <v>1</v>
      </c>
      <c r="F794" s="10">
        <v>1</v>
      </c>
      <c r="L794" s="1">
        <v>304</v>
      </c>
      <c r="M794" s="1">
        <v>33</v>
      </c>
      <c r="N794" s="1">
        <v>0</v>
      </c>
      <c r="O794" s="1">
        <v>2</v>
      </c>
      <c r="P794" s="2">
        <v>1</v>
      </c>
      <c r="Q794" s="68">
        <v>6</v>
      </c>
    </row>
    <row r="795" spans="1:17" x14ac:dyDescent="0.25">
      <c r="A795" s="10">
        <v>195</v>
      </c>
      <c r="B795" s="10">
        <v>21</v>
      </c>
      <c r="C795" s="10">
        <v>0</v>
      </c>
      <c r="D795" s="10">
        <v>1</v>
      </c>
      <c r="E795" s="10">
        <v>1</v>
      </c>
      <c r="F795" s="10">
        <v>1</v>
      </c>
      <c r="L795" s="1">
        <v>305</v>
      </c>
      <c r="M795" s="1">
        <v>33</v>
      </c>
      <c r="N795" s="1">
        <v>0</v>
      </c>
      <c r="O795" s="1">
        <v>2</v>
      </c>
      <c r="P795" s="2">
        <v>1</v>
      </c>
      <c r="Q795" s="67">
        <v>7</v>
      </c>
    </row>
    <row r="796" spans="1:17" x14ac:dyDescent="0.25">
      <c r="A796" s="10">
        <v>196</v>
      </c>
      <c r="B796" s="10">
        <v>21</v>
      </c>
      <c r="C796" s="10">
        <v>0</v>
      </c>
      <c r="D796" s="10">
        <v>1</v>
      </c>
      <c r="E796" s="10">
        <v>1</v>
      </c>
      <c r="F796" s="10">
        <v>1</v>
      </c>
      <c r="L796" s="1">
        <v>306</v>
      </c>
      <c r="M796" s="1">
        <v>33</v>
      </c>
      <c r="N796" s="1">
        <v>0</v>
      </c>
      <c r="O796" s="1">
        <v>2</v>
      </c>
      <c r="P796" s="2">
        <v>1</v>
      </c>
      <c r="Q796" s="68">
        <v>10</v>
      </c>
    </row>
    <row r="797" spans="1:17" x14ac:dyDescent="0.25">
      <c r="A797" s="10">
        <v>197</v>
      </c>
      <c r="B797" s="10">
        <v>21</v>
      </c>
      <c r="C797" s="10">
        <v>0</v>
      </c>
      <c r="D797" s="10">
        <v>1</v>
      </c>
      <c r="E797" s="10">
        <v>1</v>
      </c>
      <c r="F797" s="10">
        <v>1</v>
      </c>
      <c r="L797" s="1">
        <v>307</v>
      </c>
      <c r="M797" s="1">
        <v>33</v>
      </c>
      <c r="N797" s="1">
        <v>0</v>
      </c>
      <c r="O797" s="1">
        <v>2</v>
      </c>
      <c r="P797" s="2">
        <v>1</v>
      </c>
      <c r="Q797" s="67">
        <v>19</v>
      </c>
    </row>
    <row r="798" spans="1:17" x14ac:dyDescent="0.25">
      <c r="A798" s="10">
        <v>198</v>
      </c>
      <c r="B798" s="10">
        <v>21</v>
      </c>
      <c r="C798" s="10">
        <v>0</v>
      </c>
      <c r="D798" s="10">
        <v>1</v>
      </c>
      <c r="E798" s="10">
        <v>1</v>
      </c>
      <c r="F798" s="10">
        <v>1</v>
      </c>
      <c r="L798" s="1">
        <v>308</v>
      </c>
      <c r="M798" s="1">
        <v>33</v>
      </c>
      <c r="N798" s="1">
        <v>0</v>
      </c>
      <c r="O798" s="1">
        <v>2</v>
      </c>
      <c r="P798" s="2">
        <v>1</v>
      </c>
      <c r="Q798" s="68">
        <v>15</v>
      </c>
    </row>
    <row r="799" spans="1:17" x14ac:dyDescent="0.25">
      <c r="A799" s="10">
        <v>199</v>
      </c>
      <c r="B799" s="10">
        <v>22</v>
      </c>
      <c r="C799" s="10">
        <v>0</v>
      </c>
      <c r="D799" s="10">
        <v>1</v>
      </c>
      <c r="E799" s="10">
        <v>1</v>
      </c>
      <c r="F799" s="10">
        <v>1</v>
      </c>
      <c r="L799" s="1">
        <v>309</v>
      </c>
      <c r="M799" s="1">
        <v>33</v>
      </c>
      <c r="N799" s="1">
        <v>0</v>
      </c>
      <c r="O799" s="1">
        <v>2</v>
      </c>
      <c r="P799" s="2">
        <v>1</v>
      </c>
      <c r="Q799" s="67">
        <v>23</v>
      </c>
    </row>
    <row r="800" spans="1:17" x14ac:dyDescent="0.25">
      <c r="A800" s="10">
        <v>200</v>
      </c>
      <c r="B800" s="10">
        <v>22</v>
      </c>
      <c r="C800" s="10">
        <v>0</v>
      </c>
      <c r="D800" s="10">
        <v>1</v>
      </c>
      <c r="E800" s="10">
        <v>1</v>
      </c>
      <c r="F800" s="10">
        <v>1</v>
      </c>
      <c r="L800" s="1">
        <v>310</v>
      </c>
      <c r="M800" s="1">
        <v>33</v>
      </c>
      <c r="N800" s="1">
        <v>0</v>
      </c>
      <c r="O800" s="1">
        <v>2</v>
      </c>
      <c r="P800" s="2">
        <v>1</v>
      </c>
      <c r="Q800" s="68">
        <v>11</v>
      </c>
    </row>
    <row r="801" spans="1:17" x14ac:dyDescent="0.25">
      <c r="A801" s="10">
        <v>201</v>
      </c>
      <c r="B801" s="10">
        <v>22</v>
      </c>
      <c r="C801" s="10">
        <v>0</v>
      </c>
      <c r="D801" s="10">
        <v>1</v>
      </c>
      <c r="E801" s="10">
        <v>1</v>
      </c>
      <c r="F801" s="10">
        <v>1</v>
      </c>
      <c r="L801" s="1">
        <v>311</v>
      </c>
      <c r="M801" s="1">
        <v>34</v>
      </c>
      <c r="N801" s="1">
        <v>0</v>
      </c>
      <c r="O801" s="1">
        <v>2</v>
      </c>
      <c r="P801" s="2">
        <v>1</v>
      </c>
      <c r="Q801" s="67">
        <v>16</v>
      </c>
    </row>
    <row r="802" spans="1:17" x14ac:dyDescent="0.25">
      <c r="A802" s="10">
        <v>202</v>
      </c>
      <c r="B802" s="10">
        <v>22</v>
      </c>
      <c r="C802" s="10">
        <v>0</v>
      </c>
      <c r="D802" s="10">
        <v>1</v>
      </c>
      <c r="E802" s="10">
        <v>1</v>
      </c>
      <c r="F802" s="10">
        <v>1</v>
      </c>
      <c r="L802" s="1">
        <v>312</v>
      </c>
      <c r="M802" s="1">
        <v>34</v>
      </c>
      <c r="N802" s="1">
        <v>0</v>
      </c>
      <c r="O802" s="1">
        <v>2</v>
      </c>
      <c r="P802" s="2">
        <v>1</v>
      </c>
      <c r="Q802" s="68">
        <v>13</v>
      </c>
    </row>
    <row r="803" spans="1:17" x14ac:dyDescent="0.25">
      <c r="A803" s="10">
        <v>203</v>
      </c>
      <c r="B803" s="10">
        <v>22</v>
      </c>
      <c r="C803" s="10">
        <v>0</v>
      </c>
      <c r="D803" s="10">
        <v>1</v>
      </c>
      <c r="E803" s="10">
        <v>1</v>
      </c>
      <c r="F803" s="10">
        <v>1</v>
      </c>
      <c r="L803" s="1">
        <v>313</v>
      </c>
      <c r="M803" s="1">
        <v>34</v>
      </c>
      <c r="N803" s="1">
        <v>0</v>
      </c>
      <c r="O803" s="1">
        <v>2</v>
      </c>
      <c r="P803" s="2">
        <v>1</v>
      </c>
      <c r="Q803" s="67">
        <v>15</v>
      </c>
    </row>
    <row r="804" spans="1:17" x14ac:dyDescent="0.25">
      <c r="A804" s="10">
        <v>204</v>
      </c>
      <c r="B804" s="10">
        <v>22</v>
      </c>
      <c r="C804" s="10">
        <v>0</v>
      </c>
      <c r="D804" s="10">
        <v>1</v>
      </c>
      <c r="E804" s="10">
        <v>1</v>
      </c>
      <c r="F804" s="10">
        <v>1</v>
      </c>
      <c r="L804" s="1">
        <v>314</v>
      </c>
      <c r="M804" s="1">
        <v>34</v>
      </c>
      <c r="N804" s="1">
        <v>0</v>
      </c>
      <c r="O804" s="1">
        <v>2</v>
      </c>
      <c r="P804" s="2">
        <v>1</v>
      </c>
      <c r="Q804" s="68">
        <v>17</v>
      </c>
    </row>
    <row r="805" spans="1:17" x14ac:dyDescent="0.25">
      <c r="A805" s="10">
        <v>205</v>
      </c>
      <c r="B805" s="10">
        <v>22</v>
      </c>
      <c r="C805" s="10">
        <v>0</v>
      </c>
      <c r="D805" s="10">
        <v>1</v>
      </c>
      <c r="E805" s="10">
        <v>1</v>
      </c>
      <c r="F805" s="10">
        <v>1</v>
      </c>
      <c r="L805" s="1">
        <v>315</v>
      </c>
      <c r="M805" s="1">
        <v>34</v>
      </c>
      <c r="N805" s="1">
        <v>0</v>
      </c>
      <c r="O805" s="1">
        <v>2</v>
      </c>
      <c r="P805" s="2">
        <v>1</v>
      </c>
      <c r="Q805" s="67">
        <v>13</v>
      </c>
    </row>
    <row r="806" spans="1:17" x14ac:dyDescent="0.25">
      <c r="A806" s="10">
        <v>206</v>
      </c>
      <c r="B806" s="10">
        <v>22</v>
      </c>
      <c r="C806" s="10">
        <v>0</v>
      </c>
      <c r="D806" s="10">
        <v>1</v>
      </c>
      <c r="E806" s="10">
        <v>1</v>
      </c>
      <c r="F806" s="10">
        <v>1</v>
      </c>
      <c r="L806" s="1">
        <v>316</v>
      </c>
      <c r="M806" s="1">
        <v>34</v>
      </c>
      <c r="N806" s="1">
        <v>0</v>
      </c>
      <c r="O806" s="1">
        <v>2</v>
      </c>
      <c r="P806" s="2">
        <v>1</v>
      </c>
      <c r="Q806" s="68">
        <v>4</v>
      </c>
    </row>
    <row r="807" spans="1:17" x14ac:dyDescent="0.25">
      <c r="A807" s="10">
        <v>207</v>
      </c>
      <c r="B807" s="10">
        <v>22</v>
      </c>
      <c r="C807" s="10">
        <v>0</v>
      </c>
      <c r="D807" s="10">
        <v>1</v>
      </c>
      <c r="E807" s="10">
        <v>1</v>
      </c>
      <c r="F807" s="10">
        <v>1</v>
      </c>
      <c r="L807" s="1">
        <v>317</v>
      </c>
      <c r="M807" s="1">
        <v>34</v>
      </c>
      <c r="N807" s="1">
        <v>0</v>
      </c>
      <c r="O807" s="1">
        <v>2</v>
      </c>
      <c r="P807" s="2">
        <v>1</v>
      </c>
      <c r="Q807" s="67">
        <v>14</v>
      </c>
    </row>
    <row r="808" spans="1:17" x14ac:dyDescent="0.25">
      <c r="A808" s="10">
        <v>208</v>
      </c>
      <c r="B808" s="10">
        <v>22</v>
      </c>
      <c r="C808" s="10">
        <v>0</v>
      </c>
      <c r="D808" s="10">
        <v>1</v>
      </c>
      <c r="E808" s="10">
        <v>1</v>
      </c>
      <c r="F808" s="10">
        <v>1</v>
      </c>
      <c r="L808" s="1">
        <v>318</v>
      </c>
      <c r="M808" s="1">
        <v>34</v>
      </c>
      <c r="N808" s="1">
        <v>0</v>
      </c>
      <c r="O808" s="1">
        <v>2</v>
      </c>
      <c r="P808" s="2">
        <v>1</v>
      </c>
      <c r="Q808" s="68">
        <v>1</v>
      </c>
    </row>
    <row r="809" spans="1:17" x14ac:dyDescent="0.25">
      <c r="A809" s="10">
        <v>209</v>
      </c>
      <c r="B809" s="10">
        <v>23</v>
      </c>
      <c r="C809" s="10">
        <v>0</v>
      </c>
      <c r="D809" s="10">
        <v>1</v>
      </c>
      <c r="E809" s="10">
        <v>1</v>
      </c>
      <c r="F809" s="10">
        <v>1</v>
      </c>
      <c r="L809" s="1">
        <v>319</v>
      </c>
      <c r="M809" s="1">
        <v>34</v>
      </c>
      <c r="N809" s="1">
        <v>0</v>
      </c>
      <c r="O809" s="1">
        <v>2</v>
      </c>
      <c r="P809" s="2">
        <v>1</v>
      </c>
      <c r="Q809" s="67">
        <v>14</v>
      </c>
    </row>
    <row r="810" spans="1:17" x14ac:dyDescent="0.25">
      <c r="A810" s="10">
        <v>210</v>
      </c>
      <c r="B810" s="10">
        <v>23</v>
      </c>
      <c r="C810" s="10">
        <v>0</v>
      </c>
      <c r="D810" s="10">
        <v>1</v>
      </c>
      <c r="E810" s="10">
        <v>1</v>
      </c>
      <c r="F810" s="10">
        <v>1</v>
      </c>
      <c r="L810" s="1">
        <v>320</v>
      </c>
      <c r="M810" s="1">
        <v>34</v>
      </c>
      <c r="N810" s="1">
        <v>0</v>
      </c>
      <c r="O810" s="1">
        <v>2</v>
      </c>
      <c r="P810" s="2">
        <v>1</v>
      </c>
      <c r="Q810" s="68">
        <v>15</v>
      </c>
    </row>
    <row r="811" spans="1:17" x14ac:dyDescent="0.25">
      <c r="A811" s="10">
        <v>211</v>
      </c>
      <c r="B811" s="10">
        <v>23</v>
      </c>
      <c r="C811" s="10">
        <v>0</v>
      </c>
      <c r="D811" s="10">
        <v>1</v>
      </c>
      <c r="E811" s="10">
        <v>1</v>
      </c>
      <c r="F811" s="10">
        <v>1</v>
      </c>
      <c r="L811" s="1">
        <v>321</v>
      </c>
      <c r="M811" s="1">
        <v>35</v>
      </c>
      <c r="N811" s="1">
        <v>0</v>
      </c>
      <c r="O811" s="1">
        <v>2</v>
      </c>
      <c r="P811" s="2">
        <v>1</v>
      </c>
      <c r="Q811" s="67">
        <v>17</v>
      </c>
    </row>
    <row r="812" spans="1:17" x14ac:dyDescent="0.25">
      <c r="A812" s="10">
        <v>212</v>
      </c>
      <c r="B812" s="10">
        <v>23</v>
      </c>
      <c r="C812" s="10">
        <v>0</v>
      </c>
      <c r="D812" s="10">
        <v>1</v>
      </c>
      <c r="E812" s="10">
        <v>1</v>
      </c>
      <c r="F812" s="10">
        <v>1</v>
      </c>
      <c r="L812" s="1">
        <v>322</v>
      </c>
      <c r="M812" s="1">
        <v>35</v>
      </c>
      <c r="N812" s="1">
        <v>0</v>
      </c>
      <c r="O812" s="1">
        <v>2</v>
      </c>
      <c r="P812" s="2">
        <v>1</v>
      </c>
      <c r="Q812" s="68">
        <v>14</v>
      </c>
    </row>
    <row r="813" spans="1:17" x14ac:dyDescent="0.25">
      <c r="A813" s="10">
        <v>213</v>
      </c>
      <c r="B813" s="10">
        <v>23</v>
      </c>
      <c r="C813" s="10">
        <v>0</v>
      </c>
      <c r="D813" s="10">
        <v>1</v>
      </c>
      <c r="E813" s="10">
        <v>1</v>
      </c>
      <c r="F813" s="10">
        <v>1</v>
      </c>
      <c r="L813" s="1">
        <v>323</v>
      </c>
      <c r="M813" s="1">
        <v>35</v>
      </c>
      <c r="N813" s="1">
        <v>0</v>
      </c>
      <c r="O813" s="1">
        <v>2</v>
      </c>
      <c r="P813" s="2">
        <v>1</v>
      </c>
      <c r="Q813" s="67">
        <v>11</v>
      </c>
    </row>
    <row r="814" spans="1:17" x14ac:dyDescent="0.25">
      <c r="A814" s="10">
        <v>214</v>
      </c>
      <c r="B814" s="10">
        <v>23</v>
      </c>
      <c r="C814" s="10">
        <v>0</v>
      </c>
      <c r="D814" s="10">
        <v>1</v>
      </c>
      <c r="E814" s="10">
        <v>1</v>
      </c>
      <c r="F814" s="10">
        <v>1</v>
      </c>
      <c r="L814" s="1">
        <v>324</v>
      </c>
      <c r="M814" s="1">
        <v>35</v>
      </c>
      <c r="N814" s="1">
        <v>0</v>
      </c>
      <c r="O814" s="1">
        <v>2</v>
      </c>
      <c r="P814" s="2">
        <v>1</v>
      </c>
      <c r="Q814" s="68">
        <v>12</v>
      </c>
    </row>
    <row r="815" spans="1:17" x14ac:dyDescent="0.25">
      <c r="A815" s="10">
        <v>215</v>
      </c>
      <c r="B815" s="10">
        <v>23</v>
      </c>
      <c r="C815" s="10">
        <v>0</v>
      </c>
      <c r="D815" s="10">
        <v>1</v>
      </c>
      <c r="E815" s="10">
        <v>1</v>
      </c>
      <c r="F815" s="10">
        <v>1</v>
      </c>
      <c r="L815" s="1">
        <v>325</v>
      </c>
      <c r="M815" s="1">
        <v>35</v>
      </c>
      <c r="N815" s="1">
        <v>0</v>
      </c>
      <c r="O815" s="1">
        <v>2</v>
      </c>
      <c r="P815" s="2">
        <v>1</v>
      </c>
      <c r="Q815" s="67">
        <v>14</v>
      </c>
    </row>
    <row r="816" spans="1:17" x14ac:dyDescent="0.25">
      <c r="A816" s="10">
        <v>216</v>
      </c>
      <c r="B816" s="10">
        <v>23</v>
      </c>
      <c r="C816" s="10">
        <v>0</v>
      </c>
      <c r="D816" s="10">
        <v>1</v>
      </c>
      <c r="E816" s="10">
        <v>1</v>
      </c>
      <c r="F816" s="10">
        <v>1</v>
      </c>
      <c r="L816" s="1">
        <v>326</v>
      </c>
      <c r="M816" s="1">
        <v>35</v>
      </c>
      <c r="N816" s="1">
        <v>0</v>
      </c>
      <c r="O816" s="1">
        <v>2</v>
      </c>
      <c r="P816" s="2">
        <v>1</v>
      </c>
      <c r="Q816" s="68">
        <v>17</v>
      </c>
    </row>
    <row r="817" spans="1:17" x14ac:dyDescent="0.25">
      <c r="A817" s="10">
        <v>217</v>
      </c>
      <c r="B817" s="10">
        <v>23</v>
      </c>
      <c r="C817" s="10">
        <v>0</v>
      </c>
      <c r="D817" s="10">
        <v>1</v>
      </c>
      <c r="E817" s="10">
        <v>1</v>
      </c>
      <c r="F817" s="10">
        <v>1</v>
      </c>
      <c r="L817" s="1">
        <v>327</v>
      </c>
      <c r="M817" s="1">
        <v>35</v>
      </c>
      <c r="N817" s="1">
        <v>0</v>
      </c>
      <c r="O817" s="1">
        <v>2</v>
      </c>
      <c r="P817" s="2">
        <v>1</v>
      </c>
      <c r="Q817" s="67">
        <v>12</v>
      </c>
    </row>
    <row r="818" spans="1:17" x14ac:dyDescent="0.25">
      <c r="A818" s="10">
        <v>218</v>
      </c>
      <c r="B818" s="10">
        <v>23</v>
      </c>
      <c r="C818" s="10">
        <v>0</v>
      </c>
      <c r="D818" s="10">
        <v>1</v>
      </c>
      <c r="E818" s="10">
        <v>1</v>
      </c>
      <c r="F818" s="10">
        <v>1</v>
      </c>
      <c r="L818" s="1">
        <v>328</v>
      </c>
      <c r="M818" s="1">
        <v>35</v>
      </c>
      <c r="N818" s="1">
        <v>0</v>
      </c>
      <c r="O818" s="1">
        <v>2</v>
      </c>
      <c r="P818" s="2">
        <v>1</v>
      </c>
      <c r="Q818" s="68">
        <v>18</v>
      </c>
    </row>
    <row r="819" spans="1:17" x14ac:dyDescent="0.25">
      <c r="A819" s="10">
        <v>219</v>
      </c>
      <c r="B819" s="10">
        <v>24</v>
      </c>
      <c r="C819" s="10">
        <v>0</v>
      </c>
      <c r="D819" s="10">
        <v>1</v>
      </c>
      <c r="E819" s="10">
        <v>1</v>
      </c>
      <c r="F819" s="10">
        <v>1</v>
      </c>
      <c r="L819" s="1">
        <v>329</v>
      </c>
      <c r="M819" s="1">
        <v>35</v>
      </c>
      <c r="N819" s="1">
        <v>0</v>
      </c>
      <c r="O819" s="1">
        <v>2</v>
      </c>
      <c r="P819" s="2">
        <v>1</v>
      </c>
      <c r="Q819" s="67">
        <v>14</v>
      </c>
    </row>
    <row r="820" spans="1:17" x14ac:dyDescent="0.25">
      <c r="A820" s="10">
        <v>220</v>
      </c>
      <c r="B820" s="10">
        <v>24</v>
      </c>
      <c r="C820" s="10">
        <v>0</v>
      </c>
      <c r="D820" s="10">
        <v>1</v>
      </c>
      <c r="E820" s="10">
        <v>1</v>
      </c>
      <c r="F820" s="10">
        <v>1</v>
      </c>
      <c r="L820" s="1">
        <v>330</v>
      </c>
      <c r="M820" s="1">
        <v>35</v>
      </c>
      <c r="N820" s="1">
        <v>0</v>
      </c>
      <c r="O820" s="1">
        <v>2</v>
      </c>
      <c r="P820" s="2">
        <v>1</v>
      </c>
      <c r="Q820" s="68">
        <v>14</v>
      </c>
    </row>
    <row r="821" spans="1:17" x14ac:dyDescent="0.25">
      <c r="A821" s="10">
        <v>221</v>
      </c>
      <c r="B821" s="10">
        <v>24</v>
      </c>
      <c r="C821" s="10">
        <v>0</v>
      </c>
      <c r="D821" s="10">
        <v>1</v>
      </c>
      <c r="E821" s="10">
        <v>1</v>
      </c>
      <c r="F821" s="10">
        <v>1</v>
      </c>
      <c r="L821" s="1">
        <v>331</v>
      </c>
      <c r="M821" s="1">
        <v>36</v>
      </c>
      <c r="N821" s="1">
        <v>0</v>
      </c>
      <c r="O821" s="1">
        <v>2</v>
      </c>
      <c r="P821" s="2">
        <v>1</v>
      </c>
      <c r="Q821" s="67">
        <v>16</v>
      </c>
    </row>
    <row r="822" spans="1:17" x14ac:dyDescent="0.25">
      <c r="A822" s="10">
        <v>222</v>
      </c>
      <c r="B822" s="10">
        <v>24</v>
      </c>
      <c r="C822" s="10">
        <v>0</v>
      </c>
      <c r="D822" s="10">
        <v>1</v>
      </c>
      <c r="E822" s="10">
        <v>1</v>
      </c>
      <c r="F822" s="10">
        <v>1</v>
      </c>
      <c r="L822" s="1">
        <v>332</v>
      </c>
      <c r="M822" s="1">
        <v>36</v>
      </c>
      <c r="N822" s="1">
        <v>0</v>
      </c>
      <c r="O822" s="1">
        <v>2</v>
      </c>
      <c r="P822" s="2">
        <v>1</v>
      </c>
      <c r="Q822" s="68">
        <v>14</v>
      </c>
    </row>
    <row r="823" spans="1:17" x14ac:dyDescent="0.25">
      <c r="A823" s="10">
        <v>223</v>
      </c>
      <c r="B823" s="10">
        <v>24</v>
      </c>
      <c r="C823" s="10">
        <v>0</v>
      </c>
      <c r="D823" s="10">
        <v>1</v>
      </c>
      <c r="E823" s="10">
        <v>1</v>
      </c>
      <c r="F823" s="10">
        <v>1</v>
      </c>
      <c r="L823" s="1">
        <v>333</v>
      </c>
      <c r="M823" s="1">
        <v>36</v>
      </c>
      <c r="N823" s="1">
        <v>0</v>
      </c>
      <c r="O823" s="1">
        <v>2</v>
      </c>
      <c r="P823" s="2">
        <v>1</v>
      </c>
      <c r="Q823" s="67">
        <v>15</v>
      </c>
    </row>
    <row r="824" spans="1:17" x14ac:dyDescent="0.25">
      <c r="A824" s="10">
        <v>224</v>
      </c>
      <c r="B824" s="10">
        <v>24</v>
      </c>
      <c r="C824" s="10">
        <v>0</v>
      </c>
      <c r="D824" s="10">
        <v>1</v>
      </c>
      <c r="E824" s="10">
        <v>1</v>
      </c>
      <c r="F824" s="10">
        <v>1</v>
      </c>
      <c r="L824" s="1">
        <v>334</v>
      </c>
      <c r="M824" s="1">
        <v>36</v>
      </c>
      <c r="N824" s="1">
        <v>0</v>
      </c>
      <c r="O824" s="1">
        <v>2</v>
      </c>
      <c r="P824" s="2">
        <v>1</v>
      </c>
      <c r="Q824" s="68">
        <v>14</v>
      </c>
    </row>
    <row r="825" spans="1:17" x14ac:dyDescent="0.25">
      <c r="A825" s="10">
        <v>225</v>
      </c>
      <c r="B825" s="10">
        <v>24</v>
      </c>
      <c r="C825" s="10">
        <v>0</v>
      </c>
      <c r="D825" s="10">
        <v>1</v>
      </c>
      <c r="E825" s="10">
        <v>1</v>
      </c>
      <c r="F825" s="10">
        <v>1</v>
      </c>
      <c r="L825" s="1">
        <v>335</v>
      </c>
      <c r="M825" s="1">
        <v>36</v>
      </c>
      <c r="N825" s="1">
        <v>0</v>
      </c>
      <c r="O825" s="1">
        <v>2</v>
      </c>
      <c r="P825" s="2">
        <v>1</v>
      </c>
      <c r="Q825" s="67">
        <v>19</v>
      </c>
    </row>
    <row r="826" spans="1:17" x14ac:dyDescent="0.25">
      <c r="A826" s="10">
        <v>226</v>
      </c>
      <c r="B826" s="10">
        <v>24</v>
      </c>
      <c r="C826" s="10">
        <v>0</v>
      </c>
      <c r="D826" s="10">
        <v>1</v>
      </c>
      <c r="E826" s="10">
        <v>1</v>
      </c>
      <c r="F826" s="10">
        <v>1</v>
      </c>
      <c r="L826" s="1">
        <v>336</v>
      </c>
      <c r="M826" s="1">
        <v>36</v>
      </c>
      <c r="N826" s="1">
        <v>0</v>
      </c>
      <c r="O826" s="1">
        <v>2</v>
      </c>
      <c r="P826" s="2">
        <v>1</v>
      </c>
      <c r="Q826" s="68">
        <v>15</v>
      </c>
    </row>
    <row r="827" spans="1:17" x14ac:dyDescent="0.25">
      <c r="A827" s="10">
        <v>227</v>
      </c>
      <c r="B827" s="10">
        <v>24</v>
      </c>
      <c r="C827" s="10">
        <v>0</v>
      </c>
      <c r="D827" s="10">
        <v>1</v>
      </c>
      <c r="E827" s="10">
        <v>1</v>
      </c>
      <c r="F827" s="10">
        <v>1</v>
      </c>
      <c r="L827" s="1">
        <v>337</v>
      </c>
      <c r="M827" s="1">
        <v>36</v>
      </c>
      <c r="N827" s="1">
        <v>0</v>
      </c>
      <c r="O827" s="1">
        <v>2</v>
      </c>
      <c r="P827" s="2">
        <v>1</v>
      </c>
      <c r="Q827" s="67">
        <v>17</v>
      </c>
    </row>
    <row r="828" spans="1:17" x14ac:dyDescent="0.25">
      <c r="A828" s="10">
        <v>228</v>
      </c>
      <c r="B828" s="10">
        <v>24</v>
      </c>
      <c r="C828" s="10">
        <v>0</v>
      </c>
      <c r="D828" s="10">
        <v>1</v>
      </c>
      <c r="E828" s="10">
        <v>1</v>
      </c>
      <c r="F828" s="10">
        <v>1</v>
      </c>
      <c r="L828" s="1">
        <v>338</v>
      </c>
      <c r="M828" s="1">
        <v>36</v>
      </c>
      <c r="N828" s="1">
        <v>0</v>
      </c>
      <c r="O828" s="1">
        <v>2</v>
      </c>
      <c r="P828" s="2">
        <v>1</v>
      </c>
      <c r="Q828" s="68">
        <v>14</v>
      </c>
    </row>
    <row r="829" spans="1:17" x14ac:dyDescent="0.25">
      <c r="A829" s="10">
        <v>229</v>
      </c>
      <c r="B829" s="10">
        <v>25</v>
      </c>
      <c r="C829" s="10">
        <v>0</v>
      </c>
      <c r="D829" s="10">
        <v>1</v>
      </c>
      <c r="E829" s="10">
        <v>1</v>
      </c>
      <c r="F829" s="10">
        <v>1</v>
      </c>
      <c r="L829" s="1">
        <v>339</v>
      </c>
      <c r="M829" s="1">
        <v>37</v>
      </c>
      <c r="N829" s="1">
        <v>0</v>
      </c>
      <c r="O829" s="1">
        <v>2</v>
      </c>
      <c r="P829" s="2">
        <v>1</v>
      </c>
      <c r="Q829" s="67">
        <v>11</v>
      </c>
    </row>
    <row r="830" spans="1:17" x14ac:dyDescent="0.25">
      <c r="A830" s="10">
        <v>230</v>
      </c>
      <c r="B830" s="10">
        <v>25</v>
      </c>
      <c r="C830" s="10">
        <v>0</v>
      </c>
      <c r="D830" s="10">
        <v>1</v>
      </c>
      <c r="E830" s="10">
        <v>1</v>
      </c>
      <c r="F830" s="10">
        <v>1</v>
      </c>
      <c r="L830" s="1">
        <v>340</v>
      </c>
      <c r="M830" s="1">
        <v>37</v>
      </c>
      <c r="N830" s="1">
        <v>0</v>
      </c>
      <c r="O830" s="1">
        <v>2</v>
      </c>
      <c r="P830" s="2">
        <v>1</v>
      </c>
      <c r="Q830" s="68">
        <v>3</v>
      </c>
    </row>
    <row r="831" spans="1:17" x14ac:dyDescent="0.25">
      <c r="A831" s="10">
        <v>231</v>
      </c>
      <c r="B831" s="10">
        <v>25</v>
      </c>
      <c r="C831" s="10">
        <v>0</v>
      </c>
      <c r="D831" s="10">
        <v>1</v>
      </c>
      <c r="E831" s="10">
        <v>1</v>
      </c>
      <c r="F831" s="10">
        <v>1</v>
      </c>
      <c r="L831" s="1">
        <v>341</v>
      </c>
      <c r="M831" s="1">
        <v>37</v>
      </c>
      <c r="N831" s="1">
        <v>0</v>
      </c>
      <c r="O831" s="1">
        <v>2</v>
      </c>
      <c r="P831" s="2">
        <v>1</v>
      </c>
      <c r="Q831" s="67">
        <v>7</v>
      </c>
    </row>
    <row r="832" spans="1:17" x14ac:dyDescent="0.25">
      <c r="A832" s="10">
        <v>232</v>
      </c>
      <c r="B832" s="10">
        <v>25</v>
      </c>
      <c r="C832" s="10">
        <v>0</v>
      </c>
      <c r="D832" s="10">
        <v>1</v>
      </c>
      <c r="E832" s="10">
        <v>1</v>
      </c>
      <c r="F832" s="10">
        <v>1</v>
      </c>
      <c r="L832" s="1">
        <v>342</v>
      </c>
      <c r="M832" s="1">
        <v>37</v>
      </c>
      <c r="N832" s="1">
        <v>0</v>
      </c>
      <c r="O832" s="1">
        <v>2</v>
      </c>
      <c r="P832" s="2">
        <v>1</v>
      </c>
      <c r="Q832" s="68">
        <v>6</v>
      </c>
    </row>
    <row r="833" spans="1:17" x14ac:dyDescent="0.25">
      <c r="A833" s="10">
        <v>233</v>
      </c>
      <c r="B833" s="10">
        <v>25</v>
      </c>
      <c r="C833" s="10">
        <v>0</v>
      </c>
      <c r="D833" s="10">
        <v>1</v>
      </c>
      <c r="E833" s="10">
        <v>1</v>
      </c>
      <c r="F833" s="10">
        <v>1</v>
      </c>
      <c r="L833" s="1">
        <v>343</v>
      </c>
      <c r="M833" s="1">
        <v>37</v>
      </c>
      <c r="N833" s="1">
        <v>0</v>
      </c>
      <c r="O833" s="1">
        <v>2</v>
      </c>
      <c r="P833" s="2">
        <v>1</v>
      </c>
      <c r="Q833" s="67">
        <v>5</v>
      </c>
    </row>
    <row r="834" spans="1:17" x14ac:dyDescent="0.25">
      <c r="A834" s="10">
        <v>234</v>
      </c>
      <c r="B834" s="10">
        <v>25</v>
      </c>
      <c r="C834" s="10">
        <v>0</v>
      </c>
      <c r="D834" s="10">
        <v>1</v>
      </c>
      <c r="E834" s="10">
        <v>1</v>
      </c>
      <c r="F834" s="10">
        <v>1</v>
      </c>
      <c r="L834" s="1">
        <v>344</v>
      </c>
      <c r="M834" s="1">
        <v>37</v>
      </c>
      <c r="N834" s="1">
        <v>0</v>
      </c>
      <c r="O834" s="1">
        <v>2</v>
      </c>
      <c r="P834" s="2">
        <v>1</v>
      </c>
      <c r="Q834" s="68">
        <v>9</v>
      </c>
    </row>
    <row r="835" spans="1:17" x14ac:dyDescent="0.25">
      <c r="A835" s="10">
        <v>235</v>
      </c>
      <c r="B835" s="10">
        <v>25</v>
      </c>
      <c r="C835" s="10">
        <v>0</v>
      </c>
      <c r="D835" s="10">
        <v>1</v>
      </c>
      <c r="E835" s="10">
        <v>1</v>
      </c>
      <c r="F835" s="10">
        <v>1</v>
      </c>
      <c r="L835" s="1">
        <v>345</v>
      </c>
      <c r="M835" s="1">
        <v>37</v>
      </c>
      <c r="N835" s="1">
        <v>0</v>
      </c>
      <c r="O835" s="1">
        <v>2</v>
      </c>
      <c r="P835" s="2">
        <v>1</v>
      </c>
      <c r="Q835" s="67">
        <v>6</v>
      </c>
    </row>
    <row r="836" spans="1:17" x14ac:dyDescent="0.25">
      <c r="A836" s="10">
        <v>236</v>
      </c>
      <c r="B836" s="10">
        <v>25</v>
      </c>
      <c r="C836" s="10">
        <v>0</v>
      </c>
      <c r="D836" s="10">
        <v>1</v>
      </c>
      <c r="E836" s="10">
        <v>1</v>
      </c>
      <c r="F836" s="10">
        <v>1</v>
      </c>
      <c r="L836" s="1">
        <v>346</v>
      </c>
      <c r="M836" s="1">
        <v>37</v>
      </c>
      <c r="N836" s="1">
        <v>0</v>
      </c>
      <c r="O836" s="1">
        <v>2</v>
      </c>
      <c r="P836" s="2">
        <v>1</v>
      </c>
      <c r="Q836" s="68">
        <v>6</v>
      </c>
    </row>
    <row r="837" spans="1:17" x14ac:dyDescent="0.25">
      <c r="A837" s="10">
        <v>237</v>
      </c>
      <c r="B837" s="10">
        <v>26</v>
      </c>
      <c r="C837" s="10">
        <v>0</v>
      </c>
      <c r="D837" s="10">
        <v>1</v>
      </c>
      <c r="E837" s="10">
        <v>1</v>
      </c>
      <c r="F837" s="10">
        <v>1</v>
      </c>
      <c r="L837" s="1">
        <v>347</v>
      </c>
      <c r="M837" s="1">
        <v>38</v>
      </c>
      <c r="N837" s="1">
        <v>0</v>
      </c>
      <c r="O837" s="1">
        <v>2</v>
      </c>
      <c r="P837" s="2">
        <v>1</v>
      </c>
      <c r="Q837" s="67">
        <v>5</v>
      </c>
    </row>
    <row r="838" spans="1:17" x14ac:dyDescent="0.25">
      <c r="A838" s="10">
        <v>238</v>
      </c>
      <c r="B838" s="10">
        <v>26</v>
      </c>
      <c r="C838" s="10">
        <v>0</v>
      </c>
      <c r="D838" s="10">
        <v>1</v>
      </c>
      <c r="E838" s="10">
        <v>1</v>
      </c>
      <c r="F838" s="10">
        <v>1</v>
      </c>
      <c r="L838" s="1">
        <v>348</v>
      </c>
      <c r="M838" s="1">
        <v>38</v>
      </c>
      <c r="N838" s="1">
        <v>0</v>
      </c>
      <c r="O838" s="1">
        <v>2</v>
      </c>
      <c r="P838" s="2">
        <v>1</v>
      </c>
      <c r="Q838" s="68">
        <v>18</v>
      </c>
    </row>
    <row r="839" spans="1:17" x14ac:dyDescent="0.25">
      <c r="A839" s="10">
        <v>239</v>
      </c>
      <c r="B839" s="10">
        <v>26</v>
      </c>
      <c r="C839" s="10">
        <v>0</v>
      </c>
      <c r="D839" s="10">
        <v>1</v>
      </c>
      <c r="E839" s="10">
        <v>1</v>
      </c>
      <c r="F839" s="10">
        <v>1</v>
      </c>
      <c r="L839" s="1">
        <v>349</v>
      </c>
      <c r="M839" s="1">
        <v>38</v>
      </c>
      <c r="N839" s="1">
        <v>0</v>
      </c>
      <c r="O839" s="1">
        <v>2</v>
      </c>
      <c r="P839" s="2">
        <v>1</v>
      </c>
      <c r="Q839" s="67">
        <v>1</v>
      </c>
    </row>
    <row r="840" spans="1:17" x14ac:dyDescent="0.25">
      <c r="A840" s="10">
        <v>240</v>
      </c>
      <c r="B840" s="10">
        <v>26</v>
      </c>
      <c r="C840" s="10">
        <v>0</v>
      </c>
      <c r="D840" s="10">
        <v>1</v>
      </c>
      <c r="E840" s="10">
        <v>1</v>
      </c>
      <c r="F840" s="10">
        <v>1</v>
      </c>
      <c r="L840" s="1">
        <v>350</v>
      </c>
      <c r="M840" s="1">
        <v>38</v>
      </c>
      <c r="N840" s="1">
        <v>0</v>
      </c>
      <c r="O840" s="1">
        <v>2</v>
      </c>
      <c r="P840" s="2">
        <v>1</v>
      </c>
      <c r="Q840" s="68">
        <v>19</v>
      </c>
    </row>
    <row r="841" spans="1:17" x14ac:dyDescent="0.25">
      <c r="A841" s="10">
        <v>241</v>
      </c>
      <c r="B841" s="10">
        <v>26</v>
      </c>
      <c r="C841" s="10">
        <v>0</v>
      </c>
      <c r="D841" s="10">
        <v>1</v>
      </c>
      <c r="E841" s="10">
        <v>1</v>
      </c>
      <c r="F841" s="10">
        <v>1</v>
      </c>
      <c r="L841" s="1">
        <v>351</v>
      </c>
      <c r="M841" s="1">
        <v>38</v>
      </c>
      <c r="N841" s="1">
        <v>0</v>
      </c>
      <c r="O841" s="1">
        <v>2</v>
      </c>
      <c r="P841" s="2">
        <v>1</v>
      </c>
      <c r="Q841" s="67">
        <v>13</v>
      </c>
    </row>
    <row r="842" spans="1:17" x14ac:dyDescent="0.25">
      <c r="A842" s="10">
        <v>242</v>
      </c>
      <c r="B842" s="10">
        <v>26</v>
      </c>
      <c r="C842" s="10">
        <v>0</v>
      </c>
      <c r="D842" s="10">
        <v>1</v>
      </c>
      <c r="E842" s="10">
        <v>1</v>
      </c>
      <c r="F842" s="10">
        <v>1</v>
      </c>
      <c r="L842" s="1">
        <v>352</v>
      </c>
      <c r="M842" s="1">
        <v>38</v>
      </c>
      <c r="N842" s="1">
        <v>0</v>
      </c>
      <c r="O842" s="1">
        <v>2</v>
      </c>
      <c r="P842" s="2">
        <v>1</v>
      </c>
      <c r="Q842" s="68">
        <v>6</v>
      </c>
    </row>
    <row r="843" spans="1:17" x14ac:dyDescent="0.25">
      <c r="A843" s="10">
        <v>243</v>
      </c>
      <c r="B843" s="10">
        <v>26</v>
      </c>
      <c r="C843" s="10">
        <v>0</v>
      </c>
      <c r="D843" s="10">
        <v>1</v>
      </c>
      <c r="E843" s="10">
        <v>1</v>
      </c>
      <c r="F843" s="10">
        <v>1</v>
      </c>
      <c r="L843" s="1">
        <v>353</v>
      </c>
      <c r="M843" s="1">
        <v>38</v>
      </c>
      <c r="N843" s="1">
        <v>0</v>
      </c>
      <c r="O843" s="1">
        <v>2</v>
      </c>
      <c r="P843" s="2">
        <v>1</v>
      </c>
      <c r="Q843" s="67">
        <v>2</v>
      </c>
    </row>
    <row r="844" spans="1:17" x14ac:dyDescent="0.25">
      <c r="A844" s="10">
        <v>244</v>
      </c>
      <c r="B844" s="10">
        <v>26</v>
      </c>
      <c r="C844" s="10">
        <v>0</v>
      </c>
      <c r="D844" s="10">
        <v>1</v>
      </c>
      <c r="E844" s="10">
        <v>1</v>
      </c>
      <c r="F844" s="10">
        <v>1</v>
      </c>
      <c r="L844" s="1">
        <v>354</v>
      </c>
      <c r="M844" s="1">
        <v>38</v>
      </c>
      <c r="N844" s="1">
        <v>0</v>
      </c>
      <c r="O844" s="1">
        <v>2</v>
      </c>
      <c r="P844" s="2">
        <v>1</v>
      </c>
      <c r="Q844" s="68">
        <v>8</v>
      </c>
    </row>
    <row r="845" spans="1:17" x14ac:dyDescent="0.25">
      <c r="A845" s="10">
        <v>245</v>
      </c>
      <c r="B845" s="10">
        <v>26</v>
      </c>
      <c r="C845" s="10">
        <v>0</v>
      </c>
      <c r="D845" s="10">
        <v>1</v>
      </c>
      <c r="E845" s="10">
        <v>1</v>
      </c>
      <c r="F845" s="10">
        <v>1</v>
      </c>
      <c r="L845" s="1">
        <v>355</v>
      </c>
      <c r="M845" s="1">
        <v>38</v>
      </c>
      <c r="N845" s="1">
        <v>0</v>
      </c>
      <c r="O845" s="1">
        <v>2</v>
      </c>
      <c r="P845" s="2">
        <v>1</v>
      </c>
      <c r="Q845" s="67">
        <v>6</v>
      </c>
    </row>
    <row r="846" spans="1:17" x14ac:dyDescent="0.25">
      <c r="A846" s="10">
        <v>246</v>
      </c>
      <c r="B846" s="10">
        <v>26</v>
      </c>
      <c r="C846" s="10">
        <v>0</v>
      </c>
      <c r="D846" s="10">
        <v>1</v>
      </c>
      <c r="E846" s="10">
        <v>1</v>
      </c>
      <c r="F846" s="10">
        <v>1</v>
      </c>
      <c r="L846" s="1">
        <v>356</v>
      </c>
      <c r="M846" s="1">
        <v>38</v>
      </c>
      <c r="N846" s="1">
        <v>0</v>
      </c>
      <c r="O846" s="1">
        <v>2</v>
      </c>
      <c r="P846" s="2">
        <v>1</v>
      </c>
      <c r="Q846" s="68">
        <v>11</v>
      </c>
    </row>
    <row r="847" spans="1:17" x14ac:dyDescent="0.25">
      <c r="A847" s="10">
        <v>247</v>
      </c>
      <c r="B847" s="10">
        <v>27</v>
      </c>
      <c r="C847" s="10">
        <v>0</v>
      </c>
      <c r="D847" s="10">
        <v>1</v>
      </c>
      <c r="E847" s="10">
        <v>1</v>
      </c>
      <c r="F847" s="10">
        <v>1</v>
      </c>
      <c r="L847" s="1">
        <v>357</v>
      </c>
      <c r="M847" s="1">
        <v>39</v>
      </c>
      <c r="N847" s="1">
        <v>0</v>
      </c>
      <c r="O847" s="1">
        <v>2</v>
      </c>
      <c r="P847" s="2">
        <v>1</v>
      </c>
      <c r="Q847" s="67">
        <v>9</v>
      </c>
    </row>
    <row r="848" spans="1:17" x14ac:dyDescent="0.25">
      <c r="A848" s="10">
        <v>248</v>
      </c>
      <c r="B848" s="10">
        <v>27</v>
      </c>
      <c r="C848" s="10">
        <v>0</v>
      </c>
      <c r="D848" s="10">
        <v>1</v>
      </c>
      <c r="E848" s="10">
        <v>1</v>
      </c>
      <c r="F848" s="10">
        <v>1</v>
      </c>
      <c r="L848" s="1">
        <v>358</v>
      </c>
      <c r="M848" s="1">
        <v>39</v>
      </c>
      <c r="N848" s="1">
        <v>0</v>
      </c>
      <c r="O848" s="1">
        <v>2</v>
      </c>
      <c r="P848" s="2">
        <v>1</v>
      </c>
      <c r="Q848" s="68">
        <v>13</v>
      </c>
    </row>
    <row r="849" spans="1:17" x14ac:dyDescent="0.25">
      <c r="A849" s="10">
        <v>249</v>
      </c>
      <c r="B849" s="10">
        <v>27</v>
      </c>
      <c r="C849" s="10">
        <v>0</v>
      </c>
      <c r="D849" s="10">
        <v>1</v>
      </c>
      <c r="E849" s="10">
        <v>1</v>
      </c>
      <c r="F849" s="10">
        <v>1</v>
      </c>
      <c r="L849" s="1">
        <v>359</v>
      </c>
      <c r="M849" s="1">
        <v>39</v>
      </c>
      <c r="N849" s="1">
        <v>0</v>
      </c>
      <c r="O849" s="1">
        <v>2</v>
      </c>
      <c r="P849" s="2">
        <v>1</v>
      </c>
      <c r="Q849" s="67">
        <v>8</v>
      </c>
    </row>
    <row r="850" spans="1:17" x14ac:dyDescent="0.25">
      <c r="A850" s="10">
        <v>250</v>
      </c>
      <c r="B850" s="10">
        <v>27</v>
      </c>
      <c r="C850" s="10">
        <v>0</v>
      </c>
      <c r="D850" s="10">
        <v>1</v>
      </c>
      <c r="E850" s="10">
        <v>1</v>
      </c>
      <c r="F850" s="10">
        <v>1</v>
      </c>
      <c r="L850" s="1">
        <v>360</v>
      </c>
      <c r="M850" s="1">
        <v>39</v>
      </c>
      <c r="N850" s="1">
        <v>0</v>
      </c>
      <c r="O850" s="1">
        <v>2</v>
      </c>
      <c r="P850" s="2">
        <v>1</v>
      </c>
      <c r="Q850" s="68">
        <v>15</v>
      </c>
    </row>
    <row r="851" spans="1:17" x14ac:dyDescent="0.25">
      <c r="A851" s="10">
        <v>251</v>
      </c>
      <c r="B851" s="10">
        <v>27</v>
      </c>
      <c r="C851" s="10">
        <v>0</v>
      </c>
      <c r="D851" s="10">
        <v>1</v>
      </c>
      <c r="E851" s="10">
        <v>1</v>
      </c>
      <c r="F851" s="10">
        <v>1</v>
      </c>
      <c r="L851" s="1">
        <v>361</v>
      </c>
      <c r="M851" s="1">
        <v>39</v>
      </c>
      <c r="N851" s="1">
        <v>0</v>
      </c>
      <c r="O851" s="1">
        <v>2</v>
      </c>
      <c r="P851" s="2">
        <v>1</v>
      </c>
      <c r="Q851" s="67">
        <v>7</v>
      </c>
    </row>
    <row r="852" spans="1:17" x14ac:dyDescent="0.25">
      <c r="A852" s="10">
        <v>252</v>
      </c>
      <c r="B852" s="10">
        <v>27</v>
      </c>
      <c r="C852" s="10">
        <v>0</v>
      </c>
      <c r="D852" s="10">
        <v>1</v>
      </c>
      <c r="E852" s="10">
        <v>1</v>
      </c>
      <c r="F852" s="10">
        <v>1</v>
      </c>
      <c r="L852" s="1">
        <v>362</v>
      </c>
      <c r="M852" s="1">
        <v>39</v>
      </c>
      <c r="N852" s="1">
        <v>0</v>
      </c>
      <c r="O852" s="1">
        <v>2</v>
      </c>
      <c r="P852" s="2">
        <v>1</v>
      </c>
      <c r="Q852" s="68">
        <v>10</v>
      </c>
    </row>
    <row r="853" spans="1:17" x14ac:dyDescent="0.25">
      <c r="A853" s="10">
        <v>253</v>
      </c>
      <c r="B853" s="10">
        <v>27</v>
      </c>
      <c r="C853" s="10">
        <v>0</v>
      </c>
      <c r="D853" s="10">
        <v>1</v>
      </c>
      <c r="E853" s="10">
        <v>1</v>
      </c>
      <c r="F853" s="10">
        <v>1</v>
      </c>
      <c r="L853" s="1">
        <v>363</v>
      </c>
      <c r="M853" s="1">
        <v>39</v>
      </c>
      <c r="N853" s="1">
        <v>0</v>
      </c>
      <c r="O853" s="1">
        <v>2</v>
      </c>
      <c r="P853" s="2">
        <v>1</v>
      </c>
      <c r="Q853" s="67">
        <v>1</v>
      </c>
    </row>
    <row r="854" spans="1:17" x14ac:dyDescent="0.25">
      <c r="A854" s="10">
        <v>254</v>
      </c>
      <c r="B854" s="10">
        <v>27</v>
      </c>
      <c r="C854" s="10">
        <v>0</v>
      </c>
      <c r="D854" s="10">
        <v>1</v>
      </c>
      <c r="E854" s="10">
        <v>1</v>
      </c>
      <c r="F854" s="10">
        <v>1</v>
      </c>
      <c r="L854" s="1">
        <v>364</v>
      </c>
      <c r="M854" s="1">
        <v>39</v>
      </c>
      <c r="N854" s="1">
        <v>0</v>
      </c>
      <c r="O854" s="1">
        <v>2</v>
      </c>
      <c r="P854" s="2">
        <v>1</v>
      </c>
      <c r="Q854" s="68">
        <v>8</v>
      </c>
    </row>
    <row r="855" spans="1:17" x14ac:dyDescent="0.25">
      <c r="A855" s="10">
        <v>255</v>
      </c>
      <c r="B855" s="10">
        <v>28</v>
      </c>
      <c r="C855" s="10">
        <v>0</v>
      </c>
      <c r="D855" s="10">
        <v>1</v>
      </c>
      <c r="E855" s="10">
        <v>1</v>
      </c>
      <c r="F855" s="10">
        <v>1</v>
      </c>
      <c r="L855" s="1">
        <v>365</v>
      </c>
      <c r="M855" s="1">
        <v>39</v>
      </c>
      <c r="N855" s="1">
        <v>0</v>
      </c>
      <c r="O855" s="1">
        <v>2</v>
      </c>
      <c r="P855" s="2">
        <v>1</v>
      </c>
      <c r="Q855" s="67">
        <v>15</v>
      </c>
    </row>
    <row r="856" spans="1:17" x14ac:dyDescent="0.25">
      <c r="A856" s="10">
        <v>256</v>
      </c>
      <c r="B856" s="10">
        <v>28</v>
      </c>
      <c r="C856" s="10">
        <v>0</v>
      </c>
      <c r="D856" s="10">
        <v>1</v>
      </c>
      <c r="E856" s="10">
        <v>1</v>
      </c>
      <c r="F856" s="10">
        <v>1</v>
      </c>
      <c r="L856" s="1">
        <v>366</v>
      </c>
      <c r="M856" s="1">
        <v>39</v>
      </c>
      <c r="N856" s="1">
        <v>0</v>
      </c>
      <c r="O856" s="1">
        <v>2</v>
      </c>
      <c r="P856" s="2">
        <v>1</v>
      </c>
      <c r="Q856" s="68">
        <v>15</v>
      </c>
    </row>
    <row r="857" spans="1:17" x14ac:dyDescent="0.25">
      <c r="A857" s="10">
        <v>257</v>
      </c>
      <c r="B857" s="10">
        <v>28</v>
      </c>
      <c r="C857" s="10">
        <v>0</v>
      </c>
      <c r="D857" s="10">
        <v>1</v>
      </c>
      <c r="E857" s="10">
        <v>1</v>
      </c>
      <c r="F857" s="10">
        <v>1</v>
      </c>
      <c r="L857" s="1">
        <v>367</v>
      </c>
      <c r="M857" s="1">
        <v>40</v>
      </c>
      <c r="N857" s="1">
        <v>0</v>
      </c>
      <c r="O857" s="1">
        <v>2</v>
      </c>
      <c r="P857" s="2">
        <v>1</v>
      </c>
      <c r="Q857" s="67">
        <v>13</v>
      </c>
    </row>
    <row r="858" spans="1:17" x14ac:dyDescent="0.25">
      <c r="A858" s="10">
        <v>258</v>
      </c>
      <c r="B858" s="10">
        <v>28</v>
      </c>
      <c r="C858" s="10">
        <v>0</v>
      </c>
      <c r="D858" s="10">
        <v>1</v>
      </c>
      <c r="E858" s="10">
        <v>1</v>
      </c>
      <c r="F858" s="10">
        <v>1</v>
      </c>
      <c r="L858" s="1">
        <v>368</v>
      </c>
      <c r="M858" s="1">
        <v>40</v>
      </c>
      <c r="N858" s="1">
        <v>0</v>
      </c>
      <c r="O858" s="1">
        <v>2</v>
      </c>
      <c r="P858" s="2">
        <v>1</v>
      </c>
      <c r="Q858" s="68">
        <v>9</v>
      </c>
    </row>
    <row r="859" spans="1:17" x14ac:dyDescent="0.25">
      <c r="A859" s="10">
        <v>259</v>
      </c>
      <c r="B859" s="10">
        <v>28</v>
      </c>
      <c r="C859" s="10">
        <v>0</v>
      </c>
      <c r="D859" s="10">
        <v>1</v>
      </c>
      <c r="E859" s="10">
        <v>1</v>
      </c>
      <c r="F859" s="10">
        <v>1</v>
      </c>
      <c r="L859" s="1">
        <v>369</v>
      </c>
      <c r="M859" s="1">
        <v>40</v>
      </c>
      <c r="N859" s="1">
        <v>0</v>
      </c>
      <c r="O859" s="1">
        <v>2</v>
      </c>
      <c r="P859" s="2">
        <v>1</v>
      </c>
      <c r="Q859" s="67">
        <v>10</v>
      </c>
    </row>
    <row r="860" spans="1:17" x14ac:dyDescent="0.25">
      <c r="A860" s="10">
        <v>260</v>
      </c>
      <c r="B860" s="10">
        <v>28</v>
      </c>
      <c r="C860" s="10">
        <v>0</v>
      </c>
      <c r="D860" s="10">
        <v>1</v>
      </c>
      <c r="E860" s="10">
        <v>1</v>
      </c>
      <c r="F860" s="10">
        <v>1</v>
      </c>
      <c r="L860" s="1">
        <v>370</v>
      </c>
      <c r="M860" s="1">
        <v>40</v>
      </c>
      <c r="N860" s="1">
        <v>0</v>
      </c>
      <c r="O860" s="1">
        <v>2</v>
      </c>
      <c r="P860" s="2">
        <v>1</v>
      </c>
      <c r="Q860" s="68">
        <v>12</v>
      </c>
    </row>
    <row r="861" spans="1:17" x14ac:dyDescent="0.25">
      <c r="A861" s="10">
        <v>261</v>
      </c>
      <c r="B861" s="10">
        <v>28</v>
      </c>
      <c r="C861" s="10">
        <v>0</v>
      </c>
      <c r="D861" s="10">
        <v>1</v>
      </c>
      <c r="E861" s="10">
        <v>1</v>
      </c>
      <c r="F861" s="10">
        <v>1</v>
      </c>
      <c r="L861" s="1">
        <v>371</v>
      </c>
      <c r="M861" s="1">
        <v>40</v>
      </c>
      <c r="N861" s="1">
        <v>0</v>
      </c>
      <c r="O861" s="1">
        <v>2</v>
      </c>
      <c r="P861" s="2">
        <v>1</v>
      </c>
      <c r="Q861" s="67">
        <v>22</v>
      </c>
    </row>
    <row r="862" spans="1:17" x14ac:dyDescent="0.25">
      <c r="A862" s="10">
        <v>262</v>
      </c>
      <c r="B862" s="10">
        <v>28</v>
      </c>
      <c r="C862" s="10">
        <v>0</v>
      </c>
      <c r="D862" s="10">
        <v>1</v>
      </c>
      <c r="E862" s="10">
        <v>1</v>
      </c>
      <c r="F862" s="10">
        <v>1</v>
      </c>
      <c r="L862" s="1">
        <v>372</v>
      </c>
      <c r="M862" s="1">
        <v>40</v>
      </c>
      <c r="N862" s="1">
        <v>0</v>
      </c>
      <c r="O862" s="1">
        <v>2</v>
      </c>
      <c r="P862" s="2">
        <v>1</v>
      </c>
      <c r="Q862" s="68">
        <v>21</v>
      </c>
    </row>
    <row r="863" spans="1:17" x14ac:dyDescent="0.25">
      <c r="A863" s="10">
        <v>263</v>
      </c>
      <c r="B863" s="10">
        <v>29</v>
      </c>
      <c r="C863" s="10">
        <v>0</v>
      </c>
      <c r="D863" s="10">
        <v>1</v>
      </c>
      <c r="E863" s="10">
        <v>1</v>
      </c>
      <c r="F863" s="10">
        <v>1</v>
      </c>
      <c r="L863" s="1">
        <v>373</v>
      </c>
      <c r="M863" s="1">
        <v>40</v>
      </c>
      <c r="N863" s="1">
        <v>0</v>
      </c>
      <c r="O863" s="1">
        <v>2</v>
      </c>
      <c r="P863" s="2">
        <v>1</v>
      </c>
      <c r="Q863" s="67">
        <v>22</v>
      </c>
    </row>
    <row r="864" spans="1:17" x14ac:dyDescent="0.25">
      <c r="A864" s="10">
        <v>264</v>
      </c>
      <c r="B864" s="10">
        <v>29</v>
      </c>
      <c r="C864" s="10">
        <v>0</v>
      </c>
      <c r="D864" s="10">
        <v>1</v>
      </c>
      <c r="E864" s="10">
        <v>1</v>
      </c>
      <c r="F864" s="10">
        <v>1</v>
      </c>
      <c r="L864" s="1">
        <v>374</v>
      </c>
      <c r="M864" s="1">
        <v>40</v>
      </c>
      <c r="N864" s="1">
        <v>0</v>
      </c>
      <c r="O864" s="1">
        <v>2</v>
      </c>
      <c r="P864" s="2">
        <v>1</v>
      </c>
      <c r="Q864" s="68">
        <v>20</v>
      </c>
    </row>
    <row r="865" spans="1:17" x14ac:dyDescent="0.25">
      <c r="A865" s="10">
        <v>265</v>
      </c>
      <c r="B865" s="10">
        <v>29</v>
      </c>
      <c r="C865" s="10">
        <v>0</v>
      </c>
      <c r="D865" s="10">
        <v>1</v>
      </c>
      <c r="E865" s="10">
        <v>1</v>
      </c>
      <c r="F865" s="10">
        <v>1</v>
      </c>
      <c r="L865" s="1">
        <v>375</v>
      </c>
      <c r="M865" s="1">
        <v>41</v>
      </c>
      <c r="N865" s="1">
        <v>0</v>
      </c>
      <c r="O865" s="1">
        <v>2</v>
      </c>
      <c r="P865" s="2">
        <v>1</v>
      </c>
      <c r="Q865" s="67">
        <v>19</v>
      </c>
    </row>
    <row r="866" spans="1:17" x14ac:dyDescent="0.25">
      <c r="A866" s="10">
        <v>266</v>
      </c>
      <c r="B866" s="10">
        <v>29</v>
      </c>
      <c r="C866" s="10">
        <v>0</v>
      </c>
      <c r="D866" s="10">
        <v>1</v>
      </c>
      <c r="E866" s="10">
        <v>1</v>
      </c>
      <c r="F866" s="10">
        <v>1</v>
      </c>
      <c r="L866" s="1">
        <v>376</v>
      </c>
      <c r="M866" s="1">
        <v>41</v>
      </c>
      <c r="N866" s="1">
        <v>0</v>
      </c>
      <c r="O866" s="1">
        <v>2</v>
      </c>
      <c r="P866" s="2">
        <v>1</v>
      </c>
      <c r="Q866" s="68">
        <v>20</v>
      </c>
    </row>
    <row r="867" spans="1:17" x14ac:dyDescent="0.25">
      <c r="A867" s="10">
        <v>267</v>
      </c>
      <c r="B867" s="10">
        <v>29</v>
      </c>
      <c r="C867" s="10">
        <v>0</v>
      </c>
      <c r="D867" s="10">
        <v>1</v>
      </c>
      <c r="E867" s="10">
        <v>1</v>
      </c>
      <c r="F867" s="10">
        <v>1</v>
      </c>
      <c r="L867" s="1">
        <v>377</v>
      </c>
      <c r="M867" s="1">
        <v>41</v>
      </c>
      <c r="N867" s="1">
        <v>0</v>
      </c>
      <c r="O867" s="1">
        <v>2</v>
      </c>
      <c r="P867" s="2">
        <v>1</v>
      </c>
      <c r="Q867" s="67">
        <v>20</v>
      </c>
    </row>
    <row r="868" spans="1:17" x14ac:dyDescent="0.25">
      <c r="A868" s="10">
        <v>268</v>
      </c>
      <c r="B868" s="10">
        <v>29</v>
      </c>
      <c r="C868" s="10">
        <v>0</v>
      </c>
      <c r="D868" s="10">
        <v>1</v>
      </c>
      <c r="E868" s="10">
        <v>1</v>
      </c>
      <c r="F868" s="10">
        <v>1</v>
      </c>
      <c r="L868" s="1">
        <v>378</v>
      </c>
      <c r="M868" s="1">
        <v>41</v>
      </c>
      <c r="N868" s="1">
        <v>0</v>
      </c>
      <c r="O868" s="1">
        <v>2</v>
      </c>
      <c r="P868" s="2">
        <v>1</v>
      </c>
      <c r="Q868" s="68">
        <v>24</v>
      </c>
    </row>
    <row r="869" spans="1:17" x14ac:dyDescent="0.25">
      <c r="A869" s="10">
        <v>269</v>
      </c>
      <c r="B869" s="10">
        <v>29</v>
      </c>
      <c r="C869" s="10">
        <v>0</v>
      </c>
      <c r="D869" s="10">
        <v>1</v>
      </c>
      <c r="E869" s="10">
        <v>1</v>
      </c>
      <c r="F869" s="10">
        <v>1</v>
      </c>
      <c r="L869" s="1">
        <v>379</v>
      </c>
      <c r="M869" s="1">
        <v>41</v>
      </c>
      <c r="N869" s="1">
        <v>0</v>
      </c>
      <c r="O869" s="1">
        <v>2</v>
      </c>
      <c r="P869" s="2">
        <v>1</v>
      </c>
      <c r="Q869" s="67">
        <v>17</v>
      </c>
    </row>
    <row r="870" spans="1:17" x14ac:dyDescent="0.25">
      <c r="A870" s="10">
        <v>270</v>
      </c>
      <c r="B870" s="10">
        <v>29</v>
      </c>
      <c r="C870" s="10">
        <v>0</v>
      </c>
      <c r="D870" s="10">
        <v>1</v>
      </c>
      <c r="E870" s="10">
        <v>1</v>
      </c>
      <c r="F870" s="10">
        <v>1</v>
      </c>
      <c r="L870" s="1">
        <v>380</v>
      </c>
      <c r="M870" s="1">
        <v>41</v>
      </c>
      <c r="N870" s="1">
        <v>0</v>
      </c>
      <c r="O870" s="1">
        <v>2</v>
      </c>
      <c r="P870" s="2">
        <v>1</v>
      </c>
      <c r="Q870" s="68">
        <v>23</v>
      </c>
    </row>
    <row r="871" spans="1:17" x14ac:dyDescent="0.25">
      <c r="A871" s="10">
        <v>271</v>
      </c>
      <c r="B871" s="10">
        <v>30</v>
      </c>
      <c r="C871" s="10">
        <v>0</v>
      </c>
      <c r="D871" s="10">
        <v>1</v>
      </c>
      <c r="E871" s="10">
        <v>1</v>
      </c>
      <c r="F871" s="10">
        <v>1</v>
      </c>
      <c r="L871" s="1">
        <v>381</v>
      </c>
      <c r="M871" s="1">
        <v>41</v>
      </c>
      <c r="N871" s="1">
        <v>0</v>
      </c>
      <c r="O871" s="1">
        <v>2</v>
      </c>
      <c r="P871" s="2">
        <v>1</v>
      </c>
      <c r="Q871" s="67">
        <v>12</v>
      </c>
    </row>
    <row r="872" spans="1:17" x14ac:dyDescent="0.25">
      <c r="A872" s="10">
        <v>272</v>
      </c>
      <c r="B872" s="10">
        <v>30</v>
      </c>
      <c r="C872" s="10">
        <v>0</v>
      </c>
      <c r="D872" s="10">
        <v>1</v>
      </c>
      <c r="E872" s="10">
        <v>1</v>
      </c>
      <c r="F872" s="10">
        <v>1</v>
      </c>
      <c r="L872" s="1">
        <v>382</v>
      </c>
      <c r="M872" s="1">
        <v>41</v>
      </c>
      <c r="N872" s="1">
        <v>0</v>
      </c>
      <c r="O872" s="1">
        <v>2</v>
      </c>
      <c r="P872" s="2">
        <v>1</v>
      </c>
      <c r="Q872" s="68">
        <v>19</v>
      </c>
    </row>
    <row r="873" spans="1:17" x14ac:dyDescent="0.25">
      <c r="A873" s="10">
        <v>273</v>
      </c>
      <c r="B873" s="10">
        <v>30</v>
      </c>
      <c r="C873" s="10">
        <v>0</v>
      </c>
      <c r="D873" s="10">
        <v>1</v>
      </c>
      <c r="E873" s="10">
        <v>1</v>
      </c>
      <c r="F873" s="10">
        <v>1</v>
      </c>
      <c r="L873" s="1">
        <v>383</v>
      </c>
      <c r="M873" s="1">
        <v>41</v>
      </c>
      <c r="N873" s="1">
        <v>0</v>
      </c>
      <c r="O873" s="1">
        <v>2</v>
      </c>
      <c r="P873" s="2">
        <v>1</v>
      </c>
      <c r="Q873" s="67">
        <v>21</v>
      </c>
    </row>
    <row r="874" spans="1:17" x14ac:dyDescent="0.25">
      <c r="A874" s="10">
        <v>274</v>
      </c>
      <c r="B874" s="10">
        <v>30</v>
      </c>
      <c r="C874" s="10">
        <v>0</v>
      </c>
      <c r="D874" s="10">
        <v>1</v>
      </c>
      <c r="E874" s="10">
        <v>1</v>
      </c>
      <c r="F874" s="10">
        <v>1</v>
      </c>
      <c r="L874" s="1">
        <v>384</v>
      </c>
      <c r="M874" s="1">
        <v>41</v>
      </c>
      <c r="N874" s="1">
        <v>0</v>
      </c>
      <c r="O874" s="1">
        <v>2</v>
      </c>
      <c r="P874" s="2">
        <v>1</v>
      </c>
      <c r="Q874" s="68">
        <v>9</v>
      </c>
    </row>
    <row r="875" spans="1:17" x14ac:dyDescent="0.25">
      <c r="A875" s="10">
        <v>275</v>
      </c>
      <c r="B875" s="10">
        <v>30</v>
      </c>
      <c r="C875" s="10">
        <v>0</v>
      </c>
      <c r="D875" s="10">
        <v>1</v>
      </c>
      <c r="E875" s="10">
        <v>1</v>
      </c>
      <c r="F875" s="10">
        <v>1</v>
      </c>
      <c r="L875" s="1">
        <v>385</v>
      </c>
      <c r="M875" s="1">
        <v>42</v>
      </c>
      <c r="N875" s="1">
        <v>0</v>
      </c>
      <c r="O875" s="1">
        <v>2</v>
      </c>
      <c r="P875" s="2">
        <v>1</v>
      </c>
      <c r="Q875" s="67">
        <v>4</v>
      </c>
    </row>
    <row r="876" spans="1:17" x14ac:dyDescent="0.25">
      <c r="A876" s="10">
        <v>276</v>
      </c>
      <c r="B876" s="10">
        <v>30</v>
      </c>
      <c r="C876" s="10">
        <v>0</v>
      </c>
      <c r="D876" s="10">
        <v>1</v>
      </c>
      <c r="E876" s="10">
        <v>1</v>
      </c>
      <c r="F876" s="10">
        <v>1</v>
      </c>
      <c r="L876" s="1">
        <v>386</v>
      </c>
      <c r="M876" s="1">
        <v>42</v>
      </c>
      <c r="N876" s="1">
        <v>0</v>
      </c>
      <c r="O876" s="1">
        <v>2</v>
      </c>
      <c r="P876" s="2">
        <v>1</v>
      </c>
      <c r="Q876" s="68">
        <v>6</v>
      </c>
    </row>
    <row r="877" spans="1:17" x14ac:dyDescent="0.25">
      <c r="A877" s="10">
        <v>277</v>
      </c>
      <c r="B877" s="10">
        <v>30</v>
      </c>
      <c r="C877" s="10">
        <v>0</v>
      </c>
      <c r="D877" s="10">
        <v>1</v>
      </c>
      <c r="E877" s="10">
        <v>1</v>
      </c>
      <c r="F877" s="10">
        <v>1</v>
      </c>
      <c r="L877" s="1">
        <v>387</v>
      </c>
      <c r="M877" s="1">
        <v>42</v>
      </c>
      <c r="N877" s="1">
        <v>0</v>
      </c>
      <c r="O877" s="1">
        <v>2</v>
      </c>
      <c r="P877" s="2">
        <v>1</v>
      </c>
      <c r="Q877" s="67">
        <v>14</v>
      </c>
    </row>
    <row r="878" spans="1:17" x14ac:dyDescent="0.25">
      <c r="A878" s="10">
        <v>278</v>
      </c>
      <c r="B878" s="10">
        <v>30</v>
      </c>
      <c r="C878" s="10">
        <v>0</v>
      </c>
      <c r="D878" s="10">
        <v>1</v>
      </c>
      <c r="E878" s="10">
        <v>1</v>
      </c>
      <c r="F878" s="10">
        <v>1</v>
      </c>
      <c r="L878" s="1">
        <v>388</v>
      </c>
      <c r="M878" s="1">
        <v>42</v>
      </c>
      <c r="N878" s="1">
        <v>0</v>
      </c>
      <c r="O878" s="1">
        <v>2</v>
      </c>
      <c r="P878" s="2">
        <v>1</v>
      </c>
      <c r="Q878" s="68">
        <v>18</v>
      </c>
    </row>
    <row r="879" spans="1:17" x14ac:dyDescent="0.25">
      <c r="A879" s="10">
        <v>279</v>
      </c>
      <c r="B879" s="10">
        <v>30</v>
      </c>
      <c r="C879" s="10">
        <v>0</v>
      </c>
      <c r="D879" s="10">
        <v>1</v>
      </c>
      <c r="E879" s="10">
        <v>1</v>
      </c>
      <c r="F879" s="10">
        <v>1</v>
      </c>
      <c r="L879" s="1">
        <v>389</v>
      </c>
      <c r="M879" s="1">
        <v>42</v>
      </c>
      <c r="N879" s="1">
        <v>0</v>
      </c>
      <c r="O879" s="1">
        <v>2</v>
      </c>
      <c r="P879" s="2">
        <v>1</v>
      </c>
      <c r="Q879" s="67">
        <v>10</v>
      </c>
    </row>
    <row r="880" spans="1:17" x14ac:dyDescent="0.25">
      <c r="A880" s="10">
        <v>280</v>
      </c>
      <c r="B880" s="10">
        <v>30</v>
      </c>
      <c r="C880" s="10">
        <v>0</v>
      </c>
      <c r="D880" s="10">
        <v>1</v>
      </c>
      <c r="E880" s="10">
        <v>1</v>
      </c>
      <c r="F880" s="10">
        <v>1</v>
      </c>
      <c r="L880" s="1">
        <v>390</v>
      </c>
      <c r="M880" s="1">
        <v>42</v>
      </c>
      <c r="N880" s="1">
        <v>0</v>
      </c>
      <c r="O880" s="1">
        <v>2</v>
      </c>
      <c r="P880" s="2">
        <v>1</v>
      </c>
      <c r="Q880" s="68">
        <v>10</v>
      </c>
    </row>
    <row r="881" spans="1:17" x14ac:dyDescent="0.25">
      <c r="A881" s="10">
        <v>281</v>
      </c>
      <c r="B881" s="10">
        <v>31</v>
      </c>
      <c r="C881" s="10">
        <v>0</v>
      </c>
      <c r="D881" s="10">
        <v>1</v>
      </c>
      <c r="E881" s="10">
        <v>1</v>
      </c>
      <c r="F881" s="10">
        <v>1</v>
      </c>
      <c r="L881" s="1">
        <v>391</v>
      </c>
      <c r="M881" s="1">
        <v>42</v>
      </c>
      <c r="N881" s="1">
        <v>0</v>
      </c>
      <c r="O881" s="1">
        <v>2</v>
      </c>
      <c r="P881" s="2">
        <v>1</v>
      </c>
      <c r="Q881" s="67">
        <v>9</v>
      </c>
    </row>
    <row r="882" spans="1:17" x14ac:dyDescent="0.25">
      <c r="A882" s="10">
        <v>282</v>
      </c>
      <c r="B882" s="10">
        <v>31</v>
      </c>
      <c r="C882" s="10">
        <v>0</v>
      </c>
      <c r="D882" s="10">
        <v>1</v>
      </c>
      <c r="E882" s="10">
        <v>1</v>
      </c>
      <c r="F882" s="10">
        <v>1</v>
      </c>
      <c r="L882" s="1">
        <v>392</v>
      </c>
      <c r="M882" s="1">
        <v>42</v>
      </c>
      <c r="N882" s="1">
        <v>0</v>
      </c>
      <c r="O882" s="1">
        <v>2</v>
      </c>
      <c r="P882" s="2">
        <v>1</v>
      </c>
      <c r="Q882" s="68">
        <v>8</v>
      </c>
    </row>
    <row r="883" spans="1:17" x14ac:dyDescent="0.25">
      <c r="A883" s="10">
        <v>283</v>
      </c>
      <c r="B883" s="10">
        <v>31</v>
      </c>
      <c r="C883" s="10">
        <v>0</v>
      </c>
      <c r="D883" s="10">
        <v>1</v>
      </c>
      <c r="E883" s="10">
        <v>1</v>
      </c>
      <c r="F883" s="10">
        <v>1</v>
      </c>
      <c r="L883" s="1">
        <v>393</v>
      </c>
      <c r="M883" s="1">
        <v>42</v>
      </c>
      <c r="N883" s="1">
        <v>0</v>
      </c>
      <c r="O883" s="1">
        <v>2</v>
      </c>
      <c r="P883" s="2">
        <v>1</v>
      </c>
      <c r="Q883" s="67">
        <v>13</v>
      </c>
    </row>
    <row r="884" spans="1:17" x14ac:dyDescent="0.25">
      <c r="A884" s="10">
        <v>284</v>
      </c>
      <c r="B884" s="10">
        <v>31</v>
      </c>
      <c r="C884" s="10">
        <v>0</v>
      </c>
      <c r="D884" s="10">
        <v>1</v>
      </c>
      <c r="E884" s="10">
        <v>1</v>
      </c>
      <c r="F884" s="10">
        <v>1</v>
      </c>
      <c r="L884" s="1">
        <v>394</v>
      </c>
      <c r="M884" s="1">
        <v>42</v>
      </c>
      <c r="N884" s="1">
        <v>0</v>
      </c>
      <c r="O884" s="1">
        <v>2</v>
      </c>
      <c r="P884" s="2">
        <v>1</v>
      </c>
      <c r="Q884" s="68">
        <v>6</v>
      </c>
    </row>
    <row r="885" spans="1:17" x14ac:dyDescent="0.25">
      <c r="A885" s="10">
        <v>285</v>
      </c>
      <c r="B885" s="10">
        <v>31</v>
      </c>
      <c r="C885" s="10">
        <v>0</v>
      </c>
      <c r="D885" s="10">
        <v>1</v>
      </c>
      <c r="E885" s="10">
        <v>1</v>
      </c>
      <c r="F885" s="10">
        <v>1</v>
      </c>
      <c r="L885" s="1">
        <v>395</v>
      </c>
      <c r="M885" s="1">
        <v>43</v>
      </c>
      <c r="N885" s="1">
        <v>0</v>
      </c>
      <c r="O885" s="1">
        <v>2</v>
      </c>
      <c r="P885" s="2">
        <v>1</v>
      </c>
      <c r="Q885" s="67">
        <v>14</v>
      </c>
    </row>
    <row r="886" spans="1:17" x14ac:dyDescent="0.25">
      <c r="A886" s="10">
        <v>286</v>
      </c>
      <c r="B886" s="10">
        <v>31</v>
      </c>
      <c r="C886" s="10">
        <v>0</v>
      </c>
      <c r="D886" s="10">
        <v>1</v>
      </c>
      <c r="E886" s="10">
        <v>1</v>
      </c>
      <c r="F886" s="10">
        <v>1</v>
      </c>
      <c r="L886" s="1">
        <v>396</v>
      </c>
      <c r="M886" s="1">
        <v>43</v>
      </c>
      <c r="N886" s="1">
        <v>0</v>
      </c>
      <c r="O886" s="1">
        <v>2</v>
      </c>
      <c r="P886" s="2">
        <v>1</v>
      </c>
      <c r="Q886" s="68">
        <v>15</v>
      </c>
    </row>
    <row r="887" spans="1:17" x14ac:dyDescent="0.25">
      <c r="A887" s="10">
        <v>287</v>
      </c>
      <c r="B887" s="10">
        <v>31</v>
      </c>
      <c r="C887" s="10">
        <v>0</v>
      </c>
      <c r="D887" s="10">
        <v>1</v>
      </c>
      <c r="E887" s="10">
        <v>1</v>
      </c>
      <c r="F887" s="10">
        <v>1</v>
      </c>
      <c r="L887" s="1">
        <v>397</v>
      </c>
      <c r="M887" s="1">
        <v>43</v>
      </c>
      <c r="N887" s="1">
        <v>0</v>
      </c>
      <c r="O887" s="1">
        <v>2</v>
      </c>
      <c r="P887" s="2">
        <v>1</v>
      </c>
      <c r="Q887" s="67">
        <v>13</v>
      </c>
    </row>
    <row r="888" spans="1:17" x14ac:dyDescent="0.25">
      <c r="A888" s="10">
        <v>288</v>
      </c>
      <c r="B888" s="10">
        <v>31</v>
      </c>
      <c r="C888" s="10">
        <v>0</v>
      </c>
      <c r="D888" s="10">
        <v>1</v>
      </c>
      <c r="E888" s="10">
        <v>1</v>
      </c>
      <c r="F888" s="10">
        <v>1</v>
      </c>
      <c r="L888" s="1">
        <v>398</v>
      </c>
      <c r="M888" s="1">
        <v>43</v>
      </c>
      <c r="N888" s="1">
        <v>0</v>
      </c>
      <c r="O888" s="1">
        <v>2</v>
      </c>
      <c r="P888" s="2">
        <v>1</v>
      </c>
      <c r="Q888" s="68">
        <v>13</v>
      </c>
    </row>
    <row r="889" spans="1:17" x14ac:dyDescent="0.25">
      <c r="A889" s="10">
        <v>289</v>
      </c>
      <c r="B889" s="10">
        <v>31</v>
      </c>
      <c r="C889" s="10">
        <v>0</v>
      </c>
      <c r="D889" s="10">
        <v>1</v>
      </c>
      <c r="E889" s="10">
        <v>1</v>
      </c>
      <c r="F889" s="10">
        <v>1</v>
      </c>
      <c r="L889" s="1">
        <v>399</v>
      </c>
      <c r="M889" s="1">
        <v>43</v>
      </c>
      <c r="N889" s="1">
        <v>0</v>
      </c>
      <c r="O889" s="1">
        <v>2</v>
      </c>
      <c r="P889" s="2">
        <v>1</v>
      </c>
      <c r="Q889" s="67">
        <v>8</v>
      </c>
    </row>
    <row r="890" spans="1:17" x14ac:dyDescent="0.25">
      <c r="A890" s="10">
        <v>290</v>
      </c>
      <c r="B890" s="10">
        <v>31</v>
      </c>
      <c r="C890" s="10">
        <v>0</v>
      </c>
      <c r="D890" s="10">
        <v>1</v>
      </c>
      <c r="E890" s="10">
        <v>1</v>
      </c>
      <c r="F890" s="10">
        <v>1</v>
      </c>
      <c r="L890" s="1">
        <v>400</v>
      </c>
      <c r="M890" s="1">
        <v>43</v>
      </c>
      <c r="N890" s="1">
        <v>0</v>
      </c>
      <c r="O890" s="1">
        <v>2</v>
      </c>
      <c r="P890" s="2">
        <v>1</v>
      </c>
      <c r="Q890" s="68">
        <v>14</v>
      </c>
    </row>
    <row r="891" spans="1:17" x14ac:dyDescent="0.25">
      <c r="A891" s="10">
        <v>291</v>
      </c>
      <c r="B891" s="10">
        <v>32</v>
      </c>
      <c r="C891" s="10">
        <v>0</v>
      </c>
      <c r="D891" s="10">
        <v>1</v>
      </c>
      <c r="E891" s="10">
        <v>1</v>
      </c>
      <c r="F891" s="10">
        <v>1</v>
      </c>
      <c r="L891" s="1">
        <v>401</v>
      </c>
      <c r="M891" s="1">
        <v>43</v>
      </c>
      <c r="N891" s="1">
        <v>0</v>
      </c>
      <c r="O891" s="1">
        <v>2</v>
      </c>
      <c r="P891" s="2">
        <v>1</v>
      </c>
      <c r="Q891" s="67">
        <v>17</v>
      </c>
    </row>
    <row r="892" spans="1:17" x14ac:dyDescent="0.25">
      <c r="A892" s="10">
        <v>292</v>
      </c>
      <c r="B892" s="10">
        <v>32</v>
      </c>
      <c r="C892" s="10">
        <v>0</v>
      </c>
      <c r="D892" s="10">
        <v>1</v>
      </c>
      <c r="E892" s="10">
        <v>1</v>
      </c>
      <c r="F892" s="10">
        <v>1</v>
      </c>
      <c r="L892" s="1">
        <v>402</v>
      </c>
      <c r="M892" s="1">
        <v>43</v>
      </c>
      <c r="N892" s="1">
        <v>0</v>
      </c>
      <c r="O892" s="1">
        <v>2</v>
      </c>
      <c r="P892" s="2">
        <v>1</v>
      </c>
      <c r="Q892" s="68">
        <v>10</v>
      </c>
    </row>
    <row r="893" spans="1:17" x14ac:dyDescent="0.25">
      <c r="A893" s="10">
        <v>293</v>
      </c>
      <c r="B893" s="10">
        <v>32</v>
      </c>
      <c r="C893" s="10">
        <v>0</v>
      </c>
      <c r="D893" s="10">
        <v>1</v>
      </c>
      <c r="E893" s="10">
        <v>1</v>
      </c>
      <c r="F893" s="10">
        <v>1</v>
      </c>
      <c r="L893" s="1">
        <v>403</v>
      </c>
      <c r="M893" s="1">
        <v>43</v>
      </c>
      <c r="N893" s="1">
        <v>0</v>
      </c>
      <c r="O893" s="1">
        <v>2</v>
      </c>
      <c r="P893" s="2">
        <v>1</v>
      </c>
      <c r="Q893" s="67">
        <v>6</v>
      </c>
    </row>
    <row r="894" spans="1:17" x14ac:dyDescent="0.25">
      <c r="A894" s="10">
        <v>294</v>
      </c>
      <c r="B894" s="10">
        <v>32</v>
      </c>
      <c r="C894" s="10">
        <v>0</v>
      </c>
      <c r="D894" s="10">
        <v>1</v>
      </c>
      <c r="E894" s="10">
        <v>1</v>
      </c>
      <c r="F894" s="10">
        <v>1</v>
      </c>
      <c r="L894" s="1">
        <v>404</v>
      </c>
      <c r="M894" s="1">
        <v>43</v>
      </c>
      <c r="N894" s="1">
        <v>0</v>
      </c>
      <c r="O894" s="1">
        <v>2</v>
      </c>
      <c r="P894" s="2">
        <v>1</v>
      </c>
      <c r="Q894" s="68">
        <v>7</v>
      </c>
    </row>
    <row r="895" spans="1:17" x14ac:dyDescent="0.25">
      <c r="A895" s="10">
        <v>295</v>
      </c>
      <c r="B895" s="10">
        <v>32</v>
      </c>
      <c r="C895" s="10">
        <v>0</v>
      </c>
      <c r="D895" s="10">
        <v>1</v>
      </c>
      <c r="E895" s="10">
        <v>1</v>
      </c>
      <c r="F895" s="10">
        <v>1</v>
      </c>
      <c r="L895" s="1">
        <v>405</v>
      </c>
      <c r="M895" s="1">
        <v>44</v>
      </c>
      <c r="N895" s="1">
        <v>0</v>
      </c>
      <c r="O895" s="1">
        <v>2</v>
      </c>
      <c r="P895" s="2">
        <v>1</v>
      </c>
      <c r="Q895" s="67">
        <v>12</v>
      </c>
    </row>
    <row r="896" spans="1:17" x14ac:dyDescent="0.25">
      <c r="A896" s="10">
        <v>296</v>
      </c>
      <c r="B896" s="10">
        <v>32</v>
      </c>
      <c r="C896" s="10">
        <v>0</v>
      </c>
      <c r="D896" s="10">
        <v>1</v>
      </c>
      <c r="E896" s="10">
        <v>1</v>
      </c>
      <c r="F896" s="10">
        <v>1</v>
      </c>
      <c r="L896" s="1">
        <v>406</v>
      </c>
      <c r="M896" s="1">
        <v>44</v>
      </c>
      <c r="N896" s="1">
        <v>0</v>
      </c>
      <c r="O896" s="1">
        <v>2</v>
      </c>
      <c r="P896" s="2">
        <v>1</v>
      </c>
      <c r="Q896" s="68">
        <v>9</v>
      </c>
    </row>
    <row r="897" spans="1:17" x14ac:dyDescent="0.25">
      <c r="A897" s="10">
        <v>297</v>
      </c>
      <c r="B897" s="10">
        <v>32</v>
      </c>
      <c r="C897" s="10">
        <v>0</v>
      </c>
      <c r="D897" s="10">
        <v>1</v>
      </c>
      <c r="E897" s="10">
        <v>1</v>
      </c>
      <c r="F897" s="10">
        <v>1</v>
      </c>
      <c r="L897" s="1">
        <v>407</v>
      </c>
      <c r="M897" s="1">
        <v>44</v>
      </c>
      <c r="N897" s="1">
        <v>0</v>
      </c>
      <c r="O897" s="1">
        <v>2</v>
      </c>
      <c r="P897" s="2">
        <v>1</v>
      </c>
      <c r="Q897" s="67">
        <v>10</v>
      </c>
    </row>
    <row r="898" spans="1:17" x14ac:dyDescent="0.25">
      <c r="A898" s="10">
        <v>298</v>
      </c>
      <c r="B898" s="10">
        <v>32</v>
      </c>
      <c r="C898" s="10">
        <v>0</v>
      </c>
      <c r="D898" s="10">
        <v>1</v>
      </c>
      <c r="E898" s="10">
        <v>1</v>
      </c>
      <c r="F898" s="10">
        <v>1</v>
      </c>
      <c r="L898" s="1">
        <v>408</v>
      </c>
      <c r="M898" s="1">
        <v>44</v>
      </c>
      <c r="N898" s="1">
        <v>0</v>
      </c>
      <c r="O898" s="1">
        <v>2</v>
      </c>
      <c r="P898" s="2">
        <v>1</v>
      </c>
      <c r="Q898" s="68">
        <v>14</v>
      </c>
    </row>
    <row r="899" spans="1:17" x14ac:dyDescent="0.25">
      <c r="A899" s="10">
        <v>299</v>
      </c>
      <c r="B899" s="10">
        <v>32</v>
      </c>
      <c r="C899" s="10">
        <v>0</v>
      </c>
      <c r="D899" s="10">
        <v>1</v>
      </c>
      <c r="E899" s="10">
        <v>1</v>
      </c>
      <c r="F899" s="10">
        <v>1</v>
      </c>
      <c r="L899" s="1">
        <v>409</v>
      </c>
      <c r="M899" s="1">
        <v>44</v>
      </c>
      <c r="N899" s="1">
        <v>0</v>
      </c>
      <c r="O899" s="1">
        <v>2</v>
      </c>
      <c r="P899" s="2">
        <v>1</v>
      </c>
      <c r="Q899" s="67">
        <v>14</v>
      </c>
    </row>
    <row r="900" spans="1:17" x14ac:dyDescent="0.25">
      <c r="A900" s="10">
        <v>300</v>
      </c>
      <c r="B900" s="10">
        <v>32</v>
      </c>
      <c r="C900" s="10">
        <v>0</v>
      </c>
      <c r="D900" s="10">
        <v>1</v>
      </c>
      <c r="E900" s="10">
        <v>1</v>
      </c>
      <c r="F900" s="10">
        <v>1</v>
      </c>
      <c r="L900" s="1">
        <v>410</v>
      </c>
      <c r="M900" s="1">
        <v>44</v>
      </c>
      <c r="N900" s="1">
        <v>0</v>
      </c>
      <c r="O900" s="1">
        <v>2</v>
      </c>
      <c r="P900" s="2">
        <v>1</v>
      </c>
      <c r="Q900" s="68">
        <v>2</v>
      </c>
    </row>
    <row r="901" spans="1:17" x14ac:dyDescent="0.25">
      <c r="A901" s="10">
        <v>301</v>
      </c>
      <c r="B901" s="10">
        <v>33</v>
      </c>
      <c r="C901" s="10">
        <v>0</v>
      </c>
      <c r="D901" s="10">
        <v>1</v>
      </c>
      <c r="E901" s="10">
        <v>1</v>
      </c>
      <c r="F901" s="10">
        <v>1</v>
      </c>
      <c r="L901" s="1">
        <v>411</v>
      </c>
      <c r="M901" s="1">
        <v>44</v>
      </c>
      <c r="N901" s="1">
        <v>0</v>
      </c>
      <c r="O901" s="1">
        <v>2</v>
      </c>
      <c r="P901" s="2">
        <v>1</v>
      </c>
      <c r="Q901" s="67">
        <v>6</v>
      </c>
    </row>
    <row r="902" spans="1:17" x14ac:dyDescent="0.25">
      <c r="A902" s="10">
        <v>302</v>
      </c>
      <c r="B902" s="10">
        <v>33</v>
      </c>
      <c r="C902" s="10">
        <v>0</v>
      </c>
      <c r="D902" s="10">
        <v>1</v>
      </c>
      <c r="E902" s="10">
        <v>1</v>
      </c>
      <c r="F902" s="10">
        <v>1</v>
      </c>
      <c r="L902" s="1">
        <v>412</v>
      </c>
      <c r="M902" s="1">
        <v>44</v>
      </c>
      <c r="N902" s="1">
        <v>0</v>
      </c>
      <c r="O902" s="1">
        <v>2</v>
      </c>
      <c r="P902" s="2">
        <v>1</v>
      </c>
      <c r="Q902" s="68">
        <v>9</v>
      </c>
    </row>
    <row r="903" spans="1:17" x14ac:dyDescent="0.25">
      <c r="A903" s="10">
        <v>303</v>
      </c>
      <c r="B903" s="10">
        <v>33</v>
      </c>
      <c r="C903" s="10">
        <v>0</v>
      </c>
      <c r="D903" s="10">
        <v>1</v>
      </c>
      <c r="E903" s="10">
        <v>1</v>
      </c>
      <c r="F903" s="10">
        <v>1</v>
      </c>
      <c r="L903" s="1">
        <v>413</v>
      </c>
      <c r="M903" s="1">
        <v>44</v>
      </c>
      <c r="N903" s="1">
        <v>0</v>
      </c>
      <c r="O903" s="1">
        <v>2</v>
      </c>
      <c r="P903" s="2">
        <v>1</v>
      </c>
      <c r="Q903" s="67">
        <v>9</v>
      </c>
    </row>
    <row r="904" spans="1:17" x14ac:dyDescent="0.25">
      <c r="A904" s="10">
        <v>304</v>
      </c>
      <c r="B904" s="10">
        <v>33</v>
      </c>
      <c r="C904" s="10">
        <v>0</v>
      </c>
      <c r="D904" s="10">
        <v>1</v>
      </c>
      <c r="E904" s="10">
        <v>1</v>
      </c>
      <c r="F904" s="10">
        <v>1</v>
      </c>
      <c r="L904" s="1">
        <v>414</v>
      </c>
      <c r="M904" s="1">
        <v>44</v>
      </c>
      <c r="N904" s="1">
        <v>0</v>
      </c>
      <c r="O904" s="1">
        <v>2</v>
      </c>
      <c r="P904" s="2">
        <v>1</v>
      </c>
      <c r="Q904" s="68">
        <v>9</v>
      </c>
    </row>
    <row r="905" spans="1:17" x14ac:dyDescent="0.25">
      <c r="A905" s="10">
        <v>305</v>
      </c>
      <c r="B905" s="10">
        <v>33</v>
      </c>
      <c r="C905" s="10">
        <v>0</v>
      </c>
      <c r="D905" s="10">
        <v>1</v>
      </c>
      <c r="E905" s="10">
        <v>1</v>
      </c>
      <c r="F905" s="10">
        <v>1</v>
      </c>
      <c r="L905" s="1">
        <v>415</v>
      </c>
      <c r="M905" s="1">
        <v>45</v>
      </c>
      <c r="N905" s="1">
        <v>0</v>
      </c>
      <c r="O905" s="1">
        <v>2</v>
      </c>
      <c r="P905" s="2">
        <v>1</v>
      </c>
      <c r="Q905" s="67">
        <v>15</v>
      </c>
    </row>
    <row r="906" spans="1:17" x14ac:dyDescent="0.25">
      <c r="A906" s="10">
        <v>306</v>
      </c>
      <c r="B906" s="10">
        <v>33</v>
      </c>
      <c r="C906" s="10">
        <v>0</v>
      </c>
      <c r="D906" s="10">
        <v>1</v>
      </c>
      <c r="E906" s="10">
        <v>1</v>
      </c>
      <c r="F906" s="10">
        <v>1</v>
      </c>
      <c r="L906" s="1">
        <v>416</v>
      </c>
      <c r="M906" s="1">
        <v>45</v>
      </c>
      <c r="N906" s="1">
        <v>0</v>
      </c>
      <c r="O906" s="1">
        <v>2</v>
      </c>
      <c r="P906" s="2">
        <v>1</v>
      </c>
      <c r="Q906" s="68">
        <v>12</v>
      </c>
    </row>
    <row r="907" spans="1:17" x14ac:dyDescent="0.25">
      <c r="A907" s="10">
        <v>307</v>
      </c>
      <c r="B907" s="10">
        <v>33</v>
      </c>
      <c r="C907" s="10">
        <v>0</v>
      </c>
      <c r="D907" s="10">
        <v>1</v>
      </c>
      <c r="E907" s="10">
        <v>1</v>
      </c>
      <c r="F907" s="10">
        <v>1</v>
      </c>
      <c r="L907" s="1">
        <v>417</v>
      </c>
      <c r="M907" s="1">
        <v>45</v>
      </c>
      <c r="N907" s="1">
        <v>0</v>
      </c>
      <c r="O907" s="1">
        <v>2</v>
      </c>
      <c r="P907" s="2">
        <v>1</v>
      </c>
      <c r="Q907" s="67">
        <v>15</v>
      </c>
    </row>
    <row r="908" spans="1:17" x14ac:dyDescent="0.25">
      <c r="A908" s="10">
        <v>308</v>
      </c>
      <c r="B908" s="10">
        <v>33</v>
      </c>
      <c r="C908" s="10">
        <v>0</v>
      </c>
      <c r="D908" s="10">
        <v>1</v>
      </c>
      <c r="E908" s="10">
        <v>1</v>
      </c>
      <c r="F908" s="10">
        <v>1</v>
      </c>
      <c r="L908" s="1">
        <v>418</v>
      </c>
      <c r="M908" s="1">
        <v>45</v>
      </c>
      <c r="N908" s="1">
        <v>0</v>
      </c>
      <c r="O908" s="1">
        <v>2</v>
      </c>
      <c r="P908" s="2">
        <v>1</v>
      </c>
      <c r="Q908" s="68">
        <v>13</v>
      </c>
    </row>
    <row r="909" spans="1:17" x14ac:dyDescent="0.25">
      <c r="A909" s="10">
        <v>309</v>
      </c>
      <c r="B909" s="10">
        <v>33</v>
      </c>
      <c r="C909" s="10">
        <v>0</v>
      </c>
      <c r="D909" s="10">
        <v>1</v>
      </c>
      <c r="E909" s="10">
        <v>1</v>
      </c>
      <c r="F909" s="10">
        <v>1</v>
      </c>
      <c r="L909" s="1">
        <v>419</v>
      </c>
      <c r="M909" s="1">
        <v>45</v>
      </c>
      <c r="N909" s="1">
        <v>0</v>
      </c>
      <c r="O909" s="1">
        <v>2</v>
      </c>
      <c r="P909" s="2">
        <v>1</v>
      </c>
      <c r="Q909" s="67">
        <v>18</v>
      </c>
    </row>
    <row r="910" spans="1:17" x14ac:dyDescent="0.25">
      <c r="A910" s="10">
        <v>310</v>
      </c>
      <c r="B910" s="10">
        <v>33</v>
      </c>
      <c r="C910" s="10">
        <v>0</v>
      </c>
      <c r="D910" s="10">
        <v>1</v>
      </c>
      <c r="E910" s="10">
        <v>1</v>
      </c>
      <c r="F910" s="10">
        <v>1</v>
      </c>
      <c r="L910" s="1">
        <v>420</v>
      </c>
      <c r="M910" s="1">
        <v>45</v>
      </c>
      <c r="N910" s="1">
        <v>0</v>
      </c>
      <c r="O910" s="1">
        <v>2</v>
      </c>
      <c r="P910" s="2">
        <v>1</v>
      </c>
      <c r="Q910" s="68">
        <v>12</v>
      </c>
    </row>
    <row r="911" spans="1:17" x14ac:dyDescent="0.25">
      <c r="A911" s="10">
        <v>311</v>
      </c>
      <c r="B911" s="10">
        <v>34</v>
      </c>
      <c r="C911" s="10">
        <v>0</v>
      </c>
      <c r="D911" s="10">
        <v>1</v>
      </c>
      <c r="E911" s="10">
        <v>1</v>
      </c>
      <c r="F911" s="10">
        <v>1</v>
      </c>
      <c r="L911" s="1">
        <v>421</v>
      </c>
      <c r="M911" s="1">
        <v>45</v>
      </c>
      <c r="N911" s="1">
        <v>0</v>
      </c>
      <c r="O911" s="1">
        <v>2</v>
      </c>
      <c r="P911" s="2">
        <v>1</v>
      </c>
      <c r="Q911" s="67">
        <v>14</v>
      </c>
    </row>
    <row r="912" spans="1:17" x14ac:dyDescent="0.25">
      <c r="A912" s="10">
        <v>312</v>
      </c>
      <c r="B912" s="10">
        <v>34</v>
      </c>
      <c r="C912" s="10">
        <v>0</v>
      </c>
      <c r="D912" s="10">
        <v>1</v>
      </c>
      <c r="E912" s="10">
        <v>1</v>
      </c>
      <c r="F912" s="10">
        <v>1</v>
      </c>
      <c r="L912" s="1">
        <v>422</v>
      </c>
      <c r="M912" s="1">
        <v>45</v>
      </c>
      <c r="N912" s="1">
        <v>0</v>
      </c>
      <c r="O912" s="1">
        <v>2</v>
      </c>
      <c r="P912" s="2">
        <v>1</v>
      </c>
      <c r="Q912" s="68">
        <v>13</v>
      </c>
    </row>
    <row r="913" spans="1:17" x14ac:dyDescent="0.25">
      <c r="A913" s="10">
        <v>313</v>
      </c>
      <c r="B913" s="10">
        <v>34</v>
      </c>
      <c r="C913" s="10">
        <v>0</v>
      </c>
      <c r="D913" s="10">
        <v>1</v>
      </c>
      <c r="E913" s="10">
        <v>1</v>
      </c>
      <c r="F913" s="10">
        <v>1</v>
      </c>
      <c r="L913" s="1">
        <v>423</v>
      </c>
      <c r="M913" s="1">
        <v>46</v>
      </c>
      <c r="N913" s="1">
        <v>0</v>
      </c>
      <c r="O913" s="1">
        <v>2</v>
      </c>
      <c r="P913" s="2">
        <v>1</v>
      </c>
      <c r="Q913" s="67">
        <v>12</v>
      </c>
    </row>
    <row r="914" spans="1:17" x14ac:dyDescent="0.25">
      <c r="A914" s="10">
        <v>314</v>
      </c>
      <c r="B914" s="10">
        <v>34</v>
      </c>
      <c r="C914" s="10">
        <v>0</v>
      </c>
      <c r="D914" s="10">
        <v>1</v>
      </c>
      <c r="E914" s="10">
        <v>1</v>
      </c>
      <c r="F914" s="10">
        <v>1</v>
      </c>
      <c r="L914" s="1">
        <v>424</v>
      </c>
      <c r="M914" s="1">
        <v>46</v>
      </c>
      <c r="N914" s="1">
        <v>0</v>
      </c>
      <c r="O914" s="1">
        <v>2</v>
      </c>
      <c r="P914" s="2">
        <v>1</v>
      </c>
      <c r="Q914" s="68">
        <v>13</v>
      </c>
    </row>
    <row r="915" spans="1:17" x14ac:dyDescent="0.25">
      <c r="A915" s="10">
        <v>315</v>
      </c>
      <c r="B915" s="10">
        <v>34</v>
      </c>
      <c r="C915" s="10">
        <v>0</v>
      </c>
      <c r="D915" s="10">
        <v>1</v>
      </c>
      <c r="E915" s="10">
        <v>1</v>
      </c>
      <c r="F915" s="10">
        <v>1</v>
      </c>
      <c r="L915" s="1">
        <v>425</v>
      </c>
      <c r="M915" s="1">
        <v>46</v>
      </c>
      <c r="N915" s="1">
        <v>0</v>
      </c>
      <c r="O915" s="1">
        <v>2</v>
      </c>
      <c r="P915" s="2">
        <v>1</v>
      </c>
      <c r="Q915" s="67">
        <v>17</v>
      </c>
    </row>
    <row r="916" spans="1:17" x14ac:dyDescent="0.25">
      <c r="A916" s="10">
        <v>316</v>
      </c>
      <c r="B916" s="10">
        <v>34</v>
      </c>
      <c r="C916" s="10">
        <v>0</v>
      </c>
      <c r="D916" s="10">
        <v>1</v>
      </c>
      <c r="E916" s="10">
        <v>1</v>
      </c>
      <c r="F916" s="10">
        <v>1</v>
      </c>
      <c r="L916" s="1">
        <v>426</v>
      </c>
      <c r="M916" s="1">
        <v>46</v>
      </c>
      <c r="N916" s="1">
        <v>0</v>
      </c>
      <c r="O916" s="1">
        <v>2</v>
      </c>
      <c r="P916" s="2">
        <v>1</v>
      </c>
      <c r="Q916" s="68">
        <v>15</v>
      </c>
    </row>
    <row r="917" spans="1:17" x14ac:dyDescent="0.25">
      <c r="A917" s="10">
        <v>317</v>
      </c>
      <c r="B917" s="10">
        <v>34</v>
      </c>
      <c r="C917" s="10">
        <v>0</v>
      </c>
      <c r="D917" s="10">
        <v>1</v>
      </c>
      <c r="E917" s="10">
        <v>1</v>
      </c>
      <c r="F917" s="10">
        <v>1</v>
      </c>
      <c r="L917" s="1">
        <v>427</v>
      </c>
      <c r="M917" s="1">
        <v>46</v>
      </c>
      <c r="N917" s="1">
        <v>0</v>
      </c>
      <c r="O917" s="1">
        <v>2</v>
      </c>
      <c r="P917" s="2">
        <v>1</v>
      </c>
      <c r="Q917" s="67">
        <v>15</v>
      </c>
    </row>
    <row r="918" spans="1:17" x14ac:dyDescent="0.25">
      <c r="A918" s="10">
        <v>318</v>
      </c>
      <c r="B918" s="10">
        <v>34</v>
      </c>
      <c r="C918" s="10">
        <v>0</v>
      </c>
      <c r="D918" s="10">
        <v>1</v>
      </c>
      <c r="E918" s="10">
        <v>1</v>
      </c>
      <c r="F918" s="10">
        <v>1</v>
      </c>
      <c r="L918" s="1">
        <v>428</v>
      </c>
      <c r="M918" s="1">
        <v>46</v>
      </c>
      <c r="N918" s="1">
        <v>0</v>
      </c>
      <c r="O918" s="1">
        <v>2</v>
      </c>
      <c r="P918" s="2">
        <v>1</v>
      </c>
      <c r="Q918" s="68">
        <v>20</v>
      </c>
    </row>
    <row r="919" spans="1:17" x14ac:dyDescent="0.25">
      <c r="A919" s="10">
        <v>319</v>
      </c>
      <c r="B919" s="10">
        <v>34</v>
      </c>
      <c r="C919" s="10">
        <v>0</v>
      </c>
      <c r="D919" s="10">
        <v>1</v>
      </c>
      <c r="E919" s="10">
        <v>1</v>
      </c>
      <c r="F919" s="10">
        <v>1</v>
      </c>
      <c r="L919" s="1">
        <v>429</v>
      </c>
      <c r="M919" s="1">
        <v>46</v>
      </c>
      <c r="N919" s="1">
        <v>0</v>
      </c>
      <c r="O919" s="1">
        <v>2</v>
      </c>
      <c r="P919" s="2">
        <v>1</v>
      </c>
      <c r="Q919" s="67">
        <v>10</v>
      </c>
    </row>
    <row r="920" spans="1:17" x14ac:dyDescent="0.25">
      <c r="A920" s="10">
        <v>320</v>
      </c>
      <c r="B920" s="10">
        <v>34</v>
      </c>
      <c r="C920" s="10">
        <v>0</v>
      </c>
      <c r="D920" s="10">
        <v>1</v>
      </c>
      <c r="E920" s="10">
        <v>1</v>
      </c>
      <c r="F920" s="10">
        <v>1</v>
      </c>
      <c r="L920" s="1">
        <v>430</v>
      </c>
      <c r="M920" s="1">
        <v>46</v>
      </c>
      <c r="N920" s="1">
        <v>0</v>
      </c>
      <c r="O920" s="1">
        <v>2</v>
      </c>
      <c r="P920" s="2">
        <v>1</v>
      </c>
      <c r="Q920" s="68">
        <v>8</v>
      </c>
    </row>
    <row r="921" spans="1:17" x14ac:dyDescent="0.25">
      <c r="A921" s="10">
        <v>321</v>
      </c>
      <c r="B921" s="10">
        <v>35</v>
      </c>
      <c r="C921" s="10">
        <v>0</v>
      </c>
      <c r="D921" s="10">
        <v>1</v>
      </c>
      <c r="E921" s="10">
        <v>1</v>
      </c>
      <c r="F921" s="10">
        <v>1</v>
      </c>
      <c r="L921" s="1">
        <v>431</v>
      </c>
      <c r="M921" s="1">
        <v>46</v>
      </c>
      <c r="N921" s="1">
        <v>0</v>
      </c>
      <c r="O921" s="1">
        <v>2</v>
      </c>
      <c r="P921" s="2">
        <v>1</v>
      </c>
      <c r="Q921" s="67">
        <v>6</v>
      </c>
    </row>
    <row r="922" spans="1:17" x14ac:dyDescent="0.25">
      <c r="A922" s="10">
        <v>322</v>
      </c>
      <c r="B922" s="10">
        <v>35</v>
      </c>
      <c r="C922" s="10">
        <v>0</v>
      </c>
      <c r="D922" s="10">
        <v>1</v>
      </c>
      <c r="E922" s="10">
        <v>1</v>
      </c>
      <c r="F922" s="10">
        <v>1</v>
      </c>
      <c r="L922" s="1">
        <v>432</v>
      </c>
      <c r="M922" s="1">
        <v>46</v>
      </c>
      <c r="N922" s="1">
        <v>0</v>
      </c>
      <c r="O922" s="1">
        <v>2</v>
      </c>
      <c r="P922" s="2">
        <v>1</v>
      </c>
      <c r="Q922" s="68">
        <v>8</v>
      </c>
    </row>
    <row r="923" spans="1:17" x14ac:dyDescent="0.25">
      <c r="A923" s="10">
        <v>323</v>
      </c>
      <c r="B923" s="10">
        <v>35</v>
      </c>
      <c r="C923" s="10">
        <v>0</v>
      </c>
      <c r="D923" s="10">
        <v>1</v>
      </c>
      <c r="E923" s="10">
        <v>1</v>
      </c>
      <c r="F923" s="10">
        <v>1</v>
      </c>
      <c r="L923" s="1">
        <v>433</v>
      </c>
      <c r="M923" s="1">
        <v>47</v>
      </c>
      <c r="N923" s="1">
        <v>0</v>
      </c>
      <c r="O923" s="1">
        <v>2</v>
      </c>
      <c r="P923" s="2">
        <v>1</v>
      </c>
      <c r="Q923" s="67">
        <v>14</v>
      </c>
    </row>
    <row r="924" spans="1:17" x14ac:dyDescent="0.25">
      <c r="A924" s="10">
        <v>324</v>
      </c>
      <c r="B924" s="10">
        <v>35</v>
      </c>
      <c r="C924" s="10">
        <v>0</v>
      </c>
      <c r="D924" s="10">
        <v>1</v>
      </c>
      <c r="E924" s="10">
        <v>1</v>
      </c>
      <c r="F924" s="10">
        <v>1</v>
      </c>
      <c r="L924" s="1">
        <v>434</v>
      </c>
      <c r="M924" s="1">
        <v>47</v>
      </c>
      <c r="N924" s="1">
        <v>0</v>
      </c>
      <c r="O924" s="1">
        <v>2</v>
      </c>
      <c r="P924" s="2">
        <v>1</v>
      </c>
      <c r="Q924" s="68">
        <v>9</v>
      </c>
    </row>
    <row r="925" spans="1:17" x14ac:dyDescent="0.25">
      <c r="A925" s="10">
        <v>325</v>
      </c>
      <c r="B925" s="10">
        <v>35</v>
      </c>
      <c r="C925" s="10">
        <v>0</v>
      </c>
      <c r="D925" s="10">
        <v>1</v>
      </c>
      <c r="E925" s="10">
        <v>1</v>
      </c>
      <c r="F925" s="10">
        <v>1</v>
      </c>
      <c r="L925" s="1">
        <v>435</v>
      </c>
      <c r="M925" s="1">
        <v>47</v>
      </c>
      <c r="N925" s="1">
        <v>0</v>
      </c>
      <c r="O925" s="1">
        <v>2</v>
      </c>
      <c r="P925" s="2">
        <v>1</v>
      </c>
      <c r="Q925" s="67">
        <v>10</v>
      </c>
    </row>
    <row r="926" spans="1:17" x14ac:dyDescent="0.25">
      <c r="A926" s="10">
        <v>326</v>
      </c>
      <c r="B926" s="10">
        <v>35</v>
      </c>
      <c r="C926" s="10">
        <v>0</v>
      </c>
      <c r="D926" s="10">
        <v>1</v>
      </c>
      <c r="E926" s="10">
        <v>1</v>
      </c>
      <c r="F926" s="10">
        <v>1</v>
      </c>
      <c r="L926" s="1">
        <v>436</v>
      </c>
      <c r="M926" s="1">
        <v>47</v>
      </c>
      <c r="N926" s="1">
        <v>0</v>
      </c>
      <c r="O926" s="1">
        <v>2</v>
      </c>
      <c r="P926" s="2">
        <v>1</v>
      </c>
      <c r="Q926" s="68">
        <v>13</v>
      </c>
    </row>
    <row r="927" spans="1:17" x14ac:dyDescent="0.25">
      <c r="A927" s="10">
        <v>327</v>
      </c>
      <c r="B927" s="10">
        <v>35</v>
      </c>
      <c r="C927" s="10">
        <v>0</v>
      </c>
      <c r="D927" s="10">
        <v>1</v>
      </c>
      <c r="E927" s="10">
        <v>1</v>
      </c>
      <c r="F927" s="10">
        <v>1</v>
      </c>
      <c r="L927" s="1">
        <v>437</v>
      </c>
      <c r="M927" s="1">
        <v>47</v>
      </c>
      <c r="N927" s="1">
        <v>0</v>
      </c>
      <c r="O927" s="1">
        <v>2</v>
      </c>
      <c r="P927" s="2">
        <v>1</v>
      </c>
      <c r="Q927" s="67">
        <v>15</v>
      </c>
    </row>
    <row r="928" spans="1:17" x14ac:dyDescent="0.25">
      <c r="A928" s="10">
        <v>328</v>
      </c>
      <c r="B928" s="10">
        <v>35</v>
      </c>
      <c r="C928" s="10">
        <v>0</v>
      </c>
      <c r="D928" s="10">
        <v>1</v>
      </c>
      <c r="E928" s="10">
        <v>1</v>
      </c>
      <c r="F928" s="10">
        <v>1</v>
      </c>
      <c r="L928" s="1">
        <v>438</v>
      </c>
      <c r="M928" s="1">
        <v>47</v>
      </c>
      <c r="N928" s="1">
        <v>0</v>
      </c>
      <c r="O928" s="1">
        <v>2</v>
      </c>
      <c r="P928" s="2">
        <v>1</v>
      </c>
      <c r="Q928" s="68">
        <v>12</v>
      </c>
    </row>
    <row r="929" spans="1:17" x14ac:dyDescent="0.25">
      <c r="A929" s="10">
        <v>329</v>
      </c>
      <c r="B929" s="10">
        <v>35</v>
      </c>
      <c r="C929" s="10">
        <v>0</v>
      </c>
      <c r="D929" s="10">
        <v>1</v>
      </c>
      <c r="E929" s="10">
        <v>1</v>
      </c>
      <c r="F929" s="10">
        <v>1</v>
      </c>
      <c r="L929" s="1">
        <v>439</v>
      </c>
      <c r="M929" s="1">
        <v>47</v>
      </c>
      <c r="N929" s="1">
        <v>0</v>
      </c>
      <c r="O929" s="1">
        <v>2</v>
      </c>
      <c r="P929" s="2">
        <v>1</v>
      </c>
      <c r="Q929" s="67">
        <v>10</v>
      </c>
    </row>
    <row r="930" spans="1:17" x14ac:dyDescent="0.25">
      <c r="A930" s="10">
        <v>330</v>
      </c>
      <c r="B930" s="10">
        <v>35</v>
      </c>
      <c r="C930" s="10">
        <v>0</v>
      </c>
      <c r="D930" s="10">
        <v>1</v>
      </c>
      <c r="E930" s="10">
        <v>1</v>
      </c>
      <c r="F930" s="10">
        <v>1</v>
      </c>
      <c r="L930" s="1">
        <v>440</v>
      </c>
      <c r="M930" s="1">
        <v>47</v>
      </c>
      <c r="N930" s="1">
        <v>0</v>
      </c>
      <c r="O930" s="1">
        <v>2</v>
      </c>
      <c r="P930" s="2">
        <v>1</v>
      </c>
      <c r="Q930" s="68">
        <v>11</v>
      </c>
    </row>
    <row r="931" spans="1:17" x14ac:dyDescent="0.25">
      <c r="A931" s="10">
        <v>331</v>
      </c>
      <c r="B931" s="10">
        <v>36</v>
      </c>
      <c r="C931" s="10">
        <v>0</v>
      </c>
      <c r="D931" s="10">
        <v>1</v>
      </c>
      <c r="E931" s="10">
        <v>1</v>
      </c>
      <c r="F931" s="10">
        <v>1</v>
      </c>
      <c r="L931" s="1">
        <v>441</v>
      </c>
      <c r="M931" s="1">
        <v>47</v>
      </c>
      <c r="N931" s="1">
        <v>0</v>
      </c>
      <c r="O931" s="1">
        <v>2</v>
      </c>
      <c r="P931" s="2">
        <v>1</v>
      </c>
      <c r="Q931" s="67">
        <v>13</v>
      </c>
    </row>
    <row r="932" spans="1:17" x14ac:dyDescent="0.25">
      <c r="A932" s="10">
        <v>332</v>
      </c>
      <c r="B932" s="10">
        <v>36</v>
      </c>
      <c r="C932" s="10">
        <v>0</v>
      </c>
      <c r="D932" s="10">
        <v>1</v>
      </c>
      <c r="E932" s="10">
        <v>1</v>
      </c>
      <c r="F932" s="10">
        <v>1</v>
      </c>
      <c r="L932" s="1">
        <v>442</v>
      </c>
      <c r="M932" s="1">
        <v>47</v>
      </c>
      <c r="N932" s="1">
        <v>0</v>
      </c>
      <c r="O932" s="1">
        <v>2</v>
      </c>
      <c r="P932" s="2">
        <v>1</v>
      </c>
      <c r="Q932" s="68">
        <v>14</v>
      </c>
    </row>
    <row r="933" spans="1:17" x14ac:dyDescent="0.25">
      <c r="A933" s="10">
        <v>333</v>
      </c>
      <c r="B933" s="10">
        <v>36</v>
      </c>
      <c r="C933" s="10">
        <v>0</v>
      </c>
      <c r="D933" s="10">
        <v>1</v>
      </c>
      <c r="E933" s="10">
        <v>1</v>
      </c>
      <c r="F933" s="10">
        <v>1</v>
      </c>
      <c r="L933" s="1">
        <v>443</v>
      </c>
      <c r="M933" s="1">
        <v>48</v>
      </c>
      <c r="N933" s="1">
        <v>0</v>
      </c>
      <c r="O933" s="1">
        <v>2</v>
      </c>
      <c r="P933" s="2">
        <v>1</v>
      </c>
      <c r="Q933" s="67">
        <v>17</v>
      </c>
    </row>
    <row r="934" spans="1:17" x14ac:dyDescent="0.25">
      <c r="A934" s="10">
        <v>334</v>
      </c>
      <c r="B934" s="10">
        <v>36</v>
      </c>
      <c r="C934" s="10">
        <v>0</v>
      </c>
      <c r="D934" s="10">
        <v>1</v>
      </c>
      <c r="E934" s="10">
        <v>1</v>
      </c>
      <c r="F934" s="10">
        <v>1</v>
      </c>
      <c r="L934" s="1">
        <v>444</v>
      </c>
      <c r="M934" s="1">
        <v>48</v>
      </c>
      <c r="N934" s="1">
        <v>0</v>
      </c>
      <c r="O934" s="1">
        <v>2</v>
      </c>
      <c r="P934" s="2">
        <v>1</v>
      </c>
      <c r="Q934" s="68">
        <v>13</v>
      </c>
    </row>
    <row r="935" spans="1:17" x14ac:dyDescent="0.25">
      <c r="A935" s="10">
        <v>335</v>
      </c>
      <c r="B935" s="10">
        <v>36</v>
      </c>
      <c r="C935" s="10">
        <v>0</v>
      </c>
      <c r="D935" s="10">
        <v>1</v>
      </c>
      <c r="E935" s="10">
        <v>1</v>
      </c>
      <c r="F935" s="10">
        <v>1</v>
      </c>
      <c r="L935" s="1">
        <v>445</v>
      </c>
      <c r="M935" s="1">
        <v>48</v>
      </c>
      <c r="N935" s="1">
        <v>0</v>
      </c>
      <c r="O935" s="1">
        <v>2</v>
      </c>
      <c r="P935" s="2">
        <v>1</v>
      </c>
      <c r="Q935" s="67">
        <v>10</v>
      </c>
    </row>
    <row r="936" spans="1:17" x14ac:dyDescent="0.25">
      <c r="A936" s="10">
        <v>336</v>
      </c>
      <c r="B936" s="10">
        <v>36</v>
      </c>
      <c r="C936" s="10">
        <v>0</v>
      </c>
      <c r="D936" s="10">
        <v>1</v>
      </c>
      <c r="E936" s="10">
        <v>1</v>
      </c>
      <c r="F936" s="10">
        <v>1</v>
      </c>
      <c r="L936" s="1">
        <v>446</v>
      </c>
      <c r="M936" s="1">
        <v>48</v>
      </c>
      <c r="N936" s="1">
        <v>0</v>
      </c>
      <c r="O936" s="1">
        <v>2</v>
      </c>
      <c r="P936" s="2">
        <v>1</v>
      </c>
      <c r="Q936" s="68">
        <v>15</v>
      </c>
    </row>
    <row r="937" spans="1:17" x14ac:dyDescent="0.25">
      <c r="A937" s="10">
        <v>337</v>
      </c>
      <c r="B937" s="10">
        <v>36</v>
      </c>
      <c r="C937" s="10">
        <v>0</v>
      </c>
      <c r="D937" s="10">
        <v>1</v>
      </c>
      <c r="E937" s="10">
        <v>1</v>
      </c>
      <c r="F937" s="10">
        <v>1</v>
      </c>
      <c r="L937" s="1">
        <v>447</v>
      </c>
      <c r="M937" s="1">
        <v>48</v>
      </c>
      <c r="N937" s="1">
        <v>0</v>
      </c>
      <c r="O937" s="1">
        <v>2</v>
      </c>
      <c r="P937" s="2">
        <v>1</v>
      </c>
      <c r="Q937" s="67">
        <v>14</v>
      </c>
    </row>
    <row r="938" spans="1:17" x14ac:dyDescent="0.25">
      <c r="A938" s="10">
        <v>338</v>
      </c>
      <c r="B938" s="10">
        <v>36</v>
      </c>
      <c r="C938" s="10">
        <v>0</v>
      </c>
      <c r="D938" s="10">
        <v>1</v>
      </c>
      <c r="E938" s="10">
        <v>1</v>
      </c>
      <c r="F938" s="10">
        <v>1</v>
      </c>
      <c r="L938" s="1">
        <v>448</v>
      </c>
      <c r="M938" s="1">
        <v>48</v>
      </c>
      <c r="N938" s="1">
        <v>0</v>
      </c>
      <c r="O938" s="1">
        <v>2</v>
      </c>
      <c r="P938" s="2">
        <v>1</v>
      </c>
      <c r="Q938" s="68">
        <v>13</v>
      </c>
    </row>
    <row r="939" spans="1:17" x14ac:dyDescent="0.25">
      <c r="A939" s="10">
        <v>339</v>
      </c>
      <c r="B939" s="10">
        <v>37</v>
      </c>
      <c r="C939" s="10">
        <v>0</v>
      </c>
      <c r="D939" s="10">
        <v>1</v>
      </c>
      <c r="E939" s="10">
        <v>1</v>
      </c>
      <c r="F939" s="10">
        <v>1</v>
      </c>
      <c r="L939" s="1">
        <v>449</v>
      </c>
      <c r="M939" s="1">
        <v>48</v>
      </c>
      <c r="N939" s="1">
        <v>0</v>
      </c>
      <c r="O939" s="1">
        <v>2</v>
      </c>
      <c r="P939" s="2">
        <v>1</v>
      </c>
      <c r="Q939" s="67">
        <v>16</v>
      </c>
    </row>
    <row r="940" spans="1:17" x14ac:dyDescent="0.25">
      <c r="A940" s="10">
        <v>340</v>
      </c>
      <c r="B940" s="10">
        <v>37</v>
      </c>
      <c r="C940" s="10">
        <v>0</v>
      </c>
      <c r="D940" s="10">
        <v>1</v>
      </c>
      <c r="E940" s="10">
        <v>1</v>
      </c>
      <c r="F940" s="10">
        <v>1</v>
      </c>
      <c r="L940" s="1">
        <v>450</v>
      </c>
      <c r="M940" s="1">
        <v>48</v>
      </c>
      <c r="N940" s="1">
        <v>0</v>
      </c>
      <c r="O940" s="1">
        <v>2</v>
      </c>
      <c r="P940" s="2">
        <v>1</v>
      </c>
      <c r="Q940" s="68">
        <v>11</v>
      </c>
    </row>
    <row r="941" spans="1:17" x14ac:dyDescent="0.25">
      <c r="A941" s="10">
        <v>341</v>
      </c>
      <c r="B941" s="10">
        <v>37</v>
      </c>
      <c r="C941" s="10">
        <v>0</v>
      </c>
      <c r="D941" s="10">
        <v>1</v>
      </c>
      <c r="E941" s="10">
        <v>1</v>
      </c>
      <c r="F941" s="10">
        <v>1</v>
      </c>
      <c r="L941" s="1">
        <v>451</v>
      </c>
      <c r="M941" s="1">
        <v>48</v>
      </c>
      <c r="N941" s="1">
        <v>0</v>
      </c>
      <c r="O941" s="1">
        <v>2</v>
      </c>
      <c r="P941" s="2">
        <v>1</v>
      </c>
      <c r="Q941" s="67">
        <v>11</v>
      </c>
    </row>
    <row r="942" spans="1:17" x14ac:dyDescent="0.25">
      <c r="A942" s="10">
        <v>342</v>
      </c>
      <c r="B942" s="10">
        <v>37</v>
      </c>
      <c r="C942" s="10">
        <v>0</v>
      </c>
      <c r="D942" s="10">
        <v>1</v>
      </c>
      <c r="E942" s="10">
        <v>1</v>
      </c>
      <c r="F942" s="10">
        <v>1</v>
      </c>
      <c r="L942" s="1">
        <v>452</v>
      </c>
      <c r="M942" s="1">
        <v>48</v>
      </c>
      <c r="N942" s="1">
        <v>0</v>
      </c>
      <c r="O942" s="1">
        <v>2</v>
      </c>
      <c r="P942" s="2">
        <v>1</v>
      </c>
      <c r="Q942" s="68">
        <v>10</v>
      </c>
    </row>
    <row r="943" spans="1:17" x14ac:dyDescent="0.25">
      <c r="A943" s="10">
        <v>343</v>
      </c>
      <c r="B943" s="10">
        <v>37</v>
      </c>
      <c r="C943" s="10">
        <v>0</v>
      </c>
      <c r="D943" s="10">
        <v>1</v>
      </c>
      <c r="E943" s="10">
        <v>1</v>
      </c>
      <c r="F943" s="10">
        <v>1</v>
      </c>
      <c r="L943" s="1">
        <v>453</v>
      </c>
      <c r="M943" s="1">
        <v>49</v>
      </c>
      <c r="N943" s="1">
        <v>0</v>
      </c>
      <c r="O943" s="1">
        <v>2</v>
      </c>
      <c r="P943" s="2">
        <v>1</v>
      </c>
      <c r="Q943" s="67">
        <v>7</v>
      </c>
    </row>
    <row r="944" spans="1:17" x14ac:dyDescent="0.25">
      <c r="A944" s="10">
        <v>344</v>
      </c>
      <c r="B944" s="10">
        <v>37</v>
      </c>
      <c r="C944" s="10">
        <v>0</v>
      </c>
      <c r="D944" s="10">
        <v>1</v>
      </c>
      <c r="E944" s="10">
        <v>1</v>
      </c>
      <c r="F944" s="10">
        <v>1</v>
      </c>
      <c r="L944" s="1">
        <v>454</v>
      </c>
      <c r="M944" s="1">
        <v>49</v>
      </c>
      <c r="N944" s="1">
        <v>0</v>
      </c>
      <c r="O944" s="1">
        <v>2</v>
      </c>
      <c r="P944" s="2">
        <v>1</v>
      </c>
      <c r="Q944" s="68">
        <v>10</v>
      </c>
    </row>
    <row r="945" spans="1:17" x14ac:dyDescent="0.25">
      <c r="A945" s="10">
        <v>345</v>
      </c>
      <c r="B945" s="10">
        <v>37</v>
      </c>
      <c r="C945" s="10">
        <v>0</v>
      </c>
      <c r="D945" s="10">
        <v>1</v>
      </c>
      <c r="E945" s="10">
        <v>1</v>
      </c>
      <c r="F945" s="10">
        <v>1</v>
      </c>
      <c r="L945" s="1">
        <v>455</v>
      </c>
      <c r="M945" s="1">
        <v>49</v>
      </c>
      <c r="N945" s="1">
        <v>0</v>
      </c>
      <c r="O945" s="1">
        <v>2</v>
      </c>
      <c r="P945" s="2">
        <v>1</v>
      </c>
      <c r="Q945" s="67">
        <v>6</v>
      </c>
    </row>
    <row r="946" spans="1:17" x14ac:dyDescent="0.25">
      <c r="A946" s="10">
        <v>346</v>
      </c>
      <c r="B946" s="10">
        <v>37</v>
      </c>
      <c r="C946" s="10">
        <v>0</v>
      </c>
      <c r="D946" s="10">
        <v>1</v>
      </c>
      <c r="E946" s="10">
        <v>1</v>
      </c>
      <c r="F946" s="10">
        <v>1</v>
      </c>
      <c r="L946" s="1">
        <v>456</v>
      </c>
      <c r="M946" s="1">
        <v>49</v>
      </c>
      <c r="N946" s="1">
        <v>0</v>
      </c>
      <c r="O946" s="1">
        <v>2</v>
      </c>
      <c r="P946" s="2">
        <v>1</v>
      </c>
      <c r="Q946" s="68">
        <v>10</v>
      </c>
    </row>
    <row r="947" spans="1:17" x14ac:dyDescent="0.25">
      <c r="A947" s="10">
        <v>347</v>
      </c>
      <c r="B947" s="10">
        <v>38</v>
      </c>
      <c r="C947" s="10">
        <v>0</v>
      </c>
      <c r="D947" s="10">
        <v>1</v>
      </c>
      <c r="E947" s="10">
        <v>1</v>
      </c>
      <c r="F947" s="10">
        <v>1</v>
      </c>
      <c r="L947" s="1">
        <v>457</v>
      </c>
      <c r="M947" s="1">
        <v>49</v>
      </c>
      <c r="N947" s="1">
        <v>0</v>
      </c>
      <c r="O947" s="1">
        <v>2</v>
      </c>
      <c r="P947" s="2">
        <v>1</v>
      </c>
      <c r="Q947" s="67">
        <v>8</v>
      </c>
    </row>
    <row r="948" spans="1:17" x14ac:dyDescent="0.25">
      <c r="A948" s="10">
        <v>348</v>
      </c>
      <c r="B948" s="10">
        <v>38</v>
      </c>
      <c r="C948" s="10">
        <v>0</v>
      </c>
      <c r="D948" s="10">
        <v>1</v>
      </c>
      <c r="E948" s="10">
        <v>1</v>
      </c>
      <c r="F948" s="10">
        <v>1</v>
      </c>
      <c r="L948" s="1">
        <v>458</v>
      </c>
      <c r="M948" s="1">
        <v>49</v>
      </c>
      <c r="N948" s="1">
        <v>0</v>
      </c>
      <c r="O948" s="1">
        <v>2</v>
      </c>
      <c r="P948" s="2">
        <v>1</v>
      </c>
      <c r="Q948" s="68">
        <v>7</v>
      </c>
    </row>
    <row r="949" spans="1:17" x14ac:dyDescent="0.25">
      <c r="A949" s="10">
        <v>349</v>
      </c>
      <c r="B949" s="10">
        <v>38</v>
      </c>
      <c r="C949" s="10">
        <v>0</v>
      </c>
      <c r="D949" s="10">
        <v>1</v>
      </c>
      <c r="E949" s="10">
        <v>1</v>
      </c>
      <c r="F949" s="10">
        <v>1</v>
      </c>
      <c r="L949" s="1">
        <v>459</v>
      </c>
      <c r="M949" s="1">
        <v>49</v>
      </c>
      <c r="N949" s="1">
        <v>0</v>
      </c>
      <c r="O949" s="1">
        <v>2</v>
      </c>
      <c r="P949" s="2">
        <v>1</v>
      </c>
      <c r="Q949" s="67">
        <v>5</v>
      </c>
    </row>
    <row r="950" spans="1:17" x14ac:dyDescent="0.25">
      <c r="A950" s="10">
        <v>350</v>
      </c>
      <c r="B950" s="10">
        <v>38</v>
      </c>
      <c r="C950" s="10">
        <v>0</v>
      </c>
      <c r="D950" s="10">
        <v>1</v>
      </c>
      <c r="E950" s="10">
        <v>1</v>
      </c>
      <c r="F950" s="10">
        <v>1</v>
      </c>
      <c r="L950" s="1">
        <v>460</v>
      </c>
      <c r="M950" s="1">
        <v>49</v>
      </c>
      <c r="N950" s="1">
        <v>0</v>
      </c>
      <c r="O950" s="1">
        <v>2</v>
      </c>
      <c r="P950" s="2">
        <v>1</v>
      </c>
      <c r="Q950" s="68">
        <v>6</v>
      </c>
    </row>
    <row r="951" spans="1:17" x14ac:dyDescent="0.25">
      <c r="A951" s="10">
        <v>351</v>
      </c>
      <c r="B951" s="10">
        <v>38</v>
      </c>
      <c r="C951" s="10">
        <v>0</v>
      </c>
      <c r="D951" s="10">
        <v>1</v>
      </c>
      <c r="E951" s="10">
        <v>1</v>
      </c>
      <c r="F951" s="10">
        <v>1</v>
      </c>
      <c r="L951" s="1">
        <v>461</v>
      </c>
      <c r="M951" s="1">
        <v>49</v>
      </c>
      <c r="N951" s="1">
        <v>0</v>
      </c>
      <c r="O951" s="1">
        <v>2</v>
      </c>
      <c r="P951" s="2">
        <v>1</v>
      </c>
      <c r="Q951" s="67">
        <v>5</v>
      </c>
    </row>
    <row r="952" spans="1:17" x14ac:dyDescent="0.25">
      <c r="A952" s="10">
        <v>352</v>
      </c>
      <c r="B952" s="10">
        <v>38</v>
      </c>
      <c r="C952" s="10">
        <v>0</v>
      </c>
      <c r="D952" s="10">
        <v>1</v>
      </c>
      <c r="E952" s="10">
        <v>1</v>
      </c>
      <c r="F952" s="10">
        <v>1</v>
      </c>
      <c r="L952" s="1">
        <v>462</v>
      </c>
      <c r="M952" s="1">
        <v>49</v>
      </c>
      <c r="N952" s="1">
        <v>0</v>
      </c>
      <c r="O952" s="1">
        <v>2</v>
      </c>
      <c r="P952" s="2">
        <v>1</v>
      </c>
      <c r="Q952" s="68">
        <v>6</v>
      </c>
    </row>
    <row r="953" spans="1:17" x14ac:dyDescent="0.25">
      <c r="A953" s="10">
        <v>353</v>
      </c>
      <c r="B953" s="10">
        <v>38</v>
      </c>
      <c r="C953" s="10">
        <v>0</v>
      </c>
      <c r="D953" s="10">
        <v>1</v>
      </c>
      <c r="E953" s="10">
        <v>1</v>
      </c>
      <c r="F953" s="10">
        <v>1</v>
      </c>
      <c r="L953" s="1">
        <v>463</v>
      </c>
      <c r="M953" s="1">
        <v>50</v>
      </c>
      <c r="N953" s="1">
        <v>0</v>
      </c>
      <c r="O953" s="1">
        <v>2</v>
      </c>
      <c r="P953" s="2">
        <v>1</v>
      </c>
      <c r="Q953" s="67">
        <v>15</v>
      </c>
    </row>
    <row r="954" spans="1:17" x14ac:dyDescent="0.25">
      <c r="A954" s="10">
        <v>354</v>
      </c>
      <c r="B954" s="10">
        <v>38</v>
      </c>
      <c r="C954" s="10">
        <v>0</v>
      </c>
      <c r="D954" s="10">
        <v>1</v>
      </c>
      <c r="E954" s="10">
        <v>1</v>
      </c>
      <c r="F954" s="10">
        <v>1</v>
      </c>
      <c r="L954" s="1">
        <v>464</v>
      </c>
      <c r="M954" s="1">
        <v>50</v>
      </c>
      <c r="N954" s="1">
        <v>0</v>
      </c>
      <c r="O954" s="1">
        <v>2</v>
      </c>
      <c r="P954" s="2">
        <v>1</v>
      </c>
      <c r="Q954" s="68">
        <v>5</v>
      </c>
    </row>
    <row r="955" spans="1:17" x14ac:dyDescent="0.25">
      <c r="A955" s="10">
        <v>355</v>
      </c>
      <c r="B955" s="10">
        <v>38</v>
      </c>
      <c r="C955" s="10">
        <v>0</v>
      </c>
      <c r="D955" s="10">
        <v>1</v>
      </c>
      <c r="E955" s="10">
        <v>1</v>
      </c>
      <c r="F955" s="10">
        <v>1</v>
      </c>
      <c r="L955" s="1">
        <v>465</v>
      </c>
      <c r="M955" s="1">
        <v>50</v>
      </c>
      <c r="N955" s="1">
        <v>0</v>
      </c>
      <c r="O955" s="1">
        <v>2</v>
      </c>
      <c r="P955" s="2">
        <v>1</v>
      </c>
      <c r="Q955" s="67">
        <v>4</v>
      </c>
    </row>
    <row r="956" spans="1:17" x14ac:dyDescent="0.25">
      <c r="A956" s="10">
        <v>356</v>
      </c>
      <c r="B956" s="10">
        <v>38</v>
      </c>
      <c r="C956" s="10">
        <v>0</v>
      </c>
      <c r="D956" s="10">
        <v>1</v>
      </c>
      <c r="E956" s="10">
        <v>1</v>
      </c>
      <c r="F956" s="10">
        <v>1</v>
      </c>
      <c r="L956" s="1">
        <v>466</v>
      </c>
      <c r="M956" s="1">
        <v>50</v>
      </c>
      <c r="N956" s="1">
        <v>0</v>
      </c>
      <c r="O956" s="1">
        <v>2</v>
      </c>
      <c r="P956" s="2">
        <v>1</v>
      </c>
      <c r="Q956" s="68">
        <v>12</v>
      </c>
    </row>
    <row r="957" spans="1:17" x14ac:dyDescent="0.25">
      <c r="A957" s="10">
        <v>357</v>
      </c>
      <c r="B957" s="10">
        <v>39</v>
      </c>
      <c r="C957" s="10">
        <v>0</v>
      </c>
      <c r="D957" s="10">
        <v>1</v>
      </c>
      <c r="E957" s="10">
        <v>1</v>
      </c>
      <c r="F957" s="10">
        <v>1</v>
      </c>
      <c r="L957" s="1">
        <v>467</v>
      </c>
      <c r="M957" s="1">
        <v>50</v>
      </c>
      <c r="N957" s="1">
        <v>0</v>
      </c>
      <c r="O957" s="1">
        <v>2</v>
      </c>
      <c r="P957" s="2">
        <v>1</v>
      </c>
      <c r="Q957" s="67">
        <v>16</v>
      </c>
    </row>
    <row r="958" spans="1:17" x14ac:dyDescent="0.25">
      <c r="A958" s="10">
        <v>358</v>
      </c>
      <c r="B958" s="10">
        <v>39</v>
      </c>
      <c r="C958" s="10">
        <v>0</v>
      </c>
      <c r="D958" s="10">
        <v>1</v>
      </c>
      <c r="E958" s="10">
        <v>1</v>
      </c>
      <c r="F958" s="10">
        <v>1</v>
      </c>
      <c r="L958" s="1">
        <v>468</v>
      </c>
      <c r="M958" s="1">
        <v>50</v>
      </c>
      <c r="N958" s="1">
        <v>0</v>
      </c>
      <c r="O958" s="1">
        <v>2</v>
      </c>
      <c r="P958" s="2">
        <v>1</v>
      </c>
      <c r="Q958" s="68">
        <v>5</v>
      </c>
    </row>
    <row r="959" spans="1:17" x14ac:dyDescent="0.25">
      <c r="A959" s="10">
        <v>359</v>
      </c>
      <c r="B959" s="10">
        <v>39</v>
      </c>
      <c r="C959" s="10">
        <v>0</v>
      </c>
      <c r="D959" s="10">
        <v>1</v>
      </c>
      <c r="E959" s="10">
        <v>1</v>
      </c>
      <c r="F959" s="10">
        <v>1</v>
      </c>
      <c r="L959" s="1">
        <v>469</v>
      </c>
      <c r="M959" s="1">
        <v>50</v>
      </c>
      <c r="N959" s="1">
        <v>0</v>
      </c>
      <c r="O959" s="1">
        <v>2</v>
      </c>
      <c r="P959" s="2">
        <v>1</v>
      </c>
      <c r="Q959" s="67">
        <v>10</v>
      </c>
    </row>
    <row r="960" spans="1:17" x14ac:dyDescent="0.25">
      <c r="A960" s="10">
        <v>360</v>
      </c>
      <c r="B960" s="10">
        <v>39</v>
      </c>
      <c r="C960" s="10">
        <v>0</v>
      </c>
      <c r="D960" s="10">
        <v>1</v>
      </c>
      <c r="E960" s="10">
        <v>1</v>
      </c>
      <c r="F960" s="10">
        <v>1</v>
      </c>
      <c r="L960" s="1">
        <v>470</v>
      </c>
      <c r="M960" s="1">
        <v>50</v>
      </c>
      <c r="N960" s="1">
        <v>0</v>
      </c>
      <c r="O960" s="1">
        <v>2</v>
      </c>
      <c r="P960" s="2">
        <v>1</v>
      </c>
      <c r="Q960" s="68">
        <v>7</v>
      </c>
    </row>
    <row r="961" spans="1:17" x14ac:dyDescent="0.25">
      <c r="A961" s="10">
        <v>361</v>
      </c>
      <c r="B961" s="10">
        <v>39</v>
      </c>
      <c r="C961" s="10">
        <v>0</v>
      </c>
      <c r="D961" s="10">
        <v>1</v>
      </c>
      <c r="E961" s="10">
        <v>1</v>
      </c>
      <c r="F961" s="10">
        <v>1</v>
      </c>
      <c r="L961" s="1">
        <v>471</v>
      </c>
      <c r="M961" s="1">
        <v>50</v>
      </c>
      <c r="N961" s="1">
        <v>0</v>
      </c>
      <c r="O961" s="1">
        <v>2</v>
      </c>
      <c r="P961" s="2">
        <v>1</v>
      </c>
      <c r="Q961" s="67">
        <v>15</v>
      </c>
    </row>
    <row r="962" spans="1:17" x14ac:dyDescent="0.25">
      <c r="A962" s="10">
        <v>362</v>
      </c>
      <c r="B962" s="10">
        <v>39</v>
      </c>
      <c r="C962" s="10">
        <v>0</v>
      </c>
      <c r="D962" s="10">
        <v>1</v>
      </c>
      <c r="E962" s="10">
        <v>1</v>
      </c>
      <c r="F962" s="10">
        <v>1</v>
      </c>
      <c r="L962" s="1">
        <v>472</v>
      </c>
      <c r="M962" s="1">
        <v>50</v>
      </c>
      <c r="N962" s="1">
        <v>0</v>
      </c>
      <c r="O962" s="1">
        <v>2</v>
      </c>
      <c r="P962" s="2">
        <v>1</v>
      </c>
      <c r="Q962" s="68">
        <v>2</v>
      </c>
    </row>
    <row r="963" spans="1:17" x14ac:dyDescent="0.25">
      <c r="A963" s="10">
        <v>363</v>
      </c>
      <c r="B963" s="10">
        <v>39</v>
      </c>
      <c r="C963" s="10">
        <v>0</v>
      </c>
      <c r="D963" s="10">
        <v>1</v>
      </c>
      <c r="E963" s="10">
        <v>1</v>
      </c>
      <c r="F963" s="10">
        <v>1</v>
      </c>
      <c r="L963" s="1">
        <v>473</v>
      </c>
      <c r="M963" s="1">
        <v>51</v>
      </c>
      <c r="N963" s="1">
        <v>0</v>
      </c>
      <c r="O963" s="1">
        <v>2</v>
      </c>
      <c r="P963" s="2">
        <v>1</v>
      </c>
      <c r="Q963" s="67">
        <v>1</v>
      </c>
    </row>
    <row r="964" spans="1:17" x14ac:dyDescent="0.25">
      <c r="A964" s="10">
        <v>364</v>
      </c>
      <c r="B964" s="10">
        <v>39</v>
      </c>
      <c r="C964" s="10">
        <v>0</v>
      </c>
      <c r="D964" s="10">
        <v>1</v>
      </c>
      <c r="E964" s="10">
        <v>1</v>
      </c>
      <c r="F964" s="10">
        <v>1</v>
      </c>
      <c r="L964" s="1">
        <v>474</v>
      </c>
      <c r="M964" s="1">
        <v>51</v>
      </c>
      <c r="N964" s="1">
        <v>0</v>
      </c>
      <c r="O964" s="1">
        <v>2</v>
      </c>
      <c r="P964" s="2">
        <v>1</v>
      </c>
      <c r="Q964" s="68">
        <v>3</v>
      </c>
    </row>
    <row r="965" spans="1:17" x14ac:dyDescent="0.25">
      <c r="A965" s="10">
        <v>365</v>
      </c>
      <c r="B965" s="10">
        <v>39</v>
      </c>
      <c r="C965" s="10">
        <v>0</v>
      </c>
      <c r="D965" s="10">
        <v>1</v>
      </c>
      <c r="E965" s="10">
        <v>1</v>
      </c>
      <c r="F965" s="10">
        <v>1</v>
      </c>
      <c r="L965" s="1">
        <v>475</v>
      </c>
      <c r="M965" s="1">
        <v>51</v>
      </c>
      <c r="N965" s="1">
        <v>0</v>
      </c>
      <c r="O965" s="1">
        <v>2</v>
      </c>
      <c r="P965" s="2">
        <v>1</v>
      </c>
      <c r="Q965" s="67">
        <v>6</v>
      </c>
    </row>
    <row r="966" spans="1:17" x14ac:dyDescent="0.25">
      <c r="A966" s="10">
        <v>366</v>
      </c>
      <c r="B966" s="10">
        <v>39</v>
      </c>
      <c r="C966" s="10">
        <v>0</v>
      </c>
      <c r="D966" s="10">
        <v>1</v>
      </c>
      <c r="E966" s="10">
        <v>1</v>
      </c>
      <c r="F966" s="10">
        <v>1</v>
      </c>
      <c r="L966" s="1">
        <v>476</v>
      </c>
      <c r="M966" s="1">
        <v>51</v>
      </c>
      <c r="N966" s="1">
        <v>0</v>
      </c>
      <c r="O966" s="1">
        <v>2</v>
      </c>
      <c r="P966" s="2">
        <v>1</v>
      </c>
      <c r="Q966" s="68">
        <v>1</v>
      </c>
    </row>
    <row r="967" spans="1:17" x14ac:dyDescent="0.25">
      <c r="A967" s="10">
        <v>367</v>
      </c>
      <c r="B967" s="10">
        <v>40</v>
      </c>
      <c r="C967" s="10">
        <v>0</v>
      </c>
      <c r="D967" s="10">
        <v>1</v>
      </c>
      <c r="E967" s="10">
        <v>1</v>
      </c>
      <c r="F967" s="10">
        <v>1</v>
      </c>
      <c r="L967" s="1">
        <v>477</v>
      </c>
      <c r="M967" s="1">
        <v>51</v>
      </c>
      <c r="N967" s="1">
        <v>0</v>
      </c>
      <c r="O967" s="1">
        <v>2</v>
      </c>
      <c r="P967" s="2">
        <v>1</v>
      </c>
      <c r="Q967" s="67">
        <v>2</v>
      </c>
    </row>
    <row r="968" spans="1:17" x14ac:dyDescent="0.25">
      <c r="A968" s="10">
        <v>368</v>
      </c>
      <c r="B968" s="10">
        <v>40</v>
      </c>
      <c r="C968" s="10">
        <v>0</v>
      </c>
      <c r="D968" s="10">
        <v>1</v>
      </c>
      <c r="E968" s="10">
        <v>1</v>
      </c>
      <c r="F968" s="10">
        <v>1</v>
      </c>
      <c r="L968" s="1">
        <v>478</v>
      </c>
      <c r="M968" s="1">
        <v>51</v>
      </c>
      <c r="N968" s="1">
        <v>0</v>
      </c>
      <c r="O968" s="1">
        <v>2</v>
      </c>
      <c r="P968" s="2">
        <v>1</v>
      </c>
      <c r="Q968" s="68">
        <v>1</v>
      </c>
    </row>
    <row r="969" spans="1:17" x14ac:dyDescent="0.25">
      <c r="A969" s="10">
        <v>369</v>
      </c>
      <c r="B969" s="10">
        <v>40</v>
      </c>
      <c r="C969" s="10">
        <v>0</v>
      </c>
      <c r="D969" s="10">
        <v>1</v>
      </c>
      <c r="E969" s="10">
        <v>1</v>
      </c>
      <c r="F969" s="10">
        <v>1</v>
      </c>
      <c r="L969" s="1">
        <v>479</v>
      </c>
      <c r="M969" s="1">
        <v>51</v>
      </c>
      <c r="N969" s="1">
        <v>0</v>
      </c>
      <c r="O969" s="1">
        <v>2</v>
      </c>
      <c r="P969" s="2">
        <v>1</v>
      </c>
      <c r="Q969" s="67">
        <v>2</v>
      </c>
    </row>
    <row r="970" spans="1:17" x14ac:dyDescent="0.25">
      <c r="A970" s="10">
        <v>370</v>
      </c>
      <c r="B970" s="10">
        <v>40</v>
      </c>
      <c r="C970" s="10">
        <v>0</v>
      </c>
      <c r="D970" s="10">
        <v>1</v>
      </c>
      <c r="E970" s="10">
        <v>1</v>
      </c>
      <c r="F970" s="10">
        <v>1</v>
      </c>
      <c r="L970" s="1">
        <v>480</v>
      </c>
      <c r="M970" s="1">
        <v>51</v>
      </c>
      <c r="N970" s="1">
        <v>0</v>
      </c>
      <c r="O970" s="1">
        <v>2</v>
      </c>
      <c r="P970" s="2">
        <v>1</v>
      </c>
      <c r="Q970" s="68">
        <v>3</v>
      </c>
    </row>
    <row r="971" spans="1:17" x14ac:dyDescent="0.25">
      <c r="A971" s="10">
        <v>371</v>
      </c>
      <c r="B971" s="10">
        <v>40</v>
      </c>
      <c r="C971" s="10">
        <v>0</v>
      </c>
      <c r="D971" s="10">
        <v>1</v>
      </c>
      <c r="E971" s="10">
        <v>1</v>
      </c>
      <c r="F971" s="10">
        <v>1</v>
      </c>
      <c r="L971" s="1">
        <v>481</v>
      </c>
      <c r="M971" s="1">
        <v>51</v>
      </c>
      <c r="N971" s="1">
        <v>0</v>
      </c>
      <c r="O971" s="1">
        <v>2</v>
      </c>
      <c r="P971" s="2">
        <v>1</v>
      </c>
      <c r="Q971" s="67">
        <v>1</v>
      </c>
    </row>
    <row r="972" spans="1:17" x14ac:dyDescent="0.25">
      <c r="A972" s="10">
        <v>372</v>
      </c>
      <c r="B972" s="10">
        <v>40</v>
      </c>
      <c r="C972" s="10">
        <v>0</v>
      </c>
      <c r="D972" s="10">
        <v>1</v>
      </c>
      <c r="E972" s="10">
        <v>1</v>
      </c>
      <c r="F972" s="10">
        <v>1</v>
      </c>
      <c r="L972" s="1">
        <v>482</v>
      </c>
      <c r="M972" s="1">
        <v>51</v>
      </c>
      <c r="N972" s="1">
        <v>0</v>
      </c>
      <c r="O972" s="1">
        <v>2</v>
      </c>
      <c r="P972" s="2">
        <v>1</v>
      </c>
      <c r="Q972" s="68">
        <v>1</v>
      </c>
    </row>
    <row r="973" spans="1:17" x14ac:dyDescent="0.25">
      <c r="A973" s="10">
        <v>373</v>
      </c>
      <c r="B973" s="10">
        <v>40</v>
      </c>
      <c r="C973" s="10">
        <v>0</v>
      </c>
      <c r="D973" s="10">
        <v>1</v>
      </c>
      <c r="E973" s="10">
        <v>1</v>
      </c>
      <c r="F973" s="10">
        <v>1</v>
      </c>
      <c r="L973" s="1">
        <v>483</v>
      </c>
      <c r="M973" s="1">
        <v>52</v>
      </c>
      <c r="N973" s="1">
        <v>0</v>
      </c>
      <c r="O973" s="1">
        <v>2</v>
      </c>
      <c r="P973" s="2">
        <v>1</v>
      </c>
      <c r="Q973" s="67">
        <v>1</v>
      </c>
    </row>
    <row r="974" spans="1:17" x14ac:dyDescent="0.25">
      <c r="A974" s="10">
        <v>374</v>
      </c>
      <c r="B974" s="10">
        <v>40</v>
      </c>
      <c r="C974" s="10">
        <v>0</v>
      </c>
      <c r="D974" s="10">
        <v>1</v>
      </c>
      <c r="E974" s="10">
        <v>1</v>
      </c>
      <c r="F974" s="10">
        <v>1</v>
      </c>
      <c r="L974" s="1">
        <v>484</v>
      </c>
      <c r="M974" s="1">
        <v>52</v>
      </c>
      <c r="N974" s="1">
        <v>0</v>
      </c>
      <c r="O974" s="1">
        <v>2</v>
      </c>
      <c r="P974" s="2">
        <v>1</v>
      </c>
      <c r="Q974" s="68">
        <v>1</v>
      </c>
    </row>
    <row r="975" spans="1:17" x14ac:dyDescent="0.25">
      <c r="A975" s="10">
        <v>375</v>
      </c>
      <c r="B975" s="10">
        <v>41</v>
      </c>
      <c r="C975" s="10">
        <v>0</v>
      </c>
      <c r="D975" s="10">
        <v>1</v>
      </c>
      <c r="E975" s="10">
        <v>1</v>
      </c>
      <c r="F975" s="10">
        <v>1</v>
      </c>
      <c r="L975" s="1">
        <v>485</v>
      </c>
      <c r="M975" s="1">
        <v>52</v>
      </c>
      <c r="N975" s="1">
        <v>0</v>
      </c>
      <c r="O975" s="1">
        <v>2</v>
      </c>
      <c r="P975" s="2">
        <v>1</v>
      </c>
      <c r="Q975" s="67">
        <v>1</v>
      </c>
    </row>
    <row r="976" spans="1:17" x14ac:dyDescent="0.25">
      <c r="A976" s="10">
        <v>376</v>
      </c>
      <c r="B976" s="10">
        <v>41</v>
      </c>
      <c r="C976" s="10">
        <v>0</v>
      </c>
      <c r="D976" s="10">
        <v>1</v>
      </c>
      <c r="E976" s="10">
        <v>1</v>
      </c>
      <c r="F976" s="10">
        <v>1</v>
      </c>
      <c r="L976" s="1">
        <v>486</v>
      </c>
      <c r="M976" s="1">
        <v>52</v>
      </c>
      <c r="N976" s="1">
        <v>0</v>
      </c>
      <c r="O976" s="1">
        <v>2</v>
      </c>
      <c r="P976" s="2">
        <v>1</v>
      </c>
      <c r="Q976" s="68">
        <v>2</v>
      </c>
    </row>
    <row r="977" spans="1:17" x14ac:dyDescent="0.25">
      <c r="A977" s="10">
        <v>377</v>
      </c>
      <c r="B977" s="10">
        <v>41</v>
      </c>
      <c r="C977" s="10">
        <v>0</v>
      </c>
      <c r="D977" s="10">
        <v>1</v>
      </c>
      <c r="E977" s="10">
        <v>1</v>
      </c>
      <c r="F977" s="10">
        <v>1</v>
      </c>
      <c r="L977" s="1">
        <v>487</v>
      </c>
      <c r="M977" s="1">
        <v>52</v>
      </c>
      <c r="N977" s="1">
        <v>0</v>
      </c>
      <c r="O977" s="1">
        <v>2</v>
      </c>
      <c r="P977" s="2">
        <v>1</v>
      </c>
      <c r="Q977" s="67">
        <v>1</v>
      </c>
    </row>
    <row r="978" spans="1:17" x14ac:dyDescent="0.25">
      <c r="A978" s="10">
        <v>378</v>
      </c>
      <c r="B978" s="10">
        <v>41</v>
      </c>
      <c r="C978" s="10">
        <v>0</v>
      </c>
      <c r="D978" s="10">
        <v>1</v>
      </c>
      <c r="E978" s="10">
        <v>1</v>
      </c>
      <c r="F978" s="10">
        <v>1</v>
      </c>
      <c r="L978" s="1">
        <v>488</v>
      </c>
      <c r="M978" s="1">
        <v>52</v>
      </c>
      <c r="N978" s="1">
        <v>0</v>
      </c>
      <c r="O978" s="1">
        <v>2</v>
      </c>
      <c r="P978" s="2">
        <v>1</v>
      </c>
      <c r="Q978" s="68">
        <v>3</v>
      </c>
    </row>
    <row r="979" spans="1:17" x14ac:dyDescent="0.25">
      <c r="A979" s="10">
        <v>379</v>
      </c>
      <c r="B979" s="10">
        <v>41</v>
      </c>
      <c r="C979" s="10">
        <v>0</v>
      </c>
      <c r="D979" s="10">
        <v>1</v>
      </c>
      <c r="E979" s="10">
        <v>1</v>
      </c>
      <c r="F979" s="10">
        <v>1</v>
      </c>
      <c r="L979" s="4">
        <v>1</v>
      </c>
      <c r="M979" s="4">
        <v>1</v>
      </c>
      <c r="N979" s="4">
        <v>0</v>
      </c>
      <c r="O979" s="4">
        <v>1</v>
      </c>
      <c r="P979" s="5">
        <v>1</v>
      </c>
      <c r="Q979" s="67">
        <v>1</v>
      </c>
    </row>
    <row r="980" spans="1:17" x14ac:dyDescent="0.25">
      <c r="A980" s="10">
        <v>380</v>
      </c>
      <c r="B980" s="10">
        <v>41</v>
      </c>
      <c r="C980" s="10">
        <v>0</v>
      </c>
      <c r="D980" s="10">
        <v>1</v>
      </c>
      <c r="E980" s="10">
        <v>1</v>
      </c>
      <c r="F980" s="10">
        <v>1</v>
      </c>
      <c r="L980" s="1">
        <v>2</v>
      </c>
      <c r="M980" s="4">
        <v>1</v>
      </c>
      <c r="N980" s="4">
        <v>0</v>
      </c>
      <c r="O980" s="1">
        <v>1</v>
      </c>
      <c r="P980" s="2">
        <v>1</v>
      </c>
      <c r="Q980" s="68">
        <v>2</v>
      </c>
    </row>
    <row r="981" spans="1:17" x14ac:dyDescent="0.25">
      <c r="A981" s="10">
        <v>381</v>
      </c>
      <c r="B981" s="10">
        <v>41</v>
      </c>
      <c r="C981" s="10">
        <v>0</v>
      </c>
      <c r="D981" s="10">
        <v>1</v>
      </c>
      <c r="E981" s="10">
        <v>1</v>
      </c>
      <c r="F981" s="10">
        <v>1</v>
      </c>
      <c r="L981" s="4">
        <v>3</v>
      </c>
      <c r="M981" s="4">
        <v>1</v>
      </c>
      <c r="N981" s="4">
        <v>0</v>
      </c>
      <c r="O981" s="4">
        <v>1</v>
      </c>
      <c r="P981" s="5">
        <v>1</v>
      </c>
      <c r="Q981" s="67">
        <v>1</v>
      </c>
    </row>
    <row r="982" spans="1:17" x14ac:dyDescent="0.25">
      <c r="A982" s="10">
        <v>382</v>
      </c>
      <c r="B982" s="10">
        <v>41</v>
      </c>
      <c r="C982" s="10">
        <v>0</v>
      </c>
      <c r="D982" s="10">
        <v>1</v>
      </c>
      <c r="E982" s="10">
        <v>1</v>
      </c>
      <c r="F982" s="10">
        <v>1</v>
      </c>
      <c r="L982" s="1">
        <v>4</v>
      </c>
      <c r="M982" s="4">
        <v>1</v>
      </c>
      <c r="N982" s="4">
        <v>0</v>
      </c>
      <c r="O982" s="1">
        <v>1</v>
      </c>
      <c r="P982" s="2">
        <v>1</v>
      </c>
      <c r="Q982" s="68">
        <v>15</v>
      </c>
    </row>
    <row r="983" spans="1:17" x14ac:dyDescent="0.25">
      <c r="A983" s="10">
        <v>383</v>
      </c>
      <c r="B983" s="10">
        <v>41</v>
      </c>
      <c r="C983" s="10">
        <v>0</v>
      </c>
      <c r="D983" s="10">
        <v>1</v>
      </c>
      <c r="E983" s="10">
        <v>1</v>
      </c>
      <c r="F983" s="10">
        <v>1</v>
      </c>
      <c r="L983" s="4">
        <v>5</v>
      </c>
      <c r="M983" s="4">
        <v>1</v>
      </c>
      <c r="N983" s="4">
        <v>0</v>
      </c>
      <c r="O983" s="4">
        <v>1</v>
      </c>
      <c r="P983" s="5">
        <v>1</v>
      </c>
      <c r="Q983" s="67">
        <v>10</v>
      </c>
    </row>
    <row r="984" spans="1:17" x14ac:dyDescent="0.25">
      <c r="A984" s="10">
        <v>384</v>
      </c>
      <c r="B984" s="10">
        <v>41</v>
      </c>
      <c r="C984" s="10">
        <v>0</v>
      </c>
      <c r="D984" s="10">
        <v>1</v>
      </c>
      <c r="E984" s="10">
        <v>1</v>
      </c>
      <c r="F984" s="10">
        <v>1</v>
      </c>
      <c r="L984" s="1">
        <v>6</v>
      </c>
      <c r="M984" s="4">
        <v>1</v>
      </c>
      <c r="N984" s="4">
        <v>0</v>
      </c>
      <c r="O984" s="1">
        <v>1</v>
      </c>
      <c r="P984" s="2">
        <v>1</v>
      </c>
      <c r="Q984" s="68">
        <v>19</v>
      </c>
    </row>
    <row r="985" spans="1:17" x14ac:dyDescent="0.25">
      <c r="A985" s="10">
        <v>385</v>
      </c>
      <c r="B985" s="10">
        <v>42</v>
      </c>
      <c r="C985" s="10">
        <v>0</v>
      </c>
      <c r="D985" s="10">
        <v>1</v>
      </c>
      <c r="E985" s="10">
        <v>1</v>
      </c>
      <c r="F985" s="10">
        <v>1</v>
      </c>
      <c r="L985" s="4">
        <v>7</v>
      </c>
      <c r="M985" s="4">
        <v>1</v>
      </c>
      <c r="N985" s="4">
        <v>0</v>
      </c>
      <c r="O985" s="4">
        <v>1</v>
      </c>
      <c r="P985" s="5">
        <v>1</v>
      </c>
      <c r="Q985" s="67">
        <v>16</v>
      </c>
    </row>
    <row r="986" spans="1:17" x14ac:dyDescent="0.25">
      <c r="A986" s="10">
        <v>386</v>
      </c>
      <c r="B986" s="10">
        <v>42</v>
      </c>
      <c r="C986" s="10">
        <v>0</v>
      </c>
      <c r="D986" s="10">
        <v>1</v>
      </c>
      <c r="E986" s="10">
        <v>1</v>
      </c>
      <c r="F986" s="10">
        <v>1</v>
      </c>
      <c r="L986" s="1">
        <v>8</v>
      </c>
      <c r="M986" s="4">
        <v>1</v>
      </c>
      <c r="N986" s="4">
        <v>0</v>
      </c>
      <c r="O986" s="1">
        <v>1</v>
      </c>
      <c r="P986" s="2">
        <v>1</v>
      </c>
      <c r="Q986" s="68">
        <v>9</v>
      </c>
    </row>
    <row r="987" spans="1:17" x14ac:dyDescent="0.25">
      <c r="A987" s="10">
        <v>387</v>
      </c>
      <c r="B987" s="10">
        <v>42</v>
      </c>
      <c r="C987" s="10">
        <v>0</v>
      </c>
      <c r="D987" s="10">
        <v>1</v>
      </c>
      <c r="E987" s="10">
        <v>1</v>
      </c>
      <c r="F987" s="10">
        <v>1</v>
      </c>
      <c r="L987" s="4">
        <v>9</v>
      </c>
      <c r="M987" s="4">
        <v>1</v>
      </c>
      <c r="N987" s="4">
        <v>0</v>
      </c>
      <c r="O987" s="4">
        <v>1</v>
      </c>
      <c r="P987" s="2">
        <v>1</v>
      </c>
      <c r="Q987" s="67">
        <v>5</v>
      </c>
    </row>
    <row r="988" spans="1:17" x14ac:dyDescent="0.25">
      <c r="A988" s="10">
        <v>388</v>
      </c>
      <c r="B988" s="10">
        <v>42</v>
      </c>
      <c r="C988" s="10">
        <v>0</v>
      </c>
      <c r="D988" s="10">
        <v>1</v>
      </c>
      <c r="E988" s="10">
        <v>1</v>
      </c>
      <c r="F988" s="10">
        <v>1</v>
      </c>
      <c r="L988" s="1">
        <v>10</v>
      </c>
      <c r="M988" s="4">
        <v>1</v>
      </c>
      <c r="N988" s="4">
        <v>0</v>
      </c>
      <c r="O988" s="1">
        <v>1</v>
      </c>
      <c r="P988" s="2">
        <v>1</v>
      </c>
      <c r="Q988" s="68">
        <v>6</v>
      </c>
    </row>
    <row r="989" spans="1:17" x14ac:dyDescent="0.25">
      <c r="A989" s="10">
        <v>389</v>
      </c>
      <c r="B989" s="10">
        <v>42</v>
      </c>
      <c r="C989" s="10">
        <v>0</v>
      </c>
      <c r="D989" s="10">
        <v>1</v>
      </c>
      <c r="E989" s="10">
        <v>1</v>
      </c>
      <c r="F989" s="10">
        <v>1</v>
      </c>
      <c r="L989" s="4">
        <v>11</v>
      </c>
      <c r="M989" s="4">
        <v>2</v>
      </c>
      <c r="N989" s="4">
        <v>0</v>
      </c>
      <c r="O989" s="4">
        <v>1</v>
      </c>
      <c r="P989" s="2">
        <v>1</v>
      </c>
      <c r="Q989" s="67">
        <v>4</v>
      </c>
    </row>
    <row r="990" spans="1:17" x14ac:dyDescent="0.25">
      <c r="A990" s="10">
        <v>390</v>
      </c>
      <c r="B990" s="10">
        <v>42</v>
      </c>
      <c r="C990" s="10">
        <v>0</v>
      </c>
      <c r="D990" s="10">
        <v>1</v>
      </c>
      <c r="E990" s="10">
        <v>1</v>
      </c>
      <c r="F990" s="10">
        <v>1</v>
      </c>
      <c r="L990" s="1">
        <v>12</v>
      </c>
      <c r="M990" s="4">
        <v>2</v>
      </c>
      <c r="N990" s="4">
        <v>0</v>
      </c>
      <c r="O990" s="1">
        <v>1</v>
      </c>
      <c r="P990" s="2">
        <v>1</v>
      </c>
      <c r="Q990" s="68">
        <v>6</v>
      </c>
    </row>
    <row r="991" spans="1:17" x14ac:dyDescent="0.25">
      <c r="A991" s="10">
        <v>391</v>
      </c>
      <c r="B991" s="10">
        <v>42</v>
      </c>
      <c r="C991" s="10">
        <v>0</v>
      </c>
      <c r="D991" s="10">
        <v>1</v>
      </c>
      <c r="E991" s="10">
        <v>1</v>
      </c>
      <c r="F991" s="10">
        <v>1</v>
      </c>
      <c r="L991" s="4">
        <v>13</v>
      </c>
      <c r="M991" s="4">
        <v>2</v>
      </c>
      <c r="N991" s="4">
        <v>0</v>
      </c>
      <c r="O991" s="4">
        <v>1</v>
      </c>
      <c r="P991" s="5">
        <v>1</v>
      </c>
      <c r="Q991" s="67">
        <v>6</v>
      </c>
    </row>
    <row r="992" spans="1:17" x14ac:dyDescent="0.25">
      <c r="A992" s="10">
        <v>392</v>
      </c>
      <c r="B992" s="10">
        <v>42</v>
      </c>
      <c r="C992" s="10">
        <v>0</v>
      </c>
      <c r="D992" s="10">
        <v>1</v>
      </c>
      <c r="E992" s="10">
        <v>1</v>
      </c>
      <c r="F992" s="10">
        <v>1</v>
      </c>
      <c r="L992" s="1">
        <v>14</v>
      </c>
      <c r="M992" s="4">
        <v>2</v>
      </c>
      <c r="N992" s="4">
        <v>0</v>
      </c>
      <c r="O992" s="1">
        <v>1</v>
      </c>
      <c r="P992" s="2">
        <v>1</v>
      </c>
      <c r="Q992" s="68">
        <v>2</v>
      </c>
    </row>
    <row r="993" spans="1:17" x14ac:dyDescent="0.25">
      <c r="A993" s="10">
        <v>393</v>
      </c>
      <c r="B993" s="10">
        <v>42</v>
      </c>
      <c r="C993" s="10">
        <v>0</v>
      </c>
      <c r="D993" s="10">
        <v>1</v>
      </c>
      <c r="E993" s="10">
        <v>1</v>
      </c>
      <c r="F993" s="10">
        <v>1</v>
      </c>
      <c r="L993" s="4">
        <v>15</v>
      </c>
      <c r="M993" s="4">
        <v>2</v>
      </c>
      <c r="N993" s="4">
        <v>0</v>
      </c>
      <c r="O993" s="4">
        <v>1</v>
      </c>
      <c r="P993" s="2">
        <v>1</v>
      </c>
      <c r="Q993" s="67">
        <v>4</v>
      </c>
    </row>
    <row r="994" spans="1:17" x14ac:dyDescent="0.25">
      <c r="A994" s="10">
        <v>394</v>
      </c>
      <c r="B994" s="10">
        <v>42</v>
      </c>
      <c r="C994" s="10">
        <v>0</v>
      </c>
      <c r="D994" s="10">
        <v>1</v>
      </c>
      <c r="E994" s="10">
        <v>1</v>
      </c>
      <c r="F994" s="10">
        <v>1</v>
      </c>
      <c r="L994" s="1">
        <v>16</v>
      </c>
      <c r="M994" s="4">
        <v>2</v>
      </c>
      <c r="N994" s="4">
        <v>0</v>
      </c>
      <c r="O994" s="4">
        <v>1</v>
      </c>
      <c r="P994" s="2">
        <v>1</v>
      </c>
      <c r="Q994" s="68">
        <v>3</v>
      </c>
    </row>
    <row r="995" spans="1:17" x14ac:dyDescent="0.25">
      <c r="A995" s="10">
        <v>395</v>
      </c>
      <c r="B995" s="10">
        <v>43</v>
      </c>
      <c r="C995" s="10">
        <v>0</v>
      </c>
      <c r="D995" s="10">
        <v>1</v>
      </c>
      <c r="E995" s="10">
        <v>1</v>
      </c>
      <c r="F995" s="10">
        <v>1</v>
      </c>
      <c r="L995" s="4">
        <v>17</v>
      </c>
      <c r="M995" s="4">
        <v>2</v>
      </c>
      <c r="N995" s="4">
        <v>0</v>
      </c>
      <c r="O995" s="1">
        <v>1</v>
      </c>
      <c r="P995" s="2">
        <v>1</v>
      </c>
      <c r="Q995" s="67">
        <v>2</v>
      </c>
    </row>
    <row r="996" spans="1:17" x14ac:dyDescent="0.25">
      <c r="A996" s="10">
        <v>396</v>
      </c>
      <c r="B996" s="10">
        <v>43</v>
      </c>
      <c r="C996" s="10">
        <v>0</v>
      </c>
      <c r="D996" s="10">
        <v>1</v>
      </c>
      <c r="E996" s="10">
        <v>1</v>
      </c>
      <c r="F996" s="10">
        <v>1</v>
      </c>
      <c r="L996" s="1">
        <v>18</v>
      </c>
      <c r="M996" s="4">
        <v>2</v>
      </c>
      <c r="N996" s="4">
        <v>0</v>
      </c>
      <c r="O996" s="4">
        <v>1</v>
      </c>
      <c r="P996" s="2">
        <v>1</v>
      </c>
      <c r="Q996" s="68">
        <v>3</v>
      </c>
    </row>
    <row r="997" spans="1:17" x14ac:dyDescent="0.25">
      <c r="A997" s="10">
        <v>397</v>
      </c>
      <c r="B997" s="10">
        <v>43</v>
      </c>
      <c r="C997" s="10">
        <v>0</v>
      </c>
      <c r="D997" s="10">
        <v>1</v>
      </c>
      <c r="E997" s="10">
        <v>1</v>
      </c>
      <c r="F997" s="10">
        <v>1</v>
      </c>
      <c r="L997" s="4">
        <v>19</v>
      </c>
      <c r="M997" s="4">
        <v>2</v>
      </c>
      <c r="N997" s="4">
        <v>0</v>
      </c>
      <c r="O997" s="1">
        <v>1</v>
      </c>
      <c r="P997" s="5">
        <v>1</v>
      </c>
      <c r="Q997" s="67">
        <v>4</v>
      </c>
    </row>
    <row r="998" spans="1:17" x14ac:dyDescent="0.25">
      <c r="A998" s="10">
        <v>398</v>
      </c>
      <c r="B998" s="10">
        <v>43</v>
      </c>
      <c r="C998" s="10">
        <v>0</v>
      </c>
      <c r="D998" s="10">
        <v>1</v>
      </c>
      <c r="E998" s="10">
        <v>1</v>
      </c>
      <c r="F998" s="10">
        <v>1</v>
      </c>
      <c r="L998" s="1">
        <v>20</v>
      </c>
      <c r="M998" s="4">
        <v>2</v>
      </c>
      <c r="N998" s="4">
        <v>0</v>
      </c>
      <c r="O998" s="4">
        <v>1</v>
      </c>
      <c r="P998" s="2">
        <v>1</v>
      </c>
      <c r="Q998" s="68">
        <v>1</v>
      </c>
    </row>
    <row r="999" spans="1:17" x14ac:dyDescent="0.25">
      <c r="A999" s="10">
        <v>399</v>
      </c>
      <c r="B999" s="10">
        <v>43</v>
      </c>
      <c r="C999" s="10">
        <v>0</v>
      </c>
      <c r="D999" s="10">
        <v>1</v>
      </c>
      <c r="E999" s="10">
        <v>1</v>
      </c>
      <c r="F999" s="10">
        <v>1</v>
      </c>
      <c r="L999" s="4">
        <v>21</v>
      </c>
      <c r="M999" s="4">
        <v>3</v>
      </c>
      <c r="N999" s="4">
        <v>0</v>
      </c>
      <c r="O999" s="1">
        <v>1</v>
      </c>
      <c r="P999" s="2">
        <v>1</v>
      </c>
      <c r="Q999" s="67">
        <v>5</v>
      </c>
    </row>
    <row r="1000" spans="1:17" x14ac:dyDescent="0.25">
      <c r="A1000" s="10">
        <v>400</v>
      </c>
      <c r="B1000" s="10">
        <v>43</v>
      </c>
      <c r="C1000" s="10">
        <v>0</v>
      </c>
      <c r="D1000" s="10">
        <v>1</v>
      </c>
      <c r="E1000" s="10">
        <v>1</v>
      </c>
      <c r="F1000" s="10">
        <v>1</v>
      </c>
      <c r="L1000" s="4">
        <v>22</v>
      </c>
      <c r="M1000" s="4">
        <v>3</v>
      </c>
      <c r="N1000" s="4">
        <v>0</v>
      </c>
      <c r="O1000" s="4">
        <v>1</v>
      </c>
      <c r="P1000" s="2">
        <v>1</v>
      </c>
      <c r="Q1000" s="68">
        <v>19</v>
      </c>
    </row>
    <row r="1001" spans="1:17" x14ac:dyDescent="0.25">
      <c r="A1001" s="10">
        <v>401</v>
      </c>
      <c r="B1001" s="10">
        <v>43</v>
      </c>
      <c r="C1001" s="10">
        <v>0</v>
      </c>
      <c r="D1001" s="10">
        <v>1</v>
      </c>
      <c r="E1001" s="10">
        <v>1</v>
      </c>
      <c r="F1001" s="10">
        <v>1</v>
      </c>
      <c r="L1001" s="1">
        <v>23</v>
      </c>
      <c r="M1001" s="4">
        <v>3</v>
      </c>
      <c r="N1001" s="4">
        <v>0</v>
      </c>
      <c r="O1001" s="1">
        <v>1</v>
      </c>
      <c r="P1001" s="2">
        <v>1</v>
      </c>
      <c r="Q1001" s="67">
        <v>9</v>
      </c>
    </row>
    <row r="1002" spans="1:17" x14ac:dyDescent="0.25">
      <c r="A1002" s="10">
        <v>402</v>
      </c>
      <c r="B1002" s="10">
        <v>43</v>
      </c>
      <c r="C1002" s="10">
        <v>0</v>
      </c>
      <c r="D1002" s="10">
        <v>1</v>
      </c>
      <c r="E1002" s="10">
        <v>1</v>
      </c>
      <c r="F1002" s="10">
        <v>1</v>
      </c>
      <c r="L1002" s="4">
        <v>24</v>
      </c>
      <c r="M1002" s="4">
        <v>3</v>
      </c>
      <c r="N1002" s="4">
        <v>0</v>
      </c>
      <c r="O1002" s="4">
        <v>1</v>
      </c>
      <c r="P1002" s="2">
        <v>1</v>
      </c>
      <c r="Q1002" s="68">
        <v>7</v>
      </c>
    </row>
    <row r="1003" spans="1:17" x14ac:dyDescent="0.25">
      <c r="A1003" s="10">
        <v>403</v>
      </c>
      <c r="B1003" s="10">
        <v>43</v>
      </c>
      <c r="C1003" s="10">
        <v>0</v>
      </c>
      <c r="D1003" s="10">
        <v>1</v>
      </c>
      <c r="E1003" s="10">
        <v>1</v>
      </c>
      <c r="F1003" s="10">
        <v>1</v>
      </c>
      <c r="L1003" s="1">
        <v>25</v>
      </c>
      <c r="M1003" s="4">
        <v>3</v>
      </c>
      <c r="N1003" s="4">
        <v>0</v>
      </c>
      <c r="O1003" s="1">
        <v>1</v>
      </c>
      <c r="P1003" s="5">
        <v>1</v>
      </c>
      <c r="Q1003" s="67">
        <v>20</v>
      </c>
    </row>
    <row r="1004" spans="1:17" x14ac:dyDescent="0.25">
      <c r="A1004" s="10">
        <v>404</v>
      </c>
      <c r="B1004" s="10">
        <v>43</v>
      </c>
      <c r="C1004" s="10">
        <v>0</v>
      </c>
      <c r="D1004" s="10">
        <v>1</v>
      </c>
      <c r="E1004" s="10">
        <v>1</v>
      </c>
      <c r="F1004" s="10">
        <v>1</v>
      </c>
      <c r="L1004" s="4">
        <v>26</v>
      </c>
      <c r="M1004" s="4">
        <v>3</v>
      </c>
      <c r="N1004" s="4">
        <v>0</v>
      </c>
      <c r="O1004" s="4">
        <v>1</v>
      </c>
      <c r="P1004" s="2">
        <v>1</v>
      </c>
      <c r="Q1004" s="68">
        <v>21</v>
      </c>
    </row>
    <row r="1005" spans="1:17" x14ac:dyDescent="0.25">
      <c r="A1005" s="10">
        <v>405</v>
      </c>
      <c r="B1005" s="10">
        <v>44</v>
      </c>
      <c r="C1005" s="10">
        <v>0</v>
      </c>
      <c r="D1005" s="10">
        <v>1</v>
      </c>
      <c r="E1005" s="10">
        <v>1</v>
      </c>
      <c r="F1005" s="10">
        <v>1</v>
      </c>
      <c r="L1005" s="1">
        <v>27</v>
      </c>
      <c r="M1005" s="4">
        <v>4</v>
      </c>
      <c r="N1005" s="4">
        <v>0</v>
      </c>
      <c r="O1005" s="1">
        <v>1</v>
      </c>
      <c r="P1005" s="2">
        <v>1</v>
      </c>
      <c r="Q1005" s="67">
        <v>19</v>
      </c>
    </row>
    <row r="1006" spans="1:17" x14ac:dyDescent="0.25">
      <c r="A1006" s="10">
        <v>406</v>
      </c>
      <c r="B1006" s="10">
        <v>44</v>
      </c>
      <c r="C1006" s="10">
        <v>0</v>
      </c>
      <c r="D1006" s="10">
        <v>1</v>
      </c>
      <c r="E1006" s="10">
        <v>1</v>
      </c>
      <c r="F1006" s="10">
        <v>1</v>
      </c>
      <c r="L1006" s="4">
        <v>28</v>
      </c>
      <c r="M1006" s="4">
        <v>4</v>
      </c>
      <c r="N1006" s="4">
        <v>0</v>
      </c>
      <c r="O1006" s="4">
        <v>1</v>
      </c>
      <c r="P1006" s="2">
        <v>1</v>
      </c>
      <c r="Q1006" s="68">
        <v>8</v>
      </c>
    </row>
    <row r="1007" spans="1:17" x14ac:dyDescent="0.25">
      <c r="A1007" s="10">
        <v>407</v>
      </c>
      <c r="B1007" s="10">
        <v>44</v>
      </c>
      <c r="C1007" s="10">
        <v>0</v>
      </c>
      <c r="D1007" s="10">
        <v>1</v>
      </c>
      <c r="E1007" s="10">
        <v>1</v>
      </c>
      <c r="F1007" s="10">
        <v>1</v>
      </c>
      <c r="L1007" s="1">
        <v>29</v>
      </c>
      <c r="M1007" s="4">
        <v>4</v>
      </c>
      <c r="N1007" s="4">
        <v>0</v>
      </c>
      <c r="O1007" s="1">
        <v>1</v>
      </c>
      <c r="P1007" s="2">
        <v>1</v>
      </c>
      <c r="Q1007" s="67">
        <v>20</v>
      </c>
    </row>
    <row r="1008" spans="1:17" x14ac:dyDescent="0.25">
      <c r="A1008" s="10">
        <v>408</v>
      </c>
      <c r="B1008" s="10">
        <v>44</v>
      </c>
      <c r="C1008" s="10">
        <v>0</v>
      </c>
      <c r="D1008" s="10">
        <v>1</v>
      </c>
      <c r="E1008" s="10">
        <v>1</v>
      </c>
      <c r="F1008" s="10">
        <v>1</v>
      </c>
      <c r="L1008" s="4">
        <v>30</v>
      </c>
      <c r="M1008" s="4">
        <v>4</v>
      </c>
      <c r="N1008" s="4">
        <v>0</v>
      </c>
      <c r="O1008" s="4">
        <v>1</v>
      </c>
      <c r="P1008" s="2">
        <v>1</v>
      </c>
      <c r="Q1008" s="68">
        <v>8</v>
      </c>
    </row>
    <row r="1009" spans="1:17" x14ac:dyDescent="0.25">
      <c r="A1009" s="10">
        <v>409</v>
      </c>
      <c r="B1009" s="10">
        <v>44</v>
      </c>
      <c r="C1009" s="10">
        <v>0</v>
      </c>
      <c r="D1009" s="10">
        <v>1</v>
      </c>
      <c r="E1009" s="10">
        <v>1</v>
      </c>
      <c r="F1009" s="10">
        <v>1</v>
      </c>
      <c r="L1009" s="1">
        <v>31</v>
      </c>
      <c r="M1009" s="4">
        <v>4</v>
      </c>
      <c r="N1009" s="4">
        <v>0</v>
      </c>
      <c r="O1009" s="4">
        <v>1</v>
      </c>
      <c r="P1009" s="5">
        <v>1</v>
      </c>
      <c r="Q1009" s="67">
        <v>14</v>
      </c>
    </row>
    <row r="1010" spans="1:17" x14ac:dyDescent="0.25">
      <c r="A1010" s="10">
        <v>410</v>
      </c>
      <c r="B1010" s="10">
        <v>44</v>
      </c>
      <c r="C1010" s="10">
        <v>0</v>
      </c>
      <c r="D1010" s="10">
        <v>1</v>
      </c>
      <c r="E1010" s="10">
        <v>1</v>
      </c>
      <c r="F1010" s="10">
        <v>1</v>
      </c>
      <c r="L1010" s="4">
        <v>32</v>
      </c>
      <c r="M1010" s="4">
        <v>4</v>
      </c>
      <c r="N1010" s="4">
        <v>0</v>
      </c>
      <c r="O1010" s="1">
        <v>1</v>
      </c>
      <c r="P1010" s="2">
        <v>1</v>
      </c>
      <c r="Q1010" s="68">
        <v>10</v>
      </c>
    </row>
    <row r="1011" spans="1:17" x14ac:dyDescent="0.25">
      <c r="A1011" s="10">
        <v>411</v>
      </c>
      <c r="B1011" s="10">
        <v>44</v>
      </c>
      <c r="C1011" s="10">
        <v>0</v>
      </c>
      <c r="D1011" s="10">
        <v>1</v>
      </c>
      <c r="E1011" s="10">
        <v>1</v>
      </c>
      <c r="F1011" s="10">
        <v>1</v>
      </c>
      <c r="L1011" s="1">
        <v>33</v>
      </c>
      <c r="M1011" s="4">
        <v>4</v>
      </c>
      <c r="N1011" s="4">
        <v>0</v>
      </c>
      <c r="O1011" s="4">
        <v>1</v>
      </c>
      <c r="P1011" s="2">
        <v>1</v>
      </c>
      <c r="Q1011" s="67">
        <v>16</v>
      </c>
    </row>
    <row r="1012" spans="1:17" x14ac:dyDescent="0.25">
      <c r="A1012" s="10">
        <v>412</v>
      </c>
      <c r="B1012" s="10">
        <v>44</v>
      </c>
      <c r="C1012" s="10">
        <v>0</v>
      </c>
      <c r="D1012" s="10">
        <v>1</v>
      </c>
      <c r="E1012" s="10">
        <v>1</v>
      </c>
      <c r="F1012" s="10">
        <v>1</v>
      </c>
      <c r="L1012" s="4">
        <v>34</v>
      </c>
      <c r="M1012" s="4">
        <v>4</v>
      </c>
      <c r="N1012" s="4">
        <v>0</v>
      </c>
      <c r="O1012" s="1">
        <v>1</v>
      </c>
      <c r="P1012" s="2">
        <v>1</v>
      </c>
      <c r="Q1012" s="68">
        <v>11</v>
      </c>
    </row>
    <row r="1013" spans="1:17" x14ac:dyDescent="0.25">
      <c r="A1013" s="10">
        <v>413</v>
      </c>
      <c r="B1013" s="10">
        <v>44</v>
      </c>
      <c r="C1013" s="10">
        <v>0</v>
      </c>
      <c r="D1013" s="10">
        <v>1</v>
      </c>
      <c r="E1013" s="10">
        <v>1</v>
      </c>
      <c r="F1013" s="10">
        <v>1</v>
      </c>
      <c r="L1013" s="1">
        <v>35</v>
      </c>
      <c r="M1013" s="4">
        <v>4</v>
      </c>
      <c r="N1013" s="4">
        <v>0</v>
      </c>
      <c r="O1013" s="1">
        <v>1</v>
      </c>
      <c r="P1013" s="2">
        <v>1</v>
      </c>
      <c r="Q1013" s="67">
        <v>16</v>
      </c>
    </row>
    <row r="1014" spans="1:17" x14ac:dyDescent="0.25">
      <c r="A1014" s="10">
        <v>414</v>
      </c>
      <c r="B1014" s="10">
        <v>44</v>
      </c>
      <c r="C1014" s="10">
        <v>0</v>
      </c>
      <c r="D1014" s="10">
        <v>1</v>
      </c>
      <c r="E1014" s="10">
        <v>1</v>
      </c>
      <c r="F1014" s="10">
        <v>1</v>
      </c>
      <c r="L1014" s="4">
        <v>36</v>
      </c>
      <c r="M1014" s="4">
        <v>4</v>
      </c>
      <c r="N1014" s="4">
        <v>0</v>
      </c>
      <c r="O1014" s="1">
        <v>1</v>
      </c>
      <c r="P1014" s="2">
        <v>1</v>
      </c>
      <c r="Q1014" s="68">
        <v>10</v>
      </c>
    </row>
    <row r="1015" spans="1:17" x14ac:dyDescent="0.25">
      <c r="A1015" s="10">
        <v>415</v>
      </c>
      <c r="B1015" s="10">
        <v>45</v>
      </c>
      <c r="C1015" s="10">
        <v>0</v>
      </c>
      <c r="D1015" s="10">
        <v>1</v>
      </c>
      <c r="E1015" s="10">
        <v>1</v>
      </c>
      <c r="F1015" s="10">
        <v>1</v>
      </c>
      <c r="L1015" s="1">
        <v>37</v>
      </c>
      <c r="M1015" s="4">
        <v>5</v>
      </c>
      <c r="N1015" s="4">
        <v>0</v>
      </c>
      <c r="O1015" s="1">
        <v>1</v>
      </c>
      <c r="P1015" s="5">
        <v>1</v>
      </c>
      <c r="Q1015" s="67">
        <v>5</v>
      </c>
    </row>
    <row r="1016" spans="1:17" x14ac:dyDescent="0.25">
      <c r="A1016" s="10">
        <v>416</v>
      </c>
      <c r="B1016" s="10">
        <v>45</v>
      </c>
      <c r="C1016" s="10">
        <v>0</v>
      </c>
      <c r="D1016" s="10">
        <v>1</v>
      </c>
      <c r="E1016" s="10">
        <v>1</v>
      </c>
      <c r="F1016" s="10">
        <v>1</v>
      </c>
      <c r="L1016" s="4">
        <v>38</v>
      </c>
      <c r="M1016" s="4">
        <v>5</v>
      </c>
      <c r="N1016" s="4">
        <v>0</v>
      </c>
      <c r="O1016" s="1">
        <v>1</v>
      </c>
      <c r="P1016" s="2">
        <v>1</v>
      </c>
      <c r="Q1016" s="68">
        <v>8</v>
      </c>
    </row>
    <row r="1017" spans="1:17" x14ac:dyDescent="0.25">
      <c r="A1017" s="10">
        <v>417</v>
      </c>
      <c r="B1017" s="10">
        <v>45</v>
      </c>
      <c r="C1017" s="10">
        <v>0</v>
      </c>
      <c r="D1017" s="10">
        <v>1</v>
      </c>
      <c r="E1017" s="10">
        <v>1</v>
      </c>
      <c r="F1017" s="10">
        <v>1</v>
      </c>
      <c r="L1017" s="1">
        <v>39</v>
      </c>
      <c r="M1017" s="4">
        <v>5</v>
      </c>
      <c r="N1017" s="4">
        <v>0</v>
      </c>
      <c r="O1017" s="4">
        <v>1</v>
      </c>
      <c r="P1017" s="2">
        <v>1</v>
      </c>
      <c r="Q1017" s="67">
        <v>10</v>
      </c>
    </row>
    <row r="1018" spans="1:17" x14ac:dyDescent="0.25">
      <c r="A1018" s="10">
        <v>418</v>
      </c>
      <c r="B1018" s="10">
        <v>45</v>
      </c>
      <c r="C1018" s="10">
        <v>0</v>
      </c>
      <c r="D1018" s="10">
        <v>1</v>
      </c>
      <c r="E1018" s="10">
        <v>1</v>
      </c>
      <c r="F1018" s="10">
        <v>1</v>
      </c>
      <c r="L1018" s="4">
        <v>40</v>
      </c>
      <c r="M1018" s="4">
        <v>5</v>
      </c>
      <c r="N1018" s="4">
        <v>0</v>
      </c>
      <c r="O1018" s="1">
        <v>1</v>
      </c>
      <c r="P1018" s="2">
        <v>1</v>
      </c>
      <c r="Q1018" s="68">
        <v>1</v>
      </c>
    </row>
    <row r="1019" spans="1:17" x14ac:dyDescent="0.25">
      <c r="A1019" s="10">
        <v>419</v>
      </c>
      <c r="B1019" s="10">
        <v>45</v>
      </c>
      <c r="C1019" s="10">
        <v>0</v>
      </c>
      <c r="D1019" s="10">
        <v>1</v>
      </c>
      <c r="E1019" s="10">
        <v>1</v>
      </c>
      <c r="F1019" s="10">
        <v>1</v>
      </c>
      <c r="L1019" s="1">
        <v>41</v>
      </c>
      <c r="M1019" s="4">
        <v>5</v>
      </c>
      <c r="N1019" s="1">
        <v>0</v>
      </c>
      <c r="O1019" s="4">
        <v>1</v>
      </c>
      <c r="P1019" s="2">
        <v>1</v>
      </c>
      <c r="Q1019" s="67">
        <v>16</v>
      </c>
    </row>
    <row r="1020" spans="1:17" x14ac:dyDescent="0.25">
      <c r="A1020" s="10">
        <v>420</v>
      </c>
      <c r="B1020" s="10">
        <v>45</v>
      </c>
      <c r="C1020" s="10">
        <v>0</v>
      </c>
      <c r="D1020" s="10">
        <v>1</v>
      </c>
      <c r="E1020" s="10">
        <v>1</v>
      </c>
      <c r="F1020" s="10">
        <v>1</v>
      </c>
      <c r="L1020" s="4">
        <v>42</v>
      </c>
      <c r="M1020" s="4">
        <v>5</v>
      </c>
      <c r="N1020" s="1">
        <v>0</v>
      </c>
      <c r="O1020" s="1">
        <v>1</v>
      </c>
      <c r="P1020" s="2">
        <v>1</v>
      </c>
      <c r="Q1020" s="68">
        <v>10</v>
      </c>
    </row>
    <row r="1021" spans="1:17" x14ac:dyDescent="0.25">
      <c r="A1021" s="10">
        <v>421</v>
      </c>
      <c r="B1021" s="10">
        <v>45</v>
      </c>
      <c r="C1021" s="10">
        <v>0</v>
      </c>
      <c r="D1021" s="10">
        <v>1</v>
      </c>
      <c r="E1021" s="10">
        <v>1</v>
      </c>
      <c r="F1021" s="10">
        <v>1</v>
      </c>
      <c r="L1021" s="4">
        <v>43</v>
      </c>
      <c r="M1021" s="4">
        <v>5</v>
      </c>
      <c r="N1021" s="1">
        <v>0</v>
      </c>
      <c r="O1021" s="1">
        <v>1</v>
      </c>
      <c r="P1021" s="5">
        <v>1</v>
      </c>
      <c r="Q1021" s="67">
        <v>19</v>
      </c>
    </row>
    <row r="1022" spans="1:17" x14ac:dyDescent="0.25">
      <c r="A1022" s="10">
        <v>422</v>
      </c>
      <c r="B1022" s="10">
        <v>45</v>
      </c>
      <c r="C1022" s="10">
        <v>0</v>
      </c>
      <c r="D1022" s="10">
        <v>1</v>
      </c>
      <c r="E1022" s="10">
        <v>1</v>
      </c>
      <c r="F1022" s="10">
        <v>1</v>
      </c>
      <c r="L1022" s="1">
        <v>44</v>
      </c>
      <c r="M1022" s="4">
        <v>5</v>
      </c>
      <c r="N1022" s="1">
        <v>0</v>
      </c>
      <c r="O1022" s="1">
        <v>1</v>
      </c>
      <c r="P1022" s="2">
        <v>1</v>
      </c>
      <c r="Q1022" s="68">
        <v>7</v>
      </c>
    </row>
    <row r="1023" spans="1:17" x14ac:dyDescent="0.25">
      <c r="A1023" s="10">
        <v>423</v>
      </c>
      <c r="B1023" s="10">
        <v>46</v>
      </c>
      <c r="C1023" s="10">
        <v>0</v>
      </c>
      <c r="D1023" s="10">
        <v>1</v>
      </c>
      <c r="E1023" s="10">
        <v>1</v>
      </c>
      <c r="F1023" s="10">
        <v>1</v>
      </c>
      <c r="L1023" s="4">
        <v>45</v>
      </c>
      <c r="M1023" s="4">
        <v>5</v>
      </c>
      <c r="N1023" s="1">
        <v>0</v>
      </c>
      <c r="O1023" s="1">
        <v>1</v>
      </c>
      <c r="P1023" s="2">
        <v>1</v>
      </c>
      <c r="Q1023" s="67">
        <v>20</v>
      </c>
    </row>
    <row r="1024" spans="1:17" x14ac:dyDescent="0.25">
      <c r="A1024" s="10">
        <v>424</v>
      </c>
      <c r="B1024" s="10">
        <v>46</v>
      </c>
      <c r="C1024" s="10">
        <v>0</v>
      </c>
      <c r="D1024" s="10">
        <v>1</v>
      </c>
      <c r="E1024" s="10">
        <v>1</v>
      </c>
      <c r="F1024" s="10">
        <v>1</v>
      </c>
      <c r="L1024" s="1">
        <v>46</v>
      </c>
      <c r="M1024" s="4">
        <v>5</v>
      </c>
      <c r="N1024" s="1">
        <v>0</v>
      </c>
      <c r="O1024" s="1">
        <v>1</v>
      </c>
      <c r="P1024" s="2">
        <v>1</v>
      </c>
      <c r="Q1024" s="68">
        <v>15</v>
      </c>
    </row>
    <row r="1025" spans="1:17" x14ac:dyDescent="0.25">
      <c r="A1025" s="10">
        <v>425</v>
      </c>
      <c r="B1025" s="10">
        <v>46</v>
      </c>
      <c r="C1025" s="10">
        <v>0</v>
      </c>
      <c r="D1025" s="10">
        <v>1</v>
      </c>
      <c r="E1025" s="10">
        <v>1</v>
      </c>
      <c r="F1025" s="10">
        <v>1</v>
      </c>
      <c r="L1025" s="4">
        <v>47</v>
      </c>
      <c r="M1025" s="4">
        <v>6</v>
      </c>
      <c r="N1025" s="1">
        <v>0</v>
      </c>
      <c r="O1025" s="4">
        <v>1</v>
      </c>
      <c r="P1025" s="2">
        <v>1</v>
      </c>
      <c r="Q1025" s="67">
        <v>10</v>
      </c>
    </row>
    <row r="1026" spans="1:17" x14ac:dyDescent="0.25">
      <c r="A1026" s="10">
        <v>426</v>
      </c>
      <c r="B1026" s="10">
        <v>46</v>
      </c>
      <c r="C1026" s="10">
        <v>0</v>
      </c>
      <c r="D1026" s="10">
        <v>1</v>
      </c>
      <c r="E1026" s="10">
        <v>1</v>
      </c>
      <c r="F1026" s="10">
        <v>1</v>
      </c>
      <c r="L1026" s="1">
        <v>48</v>
      </c>
      <c r="M1026" s="4">
        <v>6</v>
      </c>
      <c r="N1026" s="1">
        <v>0</v>
      </c>
      <c r="O1026" s="1">
        <v>1</v>
      </c>
      <c r="P1026" s="2">
        <v>1</v>
      </c>
      <c r="Q1026" s="68">
        <v>15</v>
      </c>
    </row>
    <row r="1027" spans="1:17" x14ac:dyDescent="0.25">
      <c r="A1027" s="10">
        <v>427</v>
      </c>
      <c r="B1027" s="10">
        <v>46</v>
      </c>
      <c r="C1027" s="10">
        <v>0</v>
      </c>
      <c r="D1027" s="10">
        <v>1</v>
      </c>
      <c r="E1027" s="10">
        <v>1</v>
      </c>
      <c r="F1027" s="10">
        <v>1</v>
      </c>
      <c r="L1027" s="4">
        <v>49</v>
      </c>
      <c r="M1027" s="4">
        <v>6</v>
      </c>
      <c r="N1027" s="1">
        <v>0</v>
      </c>
      <c r="O1027" s="4">
        <v>1</v>
      </c>
      <c r="P1027" s="5">
        <v>1</v>
      </c>
      <c r="Q1027" s="67">
        <v>20</v>
      </c>
    </row>
    <row r="1028" spans="1:17" x14ac:dyDescent="0.25">
      <c r="A1028" s="10">
        <v>428</v>
      </c>
      <c r="B1028" s="10">
        <v>46</v>
      </c>
      <c r="C1028" s="10">
        <v>0</v>
      </c>
      <c r="D1028" s="10">
        <v>1</v>
      </c>
      <c r="E1028" s="10">
        <v>1</v>
      </c>
      <c r="F1028" s="10">
        <v>1</v>
      </c>
      <c r="L1028" s="1">
        <v>50</v>
      </c>
      <c r="M1028" s="4">
        <v>6</v>
      </c>
      <c r="N1028" s="1">
        <v>0</v>
      </c>
      <c r="O1028" s="1">
        <v>1</v>
      </c>
      <c r="P1028" s="2">
        <v>1</v>
      </c>
      <c r="Q1028" s="68">
        <v>19</v>
      </c>
    </row>
    <row r="1029" spans="1:17" x14ac:dyDescent="0.25">
      <c r="A1029" s="10">
        <v>429</v>
      </c>
      <c r="B1029" s="10">
        <v>46</v>
      </c>
      <c r="C1029" s="10">
        <v>0</v>
      </c>
      <c r="D1029" s="10">
        <v>1</v>
      </c>
      <c r="E1029" s="10">
        <v>1</v>
      </c>
      <c r="F1029" s="10">
        <v>1</v>
      </c>
      <c r="L1029" s="1">
        <v>51</v>
      </c>
      <c r="M1029" s="4">
        <v>6</v>
      </c>
      <c r="N1029" s="1">
        <v>0</v>
      </c>
      <c r="O1029" s="1">
        <v>1</v>
      </c>
      <c r="P1029" s="2">
        <v>1</v>
      </c>
      <c r="Q1029" s="67">
        <v>15</v>
      </c>
    </row>
    <row r="1030" spans="1:17" x14ac:dyDescent="0.25">
      <c r="A1030" s="10">
        <v>430</v>
      </c>
      <c r="B1030" s="10">
        <v>46</v>
      </c>
      <c r="C1030" s="10">
        <v>0</v>
      </c>
      <c r="D1030" s="10">
        <v>1</v>
      </c>
      <c r="E1030" s="10">
        <v>1</v>
      </c>
      <c r="F1030" s="10">
        <v>1</v>
      </c>
      <c r="L1030" s="1">
        <v>52</v>
      </c>
      <c r="M1030" s="4">
        <v>6</v>
      </c>
      <c r="N1030" s="1">
        <v>0</v>
      </c>
      <c r="O1030" s="1">
        <v>1</v>
      </c>
      <c r="P1030" s="2">
        <v>1</v>
      </c>
      <c r="Q1030" s="68">
        <v>20</v>
      </c>
    </row>
    <row r="1031" spans="1:17" x14ac:dyDescent="0.25">
      <c r="A1031" s="10">
        <v>431</v>
      </c>
      <c r="B1031" s="10">
        <v>46</v>
      </c>
      <c r="C1031" s="10">
        <v>0</v>
      </c>
      <c r="D1031" s="10">
        <v>1</v>
      </c>
      <c r="E1031" s="10">
        <v>1</v>
      </c>
      <c r="F1031" s="10">
        <v>1</v>
      </c>
      <c r="L1031" s="1">
        <v>53</v>
      </c>
      <c r="M1031" s="4">
        <v>6</v>
      </c>
      <c r="N1031" s="1">
        <v>0</v>
      </c>
      <c r="O1031" s="1">
        <v>1</v>
      </c>
      <c r="P1031" s="2">
        <v>1</v>
      </c>
      <c r="Q1031" s="67">
        <v>15</v>
      </c>
    </row>
    <row r="1032" spans="1:17" x14ac:dyDescent="0.25">
      <c r="A1032" s="10">
        <v>432</v>
      </c>
      <c r="B1032" s="10">
        <v>46</v>
      </c>
      <c r="C1032" s="10">
        <v>0</v>
      </c>
      <c r="D1032" s="10">
        <v>1</v>
      </c>
      <c r="E1032" s="10">
        <v>1</v>
      </c>
      <c r="F1032" s="10">
        <v>1</v>
      </c>
      <c r="L1032" s="1">
        <v>54</v>
      </c>
      <c r="M1032" s="4">
        <v>6</v>
      </c>
      <c r="N1032" s="1">
        <v>0</v>
      </c>
      <c r="O1032" s="1">
        <v>1</v>
      </c>
      <c r="P1032" s="2">
        <v>1</v>
      </c>
      <c r="Q1032" s="68">
        <v>19</v>
      </c>
    </row>
    <row r="1033" spans="1:17" x14ac:dyDescent="0.25">
      <c r="A1033" s="10">
        <v>433</v>
      </c>
      <c r="B1033" s="10">
        <v>47</v>
      </c>
      <c r="C1033" s="10">
        <v>0</v>
      </c>
      <c r="D1033" s="10">
        <v>1</v>
      </c>
      <c r="E1033" s="10">
        <v>1</v>
      </c>
      <c r="F1033" s="10">
        <v>1</v>
      </c>
      <c r="L1033" s="1">
        <v>55</v>
      </c>
      <c r="M1033" s="4">
        <v>6</v>
      </c>
      <c r="N1033" s="1">
        <v>0</v>
      </c>
      <c r="O1033" s="1">
        <v>1</v>
      </c>
      <c r="P1033" s="2">
        <v>1</v>
      </c>
      <c r="Q1033" s="67">
        <v>15</v>
      </c>
    </row>
    <row r="1034" spans="1:17" x14ac:dyDescent="0.25">
      <c r="A1034" s="10">
        <v>434</v>
      </c>
      <c r="B1034" s="10">
        <v>47</v>
      </c>
      <c r="C1034" s="10">
        <v>0</v>
      </c>
      <c r="D1034" s="10">
        <v>1</v>
      </c>
      <c r="E1034" s="10">
        <v>1</v>
      </c>
      <c r="F1034" s="10">
        <v>1</v>
      </c>
      <c r="L1034" s="1">
        <v>56</v>
      </c>
      <c r="M1034" s="4">
        <v>6</v>
      </c>
      <c r="N1034" s="1">
        <v>0</v>
      </c>
      <c r="O1034" s="1">
        <v>1</v>
      </c>
      <c r="P1034" s="2">
        <v>1</v>
      </c>
      <c r="Q1034" s="68">
        <v>9</v>
      </c>
    </row>
    <row r="1035" spans="1:17" x14ac:dyDescent="0.25">
      <c r="A1035" s="10">
        <v>435</v>
      </c>
      <c r="B1035" s="10">
        <v>47</v>
      </c>
      <c r="C1035" s="10">
        <v>0</v>
      </c>
      <c r="D1035" s="10">
        <v>1</v>
      </c>
      <c r="E1035" s="10">
        <v>1</v>
      </c>
      <c r="F1035" s="10">
        <v>1</v>
      </c>
      <c r="L1035" s="1">
        <v>57</v>
      </c>
      <c r="M1035" s="4">
        <v>7</v>
      </c>
      <c r="N1035" s="1">
        <v>0</v>
      </c>
      <c r="O1035" s="1">
        <v>1</v>
      </c>
      <c r="P1035" s="2">
        <v>1</v>
      </c>
      <c r="Q1035" s="67">
        <v>8</v>
      </c>
    </row>
    <row r="1036" spans="1:17" x14ac:dyDescent="0.25">
      <c r="A1036" s="10">
        <v>436</v>
      </c>
      <c r="B1036" s="10">
        <v>47</v>
      </c>
      <c r="C1036" s="10">
        <v>0</v>
      </c>
      <c r="D1036" s="10">
        <v>1</v>
      </c>
      <c r="E1036" s="10">
        <v>1</v>
      </c>
      <c r="F1036" s="10">
        <v>1</v>
      </c>
      <c r="L1036" s="1">
        <v>58</v>
      </c>
      <c r="M1036" s="4">
        <v>7</v>
      </c>
      <c r="N1036" s="1">
        <v>0</v>
      </c>
      <c r="O1036" s="1">
        <v>1</v>
      </c>
      <c r="P1036" s="2">
        <v>1</v>
      </c>
      <c r="Q1036" s="68">
        <v>9</v>
      </c>
    </row>
    <row r="1037" spans="1:17" x14ac:dyDescent="0.25">
      <c r="A1037" s="10">
        <v>437</v>
      </c>
      <c r="B1037" s="10">
        <v>47</v>
      </c>
      <c r="C1037" s="10">
        <v>0</v>
      </c>
      <c r="D1037" s="10">
        <v>1</v>
      </c>
      <c r="E1037" s="10">
        <v>1</v>
      </c>
      <c r="F1037" s="10">
        <v>1</v>
      </c>
      <c r="L1037" s="1">
        <v>59</v>
      </c>
      <c r="M1037" s="4">
        <v>7</v>
      </c>
      <c r="N1037" s="1">
        <v>0</v>
      </c>
      <c r="O1037" s="1">
        <v>1</v>
      </c>
      <c r="P1037" s="2">
        <v>1</v>
      </c>
      <c r="Q1037" s="67">
        <v>11</v>
      </c>
    </row>
    <row r="1038" spans="1:17" x14ac:dyDescent="0.25">
      <c r="A1038" s="10">
        <v>438</v>
      </c>
      <c r="B1038" s="10">
        <v>47</v>
      </c>
      <c r="C1038" s="10">
        <v>0</v>
      </c>
      <c r="D1038" s="10">
        <v>1</v>
      </c>
      <c r="E1038" s="10">
        <v>1</v>
      </c>
      <c r="F1038" s="10">
        <v>1</v>
      </c>
      <c r="L1038" s="1">
        <v>60</v>
      </c>
      <c r="M1038" s="4">
        <v>7</v>
      </c>
      <c r="N1038" s="1">
        <v>0</v>
      </c>
      <c r="O1038" s="1">
        <v>1</v>
      </c>
      <c r="P1038" s="2">
        <v>1</v>
      </c>
      <c r="Q1038" s="68">
        <v>16</v>
      </c>
    </row>
    <row r="1039" spans="1:17" x14ac:dyDescent="0.25">
      <c r="A1039" s="10">
        <v>439</v>
      </c>
      <c r="B1039" s="10">
        <v>47</v>
      </c>
      <c r="C1039" s="10">
        <v>0</v>
      </c>
      <c r="D1039" s="10">
        <v>1</v>
      </c>
      <c r="E1039" s="10">
        <v>1</v>
      </c>
      <c r="F1039" s="10">
        <v>1</v>
      </c>
      <c r="L1039" s="4">
        <v>61</v>
      </c>
      <c r="M1039" s="4">
        <v>7</v>
      </c>
      <c r="N1039" s="1">
        <v>0</v>
      </c>
      <c r="O1039" s="1">
        <v>1</v>
      </c>
      <c r="P1039" s="2">
        <v>1</v>
      </c>
      <c r="Q1039" s="67">
        <v>12</v>
      </c>
    </row>
    <row r="1040" spans="1:17" x14ac:dyDescent="0.25">
      <c r="A1040" s="10">
        <v>440</v>
      </c>
      <c r="B1040" s="10">
        <v>47</v>
      </c>
      <c r="C1040" s="10">
        <v>0</v>
      </c>
      <c r="D1040" s="10">
        <v>1</v>
      </c>
      <c r="E1040" s="10">
        <v>1</v>
      </c>
      <c r="F1040" s="10">
        <v>1</v>
      </c>
      <c r="L1040" s="1">
        <v>62</v>
      </c>
      <c r="M1040" s="4">
        <v>7</v>
      </c>
      <c r="N1040" s="1">
        <v>0</v>
      </c>
      <c r="O1040" s="1">
        <v>1</v>
      </c>
      <c r="P1040" s="2">
        <v>1</v>
      </c>
      <c r="Q1040" s="68">
        <v>9</v>
      </c>
    </row>
    <row r="1041" spans="1:17" x14ac:dyDescent="0.25">
      <c r="A1041" s="10">
        <v>441</v>
      </c>
      <c r="B1041" s="10">
        <v>47</v>
      </c>
      <c r="C1041" s="10">
        <v>0</v>
      </c>
      <c r="D1041" s="10">
        <v>1</v>
      </c>
      <c r="E1041" s="10">
        <v>1</v>
      </c>
      <c r="F1041" s="10">
        <v>1</v>
      </c>
      <c r="L1041" s="4">
        <v>63</v>
      </c>
      <c r="M1041" s="4">
        <v>7</v>
      </c>
      <c r="N1041" s="1">
        <v>0</v>
      </c>
      <c r="O1041" s="1">
        <v>1</v>
      </c>
      <c r="P1041" s="2">
        <v>1</v>
      </c>
      <c r="Q1041" s="67">
        <v>15</v>
      </c>
    </row>
    <row r="1042" spans="1:17" x14ac:dyDescent="0.25">
      <c r="A1042" s="10">
        <v>442</v>
      </c>
      <c r="B1042" s="10">
        <v>47</v>
      </c>
      <c r="C1042" s="10">
        <v>0</v>
      </c>
      <c r="D1042" s="10">
        <v>1</v>
      </c>
      <c r="E1042" s="10">
        <v>1</v>
      </c>
      <c r="F1042" s="10">
        <v>1</v>
      </c>
      <c r="L1042" s="1">
        <v>64</v>
      </c>
      <c r="M1042" s="4">
        <v>7</v>
      </c>
      <c r="N1042" s="1">
        <v>0</v>
      </c>
      <c r="O1042" s="1">
        <v>1</v>
      </c>
      <c r="P1042" s="2">
        <v>1</v>
      </c>
      <c r="Q1042" s="68">
        <v>3</v>
      </c>
    </row>
    <row r="1043" spans="1:17" x14ac:dyDescent="0.25">
      <c r="A1043" s="10">
        <v>443</v>
      </c>
      <c r="B1043" s="10">
        <v>48</v>
      </c>
      <c r="C1043" s="10">
        <v>0</v>
      </c>
      <c r="D1043" s="10">
        <v>1</v>
      </c>
      <c r="E1043" s="10">
        <v>1</v>
      </c>
      <c r="F1043" s="10">
        <v>1</v>
      </c>
      <c r="L1043" s="4">
        <v>65</v>
      </c>
      <c r="M1043" s="4">
        <v>7</v>
      </c>
      <c r="N1043" s="1">
        <v>0</v>
      </c>
      <c r="O1043" s="4">
        <v>1</v>
      </c>
      <c r="P1043" s="5">
        <v>1</v>
      </c>
      <c r="Q1043" s="67">
        <v>12</v>
      </c>
    </row>
    <row r="1044" spans="1:17" x14ac:dyDescent="0.25">
      <c r="A1044" s="10">
        <v>444</v>
      </c>
      <c r="B1044" s="10">
        <v>48</v>
      </c>
      <c r="C1044" s="10">
        <v>0</v>
      </c>
      <c r="D1044" s="10">
        <v>1</v>
      </c>
      <c r="E1044" s="10">
        <v>1</v>
      </c>
      <c r="F1044" s="10">
        <v>1</v>
      </c>
      <c r="L1044" s="1">
        <v>66</v>
      </c>
      <c r="M1044" s="4">
        <v>7</v>
      </c>
      <c r="N1044" s="1">
        <v>0</v>
      </c>
      <c r="O1044" s="1">
        <v>1</v>
      </c>
      <c r="P1044" s="2">
        <v>1</v>
      </c>
      <c r="Q1044" s="68">
        <v>11</v>
      </c>
    </row>
    <row r="1045" spans="1:17" x14ac:dyDescent="0.25">
      <c r="A1045" s="10">
        <v>445</v>
      </c>
      <c r="B1045" s="10">
        <v>48</v>
      </c>
      <c r="C1045" s="10">
        <v>0</v>
      </c>
      <c r="D1045" s="10">
        <v>1</v>
      </c>
      <c r="E1045" s="10">
        <v>1</v>
      </c>
      <c r="F1045" s="10">
        <v>1</v>
      </c>
      <c r="L1045" s="4">
        <v>67</v>
      </c>
      <c r="M1045" s="4">
        <v>8</v>
      </c>
      <c r="N1045" s="1">
        <v>0</v>
      </c>
      <c r="O1045" s="1">
        <v>1</v>
      </c>
      <c r="P1045" s="2">
        <v>1</v>
      </c>
      <c r="Q1045" s="67">
        <v>12</v>
      </c>
    </row>
    <row r="1046" spans="1:17" x14ac:dyDescent="0.25">
      <c r="A1046" s="10">
        <v>446</v>
      </c>
      <c r="B1046" s="10">
        <v>48</v>
      </c>
      <c r="C1046" s="10">
        <v>0</v>
      </c>
      <c r="D1046" s="10">
        <v>1</v>
      </c>
      <c r="E1046" s="10">
        <v>1</v>
      </c>
      <c r="F1046" s="10">
        <v>1</v>
      </c>
      <c r="L1046" s="1">
        <v>68</v>
      </c>
      <c r="M1046" s="4">
        <v>8</v>
      </c>
      <c r="N1046" s="1">
        <v>0</v>
      </c>
      <c r="O1046" s="1">
        <v>1</v>
      </c>
      <c r="P1046" s="2">
        <v>1</v>
      </c>
      <c r="Q1046" s="68">
        <v>15</v>
      </c>
    </row>
    <row r="1047" spans="1:17" x14ac:dyDescent="0.25">
      <c r="A1047" s="10">
        <v>447</v>
      </c>
      <c r="B1047" s="10">
        <v>48</v>
      </c>
      <c r="C1047" s="10">
        <v>0</v>
      </c>
      <c r="D1047" s="10">
        <v>1</v>
      </c>
      <c r="E1047" s="10">
        <v>1</v>
      </c>
      <c r="F1047" s="10">
        <v>1</v>
      </c>
      <c r="L1047" s="4">
        <v>69</v>
      </c>
      <c r="M1047" s="4">
        <v>8</v>
      </c>
      <c r="N1047" s="1">
        <v>0</v>
      </c>
      <c r="O1047" s="1">
        <v>1</v>
      </c>
      <c r="P1047" s="2">
        <v>1</v>
      </c>
      <c r="Q1047" s="67">
        <v>10</v>
      </c>
    </row>
    <row r="1048" spans="1:17" x14ac:dyDescent="0.25">
      <c r="A1048" s="10">
        <v>448</v>
      </c>
      <c r="B1048" s="10">
        <v>48</v>
      </c>
      <c r="C1048" s="10">
        <v>0</v>
      </c>
      <c r="D1048" s="10">
        <v>1</v>
      </c>
      <c r="E1048" s="10">
        <v>1</v>
      </c>
      <c r="F1048" s="10">
        <v>1</v>
      </c>
      <c r="L1048" s="1">
        <v>70</v>
      </c>
      <c r="M1048" s="4">
        <v>8</v>
      </c>
      <c r="N1048" s="1">
        <v>0</v>
      </c>
      <c r="O1048" s="1">
        <v>1</v>
      </c>
      <c r="P1048" s="2">
        <v>1</v>
      </c>
      <c r="Q1048" s="68">
        <v>11</v>
      </c>
    </row>
    <row r="1049" spans="1:17" x14ac:dyDescent="0.25">
      <c r="A1049" s="10">
        <v>449</v>
      </c>
      <c r="B1049" s="10">
        <v>48</v>
      </c>
      <c r="C1049" s="10">
        <v>0</v>
      </c>
      <c r="D1049" s="10">
        <v>1</v>
      </c>
      <c r="E1049" s="10">
        <v>1</v>
      </c>
      <c r="F1049" s="10">
        <v>1</v>
      </c>
      <c r="L1049" s="4">
        <v>71</v>
      </c>
      <c r="M1049" s="4">
        <v>8</v>
      </c>
      <c r="N1049" s="4">
        <v>0</v>
      </c>
      <c r="O1049" s="4">
        <v>1</v>
      </c>
      <c r="P1049" s="5">
        <v>1</v>
      </c>
      <c r="Q1049" s="67">
        <v>14</v>
      </c>
    </row>
    <row r="1050" spans="1:17" x14ac:dyDescent="0.25">
      <c r="A1050" s="10">
        <v>450</v>
      </c>
      <c r="B1050" s="10">
        <v>48</v>
      </c>
      <c r="C1050" s="10">
        <v>0</v>
      </c>
      <c r="D1050" s="10">
        <v>1</v>
      </c>
      <c r="E1050" s="10">
        <v>1</v>
      </c>
      <c r="F1050" s="10">
        <v>1</v>
      </c>
      <c r="L1050" s="1">
        <v>72</v>
      </c>
      <c r="M1050" s="4">
        <v>8</v>
      </c>
      <c r="N1050" s="1">
        <v>0</v>
      </c>
      <c r="O1050" s="1">
        <v>1</v>
      </c>
      <c r="P1050" s="2">
        <v>1</v>
      </c>
      <c r="Q1050" s="68">
        <v>15</v>
      </c>
    </row>
    <row r="1051" spans="1:17" x14ac:dyDescent="0.25">
      <c r="A1051" s="10">
        <v>451</v>
      </c>
      <c r="B1051" s="10">
        <v>48</v>
      </c>
      <c r="C1051" s="10">
        <v>0</v>
      </c>
      <c r="D1051" s="10">
        <v>1</v>
      </c>
      <c r="E1051" s="10">
        <v>1</v>
      </c>
      <c r="F1051" s="10">
        <v>1</v>
      </c>
      <c r="L1051" s="1">
        <v>73</v>
      </c>
      <c r="M1051" s="4">
        <v>8</v>
      </c>
      <c r="N1051" s="1">
        <v>0</v>
      </c>
      <c r="O1051" s="1">
        <v>1</v>
      </c>
      <c r="P1051" s="2">
        <v>1</v>
      </c>
      <c r="Q1051" s="67">
        <v>19</v>
      </c>
    </row>
    <row r="1052" spans="1:17" x14ac:dyDescent="0.25">
      <c r="A1052" s="10">
        <v>452</v>
      </c>
      <c r="B1052" s="10">
        <v>48</v>
      </c>
      <c r="C1052" s="10">
        <v>0</v>
      </c>
      <c r="D1052" s="10">
        <v>1</v>
      </c>
      <c r="E1052" s="10">
        <v>1</v>
      </c>
      <c r="F1052" s="10">
        <v>1</v>
      </c>
      <c r="L1052" s="1">
        <v>74</v>
      </c>
      <c r="M1052" s="4">
        <v>8</v>
      </c>
      <c r="N1052" s="1">
        <v>0</v>
      </c>
      <c r="O1052" s="1">
        <v>1</v>
      </c>
      <c r="P1052" s="2">
        <v>1</v>
      </c>
      <c r="Q1052" s="68">
        <v>18</v>
      </c>
    </row>
    <row r="1053" spans="1:17" x14ac:dyDescent="0.25">
      <c r="A1053" s="10">
        <v>453</v>
      </c>
      <c r="B1053" s="10">
        <v>49</v>
      </c>
      <c r="C1053" s="10">
        <v>0</v>
      </c>
      <c r="D1053" s="10">
        <v>1</v>
      </c>
      <c r="E1053" s="10">
        <v>1</v>
      </c>
      <c r="F1053" s="10">
        <v>1</v>
      </c>
      <c r="L1053" s="1">
        <v>75</v>
      </c>
      <c r="M1053" s="4">
        <v>8</v>
      </c>
      <c r="N1053" s="1">
        <v>0</v>
      </c>
      <c r="O1053" s="1">
        <v>1</v>
      </c>
      <c r="P1053" s="2">
        <v>1</v>
      </c>
      <c r="Q1053" s="67">
        <v>13</v>
      </c>
    </row>
    <row r="1054" spans="1:17" x14ac:dyDescent="0.25">
      <c r="A1054" s="10">
        <v>454</v>
      </c>
      <c r="B1054" s="10">
        <v>49</v>
      </c>
      <c r="C1054" s="10">
        <v>0</v>
      </c>
      <c r="D1054" s="10">
        <v>1</v>
      </c>
      <c r="E1054" s="10">
        <v>1</v>
      </c>
      <c r="F1054" s="10">
        <v>1</v>
      </c>
      <c r="L1054" s="1">
        <v>76</v>
      </c>
      <c r="M1054" s="4">
        <v>8</v>
      </c>
      <c r="N1054" s="1">
        <v>0</v>
      </c>
      <c r="O1054" s="1">
        <v>1</v>
      </c>
      <c r="P1054" s="2">
        <v>1</v>
      </c>
      <c r="Q1054" s="68">
        <v>17</v>
      </c>
    </row>
    <row r="1055" spans="1:17" x14ac:dyDescent="0.25">
      <c r="A1055" s="10">
        <v>455</v>
      </c>
      <c r="B1055" s="10">
        <v>49</v>
      </c>
      <c r="C1055" s="10">
        <v>0</v>
      </c>
      <c r="D1055" s="10">
        <v>1</v>
      </c>
      <c r="E1055" s="10">
        <v>1</v>
      </c>
      <c r="F1055" s="10">
        <v>1</v>
      </c>
      <c r="L1055" s="4">
        <v>77</v>
      </c>
      <c r="M1055" s="4">
        <v>9</v>
      </c>
      <c r="N1055" s="4">
        <v>0</v>
      </c>
      <c r="O1055" s="4">
        <v>1</v>
      </c>
      <c r="P1055" s="5">
        <v>1</v>
      </c>
      <c r="Q1055" s="67">
        <v>12</v>
      </c>
    </row>
    <row r="1056" spans="1:17" x14ac:dyDescent="0.25">
      <c r="A1056" s="10">
        <v>456</v>
      </c>
      <c r="B1056" s="10">
        <v>49</v>
      </c>
      <c r="C1056" s="10">
        <v>0</v>
      </c>
      <c r="D1056" s="10">
        <v>1</v>
      </c>
      <c r="E1056" s="10">
        <v>1</v>
      </c>
      <c r="F1056" s="10">
        <v>1</v>
      </c>
      <c r="L1056" s="1">
        <v>78</v>
      </c>
      <c r="M1056" s="4">
        <v>9</v>
      </c>
      <c r="N1056" s="1">
        <v>0</v>
      </c>
      <c r="O1056" s="1">
        <v>1</v>
      </c>
      <c r="P1056" s="2">
        <v>1</v>
      </c>
      <c r="Q1056" s="68">
        <v>11</v>
      </c>
    </row>
    <row r="1057" spans="1:17" x14ac:dyDescent="0.25">
      <c r="A1057" s="10">
        <v>457</v>
      </c>
      <c r="B1057" s="10">
        <v>49</v>
      </c>
      <c r="C1057" s="10">
        <v>0</v>
      </c>
      <c r="D1057" s="10">
        <v>1</v>
      </c>
      <c r="E1057" s="10">
        <v>1</v>
      </c>
      <c r="F1057" s="10">
        <v>1</v>
      </c>
      <c r="L1057" s="1">
        <v>79</v>
      </c>
      <c r="M1057" s="4">
        <v>9</v>
      </c>
      <c r="N1057" s="1">
        <v>0</v>
      </c>
      <c r="O1057" s="1">
        <v>1</v>
      </c>
      <c r="P1057" s="2">
        <v>1</v>
      </c>
      <c r="Q1057" s="67">
        <v>10</v>
      </c>
    </row>
    <row r="1058" spans="1:17" x14ac:dyDescent="0.25">
      <c r="A1058" s="10">
        <v>458</v>
      </c>
      <c r="B1058" s="10">
        <v>49</v>
      </c>
      <c r="C1058" s="10">
        <v>0</v>
      </c>
      <c r="D1058" s="10">
        <v>1</v>
      </c>
      <c r="E1058" s="10">
        <v>1</v>
      </c>
      <c r="F1058" s="10">
        <v>1</v>
      </c>
      <c r="L1058" s="1">
        <v>80</v>
      </c>
      <c r="M1058" s="4">
        <v>9</v>
      </c>
      <c r="N1058" s="1">
        <v>0</v>
      </c>
      <c r="O1058" s="1">
        <v>1</v>
      </c>
      <c r="P1058" s="2">
        <v>1</v>
      </c>
      <c r="Q1058" s="68">
        <v>10</v>
      </c>
    </row>
    <row r="1059" spans="1:17" x14ac:dyDescent="0.25">
      <c r="A1059" s="10">
        <v>459</v>
      </c>
      <c r="B1059" s="10">
        <v>49</v>
      </c>
      <c r="C1059" s="10">
        <v>0</v>
      </c>
      <c r="D1059" s="10">
        <v>1</v>
      </c>
      <c r="E1059" s="10">
        <v>1</v>
      </c>
      <c r="F1059" s="10">
        <v>1</v>
      </c>
      <c r="L1059" s="1">
        <v>81</v>
      </c>
      <c r="M1059" s="4">
        <v>9</v>
      </c>
      <c r="N1059" s="1">
        <v>0</v>
      </c>
      <c r="O1059" s="1">
        <v>1</v>
      </c>
      <c r="P1059" s="2">
        <v>1</v>
      </c>
      <c r="Q1059" s="67">
        <v>10</v>
      </c>
    </row>
    <row r="1060" spans="1:17" x14ac:dyDescent="0.25">
      <c r="A1060" s="10">
        <v>460</v>
      </c>
      <c r="B1060" s="10">
        <v>49</v>
      </c>
      <c r="C1060" s="10">
        <v>0</v>
      </c>
      <c r="D1060" s="10">
        <v>1</v>
      </c>
      <c r="E1060" s="10">
        <v>1</v>
      </c>
      <c r="F1060" s="10">
        <v>1</v>
      </c>
      <c r="L1060" s="1">
        <v>82</v>
      </c>
      <c r="M1060" s="4">
        <v>9</v>
      </c>
      <c r="N1060" s="1">
        <v>0</v>
      </c>
      <c r="O1060" s="1">
        <v>1</v>
      </c>
      <c r="P1060" s="2">
        <v>1</v>
      </c>
      <c r="Q1060" s="68">
        <v>10</v>
      </c>
    </row>
    <row r="1061" spans="1:17" x14ac:dyDescent="0.25">
      <c r="A1061" s="10">
        <v>461</v>
      </c>
      <c r="B1061" s="10">
        <v>49</v>
      </c>
      <c r="C1061" s="10">
        <v>0</v>
      </c>
      <c r="D1061" s="10">
        <v>1</v>
      </c>
      <c r="E1061" s="10">
        <v>1</v>
      </c>
      <c r="F1061" s="10">
        <v>1</v>
      </c>
      <c r="L1061" s="1">
        <v>83</v>
      </c>
      <c r="M1061" s="4">
        <v>9</v>
      </c>
      <c r="N1061" s="1">
        <v>0</v>
      </c>
      <c r="O1061" s="1">
        <v>1</v>
      </c>
      <c r="P1061" s="2">
        <v>1</v>
      </c>
      <c r="Q1061" s="67">
        <v>10</v>
      </c>
    </row>
    <row r="1062" spans="1:17" x14ac:dyDescent="0.25">
      <c r="A1062" s="10">
        <v>462</v>
      </c>
      <c r="B1062" s="10">
        <v>49</v>
      </c>
      <c r="C1062" s="10">
        <v>0</v>
      </c>
      <c r="D1062" s="10">
        <v>1</v>
      </c>
      <c r="E1062" s="10">
        <v>1</v>
      </c>
      <c r="F1062" s="10">
        <v>1</v>
      </c>
      <c r="L1062" s="1">
        <v>84</v>
      </c>
      <c r="M1062" s="4">
        <v>9</v>
      </c>
      <c r="N1062" s="1">
        <v>0</v>
      </c>
      <c r="O1062" s="1">
        <v>1</v>
      </c>
      <c r="P1062" s="2">
        <v>1</v>
      </c>
      <c r="Q1062" s="68">
        <v>20</v>
      </c>
    </row>
    <row r="1063" spans="1:17" x14ac:dyDescent="0.25">
      <c r="A1063" s="10">
        <v>463</v>
      </c>
      <c r="B1063" s="10">
        <v>50</v>
      </c>
      <c r="C1063" s="10">
        <v>0</v>
      </c>
      <c r="D1063" s="10">
        <v>1</v>
      </c>
      <c r="E1063" s="10">
        <v>1</v>
      </c>
      <c r="F1063" s="10">
        <v>1</v>
      </c>
      <c r="L1063" s="1">
        <v>85</v>
      </c>
      <c r="M1063" s="4">
        <v>9</v>
      </c>
      <c r="N1063" s="1">
        <v>0</v>
      </c>
      <c r="O1063" s="1">
        <v>1</v>
      </c>
      <c r="P1063" s="2">
        <v>1</v>
      </c>
      <c r="Q1063" s="67">
        <v>12</v>
      </c>
    </row>
    <row r="1064" spans="1:17" x14ac:dyDescent="0.25">
      <c r="A1064" s="10">
        <v>464</v>
      </c>
      <c r="B1064" s="10">
        <v>50</v>
      </c>
      <c r="C1064" s="10">
        <v>0</v>
      </c>
      <c r="D1064" s="10">
        <v>1</v>
      </c>
      <c r="E1064" s="10">
        <v>1</v>
      </c>
      <c r="F1064" s="10">
        <v>1</v>
      </c>
      <c r="L1064" s="1">
        <v>86</v>
      </c>
      <c r="M1064" s="4">
        <v>9</v>
      </c>
      <c r="N1064" s="1">
        <v>0</v>
      </c>
      <c r="O1064" s="1">
        <v>1</v>
      </c>
      <c r="P1064" s="2">
        <v>1</v>
      </c>
      <c r="Q1064" s="68">
        <v>20</v>
      </c>
    </row>
    <row r="1065" spans="1:17" x14ac:dyDescent="0.25">
      <c r="A1065" s="10">
        <v>465</v>
      </c>
      <c r="B1065" s="10">
        <v>50</v>
      </c>
      <c r="C1065" s="10">
        <v>0</v>
      </c>
      <c r="D1065" s="10">
        <v>1</v>
      </c>
      <c r="E1065" s="10">
        <v>1</v>
      </c>
      <c r="F1065" s="10">
        <v>1</v>
      </c>
      <c r="L1065" s="1">
        <v>87</v>
      </c>
      <c r="M1065" s="1">
        <v>10</v>
      </c>
      <c r="N1065" s="1">
        <v>0</v>
      </c>
      <c r="O1065" s="1">
        <v>1</v>
      </c>
      <c r="P1065" s="2">
        <v>1</v>
      </c>
      <c r="Q1065" s="67">
        <v>10</v>
      </c>
    </row>
    <row r="1066" spans="1:17" x14ac:dyDescent="0.25">
      <c r="A1066" s="10">
        <v>466</v>
      </c>
      <c r="B1066" s="10">
        <v>50</v>
      </c>
      <c r="C1066" s="10">
        <v>0</v>
      </c>
      <c r="D1066" s="10">
        <v>1</v>
      </c>
      <c r="E1066" s="10">
        <v>1</v>
      </c>
      <c r="F1066" s="10">
        <v>1</v>
      </c>
      <c r="L1066" s="1">
        <v>88</v>
      </c>
      <c r="M1066" s="1">
        <v>10</v>
      </c>
      <c r="N1066" s="1">
        <v>0</v>
      </c>
      <c r="O1066" s="1">
        <v>1</v>
      </c>
      <c r="P1066" s="2">
        <v>1</v>
      </c>
      <c r="Q1066" s="68">
        <v>20</v>
      </c>
    </row>
    <row r="1067" spans="1:17" x14ac:dyDescent="0.25">
      <c r="A1067" s="10">
        <v>467</v>
      </c>
      <c r="B1067" s="10">
        <v>50</v>
      </c>
      <c r="C1067" s="10">
        <v>0</v>
      </c>
      <c r="D1067" s="10">
        <v>1</v>
      </c>
      <c r="E1067" s="10">
        <v>1</v>
      </c>
      <c r="F1067" s="10">
        <v>1</v>
      </c>
      <c r="L1067" s="1">
        <v>89</v>
      </c>
      <c r="M1067" s="1">
        <v>10</v>
      </c>
      <c r="N1067" s="1">
        <v>0</v>
      </c>
      <c r="O1067" s="1">
        <v>1</v>
      </c>
      <c r="P1067" s="2">
        <v>1</v>
      </c>
      <c r="Q1067" s="67">
        <v>15</v>
      </c>
    </row>
    <row r="1068" spans="1:17" x14ac:dyDescent="0.25">
      <c r="A1068" s="10">
        <v>468</v>
      </c>
      <c r="B1068" s="10">
        <v>50</v>
      </c>
      <c r="C1068" s="10">
        <v>0</v>
      </c>
      <c r="D1068" s="10">
        <v>1</v>
      </c>
      <c r="E1068" s="10">
        <v>1</v>
      </c>
      <c r="F1068" s="10">
        <v>1</v>
      </c>
      <c r="L1068" s="1">
        <v>90</v>
      </c>
      <c r="M1068" s="1">
        <v>10</v>
      </c>
      <c r="N1068" s="1">
        <v>0</v>
      </c>
      <c r="O1068" s="1">
        <v>1</v>
      </c>
      <c r="P1068" s="2">
        <v>1</v>
      </c>
      <c r="Q1068" s="68">
        <v>9</v>
      </c>
    </row>
    <row r="1069" spans="1:17" x14ac:dyDescent="0.25">
      <c r="A1069" s="10">
        <v>469</v>
      </c>
      <c r="B1069" s="10">
        <v>50</v>
      </c>
      <c r="C1069" s="10">
        <v>0</v>
      </c>
      <c r="D1069" s="10">
        <v>1</v>
      </c>
      <c r="E1069" s="10">
        <v>1</v>
      </c>
      <c r="F1069" s="10">
        <v>1</v>
      </c>
      <c r="L1069" s="1">
        <v>91</v>
      </c>
      <c r="M1069" s="1">
        <v>10</v>
      </c>
      <c r="N1069" s="1">
        <v>0</v>
      </c>
      <c r="O1069" s="1">
        <v>1</v>
      </c>
      <c r="P1069" s="2">
        <v>1</v>
      </c>
      <c r="Q1069" s="67">
        <v>5</v>
      </c>
    </row>
    <row r="1070" spans="1:17" x14ac:dyDescent="0.25">
      <c r="A1070" s="10">
        <v>470</v>
      </c>
      <c r="B1070" s="10">
        <v>50</v>
      </c>
      <c r="C1070" s="10">
        <v>0</v>
      </c>
      <c r="D1070" s="10">
        <v>1</v>
      </c>
      <c r="E1070" s="10">
        <v>1</v>
      </c>
      <c r="F1070" s="10">
        <v>1</v>
      </c>
      <c r="L1070" s="1">
        <v>92</v>
      </c>
      <c r="M1070" s="1">
        <v>10</v>
      </c>
      <c r="N1070" s="1">
        <v>0</v>
      </c>
      <c r="O1070" s="1">
        <v>1</v>
      </c>
      <c r="P1070" s="2">
        <v>1</v>
      </c>
      <c r="Q1070" s="68">
        <v>10</v>
      </c>
    </row>
    <row r="1071" spans="1:17" x14ac:dyDescent="0.25">
      <c r="A1071" s="10">
        <v>471</v>
      </c>
      <c r="B1071" s="10">
        <v>50</v>
      </c>
      <c r="C1071" s="10">
        <v>0</v>
      </c>
      <c r="D1071" s="10">
        <v>1</v>
      </c>
      <c r="E1071" s="10">
        <v>1</v>
      </c>
      <c r="F1071" s="10">
        <v>1</v>
      </c>
      <c r="L1071" s="1">
        <v>93</v>
      </c>
      <c r="M1071" s="1">
        <v>10</v>
      </c>
      <c r="N1071" s="1">
        <v>0</v>
      </c>
      <c r="O1071" s="1">
        <v>1</v>
      </c>
      <c r="P1071" s="2">
        <v>1</v>
      </c>
      <c r="Q1071" s="67">
        <v>12</v>
      </c>
    </row>
    <row r="1072" spans="1:17" x14ac:dyDescent="0.25">
      <c r="A1072" s="10">
        <v>472</v>
      </c>
      <c r="B1072" s="10">
        <v>50</v>
      </c>
      <c r="C1072" s="10">
        <v>0</v>
      </c>
      <c r="D1072" s="10">
        <v>1</v>
      </c>
      <c r="E1072" s="10">
        <v>1</v>
      </c>
      <c r="F1072" s="10">
        <v>1</v>
      </c>
      <c r="L1072" s="1">
        <v>94</v>
      </c>
      <c r="M1072" s="1">
        <v>10</v>
      </c>
      <c r="N1072" s="1">
        <v>0</v>
      </c>
      <c r="O1072" s="1">
        <v>1</v>
      </c>
      <c r="P1072" s="2">
        <v>1</v>
      </c>
      <c r="Q1072" s="68">
        <v>5</v>
      </c>
    </row>
    <row r="1073" spans="1:17" x14ac:dyDescent="0.25">
      <c r="A1073" s="10">
        <v>473</v>
      </c>
      <c r="B1073" s="10">
        <v>51</v>
      </c>
      <c r="C1073" s="10">
        <v>0</v>
      </c>
      <c r="D1073" s="10">
        <v>1</v>
      </c>
      <c r="E1073" s="10">
        <v>1</v>
      </c>
      <c r="F1073" s="10">
        <v>1</v>
      </c>
      <c r="L1073" s="1">
        <v>95</v>
      </c>
      <c r="M1073" s="1">
        <v>10</v>
      </c>
      <c r="N1073" s="1">
        <v>0</v>
      </c>
      <c r="O1073" s="1">
        <v>1</v>
      </c>
      <c r="P1073" s="2">
        <v>1</v>
      </c>
      <c r="Q1073" s="67">
        <v>2</v>
      </c>
    </row>
    <row r="1074" spans="1:17" x14ac:dyDescent="0.25">
      <c r="A1074" s="10">
        <v>474</v>
      </c>
      <c r="B1074" s="10">
        <v>51</v>
      </c>
      <c r="C1074" s="10">
        <v>0</v>
      </c>
      <c r="D1074" s="10">
        <v>1</v>
      </c>
      <c r="E1074" s="10">
        <v>1</v>
      </c>
      <c r="F1074" s="10">
        <v>1</v>
      </c>
      <c r="L1074" s="1">
        <v>96</v>
      </c>
      <c r="M1074" s="1">
        <v>10</v>
      </c>
      <c r="N1074" s="1">
        <v>0</v>
      </c>
      <c r="O1074" s="1">
        <v>1</v>
      </c>
      <c r="P1074" s="2">
        <v>1</v>
      </c>
      <c r="Q1074" s="68">
        <v>4</v>
      </c>
    </row>
    <row r="1075" spans="1:17" x14ac:dyDescent="0.25">
      <c r="A1075" s="10">
        <v>475</v>
      </c>
      <c r="B1075" s="10">
        <v>51</v>
      </c>
      <c r="C1075" s="10">
        <v>0</v>
      </c>
      <c r="D1075" s="10">
        <v>1</v>
      </c>
      <c r="E1075" s="10">
        <v>1</v>
      </c>
      <c r="F1075" s="10">
        <v>1</v>
      </c>
      <c r="L1075" s="1">
        <v>97</v>
      </c>
      <c r="M1075" s="1">
        <v>11</v>
      </c>
      <c r="N1075" s="1">
        <v>0</v>
      </c>
      <c r="O1075" s="1">
        <v>1</v>
      </c>
      <c r="P1075" s="2">
        <v>1</v>
      </c>
      <c r="Q1075" s="67">
        <v>8</v>
      </c>
    </row>
    <row r="1076" spans="1:17" x14ac:dyDescent="0.25">
      <c r="A1076" s="10">
        <v>476</v>
      </c>
      <c r="B1076" s="10">
        <v>51</v>
      </c>
      <c r="C1076" s="10">
        <v>0</v>
      </c>
      <c r="D1076" s="10">
        <v>1</v>
      </c>
      <c r="E1076" s="10">
        <v>1</v>
      </c>
      <c r="F1076" s="10">
        <v>1</v>
      </c>
      <c r="L1076" s="1">
        <v>98</v>
      </c>
      <c r="M1076" s="1">
        <v>11</v>
      </c>
      <c r="N1076" s="1">
        <v>0</v>
      </c>
      <c r="O1076" s="1">
        <v>1</v>
      </c>
      <c r="P1076" s="2">
        <v>1</v>
      </c>
      <c r="Q1076" s="68">
        <v>6</v>
      </c>
    </row>
    <row r="1077" spans="1:17" x14ac:dyDescent="0.25">
      <c r="A1077" s="10">
        <v>477</v>
      </c>
      <c r="B1077" s="10">
        <v>51</v>
      </c>
      <c r="C1077" s="10">
        <v>0</v>
      </c>
      <c r="D1077" s="10">
        <v>1</v>
      </c>
      <c r="E1077" s="10">
        <v>1</v>
      </c>
      <c r="F1077" s="10">
        <v>1</v>
      </c>
      <c r="L1077" s="1">
        <v>99</v>
      </c>
      <c r="M1077" s="1">
        <v>11</v>
      </c>
      <c r="N1077" s="1">
        <v>0</v>
      </c>
      <c r="O1077" s="1">
        <v>1</v>
      </c>
      <c r="P1077" s="2">
        <v>1</v>
      </c>
      <c r="Q1077" s="67">
        <v>4</v>
      </c>
    </row>
    <row r="1078" spans="1:17" x14ac:dyDescent="0.25">
      <c r="A1078" s="10">
        <v>478</v>
      </c>
      <c r="B1078" s="10">
        <v>51</v>
      </c>
      <c r="C1078" s="10">
        <v>0</v>
      </c>
      <c r="D1078" s="10">
        <v>1</v>
      </c>
      <c r="E1078" s="10">
        <v>1</v>
      </c>
      <c r="F1078" s="10">
        <v>1</v>
      </c>
      <c r="L1078" s="1">
        <v>100</v>
      </c>
      <c r="M1078" s="1">
        <v>11</v>
      </c>
      <c r="N1078" s="1">
        <v>0</v>
      </c>
      <c r="O1078" s="1">
        <v>1</v>
      </c>
      <c r="P1078" s="2">
        <v>1</v>
      </c>
      <c r="Q1078" s="68">
        <v>3</v>
      </c>
    </row>
    <row r="1079" spans="1:17" x14ac:dyDescent="0.25">
      <c r="A1079" s="10">
        <v>479</v>
      </c>
      <c r="B1079" s="10">
        <v>52</v>
      </c>
      <c r="C1079" s="10">
        <v>0</v>
      </c>
      <c r="D1079" s="10">
        <v>1</v>
      </c>
      <c r="E1079" s="10">
        <v>1</v>
      </c>
      <c r="F1079" s="10">
        <v>1</v>
      </c>
      <c r="L1079" s="1">
        <v>101</v>
      </c>
      <c r="M1079" s="1">
        <v>11</v>
      </c>
      <c r="N1079" s="1">
        <v>0</v>
      </c>
      <c r="O1079" s="1">
        <v>1</v>
      </c>
      <c r="P1079" s="2">
        <v>1</v>
      </c>
      <c r="Q1079" s="67">
        <v>0</v>
      </c>
    </row>
    <row r="1080" spans="1:17" x14ac:dyDescent="0.25">
      <c r="A1080" s="10">
        <v>480</v>
      </c>
      <c r="B1080" s="10">
        <v>52</v>
      </c>
      <c r="C1080" s="10">
        <v>0</v>
      </c>
      <c r="D1080" s="10">
        <v>1</v>
      </c>
      <c r="E1080" s="10">
        <v>1</v>
      </c>
      <c r="F1080" s="10">
        <v>1</v>
      </c>
      <c r="L1080" s="1">
        <v>102</v>
      </c>
      <c r="M1080" s="1">
        <v>11</v>
      </c>
      <c r="N1080" s="1">
        <v>0</v>
      </c>
      <c r="O1080" s="1">
        <v>1</v>
      </c>
      <c r="P1080" s="2">
        <v>1</v>
      </c>
      <c r="Q1080" s="68">
        <v>5</v>
      </c>
    </row>
    <row r="1081" spans="1:17" x14ac:dyDescent="0.25">
      <c r="A1081" s="10">
        <v>481</v>
      </c>
      <c r="B1081" s="10">
        <v>52</v>
      </c>
      <c r="C1081" s="10">
        <v>0</v>
      </c>
      <c r="D1081" s="10">
        <v>1</v>
      </c>
      <c r="E1081" s="10">
        <v>1</v>
      </c>
      <c r="F1081" s="10">
        <v>1</v>
      </c>
      <c r="L1081" s="1">
        <v>103</v>
      </c>
      <c r="M1081" s="1">
        <v>11</v>
      </c>
      <c r="N1081" s="1">
        <v>0</v>
      </c>
      <c r="O1081" s="1">
        <v>1</v>
      </c>
      <c r="P1081" s="2">
        <v>1</v>
      </c>
      <c r="Q1081" s="67">
        <v>13</v>
      </c>
    </row>
    <row r="1082" spans="1:17" x14ac:dyDescent="0.25">
      <c r="A1082" s="10">
        <v>482</v>
      </c>
      <c r="B1082" s="10">
        <v>52</v>
      </c>
      <c r="C1082" s="10">
        <v>0</v>
      </c>
      <c r="D1082" s="10">
        <v>1</v>
      </c>
      <c r="E1082" s="10">
        <v>1</v>
      </c>
      <c r="F1082" s="10">
        <v>1</v>
      </c>
      <c r="L1082" s="1">
        <v>104</v>
      </c>
      <c r="M1082" s="1">
        <v>11</v>
      </c>
      <c r="N1082" s="1">
        <v>0</v>
      </c>
      <c r="O1082" s="1">
        <v>1</v>
      </c>
      <c r="P1082" s="2">
        <v>1</v>
      </c>
      <c r="Q1082" s="68">
        <v>11</v>
      </c>
    </row>
    <row r="1083" spans="1:17" x14ac:dyDescent="0.25">
      <c r="A1083" s="10">
        <v>483</v>
      </c>
      <c r="B1083" s="10">
        <v>52</v>
      </c>
      <c r="C1083" s="10">
        <v>0</v>
      </c>
      <c r="D1083" s="10">
        <v>1</v>
      </c>
      <c r="E1083" s="10">
        <v>1</v>
      </c>
      <c r="F1083" s="10">
        <v>1</v>
      </c>
      <c r="L1083" s="1">
        <v>105</v>
      </c>
      <c r="M1083" s="1">
        <v>11</v>
      </c>
      <c r="N1083" s="1">
        <v>0</v>
      </c>
      <c r="O1083" s="1">
        <v>1</v>
      </c>
      <c r="P1083" s="2">
        <v>1</v>
      </c>
      <c r="Q1083" s="67">
        <v>13</v>
      </c>
    </row>
    <row r="1084" spans="1:17" x14ac:dyDescent="0.25">
      <c r="A1084" s="10">
        <v>484</v>
      </c>
      <c r="B1084" s="10">
        <v>52</v>
      </c>
      <c r="C1084" s="10">
        <v>0</v>
      </c>
      <c r="D1084" s="10">
        <v>1</v>
      </c>
      <c r="E1084" s="10">
        <v>1</v>
      </c>
      <c r="F1084" s="10">
        <v>1</v>
      </c>
      <c r="L1084" s="1">
        <v>106</v>
      </c>
      <c r="M1084" s="1">
        <v>11</v>
      </c>
      <c r="N1084" s="1">
        <v>0</v>
      </c>
      <c r="O1084" s="1">
        <v>1</v>
      </c>
      <c r="P1084" s="2">
        <v>1</v>
      </c>
      <c r="Q1084" s="68">
        <v>6</v>
      </c>
    </row>
    <row r="1085" spans="1:17" x14ac:dyDescent="0.25">
      <c r="A1085" s="10">
        <v>485</v>
      </c>
      <c r="B1085" s="10">
        <v>52</v>
      </c>
      <c r="C1085" s="10">
        <v>0</v>
      </c>
      <c r="D1085" s="10">
        <v>1</v>
      </c>
      <c r="E1085" s="10">
        <v>1</v>
      </c>
      <c r="F1085" s="10">
        <v>1</v>
      </c>
      <c r="L1085" s="1">
        <v>107</v>
      </c>
      <c r="M1085" s="1">
        <v>12</v>
      </c>
      <c r="N1085" s="1">
        <v>0</v>
      </c>
      <c r="O1085" s="1">
        <v>1</v>
      </c>
      <c r="P1085" s="2">
        <v>1</v>
      </c>
      <c r="Q1085" s="67">
        <v>4</v>
      </c>
    </row>
    <row r="1086" spans="1:17" x14ac:dyDescent="0.25">
      <c r="A1086" s="10">
        <v>486</v>
      </c>
      <c r="B1086" s="10">
        <v>52</v>
      </c>
      <c r="C1086" s="10">
        <v>0</v>
      </c>
      <c r="D1086" s="10">
        <v>1</v>
      </c>
      <c r="E1086" s="10">
        <v>1</v>
      </c>
      <c r="F1086" s="10">
        <v>1</v>
      </c>
      <c r="L1086" s="1">
        <v>108</v>
      </c>
      <c r="M1086" s="1">
        <v>12</v>
      </c>
      <c r="N1086" s="1">
        <v>0</v>
      </c>
      <c r="O1086" s="1">
        <v>1</v>
      </c>
      <c r="P1086" s="2">
        <v>1</v>
      </c>
      <c r="Q1086" s="68">
        <v>1</v>
      </c>
    </row>
    <row r="1087" spans="1:17" x14ac:dyDescent="0.25">
      <c r="A1087" s="10">
        <v>487</v>
      </c>
      <c r="B1087" s="10">
        <v>52</v>
      </c>
      <c r="C1087" s="10">
        <v>0</v>
      </c>
      <c r="D1087" s="10">
        <v>1</v>
      </c>
      <c r="E1087" s="10">
        <v>1</v>
      </c>
      <c r="F1087" s="10">
        <v>1</v>
      </c>
      <c r="L1087" s="1">
        <v>109</v>
      </c>
      <c r="M1087" s="1">
        <v>12</v>
      </c>
      <c r="N1087" s="1">
        <v>0</v>
      </c>
      <c r="O1087" s="1">
        <v>1</v>
      </c>
      <c r="P1087" s="2">
        <v>1</v>
      </c>
      <c r="Q1087" s="67">
        <v>10</v>
      </c>
    </row>
    <row r="1088" spans="1:17" x14ac:dyDescent="0.25">
      <c r="A1088" s="10">
        <v>488</v>
      </c>
      <c r="B1088" s="10">
        <v>52</v>
      </c>
      <c r="C1088" s="10">
        <v>0</v>
      </c>
      <c r="D1088" s="10">
        <v>1</v>
      </c>
      <c r="E1088" s="10">
        <v>1</v>
      </c>
      <c r="F1088" s="10">
        <v>1</v>
      </c>
      <c r="L1088" s="1">
        <v>110</v>
      </c>
      <c r="M1088" s="1">
        <v>12</v>
      </c>
      <c r="N1088" s="1">
        <v>0</v>
      </c>
      <c r="O1088" s="1">
        <v>1</v>
      </c>
      <c r="P1088" s="2">
        <v>1</v>
      </c>
      <c r="Q1088" s="68">
        <v>9</v>
      </c>
    </row>
    <row r="1089" spans="1:17" x14ac:dyDescent="0.25">
      <c r="A1089" s="10">
        <v>1</v>
      </c>
      <c r="B1089" s="10">
        <v>1</v>
      </c>
      <c r="C1089" s="10">
        <v>0</v>
      </c>
      <c r="D1089" s="10">
        <v>2</v>
      </c>
      <c r="E1089" s="10">
        <v>544</v>
      </c>
      <c r="F1089" s="10">
        <v>544</v>
      </c>
      <c r="L1089" s="1">
        <v>111</v>
      </c>
      <c r="M1089" s="1">
        <v>12</v>
      </c>
      <c r="N1089" s="1">
        <v>0</v>
      </c>
      <c r="O1089" s="1">
        <v>1</v>
      </c>
      <c r="P1089" s="2">
        <v>1</v>
      </c>
      <c r="Q1089" s="67">
        <v>2</v>
      </c>
    </row>
    <row r="1090" spans="1:17" x14ac:dyDescent="0.25">
      <c r="A1090" s="10">
        <v>2</v>
      </c>
      <c r="B1090" s="10">
        <v>1</v>
      </c>
      <c r="C1090" s="10">
        <v>0</v>
      </c>
      <c r="D1090" s="10">
        <v>2</v>
      </c>
      <c r="E1090" s="10">
        <v>1</v>
      </c>
      <c r="F1090" s="10">
        <v>1</v>
      </c>
      <c r="L1090" s="1">
        <v>112</v>
      </c>
      <c r="M1090" s="1">
        <v>12</v>
      </c>
      <c r="N1090" s="1">
        <v>0</v>
      </c>
      <c r="O1090" s="1">
        <v>1</v>
      </c>
      <c r="P1090" s="2">
        <v>1</v>
      </c>
      <c r="Q1090" s="68">
        <v>2</v>
      </c>
    </row>
    <row r="1091" spans="1:17" x14ac:dyDescent="0.25">
      <c r="A1091" s="10">
        <v>4</v>
      </c>
      <c r="B1091" s="10">
        <v>1</v>
      </c>
      <c r="C1091" s="10">
        <v>0</v>
      </c>
      <c r="D1091" s="10">
        <v>2</v>
      </c>
      <c r="E1091" s="10">
        <v>1</v>
      </c>
      <c r="F1091" s="10">
        <v>1</v>
      </c>
      <c r="L1091" s="1">
        <v>113</v>
      </c>
      <c r="M1091" s="1">
        <v>12</v>
      </c>
      <c r="N1091" s="1">
        <v>0</v>
      </c>
      <c r="O1091" s="1">
        <v>1</v>
      </c>
      <c r="P1091" s="2">
        <v>1</v>
      </c>
      <c r="Q1091" s="67">
        <v>5</v>
      </c>
    </row>
    <row r="1092" spans="1:17" x14ac:dyDescent="0.25">
      <c r="A1092" s="10">
        <v>5</v>
      </c>
      <c r="B1092" s="10">
        <v>1</v>
      </c>
      <c r="C1092" s="10">
        <v>0</v>
      </c>
      <c r="D1092" s="10">
        <v>2</v>
      </c>
      <c r="E1092" s="10">
        <v>1</v>
      </c>
      <c r="F1092" s="10">
        <v>1</v>
      </c>
      <c r="L1092" s="1">
        <v>114</v>
      </c>
      <c r="M1092" s="1">
        <v>12</v>
      </c>
      <c r="N1092" s="1">
        <v>0</v>
      </c>
      <c r="O1092" s="1">
        <v>1</v>
      </c>
      <c r="P1092" s="2">
        <v>1</v>
      </c>
      <c r="Q1092" s="68">
        <v>2</v>
      </c>
    </row>
    <row r="1093" spans="1:17" x14ac:dyDescent="0.25">
      <c r="A1093" s="10">
        <v>6</v>
      </c>
      <c r="B1093" s="10">
        <v>1</v>
      </c>
      <c r="C1093" s="10">
        <v>0</v>
      </c>
      <c r="D1093" s="10">
        <v>2</v>
      </c>
      <c r="E1093" s="10">
        <v>1</v>
      </c>
      <c r="F1093" s="10">
        <v>1</v>
      </c>
      <c r="L1093" s="1">
        <v>115</v>
      </c>
      <c r="M1093" s="1">
        <v>13</v>
      </c>
      <c r="N1093" s="1">
        <v>0</v>
      </c>
      <c r="O1093" s="1">
        <v>1</v>
      </c>
      <c r="P1093" s="2">
        <v>1</v>
      </c>
      <c r="Q1093" s="67">
        <v>3</v>
      </c>
    </row>
    <row r="1094" spans="1:17" x14ac:dyDescent="0.25">
      <c r="A1094" s="10">
        <v>7</v>
      </c>
      <c r="B1094" s="10">
        <v>1</v>
      </c>
      <c r="C1094" s="10">
        <v>0</v>
      </c>
      <c r="D1094" s="10">
        <v>2</v>
      </c>
      <c r="E1094" s="10">
        <v>542</v>
      </c>
      <c r="F1094" s="10">
        <v>542</v>
      </c>
      <c r="L1094" s="1">
        <v>116</v>
      </c>
      <c r="M1094" s="1">
        <v>13</v>
      </c>
      <c r="N1094" s="1">
        <v>0</v>
      </c>
      <c r="O1094" s="1">
        <v>1</v>
      </c>
      <c r="P1094" s="2">
        <v>1</v>
      </c>
      <c r="Q1094" s="68">
        <v>4</v>
      </c>
    </row>
    <row r="1095" spans="1:17" x14ac:dyDescent="0.25">
      <c r="A1095" s="10">
        <v>8</v>
      </c>
      <c r="B1095" s="10">
        <v>1</v>
      </c>
      <c r="C1095" s="10">
        <v>0</v>
      </c>
      <c r="D1095" s="10">
        <v>2</v>
      </c>
      <c r="E1095" s="10">
        <v>1</v>
      </c>
      <c r="F1095" s="10">
        <v>1</v>
      </c>
      <c r="L1095" s="1">
        <v>117</v>
      </c>
      <c r="M1095" s="1">
        <v>13</v>
      </c>
      <c r="N1095" s="1">
        <v>0</v>
      </c>
      <c r="O1095" s="1">
        <v>1</v>
      </c>
      <c r="P1095" s="2">
        <v>1</v>
      </c>
      <c r="Q1095" s="67">
        <v>8</v>
      </c>
    </row>
    <row r="1096" spans="1:17" x14ac:dyDescent="0.25">
      <c r="A1096" s="10">
        <v>9</v>
      </c>
      <c r="B1096" s="10">
        <v>1</v>
      </c>
      <c r="C1096" s="10">
        <v>0</v>
      </c>
      <c r="D1096" s="10">
        <v>2</v>
      </c>
      <c r="E1096" s="10">
        <v>1</v>
      </c>
      <c r="F1096" s="10">
        <v>1</v>
      </c>
      <c r="L1096" s="1">
        <v>118</v>
      </c>
      <c r="M1096" s="1">
        <v>13</v>
      </c>
      <c r="N1096" s="1">
        <v>0</v>
      </c>
      <c r="O1096" s="1">
        <v>1</v>
      </c>
      <c r="P1096" s="2">
        <v>1</v>
      </c>
      <c r="Q1096" s="68">
        <v>7</v>
      </c>
    </row>
    <row r="1097" spans="1:17" x14ac:dyDescent="0.25">
      <c r="A1097" s="10">
        <v>10</v>
      </c>
      <c r="B1097" s="10">
        <v>1</v>
      </c>
      <c r="C1097" s="10">
        <v>0</v>
      </c>
      <c r="D1097" s="10">
        <v>2</v>
      </c>
      <c r="E1097" s="10">
        <v>1</v>
      </c>
      <c r="F1097" s="10">
        <v>1</v>
      </c>
      <c r="L1097" s="1">
        <v>119</v>
      </c>
      <c r="M1097" s="1">
        <v>13</v>
      </c>
      <c r="N1097" s="1">
        <v>0</v>
      </c>
      <c r="O1097" s="1">
        <v>1</v>
      </c>
      <c r="P1097" s="2">
        <v>1</v>
      </c>
      <c r="Q1097" s="67">
        <v>8</v>
      </c>
    </row>
    <row r="1098" spans="1:17" x14ac:dyDescent="0.25">
      <c r="A1098" s="10">
        <v>11</v>
      </c>
      <c r="B1098" s="10">
        <v>2</v>
      </c>
      <c r="C1098" s="10">
        <v>0</v>
      </c>
      <c r="D1098" s="10">
        <v>2</v>
      </c>
      <c r="E1098" s="10">
        <v>1</v>
      </c>
      <c r="F1098" s="10">
        <v>1</v>
      </c>
      <c r="L1098" s="1">
        <v>120</v>
      </c>
      <c r="M1098" s="1">
        <v>13</v>
      </c>
      <c r="N1098" s="1">
        <v>0</v>
      </c>
      <c r="O1098" s="1">
        <v>1</v>
      </c>
      <c r="P1098" s="2">
        <v>1</v>
      </c>
      <c r="Q1098" s="68">
        <v>6</v>
      </c>
    </row>
    <row r="1099" spans="1:17" x14ac:dyDescent="0.25">
      <c r="A1099" s="10">
        <v>12</v>
      </c>
      <c r="B1099" s="10">
        <v>2</v>
      </c>
      <c r="C1099" s="10">
        <v>0</v>
      </c>
      <c r="D1099" s="10">
        <v>2</v>
      </c>
      <c r="E1099" s="10">
        <v>1</v>
      </c>
      <c r="F1099" s="10">
        <v>1</v>
      </c>
      <c r="L1099" s="1">
        <v>121</v>
      </c>
      <c r="M1099" s="1">
        <v>13</v>
      </c>
      <c r="N1099" s="1">
        <v>0</v>
      </c>
      <c r="O1099" s="1">
        <v>1</v>
      </c>
      <c r="P1099" s="2">
        <v>1</v>
      </c>
      <c r="Q1099" s="67">
        <v>4</v>
      </c>
    </row>
    <row r="1100" spans="1:17" x14ac:dyDescent="0.25">
      <c r="A1100" s="10">
        <v>14</v>
      </c>
      <c r="B1100" s="10">
        <v>2</v>
      </c>
      <c r="C1100" s="10">
        <v>0</v>
      </c>
      <c r="D1100" s="10">
        <v>2</v>
      </c>
      <c r="E1100" s="10">
        <v>500</v>
      </c>
      <c r="F1100" s="10">
        <v>500</v>
      </c>
      <c r="L1100" s="1">
        <v>122</v>
      </c>
      <c r="M1100" s="1">
        <v>13</v>
      </c>
      <c r="N1100" s="1">
        <v>0</v>
      </c>
      <c r="O1100" s="1">
        <v>1</v>
      </c>
      <c r="P1100" s="2">
        <v>1</v>
      </c>
      <c r="Q1100" s="68">
        <v>4</v>
      </c>
    </row>
    <row r="1101" spans="1:17" x14ac:dyDescent="0.25">
      <c r="A1101" s="10">
        <v>15</v>
      </c>
      <c r="B1101" s="10">
        <v>2</v>
      </c>
      <c r="C1101" s="10">
        <v>0</v>
      </c>
      <c r="D1101" s="10">
        <v>2</v>
      </c>
      <c r="E1101" s="10">
        <v>1</v>
      </c>
      <c r="F1101" s="10">
        <v>1</v>
      </c>
      <c r="L1101" s="1">
        <v>123</v>
      </c>
      <c r="M1101" s="1">
        <v>14</v>
      </c>
      <c r="N1101" s="1">
        <v>0</v>
      </c>
      <c r="O1101" s="1">
        <v>1</v>
      </c>
      <c r="P1101" s="2">
        <v>1</v>
      </c>
      <c r="Q1101" s="67">
        <v>8</v>
      </c>
    </row>
    <row r="1102" spans="1:17" x14ac:dyDescent="0.25">
      <c r="A1102" s="10">
        <v>16</v>
      </c>
      <c r="B1102" s="10">
        <v>2</v>
      </c>
      <c r="C1102" s="10">
        <v>0</v>
      </c>
      <c r="D1102" s="10">
        <v>2</v>
      </c>
      <c r="E1102" s="10">
        <v>496</v>
      </c>
      <c r="F1102" s="10">
        <v>496</v>
      </c>
      <c r="L1102" s="1">
        <v>124</v>
      </c>
      <c r="M1102" s="1">
        <v>14</v>
      </c>
      <c r="N1102" s="1">
        <v>0</v>
      </c>
      <c r="O1102" s="1">
        <v>1</v>
      </c>
      <c r="P1102" s="2">
        <v>1</v>
      </c>
      <c r="Q1102" s="68">
        <v>2</v>
      </c>
    </row>
    <row r="1103" spans="1:17" x14ac:dyDescent="0.25">
      <c r="A1103" s="10">
        <v>17</v>
      </c>
      <c r="B1103" s="10">
        <v>2</v>
      </c>
      <c r="C1103" s="10">
        <v>0</v>
      </c>
      <c r="D1103" s="10">
        <v>2</v>
      </c>
      <c r="E1103" s="10">
        <v>396</v>
      </c>
      <c r="F1103" s="10">
        <v>396</v>
      </c>
      <c r="L1103" s="1">
        <v>125</v>
      </c>
      <c r="M1103" s="1">
        <v>14</v>
      </c>
      <c r="N1103" s="1">
        <v>0</v>
      </c>
      <c r="O1103" s="1">
        <v>1</v>
      </c>
      <c r="P1103" s="2">
        <v>1</v>
      </c>
      <c r="Q1103" s="67">
        <v>4</v>
      </c>
    </row>
    <row r="1104" spans="1:17" x14ac:dyDescent="0.25">
      <c r="A1104" s="10">
        <v>18</v>
      </c>
      <c r="B1104" s="10">
        <v>2</v>
      </c>
      <c r="C1104" s="10">
        <v>0</v>
      </c>
      <c r="D1104" s="10">
        <v>2</v>
      </c>
      <c r="E1104" s="10">
        <v>1</v>
      </c>
      <c r="F1104" s="10">
        <v>1</v>
      </c>
      <c r="L1104" s="1">
        <v>126</v>
      </c>
      <c r="M1104" s="1">
        <v>14</v>
      </c>
      <c r="N1104" s="1">
        <v>0</v>
      </c>
      <c r="O1104" s="1">
        <v>1</v>
      </c>
      <c r="P1104" s="2">
        <v>1</v>
      </c>
      <c r="Q1104" s="68">
        <v>14</v>
      </c>
    </row>
    <row r="1105" spans="1:17" x14ac:dyDescent="0.25">
      <c r="A1105" s="10">
        <v>19</v>
      </c>
      <c r="B1105" s="10">
        <v>2</v>
      </c>
      <c r="C1105" s="10">
        <v>0</v>
      </c>
      <c r="D1105" s="10">
        <v>2</v>
      </c>
      <c r="E1105" s="10">
        <v>556</v>
      </c>
      <c r="F1105" s="10">
        <v>556</v>
      </c>
      <c r="L1105" s="1">
        <v>127</v>
      </c>
      <c r="M1105" s="1">
        <v>14</v>
      </c>
      <c r="N1105" s="1">
        <v>0</v>
      </c>
      <c r="O1105" s="1">
        <v>1</v>
      </c>
      <c r="P1105" s="2">
        <v>1</v>
      </c>
      <c r="Q1105" s="67">
        <v>3</v>
      </c>
    </row>
    <row r="1106" spans="1:17" x14ac:dyDescent="0.25">
      <c r="A1106" s="10">
        <v>20</v>
      </c>
      <c r="B1106" s="10">
        <v>2</v>
      </c>
      <c r="C1106" s="10">
        <v>0</v>
      </c>
      <c r="D1106" s="10">
        <v>2</v>
      </c>
      <c r="E1106" s="10">
        <v>1</v>
      </c>
      <c r="F1106" s="10">
        <v>1</v>
      </c>
      <c r="L1106" s="1">
        <v>128</v>
      </c>
      <c r="M1106" s="1">
        <v>14</v>
      </c>
      <c r="N1106" s="1">
        <v>0</v>
      </c>
      <c r="O1106" s="1">
        <v>1</v>
      </c>
      <c r="P1106" s="2">
        <v>1</v>
      </c>
      <c r="Q1106" s="68">
        <v>6</v>
      </c>
    </row>
    <row r="1107" spans="1:17" x14ac:dyDescent="0.25">
      <c r="A1107" s="10">
        <v>21</v>
      </c>
      <c r="B1107" s="10">
        <v>3</v>
      </c>
      <c r="C1107" s="10">
        <v>0</v>
      </c>
      <c r="D1107" s="10">
        <v>2</v>
      </c>
      <c r="E1107" s="10">
        <v>1</v>
      </c>
      <c r="F1107" s="10">
        <v>1</v>
      </c>
      <c r="L1107" s="1">
        <v>129</v>
      </c>
      <c r="M1107" s="1">
        <v>14</v>
      </c>
      <c r="N1107" s="1">
        <v>0</v>
      </c>
      <c r="O1107" s="1">
        <v>1</v>
      </c>
      <c r="P1107" s="2">
        <v>1</v>
      </c>
      <c r="Q1107" s="67">
        <v>11</v>
      </c>
    </row>
    <row r="1108" spans="1:17" x14ac:dyDescent="0.25">
      <c r="A1108" s="10">
        <v>22</v>
      </c>
      <c r="B1108" s="10">
        <v>3</v>
      </c>
      <c r="C1108" s="10">
        <v>0</v>
      </c>
      <c r="D1108" s="10">
        <v>2</v>
      </c>
      <c r="E1108" s="10">
        <v>479</v>
      </c>
      <c r="F1108" s="10">
        <v>479</v>
      </c>
      <c r="L1108" s="1">
        <v>130</v>
      </c>
      <c r="M1108" s="1">
        <v>14</v>
      </c>
      <c r="N1108" s="1">
        <v>0</v>
      </c>
      <c r="O1108" s="1">
        <v>1</v>
      </c>
      <c r="P1108" s="2">
        <v>1</v>
      </c>
      <c r="Q1108" s="68">
        <v>2</v>
      </c>
    </row>
    <row r="1109" spans="1:17" x14ac:dyDescent="0.25">
      <c r="A1109" s="10">
        <v>23</v>
      </c>
      <c r="B1109" s="10">
        <v>3</v>
      </c>
      <c r="C1109" s="10">
        <v>0</v>
      </c>
      <c r="D1109" s="10">
        <v>2</v>
      </c>
      <c r="E1109" s="10">
        <v>1</v>
      </c>
      <c r="F1109" s="10">
        <v>1</v>
      </c>
      <c r="L1109" s="1">
        <v>131</v>
      </c>
      <c r="M1109" s="1">
        <v>14</v>
      </c>
      <c r="N1109" s="1">
        <v>0</v>
      </c>
      <c r="O1109" s="1">
        <v>1</v>
      </c>
      <c r="P1109" s="2">
        <v>1</v>
      </c>
      <c r="Q1109" s="67">
        <v>4</v>
      </c>
    </row>
    <row r="1110" spans="1:17" x14ac:dyDescent="0.25">
      <c r="A1110" s="10">
        <v>24</v>
      </c>
      <c r="B1110" s="10">
        <v>3</v>
      </c>
      <c r="C1110" s="10">
        <v>0</v>
      </c>
      <c r="D1110" s="10">
        <v>2</v>
      </c>
      <c r="E1110" s="10">
        <v>1</v>
      </c>
      <c r="F1110" s="10">
        <v>1</v>
      </c>
      <c r="L1110" s="1">
        <v>132</v>
      </c>
      <c r="M1110" s="1">
        <v>14</v>
      </c>
      <c r="N1110" s="1">
        <v>0</v>
      </c>
      <c r="O1110" s="1">
        <v>1</v>
      </c>
      <c r="P1110" s="2">
        <v>1</v>
      </c>
      <c r="Q1110" s="68">
        <v>3</v>
      </c>
    </row>
    <row r="1111" spans="1:17" x14ac:dyDescent="0.25">
      <c r="A1111" s="10">
        <v>25</v>
      </c>
      <c r="B1111" s="10">
        <v>3</v>
      </c>
      <c r="C1111" s="10">
        <v>0</v>
      </c>
      <c r="D1111" s="10">
        <v>2</v>
      </c>
      <c r="E1111" s="10">
        <v>1</v>
      </c>
      <c r="F1111" s="10">
        <v>1</v>
      </c>
      <c r="L1111" s="1">
        <v>133</v>
      </c>
      <c r="M1111" s="1">
        <v>15</v>
      </c>
      <c r="N1111" s="1">
        <v>0</v>
      </c>
      <c r="O1111" s="1">
        <v>1</v>
      </c>
      <c r="P1111" s="2">
        <v>1</v>
      </c>
      <c r="Q1111" s="67">
        <v>7</v>
      </c>
    </row>
    <row r="1112" spans="1:17" x14ac:dyDescent="0.25">
      <c r="A1112" s="10">
        <v>26</v>
      </c>
      <c r="B1112" s="10">
        <v>3</v>
      </c>
      <c r="C1112" s="10">
        <v>0</v>
      </c>
      <c r="D1112" s="10">
        <v>2</v>
      </c>
      <c r="E1112" s="10">
        <v>565</v>
      </c>
      <c r="F1112" s="10">
        <v>565</v>
      </c>
      <c r="L1112" s="1">
        <v>134</v>
      </c>
      <c r="M1112" s="1">
        <v>15</v>
      </c>
      <c r="N1112" s="1">
        <v>0</v>
      </c>
      <c r="O1112" s="1">
        <v>1</v>
      </c>
      <c r="P1112" s="2">
        <v>1</v>
      </c>
      <c r="Q1112" s="68">
        <v>9</v>
      </c>
    </row>
    <row r="1113" spans="1:17" x14ac:dyDescent="0.25">
      <c r="A1113" s="10">
        <v>27</v>
      </c>
      <c r="B1113" s="10">
        <v>4</v>
      </c>
      <c r="C1113" s="10">
        <v>0</v>
      </c>
      <c r="D1113" s="10">
        <v>2</v>
      </c>
      <c r="E1113" s="10">
        <v>367</v>
      </c>
      <c r="F1113" s="10">
        <v>367</v>
      </c>
      <c r="L1113" s="1">
        <v>135</v>
      </c>
      <c r="M1113" s="1">
        <v>15</v>
      </c>
      <c r="N1113" s="1">
        <v>0</v>
      </c>
      <c r="O1113" s="1">
        <v>1</v>
      </c>
      <c r="P1113" s="2">
        <v>1</v>
      </c>
      <c r="Q1113" s="67">
        <v>5</v>
      </c>
    </row>
    <row r="1114" spans="1:17" x14ac:dyDescent="0.25">
      <c r="A1114" s="10">
        <v>28</v>
      </c>
      <c r="B1114" s="10">
        <v>4</v>
      </c>
      <c r="C1114" s="10">
        <v>0</v>
      </c>
      <c r="D1114" s="10">
        <v>2</v>
      </c>
      <c r="E1114" s="10">
        <v>1</v>
      </c>
      <c r="F1114" s="10">
        <v>1</v>
      </c>
      <c r="L1114" s="1">
        <v>136</v>
      </c>
      <c r="M1114" s="1">
        <v>15</v>
      </c>
      <c r="N1114" s="1">
        <v>0</v>
      </c>
      <c r="O1114" s="1">
        <v>1</v>
      </c>
      <c r="P1114" s="2">
        <v>1</v>
      </c>
      <c r="Q1114" s="68">
        <v>5</v>
      </c>
    </row>
    <row r="1115" spans="1:17" x14ac:dyDescent="0.25">
      <c r="A1115" s="10">
        <v>29</v>
      </c>
      <c r="B1115" s="10">
        <v>4</v>
      </c>
      <c r="C1115" s="10">
        <v>0</v>
      </c>
      <c r="D1115" s="10">
        <v>2</v>
      </c>
      <c r="E1115" s="10">
        <v>1</v>
      </c>
      <c r="F1115" s="10">
        <v>1</v>
      </c>
      <c r="L1115" s="1">
        <v>137</v>
      </c>
      <c r="M1115" s="1">
        <v>15</v>
      </c>
      <c r="N1115" s="1">
        <v>0</v>
      </c>
      <c r="O1115" s="1">
        <v>1</v>
      </c>
      <c r="P1115" s="2">
        <v>1</v>
      </c>
      <c r="Q1115" s="67">
        <v>6</v>
      </c>
    </row>
    <row r="1116" spans="1:17" x14ac:dyDescent="0.25">
      <c r="A1116" s="10">
        <v>30</v>
      </c>
      <c r="B1116" s="10">
        <v>4</v>
      </c>
      <c r="C1116" s="10">
        <v>0</v>
      </c>
      <c r="D1116" s="10">
        <v>2</v>
      </c>
      <c r="E1116" s="10">
        <v>1</v>
      </c>
      <c r="F1116" s="10">
        <v>1</v>
      </c>
      <c r="L1116" s="1">
        <v>138</v>
      </c>
      <c r="M1116" s="1">
        <v>15</v>
      </c>
      <c r="N1116" s="1">
        <v>0</v>
      </c>
      <c r="O1116" s="1">
        <v>1</v>
      </c>
      <c r="P1116" s="2">
        <v>1</v>
      </c>
      <c r="Q1116" s="68">
        <v>4</v>
      </c>
    </row>
    <row r="1117" spans="1:17" x14ac:dyDescent="0.25">
      <c r="A1117" s="10">
        <v>31</v>
      </c>
      <c r="B1117" s="10">
        <v>4</v>
      </c>
      <c r="C1117" s="10">
        <v>0</v>
      </c>
      <c r="D1117" s="10">
        <v>2</v>
      </c>
      <c r="E1117" s="10">
        <v>1</v>
      </c>
      <c r="F1117" s="10">
        <v>1</v>
      </c>
      <c r="L1117" s="1">
        <v>139</v>
      </c>
      <c r="M1117" s="1">
        <v>15</v>
      </c>
      <c r="N1117" s="1">
        <v>0</v>
      </c>
      <c r="O1117" s="1">
        <v>1</v>
      </c>
      <c r="P1117" s="2">
        <v>1</v>
      </c>
      <c r="Q1117" s="67">
        <v>3</v>
      </c>
    </row>
    <row r="1118" spans="1:17" x14ac:dyDescent="0.25">
      <c r="A1118" s="10">
        <v>32</v>
      </c>
      <c r="B1118" s="10">
        <v>4</v>
      </c>
      <c r="C1118" s="10">
        <v>0</v>
      </c>
      <c r="D1118" s="10">
        <v>2</v>
      </c>
      <c r="E1118" s="10">
        <v>1</v>
      </c>
      <c r="F1118" s="10">
        <v>1</v>
      </c>
      <c r="L1118" s="1">
        <v>140</v>
      </c>
      <c r="M1118" s="1">
        <v>15</v>
      </c>
      <c r="N1118" s="1">
        <v>0</v>
      </c>
      <c r="O1118" s="1">
        <v>1</v>
      </c>
      <c r="P1118" s="2">
        <v>1</v>
      </c>
      <c r="Q1118" s="68">
        <v>2</v>
      </c>
    </row>
    <row r="1119" spans="1:17" x14ac:dyDescent="0.25">
      <c r="A1119" s="10">
        <v>33</v>
      </c>
      <c r="B1119" s="10">
        <v>4</v>
      </c>
      <c r="C1119" s="10">
        <v>0</v>
      </c>
      <c r="D1119" s="10">
        <v>2</v>
      </c>
      <c r="E1119" s="10">
        <v>1</v>
      </c>
      <c r="F1119" s="10">
        <v>1</v>
      </c>
      <c r="L1119" s="1">
        <v>141</v>
      </c>
      <c r="M1119" s="1">
        <v>15</v>
      </c>
      <c r="N1119" s="1">
        <v>0</v>
      </c>
      <c r="O1119" s="1">
        <v>1</v>
      </c>
      <c r="P1119" s="2">
        <v>1</v>
      </c>
      <c r="Q1119" s="67">
        <v>0</v>
      </c>
    </row>
    <row r="1120" spans="1:17" x14ac:dyDescent="0.25">
      <c r="A1120" s="10">
        <v>34</v>
      </c>
      <c r="B1120" s="10">
        <v>4</v>
      </c>
      <c r="C1120" s="10">
        <v>0</v>
      </c>
      <c r="D1120" s="10">
        <v>2</v>
      </c>
      <c r="E1120" s="10">
        <v>1</v>
      </c>
      <c r="F1120" s="10">
        <v>1</v>
      </c>
      <c r="L1120" s="1">
        <v>142</v>
      </c>
      <c r="M1120" s="1">
        <v>15</v>
      </c>
      <c r="N1120" s="1">
        <v>0</v>
      </c>
      <c r="O1120" s="1">
        <v>1</v>
      </c>
      <c r="P1120" s="2">
        <v>1</v>
      </c>
      <c r="Q1120" s="68">
        <v>2</v>
      </c>
    </row>
    <row r="1121" spans="1:17" x14ac:dyDescent="0.25">
      <c r="A1121" s="10">
        <v>35</v>
      </c>
      <c r="B1121" s="10">
        <v>4</v>
      </c>
      <c r="C1121" s="10">
        <v>0</v>
      </c>
      <c r="D1121" s="10">
        <v>2</v>
      </c>
      <c r="E1121" s="10">
        <v>1</v>
      </c>
      <c r="F1121" s="10">
        <v>1</v>
      </c>
      <c r="L1121" s="1">
        <v>143</v>
      </c>
      <c r="M1121" s="1">
        <v>16</v>
      </c>
      <c r="N1121" s="1">
        <v>0</v>
      </c>
      <c r="O1121" s="1">
        <v>1</v>
      </c>
      <c r="P1121" s="2">
        <v>1</v>
      </c>
      <c r="Q1121" s="67">
        <v>0</v>
      </c>
    </row>
    <row r="1122" spans="1:17" x14ac:dyDescent="0.25">
      <c r="A1122" s="10">
        <v>36</v>
      </c>
      <c r="B1122" s="10">
        <v>4</v>
      </c>
      <c r="C1122" s="10">
        <v>0</v>
      </c>
      <c r="D1122" s="10">
        <v>2</v>
      </c>
      <c r="E1122" s="10">
        <v>1</v>
      </c>
      <c r="F1122" s="10">
        <v>1</v>
      </c>
      <c r="L1122" s="1">
        <v>144</v>
      </c>
      <c r="M1122" s="1">
        <v>16</v>
      </c>
      <c r="N1122" s="1">
        <v>0</v>
      </c>
      <c r="O1122" s="1">
        <v>1</v>
      </c>
      <c r="P1122" s="2">
        <v>1</v>
      </c>
      <c r="Q1122" s="68">
        <v>18</v>
      </c>
    </row>
    <row r="1123" spans="1:17" x14ac:dyDescent="0.25">
      <c r="A1123" s="10">
        <v>37</v>
      </c>
      <c r="B1123" s="10">
        <v>5</v>
      </c>
      <c r="C1123" s="10">
        <v>0</v>
      </c>
      <c r="D1123" s="10">
        <v>2</v>
      </c>
      <c r="E1123" s="10">
        <v>1</v>
      </c>
      <c r="F1123" s="10">
        <v>1</v>
      </c>
      <c r="L1123" s="1">
        <v>145</v>
      </c>
      <c r="M1123" s="1">
        <v>16</v>
      </c>
      <c r="N1123" s="1">
        <v>0</v>
      </c>
      <c r="O1123" s="1">
        <v>1</v>
      </c>
      <c r="P1123" s="2">
        <v>1</v>
      </c>
      <c r="Q1123" s="67">
        <v>5</v>
      </c>
    </row>
    <row r="1124" spans="1:17" x14ac:dyDescent="0.25">
      <c r="A1124" s="10">
        <v>38</v>
      </c>
      <c r="B1124" s="10">
        <v>5</v>
      </c>
      <c r="C1124" s="10">
        <v>0</v>
      </c>
      <c r="D1124" s="10">
        <v>2</v>
      </c>
      <c r="E1124" s="10">
        <v>1</v>
      </c>
      <c r="F1124" s="10">
        <v>1</v>
      </c>
      <c r="L1124" s="1">
        <v>146</v>
      </c>
      <c r="M1124" s="1">
        <v>16</v>
      </c>
      <c r="N1124" s="1">
        <v>0</v>
      </c>
      <c r="O1124" s="1">
        <v>1</v>
      </c>
      <c r="P1124" s="2">
        <v>1</v>
      </c>
      <c r="Q1124" s="68">
        <v>5</v>
      </c>
    </row>
    <row r="1125" spans="1:17" x14ac:dyDescent="0.25">
      <c r="A1125" s="10">
        <v>39</v>
      </c>
      <c r="B1125" s="10">
        <v>5</v>
      </c>
      <c r="C1125" s="10">
        <v>0</v>
      </c>
      <c r="D1125" s="10">
        <v>2</v>
      </c>
      <c r="E1125" s="10">
        <v>1</v>
      </c>
      <c r="F1125" s="10">
        <v>1</v>
      </c>
      <c r="L1125" s="1">
        <v>147</v>
      </c>
      <c r="M1125" s="1">
        <v>16</v>
      </c>
      <c r="N1125" s="1">
        <v>0</v>
      </c>
      <c r="O1125" s="1">
        <v>1</v>
      </c>
      <c r="P1125" s="2">
        <v>1</v>
      </c>
      <c r="Q1125" s="67">
        <v>6</v>
      </c>
    </row>
    <row r="1126" spans="1:17" x14ac:dyDescent="0.25">
      <c r="A1126" s="10">
        <v>40</v>
      </c>
      <c r="B1126" s="10">
        <v>5</v>
      </c>
      <c r="C1126" s="10">
        <v>0</v>
      </c>
      <c r="D1126" s="10">
        <v>2</v>
      </c>
      <c r="E1126" s="10">
        <v>1</v>
      </c>
      <c r="F1126" s="10">
        <v>1</v>
      </c>
      <c r="L1126" s="1">
        <v>148</v>
      </c>
      <c r="M1126" s="1">
        <v>16</v>
      </c>
      <c r="N1126" s="1">
        <v>0</v>
      </c>
      <c r="O1126" s="1">
        <v>1</v>
      </c>
      <c r="P1126" s="2">
        <v>1</v>
      </c>
      <c r="Q1126" s="68">
        <v>13</v>
      </c>
    </row>
    <row r="1127" spans="1:17" x14ac:dyDescent="0.25">
      <c r="A1127" s="10">
        <v>41</v>
      </c>
      <c r="B1127" s="10">
        <v>5</v>
      </c>
      <c r="C1127" s="10">
        <v>0</v>
      </c>
      <c r="D1127" s="10">
        <v>2</v>
      </c>
      <c r="E1127" s="10">
        <v>1</v>
      </c>
      <c r="F1127" s="10">
        <v>1</v>
      </c>
      <c r="L1127" s="1">
        <v>149</v>
      </c>
      <c r="M1127" s="1">
        <v>16</v>
      </c>
      <c r="N1127" s="1">
        <v>0</v>
      </c>
      <c r="O1127" s="1">
        <v>1</v>
      </c>
      <c r="P1127" s="2">
        <v>1</v>
      </c>
      <c r="Q1127" s="67">
        <v>10</v>
      </c>
    </row>
    <row r="1128" spans="1:17" x14ac:dyDescent="0.25">
      <c r="A1128" s="10">
        <v>42</v>
      </c>
      <c r="B1128" s="10">
        <v>5</v>
      </c>
      <c r="C1128" s="10">
        <v>0</v>
      </c>
      <c r="D1128" s="10">
        <v>2</v>
      </c>
      <c r="E1128" s="10">
        <v>1</v>
      </c>
      <c r="F1128" s="10">
        <v>1</v>
      </c>
      <c r="L1128" s="1">
        <v>150</v>
      </c>
      <c r="M1128" s="1">
        <v>16</v>
      </c>
      <c r="N1128" s="1">
        <v>0</v>
      </c>
      <c r="O1128" s="1">
        <v>1</v>
      </c>
      <c r="P1128" s="2">
        <v>1</v>
      </c>
      <c r="Q1128" s="68">
        <v>3</v>
      </c>
    </row>
    <row r="1129" spans="1:17" x14ac:dyDescent="0.25">
      <c r="A1129" s="10">
        <v>43</v>
      </c>
      <c r="B1129" s="10">
        <v>5</v>
      </c>
      <c r="C1129" s="10">
        <v>0</v>
      </c>
      <c r="D1129" s="10">
        <v>2</v>
      </c>
      <c r="E1129" s="10">
        <v>1</v>
      </c>
      <c r="F1129" s="10">
        <v>1</v>
      </c>
      <c r="L1129" s="1">
        <v>151</v>
      </c>
      <c r="M1129" s="1">
        <v>16</v>
      </c>
      <c r="N1129" s="1">
        <v>0</v>
      </c>
      <c r="O1129" s="1">
        <v>1</v>
      </c>
      <c r="P1129" s="2">
        <v>1</v>
      </c>
      <c r="Q1129" s="67">
        <v>5</v>
      </c>
    </row>
    <row r="1130" spans="1:17" x14ac:dyDescent="0.25">
      <c r="A1130" s="10">
        <v>44</v>
      </c>
      <c r="B1130" s="10">
        <v>5</v>
      </c>
      <c r="C1130" s="10">
        <v>0</v>
      </c>
      <c r="D1130" s="10">
        <v>2</v>
      </c>
      <c r="E1130" s="10">
        <v>1</v>
      </c>
      <c r="F1130" s="10">
        <v>1</v>
      </c>
      <c r="L1130" s="1">
        <v>152</v>
      </c>
      <c r="M1130" s="1">
        <v>16</v>
      </c>
      <c r="N1130" s="1">
        <v>0</v>
      </c>
      <c r="O1130" s="1">
        <v>1</v>
      </c>
      <c r="P1130" s="2">
        <v>1</v>
      </c>
      <c r="Q1130" s="68">
        <v>5</v>
      </c>
    </row>
    <row r="1131" spans="1:17" x14ac:dyDescent="0.25">
      <c r="A1131" s="10">
        <v>45</v>
      </c>
      <c r="B1131" s="10">
        <v>5</v>
      </c>
      <c r="C1131" s="10">
        <v>0</v>
      </c>
      <c r="D1131" s="10">
        <v>2</v>
      </c>
      <c r="E1131" s="10">
        <v>1</v>
      </c>
      <c r="F1131" s="10">
        <v>1</v>
      </c>
      <c r="L1131" s="1">
        <v>153</v>
      </c>
      <c r="M1131" s="1">
        <v>17</v>
      </c>
      <c r="N1131" s="1">
        <v>0</v>
      </c>
      <c r="O1131" s="1">
        <v>1</v>
      </c>
      <c r="P1131" s="2">
        <v>1</v>
      </c>
      <c r="Q1131" s="67">
        <v>3</v>
      </c>
    </row>
    <row r="1132" spans="1:17" x14ac:dyDescent="0.25">
      <c r="A1132" s="10">
        <v>46</v>
      </c>
      <c r="B1132" s="10">
        <v>5</v>
      </c>
      <c r="C1132" s="10">
        <v>0</v>
      </c>
      <c r="D1132" s="10">
        <v>2</v>
      </c>
      <c r="E1132" s="10">
        <v>1</v>
      </c>
      <c r="F1132" s="10">
        <v>1</v>
      </c>
      <c r="L1132" s="1">
        <v>154</v>
      </c>
      <c r="M1132" s="1">
        <v>17</v>
      </c>
      <c r="N1132" s="1">
        <v>0</v>
      </c>
      <c r="O1132" s="1">
        <v>1</v>
      </c>
      <c r="P1132" s="2">
        <v>1</v>
      </c>
      <c r="Q1132" s="68">
        <v>3</v>
      </c>
    </row>
    <row r="1133" spans="1:17" x14ac:dyDescent="0.25">
      <c r="A1133" s="10">
        <v>47</v>
      </c>
      <c r="B1133" s="10">
        <v>6</v>
      </c>
      <c r="C1133" s="10">
        <v>0</v>
      </c>
      <c r="D1133" s="10">
        <v>2</v>
      </c>
      <c r="E1133" s="10">
        <v>1</v>
      </c>
      <c r="F1133" s="10">
        <v>1</v>
      </c>
      <c r="L1133" s="1">
        <v>155</v>
      </c>
      <c r="M1133" s="1">
        <v>17</v>
      </c>
      <c r="N1133" s="1">
        <v>0</v>
      </c>
      <c r="O1133" s="1">
        <v>1</v>
      </c>
      <c r="P1133" s="2">
        <v>1</v>
      </c>
      <c r="Q1133" s="67">
        <v>7</v>
      </c>
    </row>
    <row r="1134" spans="1:17" x14ac:dyDescent="0.25">
      <c r="A1134" s="10">
        <v>48</v>
      </c>
      <c r="B1134" s="10">
        <v>6</v>
      </c>
      <c r="C1134" s="10">
        <v>0</v>
      </c>
      <c r="D1134" s="10">
        <v>2</v>
      </c>
      <c r="E1134" s="10">
        <v>1</v>
      </c>
      <c r="F1134" s="10">
        <v>1</v>
      </c>
      <c r="L1134" s="1">
        <v>156</v>
      </c>
      <c r="M1134" s="1">
        <v>17</v>
      </c>
      <c r="N1134" s="1">
        <v>0</v>
      </c>
      <c r="O1134" s="1">
        <v>1</v>
      </c>
      <c r="P1134" s="2">
        <v>1</v>
      </c>
      <c r="Q1134" s="68">
        <v>5</v>
      </c>
    </row>
    <row r="1135" spans="1:17" x14ac:dyDescent="0.25">
      <c r="A1135" s="10">
        <v>49</v>
      </c>
      <c r="B1135" s="10">
        <v>6</v>
      </c>
      <c r="C1135" s="10">
        <v>0</v>
      </c>
      <c r="D1135" s="10">
        <v>2</v>
      </c>
      <c r="E1135" s="10">
        <v>1</v>
      </c>
      <c r="F1135" s="10">
        <v>1</v>
      </c>
      <c r="L1135" s="1">
        <v>157</v>
      </c>
      <c r="M1135" s="1">
        <v>17</v>
      </c>
      <c r="N1135" s="1">
        <v>0</v>
      </c>
      <c r="O1135" s="1">
        <v>1</v>
      </c>
      <c r="P1135" s="2">
        <v>1</v>
      </c>
      <c r="Q1135" s="67">
        <v>5</v>
      </c>
    </row>
    <row r="1136" spans="1:17" x14ac:dyDescent="0.25">
      <c r="A1136" s="10">
        <v>50</v>
      </c>
      <c r="B1136" s="10">
        <v>6</v>
      </c>
      <c r="C1136" s="10">
        <v>0</v>
      </c>
      <c r="D1136" s="10">
        <v>2</v>
      </c>
      <c r="E1136" s="10">
        <v>1</v>
      </c>
      <c r="F1136" s="10">
        <v>1</v>
      </c>
      <c r="L1136" s="1">
        <v>158</v>
      </c>
      <c r="M1136" s="1">
        <v>17</v>
      </c>
      <c r="N1136" s="1">
        <v>0</v>
      </c>
      <c r="O1136" s="1">
        <v>1</v>
      </c>
      <c r="P1136" s="2">
        <v>1</v>
      </c>
      <c r="Q1136" s="68">
        <v>2</v>
      </c>
    </row>
    <row r="1137" spans="1:17" x14ac:dyDescent="0.25">
      <c r="A1137" s="10">
        <v>51</v>
      </c>
      <c r="B1137" s="10">
        <v>6</v>
      </c>
      <c r="C1137" s="10">
        <v>0</v>
      </c>
      <c r="D1137" s="10">
        <v>2</v>
      </c>
      <c r="E1137" s="10">
        <v>1</v>
      </c>
      <c r="F1137" s="10">
        <v>1</v>
      </c>
      <c r="L1137" s="1">
        <v>159</v>
      </c>
      <c r="M1137" s="1">
        <v>17</v>
      </c>
      <c r="N1137" s="1">
        <v>0</v>
      </c>
      <c r="O1137" s="1">
        <v>1</v>
      </c>
      <c r="P1137" s="2">
        <v>1</v>
      </c>
      <c r="Q1137" s="67">
        <v>0</v>
      </c>
    </row>
    <row r="1138" spans="1:17" x14ac:dyDescent="0.25">
      <c r="A1138" s="10">
        <v>52</v>
      </c>
      <c r="B1138" s="10">
        <v>6</v>
      </c>
      <c r="C1138" s="10">
        <v>0</v>
      </c>
      <c r="D1138" s="10">
        <v>2</v>
      </c>
      <c r="E1138" s="10">
        <v>1</v>
      </c>
      <c r="F1138" s="10">
        <v>1</v>
      </c>
      <c r="L1138" s="1">
        <v>160</v>
      </c>
      <c r="M1138" s="1">
        <v>17</v>
      </c>
      <c r="N1138" s="1">
        <v>0</v>
      </c>
      <c r="O1138" s="1">
        <v>1</v>
      </c>
      <c r="P1138" s="2">
        <v>1</v>
      </c>
      <c r="Q1138" s="68">
        <v>7</v>
      </c>
    </row>
    <row r="1139" spans="1:17" x14ac:dyDescent="0.25">
      <c r="A1139" s="10">
        <v>53</v>
      </c>
      <c r="B1139" s="10">
        <v>6</v>
      </c>
      <c r="C1139" s="10">
        <v>0</v>
      </c>
      <c r="D1139" s="10">
        <v>2</v>
      </c>
      <c r="E1139" s="10">
        <v>1</v>
      </c>
      <c r="F1139" s="10">
        <v>1</v>
      </c>
      <c r="L1139" s="1">
        <v>161</v>
      </c>
      <c r="M1139" s="1">
        <v>17</v>
      </c>
      <c r="N1139" s="1">
        <v>0</v>
      </c>
      <c r="O1139" s="1">
        <v>1</v>
      </c>
      <c r="P1139" s="2">
        <v>1</v>
      </c>
      <c r="Q1139" s="67">
        <v>4</v>
      </c>
    </row>
    <row r="1140" spans="1:17" x14ac:dyDescent="0.25">
      <c r="A1140" s="10">
        <v>54</v>
      </c>
      <c r="B1140" s="10">
        <v>6</v>
      </c>
      <c r="C1140" s="10">
        <v>0</v>
      </c>
      <c r="D1140" s="10">
        <v>2</v>
      </c>
      <c r="E1140" s="10">
        <v>1</v>
      </c>
      <c r="F1140" s="10">
        <v>1</v>
      </c>
      <c r="L1140" s="1">
        <v>162</v>
      </c>
      <c r="M1140" s="1">
        <v>17</v>
      </c>
      <c r="N1140" s="1">
        <v>0</v>
      </c>
      <c r="O1140" s="1">
        <v>1</v>
      </c>
      <c r="P1140" s="2">
        <v>1</v>
      </c>
      <c r="Q1140" s="68">
        <v>1</v>
      </c>
    </row>
    <row r="1141" spans="1:17" x14ac:dyDescent="0.25">
      <c r="A1141" s="10">
        <v>55</v>
      </c>
      <c r="B1141" s="10">
        <v>6</v>
      </c>
      <c r="C1141" s="10">
        <v>0</v>
      </c>
      <c r="D1141" s="10">
        <v>2</v>
      </c>
      <c r="E1141" s="10">
        <v>1</v>
      </c>
      <c r="F1141" s="10">
        <v>1</v>
      </c>
      <c r="L1141" s="1">
        <v>163</v>
      </c>
      <c r="M1141" s="1">
        <v>18</v>
      </c>
      <c r="N1141" s="1">
        <v>0</v>
      </c>
      <c r="O1141" s="1">
        <v>1</v>
      </c>
      <c r="P1141" s="2">
        <v>1</v>
      </c>
      <c r="Q1141" s="67">
        <v>6</v>
      </c>
    </row>
    <row r="1142" spans="1:17" x14ac:dyDescent="0.25">
      <c r="A1142" s="10">
        <v>56</v>
      </c>
      <c r="B1142" s="10">
        <v>6</v>
      </c>
      <c r="C1142" s="10">
        <v>0</v>
      </c>
      <c r="D1142" s="10">
        <v>2</v>
      </c>
      <c r="E1142" s="10">
        <v>1</v>
      </c>
      <c r="F1142" s="10">
        <v>1</v>
      </c>
      <c r="L1142" s="1">
        <v>164</v>
      </c>
      <c r="M1142" s="1">
        <v>18</v>
      </c>
      <c r="N1142" s="1">
        <v>0</v>
      </c>
      <c r="O1142" s="1">
        <v>1</v>
      </c>
      <c r="P1142" s="2">
        <v>1</v>
      </c>
      <c r="Q1142" s="68">
        <v>1</v>
      </c>
    </row>
    <row r="1143" spans="1:17" x14ac:dyDescent="0.25">
      <c r="A1143" s="10">
        <v>57</v>
      </c>
      <c r="B1143" s="10">
        <v>7</v>
      </c>
      <c r="C1143" s="10">
        <v>0</v>
      </c>
      <c r="D1143" s="10">
        <v>2</v>
      </c>
      <c r="E1143" s="10">
        <v>1</v>
      </c>
      <c r="F1143" s="10">
        <v>1</v>
      </c>
      <c r="L1143" s="1">
        <v>165</v>
      </c>
      <c r="M1143" s="1">
        <v>18</v>
      </c>
      <c r="N1143" s="1">
        <v>0</v>
      </c>
      <c r="O1143" s="1">
        <v>1</v>
      </c>
      <c r="P1143" s="2">
        <v>1</v>
      </c>
      <c r="Q1143" s="67">
        <v>4</v>
      </c>
    </row>
    <row r="1144" spans="1:17" x14ac:dyDescent="0.25">
      <c r="A1144" s="10">
        <v>58</v>
      </c>
      <c r="B1144" s="10">
        <v>7</v>
      </c>
      <c r="C1144" s="10">
        <v>0</v>
      </c>
      <c r="D1144" s="10">
        <v>2</v>
      </c>
      <c r="E1144" s="10">
        <v>1</v>
      </c>
      <c r="F1144" s="10">
        <v>1</v>
      </c>
      <c r="L1144" s="1">
        <v>166</v>
      </c>
      <c r="M1144" s="1">
        <v>18</v>
      </c>
      <c r="N1144" s="1">
        <v>0</v>
      </c>
      <c r="O1144" s="1">
        <v>1</v>
      </c>
      <c r="P1144" s="2">
        <v>1</v>
      </c>
      <c r="Q1144" s="68">
        <v>2</v>
      </c>
    </row>
    <row r="1145" spans="1:17" x14ac:dyDescent="0.25">
      <c r="A1145" s="10">
        <v>59</v>
      </c>
      <c r="B1145" s="10">
        <v>7</v>
      </c>
      <c r="C1145" s="10">
        <v>0</v>
      </c>
      <c r="D1145" s="10">
        <v>2</v>
      </c>
      <c r="E1145" s="10">
        <v>1</v>
      </c>
      <c r="F1145" s="10">
        <v>1</v>
      </c>
      <c r="L1145" s="1">
        <v>167</v>
      </c>
      <c r="M1145" s="1">
        <v>18</v>
      </c>
      <c r="N1145" s="1">
        <v>0</v>
      </c>
      <c r="O1145" s="1">
        <v>1</v>
      </c>
      <c r="P1145" s="2">
        <v>1</v>
      </c>
      <c r="Q1145" s="67">
        <v>2</v>
      </c>
    </row>
    <row r="1146" spans="1:17" x14ac:dyDescent="0.25">
      <c r="A1146" s="10">
        <v>60</v>
      </c>
      <c r="B1146" s="10">
        <v>7</v>
      </c>
      <c r="C1146" s="10">
        <v>0</v>
      </c>
      <c r="D1146" s="10">
        <v>2</v>
      </c>
      <c r="E1146" s="10">
        <v>1</v>
      </c>
      <c r="F1146" s="10">
        <v>1</v>
      </c>
      <c r="L1146" s="1">
        <v>168</v>
      </c>
      <c r="M1146" s="1">
        <v>18</v>
      </c>
      <c r="N1146" s="1">
        <v>0</v>
      </c>
      <c r="O1146" s="1">
        <v>1</v>
      </c>
      <c r="P1146" s="2">
        <v>1</v>
      </c>
      <c r="Q1146" s="68">
        <v>5</v>
      </c>
    </row>
    <row r="1147" spans="1:17" x14ac:dyDescent="0.25">
      <c r="A1147" s="10">
        <v>61</v>
      </c>
      <c r="B1147" s="10">
        <v>7</v>
      </c>
      <c r="C1147" s="10">
        <v>0</v>
      </c>
      <c r="D1147" s="10">
        <v>2</v>
      </c>
      <c r="E1147" s="10">
        <v>1</v>
      </c>
      <c r="F1147" s="10">
        <v>1</v>
      </c>
      <c r="L1147" s="1">
        <v>169</v>
      </c>
      <c r="M1147" s="1">
        <v>18</v>
      </c>
      <c r="N1147" s="1">
        <v>0</v>
      </c>
      <c r="O1147" s="1">
        <v>1</v>
      </c>
      <c r="P1147" s="2">
        <v>1</v>
      </c>
      <c r="Q1147" s="67">
        <v>4</v>
      </c>
    </row>
    <row r="1148" spans="1:17" x14ac:dyDescent="0.25">
      <c r="A1148" s="10">
        <v>62</v>
      </c>
      <c r="B1148" s="10">
        <v>7</v>
      </c>
      <c r="C1148" s="10">
        <v>0</v>
      </c>
      <c r="D1148" s="10">
        <v>2</v>
      </c>
      <c r="E1148" s="10">
        <v>1</v>
      </c>
      <c r="F1148" s="10">
        <v>1</v>
      </c>
      <c r="L1148" s="1">
        <v>170</v>
      </c>
      <c r="M1148" s="1">
        <v>18</v>
      </c>
      <c r="N1148" s="1">
        <v>0</v>
      </c>
      <c r="O1148" s="1">
        <v>1</v>
      </c>
      <c r="P1148" s="2">
        <v>1</v>
      </c>
      <c r="Q1148" s="68">
        <v>12</v>
      </c>
    </row>
    <row r="1149" spans="1:17" x14ac:dyDescent="0.25">
      <c r="A1149" s="10">
        <v>63</v>
      </c>
      <c r="B1149" s="10">
        <v>7</v>
      </c>
      <c r="C1149" s="10">
        <v>0</v>
      </c>
      <c r="D1149" s="10">
        <v>2</v>
      </c>
      <c r="E1149" s="10">
        <v>1</v>
      </c>
      <c r="F1149" s="10">
        <v>1</v>
      </c>
      <c r="L1149" s="1">
        <v>171</v>
      </c>
      <c r="M1149" s="1">
        <v>18</v>
      </c>
      <c r="N1149" s="1">
        <v>0</v>
      </c>
      <c r="O1149" s="1">
        <v>1</v>
      </c>
      <c r="P1149" s="2">
        <v>1</v>
      </c>
      <c r="Q1149" s="67">
        <v>7</v>
      </c>
    </row>
    <row r="1150" spans="1:17" x14ac:dyDescent="0.25">
      <c r="A1150" s="10">
        <v>64</v>
      </c>
      <c r="B1150" s="10">
        <v>7</v>
      </c>
      <c r="C1150" s="10">
        <v>0</v>
      </c>
      <c r="D1150" s="10">
        <v>2</v>
      </c>
      <c r="E1150" s="10">
        <v>1</v>
      </c>
      <c r="F1150" s="10">
        <v>1</v>
      </c>
      <c r="L1150" s="1">
        <v>172</v>
      </c>
      <c r="M1150" s="1">
        <v>18</v>
      </c>
      <c r="N1150" s="1">
        <v>0</v>
      </c>
      <c r="O1150" s="1">
        <v>1</v>
      </c>
      <c r="P1150" s="2">
        <v>1</v>
      </c>
      <c r="Q1150" s="68">
        <v>11</v>
      </c>
    </row>
    <row r="1151" spans="1:17" x14ac:dyDescent="0.25">
      <c r="A1151" s="10">
        <v>65</v>
      </c>
      <c r="B1151" s="10">
        <v>7</v>
      </c>
      <c r="C1151" s="10">
        <v>0</v>
      </c>
      <c r="D1151" s="10">
        <v>2</v>
      </c>
      <c r="E1151" s="10">
        <v>1</v>
      </c>
      <c r="F1151" s="10">
        <v>1</v>
      </c>
      <c r="L1151" s="1">
        <v>173</v>
      </c>
      <c r="M1151" s="1">
        <v>19</v>
      </c>
      <c r="N1151" s="1">
        <v>0</v>
      </c>
      <c r="O1151" s="1">
        <v>1</v>
      </c>
      <c r="P1151" s="2">
        <v>1</v>
      </c>
      <c r="Q1151" s="67">
        <v>11</v>
      </c>
    </row>
    <row r="1152" spans="1:17" x14ac:dyDescent="0.25">
      <c r="A1152" s="10">
        <v>66</v>
      </c>
      <c r="B1152" s="10">
        <v>7</v>
      </c>
      <c r="C1152" s="10">
        <v>0</v>
      </c>
      <c r="D1152" s="10">
        <v>2</v>
      </c>
      <c r="E1152" s="10">
        <v>1</v>
      </c>
      <c r="F1152" s="10">
        <v>1</v>
      </c>
      <c r="L1152" s="1">
        <v>174</v>
      </c>
      <c r="M1152" s="1">
        <v>19</v>
      </c>
      <c r="N1152" s="1">
        <v>0</v>
      </c>
      <c r="O1152" s="1">
        <v>1</v>
      </c>
      <c r="P1152" s="2">
        <v>1</v>
      </c>
      <c r="Q1152" s="68">
        <v>11</v>
      </c>
    </row>
    <row r="1153" spans="1:17" x14ac:dyDescent="0.25">
      <c r="A1153" s="10">
        <v>67</v>
      </c>
      <c r="B1153" s="10">
        <v>8</v>
      </c>
      <c r="C1153" s="10">
        <v>0</v>
      </c>
      <c r="D1153" s="10">
        <v>2</v>
      </c>
      <c r="E1153" s="10">
        <v>1</v>
      </c>
      <c r="F1153" s="10">
        <v>1</v>
      </c>
      <c r="L1153" s="1">
        <v>175</v>
      </c>
      <c r="M1153" s="1">
        <v>19</v>
      </c>
      <c r="N1153" s="1">
        <v>0</v>
      </c>
      <c r="O1153" s="1">
        <v>1</v>
      </c>
      <c r="P1153" s="2">
        <v>1</v>
      </c>
      <c r="Q1153" s="67">
        <v>8</v>
      </c>
    </row>
    <row r="1154" spans="1:17" x14ac:dyDescent="0.25">
      <c r="A1154" s="10">
        <v>68</v>
      </c>
      <c r="B1154" s="10">
        <v>8</v>
      </c>
      <c r="C1154" s="10">
        <v>0</v>
      </c>
      <c r="D1154" s="10">
        <v>2</v>
      </c>
      <c r="E1154" s="10">
        <v>1</v>
      </c>
      <c r="F1154" s="10">
        <v>1</v>
      </c>
      <c r="L1154" s="1">
        <v>176</v>
      </c>
      <c r="M1154" s="1">
        <v>19</v>
      </c>
      <c r="N1154" s="1">
        <v>0</v>
      </c>
      <c r="O1154" s="1">
        <v>1</v>
      </c>
      <c r="P1154" s="2">
        <v>1</v>
      </c>
      <c r="Q1154" s="68">
        <v>10</v>
      </c>
    </row>
    <row r="1155" spans="1:17" x14ac:dyDescent="0.25">
      <c r="A1155" s="10">
        <v>69</v>
      </c>
      <c r="B1155" s="10">
        <v>8</v>
      </c>
      <c r="C1155" s="10">
        <v>0</v>
      </c>
      <c r="D1155" s="10">
        <v>2</v>
      </c>
      <c r="E1155" s="10">
        <v>1</v>
      </c>
      <c r="F1155" s="10">
        <v>1</v>
      </c>
      <c r="L1155" s="1">
        <v>177</v>
      </c>
      <c r="M1155" s="1">
        <v>19</v>
      </c>
      <c r="N1155" s="1">
        <v>0</v>
      </c>
      <c r="O1155" s="1">
        <v>1</v>
      </c>
      <c r="P1155" s="2">
        <v>1</v>
      </c>
      <c r="Q1155" s="67">
        <v>13</v>
      </c>
    </row>
    <row r="1156" spans="1:17" x14ac:dyDescent="0.25">
      <c r="A1156" s="10">
        <v>70</v>
      </c>
      <c r="B1156" s="10">
        <v>8</v>
      </c>
      <c r="C1156" s="10">
        <v>0</v>
      </c>
      <c r="D1156" s="10">
        <v>2</v>
      </c>
      <c r="E1156" s="10">
        <v>1</v>
      </c>
      <c r="F1156" s="10">
        <v>1</v>
      </c>
      <c r="L1156" s="1">
        <v>178</v>
      </c>
      <c r="M1156" s="1">
        <v>19</v>
      </c>
      <c r="N1156" s="1">
        <v>0</v>
      </c>
      <c r="O1156" s="1">
        <v>1</v>
      </c>
      <c r="P1156" s="2">
        <v>1</v>
      </c>
      <c r="Q1156" s="68">
        <v>14</v>
      </c>
    </row>
    <row r="1157" spans="1:17" x14ac:dyDescent="0.25">
      <c r="A1157" s="10">
        <v>71</v>
      </c>
      <c r="B1157" s="10">
        <v>8</v>
      </c>
      <c r="C1157" s="10">
        <v>0</v>
      </c>
      <c r="D1157" s="10">
        <v>2</v>
      </c>
      <c r="E1157" s="10">
        <v>1</v>
      </c>
      <c r="F1157" s="10">
        <v>1</v>
      </c>
      <c r="L1157" s="1">
        <v>179</v>
      </c>
      <c r="M1157" s="1">
        <v>19</v>
      </c>
      <c r="N1157" s="1">
        <v>0</v>
      </c>
      <c r="O1157" s="1">
        <v>1</v>
      </c>
      <c r="P1157" s="2">
        <v>1</v>
      </c>
      <c r="Q1157" s="67">
        <v>12</v>
      </c>
    </row>
    <row r="1158" spans="1:17" x14ac:dyDescent="0.25">
      <c r="A1158" s="10">
        <v>72</v>
      </c>
      <c r="B1158" s="10">
        <v>8</v>
      </c>
      <c r="C1158" s="10">
        <v>0</v>
      </c>
      <c r="D1158" s="10">
        <v>2</v>
      </c>
      <c r="E1158" s="10">
        <v>1</v>
      </c>
      <c r="F1158" s="10">
        <v>1</v>
      </c>
      <c r="L1158" s="1">
        <v>180</v>
      </c>
      <c r="M1158" s="1">
        <v>19</v>
      </c>
      <c r="N1158" s="1">
        <v>0</v>
      </c>
      <c r="O1158" s="1">
        <v>1</v>
      </c>
      <c r="P1158" s="2">
        <v>1</v>
      </c>
      <c r="Q1158" s="68">
        <v>17</v>
      </c>
    </row>
    <row r="1159" spans="1:17" x14ac:dyDescent="0.25">
      <c r="A1159" s="10">
        <v>73</v>
      </c>
      <c r="B1159" s="10">
        <v>8</v>
      </c>
      <c r="C1159" s="10">
        <v>0</v>
      </c>
      <c r="D1159" s="10">
        <v>2</v>
      </c>
      <c r="E1159" s="10">
        <v>1</v>
      </c>
      <c r="F1159" s="10">
        <v>1</v>
      </c>
      <c r="L1159" s="1">
        <v>181</v>
      </c>
      <c r="M1159" s="1">
        <v>19</v>
      </c>
      <c r="N1159" s="1">
        <v>0</v>
      </c>
      <c r="O1159" s="1">
        <v>1</v>
      </c>
      <c r="P1159" s="2">
        <v>1</v>
      </c>
      <c r="Q1159" s="67">
        <v>8</v>
      </c>
    </row>
    <row r="1160" spans="1:17" x14ac:dyDescent="0.25">
      <c r="A1160" s="10">
        <v>74</v>
      </c>
      <c r="B1160" s="10">
        <v>8</v>
      </c>
      <c r="C1160" s="10">
        <v>0</v>
      </c>
      <c r="D1160" s="10">
        <v>2</v>
      </c>
      <c r="E1160" s="10">
        <v>1</v>
      </c>
      <c r="F1160" s="10">
        <v>1</v>
      </c>
      <c r="L1160" s="1">
        <v>182</v>
      </c>
      <c r="M1160" s="1">
        <v>19</v>
      </c>
      <c r="N1160" s="1">
        <v>0</v>
      </c>
      <c r="O1160" s="1">
        <v>1</v>
      </c>
      <c r="P1160" s="2">
        <v>1</v>
      </c>
      <c r="Q1160" s="68">
        <v>8</v>
      </c>
    </row>
    <row r="1161" spans="1:17" x14ac:dyDescent="0.25">
      <c r="A1161" s="10">
        <v>75</v>
      </c>
      <c r="B1161" s="10">
        <v>8</v>
      </c>
      <c r="C1161" s="10">
        <v>0</v>
      </c>
      <c r="D1161" s="10">
        <v>2</v>
      </c>
      <c r="E1161" s="10">
        <v>1</v>
      </c>
      <c r="F1161" s="10">
        <v>1</v>
      </c>
      <c r="L1161" s="1">
        <v>183</v>
      </c>
      <c r="M1161" s="1">
        <v>20</v>
      </c>
      <c r="N1161" s="1">
        <v>0</v>
      </c>
      <c r="O1161" s="1">
        <v>1</v>
      </c>
      <c r="P1161" s="2">
        <v>1</v>
      </c>
      <c r="Q1161" s="67">
        <v>4</v>
      </c>
    </row>
    <row r="1162" spans="1:17" x14ac:dyDescent="0.25">
      <c r="A1162" s="10">
        <v>76</v>
      </c>
      <c r="B1162" s="10">
        <v>8</v>
      </c>
      <c r="C1162" s="10">
        <v>0</v>
      </c>
      <c r="D1162" s="10">
        <v>2</v>
      </c>
      <c r="E1162" s="10">
        <v>1</v>
      </c>
      <c r="F1162" s="10">
        <v>1</v>
      </c>
      <c r="L1162" s="1">
        <v>184</v>
      </c>
      <c r="M1162" s="1">
        <v>20</v>
      </c>
      <c r="N1162" s="1">
        <v>0</v>
      </c>
      <c r="O1162" s="1">
        <v>1</v>
      </c>
      <c r="P1162" s="2">
        <v>1</v>
      </c>
      <c r="Q1162" s="68">
        <v>5</v>
      </c>
    </row>
    <row r="1163" spans="1:17" x14ac:dyDescent="0.25">
      <c r="A1163" s="10">
        <v>77</v>
      </c>
      <c r="B1163" s="10">
        <v>9</v>
      </c>
      <c r="C1163" s="10">
        <v>0</v>
      </c>
      <c r="D1163" s="10">
        <v>2</v>
      </c>
      <c r="E1163" s="10">
        <v>1</v>
      </c>
      <c r="F1163" s="10">
        <v>1</v>
      </c>
      <c r="L1163" s="1">
        <v>185</v>
      </c>
      <c r="M1163" s="1">
        <v>20</v>
      </c>
      <c r="N1163" s="1">
        <v>0</v>
      </c>
      <c r="O1163" s="1">
        <v>1</v>
      </c>
      <c r="P1163" s="2">
        <v>1</v>
      </c>
      <c r="Q1163" s="67">
        <v>4</v>
      </c>
    </row>
    <row r="1164" spans="1:17" x14ac:dyDescent="0.25">
      <c r="A1164" s="10">
        <v>78</v>
      </c>
      <c r="B1164" s="10">
        <v>9</v>
      </c>
      <c r="C1164" s="10">
        <v>0</v>
      </c>
      <c r="D1164" s="10">
        <v>2</v>
      </c>
      <c r="E1164" s="10">
        <v>1</v>
      </c>
      <c r="F1164" s="10">
        <v>1</v>
      </c>
      <c r="L1164" s="1">
        <v>186</v>
      </c>
      <c r="M1164" s="1">
        <v>20</v>
      </c>
      <c r="N1164" s="1">
        <v>0</v>
      </c>
      <c r="O1164" s="1">
        <v>1</v>
      </c>
      <c r="P1164" s="2">
        <v>1</v>
      </c>
      <c r="Q1164" s="68">
        <v>2</v>
      </c>
    </row>
    <row r="1165" spans="1:17" x14ac:dyDescent="0.25">
      <c r="A1165" s="10">
        <v>79</v>
      </c>
      <c r="B1165" s="10">
        <v>9</v>
      </c>
      <c r="C1165" s="10">
        <v>0</v>
      </c>
      <c r="D1165" s="10">
        <v>2</v>
      </c>
      <c r="E1165" s="10">
        <v>1</v>
      </c>
      <c r="F1165" s="10">
        <v>1</v>
      </c>
      <c r="L1165" s="1">
        <v>187</v>
      </c>
      <c r="M1165" s="1">
        <v>20</v>
      </c>
      <c r="N1165" s="1">
        <v>0</v>
      </c>
      <c r="O1165" s="1">
        <v>1</v>
      </c>
      <c r="P1165" s="2">
        <v>1</v>
      </c>
      <c r="Q1165" s="67">
        <v>3</v>
      </c>
    </row>
    <row r="1166" spans="1:17" x14ac:dyDescent="0.25">
      <c r="A1166" s="10">
        <v>80</v>
      </c>
      <c r="B1166" s="10">
        <v>9</v>
      </c>
      <c r="C1166" s="10">
        <v>0</v>
      </c>
      <c r="D1166" s="10">
        <v>2</v>
      </c>
      <c r="E1166" s="10">
        <v>1</v>
      </c>
      <c r="F1166" s="10">
        <v>1</v>
      </c>
      <c r="L1166" s="1">
        <v>188</v>
      </c>
      <c r="M1166" s="1">
        <v>20</v>
      </c>
      <c r="N1166" s="1">
        <v>0</v>
      </c>
      <c r="O1166" s="1">
        <v>1</v>
      </c>
      <c r="P1166" s="2">
        <v>1</v>
      </c>
      <c r="Q1166" s="68">
        <v>5</v>
      </c>
    </row>
    <row r="1167" spans="1:17" x14ac:dyDescent="0.25">
      <c r="A1167" s="10">
        <v>81</v>
      </c>
      <c r="B1167" s="10">
        <v>9</v>
      </c>
      <c r="C1167" s="10">
        <v>0</v>
      </c>
      <c r="D1167" s="10">
        <v>2</v>
      </c>
      <c r="E1167" s="10">
        <v>1</v>
      </c>
      <c r="F1167" s="10">
        <v>1</v>
      </c>
      <c r="L1167" s="1">
        <v>189</v>
      </c>
      <c r="M1167" s="1">
        <v>20</v>
      </c>
      <c r="N1167" s="1">
        <v>0</v>
      </c>
      <c r="O1167" s="1">
        <v>1</v>
      </c>
      <c r="P1167" s="2">
        <v>1</v>
      </c>
      <c r="Q1167" s="67">
        <v>4</v>
      </c>
    </row>
    <row r="1168" spans="1:17" x14ac:dyDescent="0.25">
      <c r="A1168" s="10">
        <v>82</v>
      </c>
      <c r="B1168" s="10">
        <v>9</v>
      </c>
      <c r="C1168" s="10">
        <v>0</v>
      </c>
      <c r="D1168" s="10">
        <v>2</v>
      </c>
      <c r="E1168" s="10">
        <v>1</v>
      </c>
      <c r="F1168" s="10">
        <v>1</v>
      </c>
      <c r="L1168" s="1">
        <v>190</v>
      </c>
      <c r="M1168" s="1">
        <v>20</v>
      </c>
      <c r="N1168" s="1">
        <v>0</v>
      </c>
      <c r="O1168" s="1">
        <v>1</v>
      </c>
      <c r="P1168" s="2">
        <v>1</v>
      </c>
      <c r="Q1168" s="68">
        <v>4</v>
      </c>
    </row>
    <row r="1169" spans="1:17" x14ac:dyDescent="0.25">
      <c r="A1169" s="10">
        <v>83</v>
      </c>
      <c r="B1169" s="10">
        <v>9</v>
      </c>
      <c r="C1169" s="10">
        <v>0</v>
      </c>
      <c r="D1169" s="10">
        <v>2</v>
      </c>
      <c r="E1169" s="10">
        <v>1</v>
      </c>
      <c r="F1169" s="10">
        <v>1</v>
      </c>
      <c r="L1169" s="1">
        <v>191</v>
      </c>
      <c r="M1169" s="1">
        <v>21</v>
      </c>
      <c r="N1169" s="1">
        <v>0</v>
      </c>
      <c r="O1169" s="1">
        <v>1</v>
      </c>
      <c r="P1169" s="2">
        <v>1</v>
      </c>
      <c r="Q1169" s="67">
        <v>7</v>
      </c>
    </row>
    <row r="1170" spans="1:17" x14ac:dyDescent="0.25">
      <c r="A1170" s="10">
        <v>84</v>
      </c>
      <c r="B1170" s="10">
        <v>9</v>
      </c>
      <c r="C1170" s="10">
        <v>0</v>
      </c>
      <c r="D1170" s="10">
        <v>2</v>
      </c>
      <c r="E1170" s="10">
        <v>1</v>
      </c>
      <c r="F1170" s="10">
        <v>1</v>
      </c>
      <c r="L1170" s="1">
        <v>192</v>
      </c>
      <c r="M1170" s="1">
        <v>21</v>
      </c>
      <c r="N1170" s="1">
        <v>0</v>
      </c>
      <c r="O1170" s="1">
        <v>1</v>
      </c>
      <c r="P1170" s="2">
        <v>1</v>
      </c>
      <c r="Q1170" s="68">
        <v>6</v>
      </c>
    </row>
    <row r="1171" spans="1:17" x14ac:dyDescent="0.25">
      <c r="A1171" s="10">
        <v>85</v>
      </c>
      <c r="B1171" s="10">
        <v>9</v>
      </c>
      <c r="C1171" s="10">
        <v>0</v>
      </c>
      <c r="D1171" s="10">
        <v>2</v>
      </c>
      <c r="E1171" s="10">
        <v>1</v>
      </c>
      <c r="F1171" s="10">
        <v>1</v>
      </c>
      <c r="L1171" s="1">
        <v>193</v>
      </c>
      <c r="M1171" s="1">
        <v>21</v>
      </c>
      <c r="N1171" s="1">
        <v>0</v>
      </c>
      <c r="O1171" s="1">
        <v>1</v>
      </c>
      <c r="P1171" s="2">
        <v>1</v>
      </c>
      <c r="Q1171" s="67">
        <v>23</v>
      </c>
    </row>
    <row r="1172" spans="1:17" x14ac:dyDescent="0.25">
      <c r="A1172" s="10">
        <v>86</v>
      </c>
      <c r="B1172" s="10">
        <v>9</v>
      </c>
      <c r="C1172" s="10">
        <v>0</v>
      </c>
      <c r="D1172" s="10">
        <v>2</v>
      </c>
      <c r="E1172" s="10">
        <v>1</v>
      </c>
      <c r="F1172" s="10">
        <v>1</v>
      </c>
      <c r="L1172" s="1">
        <v>194</v>
      </c>
      <c r="M1172" s="1">
        <v>21</v>
      </c>
      <c r="N1172" s="1">
        <v>0</v>
      </c>
      <c r="O1172" s="1">
        <v>1</v>
      </c>
      <c r="P1172" s="2">
        <v>1</v>
      </c>
      <c r="Q1172" s="68">
        <v>6</v>
      </c>
    </row>
    <row r="1173" spans="1:17" x14ac:dyDescent="0.25">
      <c r="A1173" s="10">
        <v>87</v>
      </c>
      <c r="B1173" s="10">
        <v>10</v>
      </c>
      <c r="C1173" s="10">
        <v>0</v>
      </c>
      <c r="D1173" s="10">
        <v>2</v>
      </c>
      <c r="E1173" s="10">
        <v>1</v>
      </c>
      <c r="F1173" s="10">
        <v>1</v>
      </c>
      <c r="L1173" s="1">
        <v>195</v>
      </c>
      <c r="M1173" s="1">
        <v>21</v>
      </c>
      <c r="N1173" s="1">
        <v>0</v>
      </c>
      <c r="O1173" s="1">
        <v>1</v>
      </c>
      <c r="P1173" s="2">
        <v>1</v>
      </c>
      <c r="Q1173" s="67">
        <v>8</v>
      </c>
    </row>
    <row r="1174" spans="1:17" x14ac:dyDescent="0.25">
      <c r="A1174" s="10">
        <v>88</v>
      </c>
      <c r="B1174" s="10">
        <v>10</v>
      </c>
      <c r="C1174" s="10">
        <v>0</v>
      </c>
      <c r="D1174" s="10">
        <v>2</v>
      </c>
      <c r="E1174" s="10">
        <v>1</v>
      </c>
      <c r="F1174" s="10">
        <v>1</v>
      </c>
      <c r="L1174" s="1">
        <v>196</v>
      </c>
      <c r="M1174" s="1">
        <v>21</v>
      </c>
      <c r="N1174" s="1">
        <v>0</v>
      </c>
      <c r="O1174" s="1">
        <v>1</v>
      </c>
      <c r="P1174" s="2">
        <v>1</v>
      </c>
      <c r="Q1174" s="68">
        <v>10</v>
      </c>
    </row>
    <row r="1175" spans="1:17" x14ac:dyDescent="0.25">
      <c r="A1175" s="10">
        <v>89</v>
      </c>
      <c r="B1175" s="10">
        <v>10</v>
      </c>
      <c r="C1175" s="10">
        <v>0</v>
      </c>
      <c r="D1175" s="10">
        <v>2</v>
      </c>
      <c r="E1175" s="10">
        <v>1</v>
      </c>
      <c r="F1175" s="10">
        <v>1</v>
      </c>
      <c r="L1175" s="1">
        <v>197</v>
      </c>
      <c r="M1175" s="1">
        <v>21</v>
      </c>
      <c r="N1175" s="1">
        <v>0</v>
      </c>
      <c r="O1175" s="1">
        <v>1</v>
      </c>
      <c r="P1175" s="2">
        <v>1</v>
      </c>
      <c r="Q1175" s="67">
        <v>11</v>
      </c>
    </row>
    <row r="1176" spans="1:17" x14ac:dyDescent="0.25">
      <c r="A1176" s="10">
        <v>90</v>
      </c>
      <c r="B1176" s="10">
        <v>10</v>
      </c>
      <c r="C1176" s="10">
        <v>0</v>
      </c>
      <c r="D1176" s="10">
        <v>2</v>
      </c>
      <c r="E1176" s="10">
        <v>1</v>
      </c>
      <c r="F1176" s="10">
        <v>1</v>
      </c>
      <c r="L1176" s="1">
        <v>198</v>
      </c>
      <c r="M1176" s="1">
        <v>21</v>
      </c>
      <c r="N1176" s="1">
        <v>0</v>
      </c>
      <c r="O1176" s="1">
        <v>1</v>
      </c>
      <c r="P1176" s="2">
        <v>1</v>
      </c>
      <c r="Q1176" s="68">
        <v>7</v>
      </c>
    </row>
    <row r="1177" spans="1:17" x14ac:dyDescent="0.25">
      <c r="A1177" s="10">
        <v>91</v>
      </c>
      <c r="B1177" s="10">
        <v>10</v>
      </c>
      <c r="C1177" s="10">
        <v>0</v>
      </c>
      <c r="D1177" s="10">
        <v>2</v>
      </c>
      <c r="E1177" s="10">
        <v>1</v>
      </c>
      <c r="F1177" s="10">
        <v>1</v>
      </c>
      <c r="L1177" s="1">
        <v>199</v>
      </c>
      <c r="M1177" s="1">
        <v>22</v>
      </c>
      <c r="N1177" s="1">
        <v>0</v>
      </c>
      <c r="O1177" s="1">
        <v>1</v>
      </c>
      <c r="P1177" s="2">
        <v>1</v>
      </c>
      <c r="Q1177" s="67">
        <v>14</v>
      </c>
    </row>
    <row r="1178" spans="1:17" x14ac:dyDescent="0.25">
      <c r="A1178" s="10">
        <v>92</v>
      </c>
      <c r="B1178" s="10">
        <v>10</v>
      </c>
      <c r="C1178" s="10">
        <v>0</v>
      </c>
      <c r="D1178" s="10">
        <v>2</v>
      </c>
      <c r="E1178" s="10">
        <v>1</v>
      </c>
      <c r="F1178" s="10">
        <v>1</v>
      </c>
      <c r="L1178" s="1">
        <v>200</v>
      </c>
      <c r="M1178" s="1">
        <v>22</v>
      </c>
      <c r="N1178" s="1">
        <v>0</v>
      </c>
      <c r="O1178" s="1">
        <v>1</v>
      </c>
      <c r="P1178" s="2">
        <v>1</v>
      </c>
      <c r="Q1178" s="68">
        <v>15</v>
      </c>
    </row>
    <row r="1179" spans="1:17" x14ac:dyDescent="0.25">
      <c r="A1179" s="10">
        <v>93</v>
      </c>
      <c r="B1179" s="10">
        <v>10</v>
      </c>
      <c r="C1179" s="10">
        <v>0</v>
      </c>
      <c r="D1179" s="10">
        <v>2</v>
      </c>
      <c r="E1179" s="10">
        <v>1</v>
      </c>
      <c r="F1179" s="10">
        <v>1</v>
      </c>
      <c r="L1179" s="1">
        <v>201</v>
      </c>
      <c r="M1179" s="1">
        <v>22</v>
      </c>
      <c r="N1179" s="1">
        <v>0</v>
      </c>
      <c r="O1179" s="1">
        <v>1</v>
      </c>
      <c r="P1179" s="2">
        <v>1</v>
      </c>
      <c r="Q1179" s="67">
        <v>13</v>
      </c>
    </row>
    <row r="1180" spans="1:17" x14ac:dyDescent="0.25">
      <c r="A1180" s="10">
        <v>94</v>
      </c>
      <c r="B1180" s="10">
        <v>10</v>
      </c>
      <c r="C1180" s="10">
        <v>0</v>
      </c>
      <c r="D1180" s="10">
        <v>2</v>
      </c>
      <c r="E1180" s="10">
        <v>1</v>
      </c>
      <c r="F1180" s="10">
        <v>1</v>
      </c>
      <c r="L1180" s="1">
        <v>202</v>
      </c>
      <c r="M1180" s="1">
        <v>22</v>
      </c>
      <c r="N1180" s="1">
        <v>0</v>
      </c>
      <c r="O1180" s="1">
        <v>1</v>
      </c>
      <c r="P1180" s="2">
        <v>1</v>
      </c>
      <c r="Q1180" s="68">
        <v>24</v>
      </c>
    </row>
    <row r="1181" spans="1:17" x14ac:dyDescent="0.25">
      <c r="A1181" s="10">
        <v>95</v>
      </c>
      <c r="B1181" s="10">
        <v>10</v>
      </c>
      <c r="C1181" s="10">
        <v>0</v>
      </c>
      <c r="D1181" s="10">
        <v>2</v>
      </c>
      <c r="E1181" s="10">
        <v>1</v>
      </c>
      <c r="F1181" s="10">
        <v>1</v>
      </c>
      <c r="L1181" s="1">
        <v>203</v>
      </c>
      <c r="M1181" s="1">
        <v>22</v>
      </c>
      <c r="N1181" s="1">
        <v>0</v>
      </c>
      <c r="O1181" s="1">
        <v>1</v>
      </c>
      <c r="P1181" s="2">
        <v>1</v>
      </c>
      <c r="Q1181" s="67">
        <v>20</v>
      </c>
    </row>
    <row r="1182" spans="1:17" x14ac:dyDescent="0.25">
      <c r="A1182" s="10">
        <v>96</v>
      </c>
      <c r="B1182" s="10">
        <v>10</v>
      </c>
      <c r="C1182" s="10">
        <v>0</v>
      </c>
      <c r="D1182" s="10">
        <v>2</v>
      </c>
      <c r="E1182" s="10">
        <v>1</v>
      </c>
      <c r="F1182" s="10">
        <v>1</v>
      </c>
      <c r="L1182" s="1">
        <v>204</v>
      </c>
      <c r="M1182" s="1">
        <v>22</v>
      </c>
      <c r="N1182" s="1">
        <v>0</v>
      </c>
      <c r="O1182" s="1">
        <v>1</v>
      </c>
      <c r="P1182" s="2">
        <v>1</v>
      </c>
      <c r="Q1182" s="68">
        <v>0</v>
      </c>
    </row>
    <row r="1183" spans="1:17" x14ac:dyDescent="0.25">
      <c r="A1183" s="10">
        <v>97</v>
      </c>
      <c r="B1183" s="10">
        <v>11</v>
      </c>
      <c r="C1183" s="10">
        <v>0</v>
      </c>
      <c r="D1183" s="10">
        <v>2</v>
      </c>
      <c r="E1183" s="10">
        <v>1</v>
      </c>
      <c r="F1183" s="10">
        <v>1</v>
      </c>
      <c r="L1183" s="1">
        <v>205</v>
      </c>
      <c r="M1183" s="1">
        <v>22</v>
      </c>
      <c r="N1183" s="1">
        <v>0</v>
      </c>
      <c r="O1183" s="1">
        <v>1</v>
      </c>
      <c r="P1183" s="2">
        <v>1</v>
      </c>
      <c r="Q1183" s="67">
        <v>18</v>
      </c>
    </row>
    <row r="1184" spans="1:17" x14ac:dyDescent="0.25">
      <c r="A1184" s="10">
        <v>98</v>
      </c>
      <c r="B1184" s="10">
        <v>11</v>
      </c>
      <c r="C1184" s="10">
        <v>0</v>
      </c>
      <c r="D1184" s="10">
        <v>2</v>
      </c>
      <c r="E1184" s="10">
        <v>1</v>
      </c>
      <c r="F1184" s="10">
        <v>1</v>
      </c>
      <c r="L1184" s="1">
        <v>206</v>
      </c>
      <c r="M1184" s="1">
        <v>22</v>
      </c>
      <c r="N1184" s="1">
        <v>0</v>
      </c>
      <c r="O1184" s="1">
        <v>1</v>
      </c>
      <c r="P1184" s="2">
        <v>1</v>
      </c>
      <c r="Q1184" s="68">
        <v>15</v>
      </c>
    </row>
    <row r="1185" spans="1:17" x14ac:dyDescent="0.25">
      <c r="A1185" s="10">
        <v>99</v>
      </c>
      <c r="B1185" s="10">
        <v>11</v>
      </c>
      <c r="C1185" s="10">
        <v>0</v>
      </c>
      <c r="D1185" s="10">
        <v>2</v>
      </c>
      <c r="E1185" s="10">
        <v>1</v>
      </c>
      <c r="F1185" s="10">
        <v>1</v>
      </c>
      <c r="L1185" s="1">
        <v>207</v>
      </c>
      <c r="M1185" s="1">
        <v>22</v>
      </c>
      <c r="N1185" s="1">
        <v>0</v>
      </c>
      <c r="O1185" s="1">
        <v>1</v>
      </c>
      <c r="P1185" s="2">
        <v>1</v>
      </c>
      <c r="Q1185" s="67">
        <v>19</v>
      </c>
    </row>
    <row r="1186" spans="1:17" x14ac:dyDescent="0.25">
      <c r="A1186" s="10">
        <v>100</v>
      </c>
      <c r="B1186" s="10">
        <v>11</v>
      </c>
      <c r="C1186" s="10">
        <v>0</v>
      </c>
      <c r="D1186" s="10">
        <v>2</v>
      </c>
      <c r="E1186" s="10">
        <v>1</v>
      </c>
      <c r="F1186" s="10">
        <v>1</v>
      </c>
      <c r="L1186" s="1">
        <v>208</v>
      </c>
      <c r="M1186" s="1">
        <v>22</v>
      </c>
      <c r="N1186" s="1">
        <v>0</v>
      </c>
      <c r="O1186" s="1">
        <v>1</v>
      </c>
      <c r="P1186" s="2">
        <v>1</v>
      </c>
      <c r="Q1186" s="68">
        <v>17</v>
      </c>
    </row>
    <row r="1187" spans="1:17" x14ac:dyDescent="0.25">
      <c r="A1187" s="10">
        <v>101</v>
      </c>
      <c r="B1187" s="10">
        <v>11</v>
      </c>
      <c r="C1187" s="10">
        <v>0</v>
      </c>
      <c r="D1187" s="10">
        <v>2</v>
      </c>
      <c r="E1187" s="10">
        <v>1</v>
      </c>
      <c r="F1187" s="10">
        <v>1</v>
      </c>
      <c r="L1187" s="1">
        <v>209</v>
      </c>
      <c r="M1187" s="1">
        <v>23</v>
      </c>
      <c r="N1187" s="1">
        <v>0</v>
      </c>
      <c r="O1187" s="1">
        <v>1</v>
      </c>
      <c r="P1187" s="2">
        <v>1</v>
      </c>
      <c r="Q1187" s="67">
        <v>5</v>
      </c>
    </row>
    <row r="1188" spans="1:17" x14ac:dyDescent="0.25">
      <c r="A1188" s="10">
        <v>102</v>
      </c>
      <c r="B1188" s="10">
        <v>11</v>
      </c>
      <c r="C1188" s="10">
        <v>0</v>
      </c>
      <c r="D1188" s="10">
        <v>2</v>
      </c>
      <c r="E1188" s="10">
        <v>1</v>
      </c>
      <c r="F1188" s="10">
        <v>1</v>
      </c>
      <c r="L1188" s="1">
        <v>210</v>
      </c>
      <c r="M1188" s="1">
        <v>23</v>
      </c>
      <c r="N1188" s="1">
        <v>0</v>
      </c>
      <c r="O1188" s="1">
        <v>1</v>
      </c>
      <c r="P1188" s="2">
        <v>1</v>
      </c>
      <c r="Q1188" s="68">
        <v>12</v>
      </c>
    </row>
    <row r="1189" spans="1:17" x14ac:dyDescent="0.25">
      <c r="A1189" s="10">
        <v>103</v>
      </c>
      <c r="B1189" s="10">
        <v>11</v>
      </c>
      <c r="C1189" s="10">
        <v>0</v>
      </c>
      <c r="D1189" s="10">
        <v>2</v>
      </c>
      <c r="E1189" s="10">
        <v>1</v>
      </c>
      <c r="F1189" s="10">
        <v>1</v>
      </c>
      <c r="L1189" s="1">
        <v>211</v>
      </c>
      <c r="M1189" s="1">
        <v>23</v>
      </c>
      <c r="N1189" s="1">
        <v>0</v>
      </c>
      <c r="O1189" s="1">
        <v>1</v>
      </c>
      <c r="P1189" s="2">
        <v>1</v>
      </c>
      <c r="Q1189" s="67">
        <v>5</v>
      </c>
    </row>
    <row r="1190" spans="1:17" x14ac:dyDescent="0.25">
      <c r="A1190" s="10">
        <v>104</v>
      </c>
      <c r="B1190" s="10">
        <v>11</v>
      </c>
      <c r="C1190" s="10">
        <v>0</v>
      </c>
      <c r="D1190" s="10">
        <v>2</v>
      </c>
      <c r="E1190" s="10">
        <v>1</v>
      </c>
      <c r="F1190" s="10">
        <v>1</v>
      </c>
      <c r="L1190" s="1">
        <v>212</v>
      </c>
      <c r="M1190" s="1">
        <v>23</v>
      </c>
      <c r="N1190" s="1">
        <v>0</v>
      </c>
      <c r="O1190" s="1">
        <v>1</v>
      </c>
      <c r="P1190" s="2">
        <v>1</v>
      </c>
      <c r="Q1190" s="68">
        <v>15</v>
      </c>
    </row>
    <row r="1191" spans="1:17" x14ac:dyDescent="0.25">
      <c r="A1191" s="10">
        <v>105</v>
      </c>
      <c r="B1191" s="10">
        <v>11</v>
      </c>
      <c r="C1191" s="10">
        <v>0</v>
      </c>
      <c r="D1191" s="10">
        <v>2</v>
      </c>
      <c r="E1191" s="10">
        <v>1</v>
      </c>
      <c r="F1191" s="10">
        <v>1</v>
      </c>
      <c r="L1191" s="1">
        <v>213</v>
      </c>
      <c r="M1191" s="1">
        <v>23</v>
      </c>
      <c r="N1191" s="1">
        <v>0</v>
      </c>
      <c r="O1191" s="1">
        <v>1</v>
      </c>
      <c r="P1191" s="2">
        <v>1</v>
      </c>
      <c r="Q1191" s="67">
        <v>8</v>
      </c>
    </row>
    <row r="1192" spans="1:17" x14ac:dyDescent="0.25">
      <c r="A1192" s="10">
        <v>106</v>
      </c>
      <c r="B1192" s="10">
        <v>11</v>
      </c>
      <c r="C1192" s="10">
        <v>0</v>
      </c>
      <c r="D1192" s="10">
        <v>2</v>
      </c>
      <c r="E1192" s="10">
        <v>1</v>
      </c>
      <c r="F1192" s="10">
        <v>1</v>
      </c>
      <c r="L1192" s="1">
        <v>214</v>
      </c>
      <c r="M1192" s="1">
        <v>23</v>
      </c>
      <c r="N1192" s="1">
        <v>0</v>
      </c>
      <c r="O1192" s="1">
        <v>1</v>
      </c>
      <c r="P1192" s="2">
        <v>1</v>
      </c>
      <c r="Q1192" s="68">
        <v>7</v>
      </c>
    </row>
    <row r="1193" spans="1:17" x14ac:dyDescent="0.25">
      <c r="A1193" s="10">
        <v>107</v>
      </c>
      <c r="B1193" s="10">
        <v>12</v>
      </c>
      <c r="C1193" s="10">
        <v>0</v>
      </c>
      <c r="D1193" s="10">
        <v>2</v>
      </c>
      <c r="E1193" s="10">
        <v>1</v>
      </c>
      <c r="F1193" s="10">
        <v>1</v>
      </c>
      <c r="L1193" s="1">
        <v>215</v>
      </c>
      <c r="M1193" s="1">
        <v>23</v>
      </c>
      <c r="N1193" s="1">
        <v>0</v>
      </c>
      <c r="O1193" s="1">
        <v>1</v>
      </c>
      <c r="P1193" s="2">
        <v>1</v>
      </c>
      <c r="Q1193" s="67">
        <v>3</v>
      </c>
    </row>
    <row r="1194" spans="1:17" x14ac:dyDescent="0.25">
      <c r="A1194" s="10">
        <v>108</v>
      </c>
      <c r="B1194" s="10">
        <v>12</v>
      </c>
      <c r="C1194" s="10">
        <v>0</v>
      </c>
      <c r="D1194" s="10">
        <v>2</v>
      </c>
      <c r="E1194" s="10">
        <v>1</v>
      </c>
      <c r="F1194" s="10">
        <v>1</v>
      </c>
      <c r="L1194" s="1">
        <v>216</v>
      </c>
      <c r="M1194" s="1">
        <v>23</v>
      </c>
      <c r="N1194" s="1">
        <v>0</v>
      </c>
      <c r="O1194" s="1">
        <v>1</v>
      </c>
      <c r="P1194" s="2">
        <v>1</v>
      </c>
      <c r="Q1194" s="68">
        <v>2</v>
      </c>
    </row>
    <row r="1195" spans="1:17" x14ac:dyDescent="0.25">
      <c r="A1195" s="10">
        <v>109</v>
      </c>
      <c r="B1195" s="10">
        <v>12</v>
      </c>
      <c r="C1195" s="10">
        <v>0</v>
      </c>
      <c r="D1195" s="10">
        <v>2</v>
      </c>
      <c r="E1195" s="10">
        <v>1</v>
      </c>
      <c r="F1195" s="10">
        <v>1</v>
      </c>
      <c r="L1195" s="1">
        <v>217</v>
      </c>
      <c r="M1195" s="1">
        <v>23</v>
      </c>
      <c r="N1195" s="1">
        <v>0</v>
      </c>
      <c r="O1195" s="1">
        <v>1</v>
      </c>
      <c r="P1195" s="2">
        <v>1</v>
      </c>
      <c r="Q1195" s="67">
        <v>9</v>
      </c>
    </row>
    <row r="1196" spans="1:17" x14ac:dyDescent="0.25">
      <c r="A1196" s="10">
        <v>110</v>
      </c>
      <c r="B1196" s="10">
        <v>12</v>
      </c>
      <c r="C1196" s="10">
        <v>0</v>
      </c>
      <c r="D1196" s="10">
        <v>2</v>
      </c>
      <c r="E1196" s="10">
        <v>1</v>
      </c>
      <c r="F1196" s="10">
        <v>1</v>
      </c>
      <c r="L1196" s="1">
        <v>218</v>
      </c>
      <c r="M1196" s="1">
        <v>23</v>
      </c>
      <c r="N1196" s="1">
        <v>0</v>
      </c>
      <c r="O1196" s="1">
        <v>1</v>
      </c>
      <c r="P1196" s="2">
        <v>1</v>
      </c>
      <c r="Q1196" s="68">
        <v>7</v>
      </c>
    </row>
    <row r="1197" spans="1:17" x14ac:dyDescent="0.25">
      <c r="A1197" s="10">
        <v>111</v>
      </c>
      <c r="B1197" s="10">
        <v>12</v>
      </c>
      <c r="C1197" s="10">
        <v>0</v>
      </c>
      <c r="D1197" s="10">
        <v>2</v>
      </c>
      <c r="E1197" s="10">
        <v>1</v>
      </c>
      <c r="F1197" s="10">
        <v>1</v>
      </c>
      <c r="L1197" s="1">
        <v>219</v>
      </c>
      <c r="M1197" s="1">
        <v>24</v>
      </c>
      <c r="N1197" s="1">
        <v>0</v>
      </c>
      <c r="O1197" s="1">
        <v>1</v>
      </c>
      <c r="P1197" s="2">
        <v>1</v>
      </c>
      <c r="Q1197" s="67">
        <v>12</v>
      </c>
    </row>
    <row r="1198" spans="1:17" x14ac:dyDescent="0.25">
      <c r="A1198" s="10">
        <v>112</v>
      </c>
      <c r="B1198" s="10">
        <v>12</v>
      </c>
      <c r="C1198" s="10">
        <v>0</v>
      </c>
      <c r="D1198" s="10">
        <v>2</v>
      </c>
      <c r="E1198" s="10">
        <v>1</v>
      </c>
      <c r="F1198" s="10">
        <v>1</v>
      </c>
      <c r="L1198" s="1">
        <v>220</v>
      </c>
      <c r="M1198" s="1">
        <v>24</v>
      </c>
      <c r="N1198" s="1">
        <v>0</v>
      </c>
      <c r="O1198" s="1">
        <v>1</v>
      </c>
      <c r="P1198" s="2">
        <v>1</v>
      </c>
      <c r="Q1198" s="68">
        <v>7</v>
      </c>
    </row>
    <row r="1199" spans="1:17" x14ac:dyDescent="0.25">
      <c r="A1199" s="10">
        <v>113</v>
      </c>
      <c r="B1199" s="10">
        <v>12</v>
      </c>
      <c r="C1199" s="10">
        <v>0</v>
      </c>
      <c r="D1199" s="10">
        <v>2</v>
      </c>
      <c r="E1199" s="10">
        <v>1</v>
      </c>
      <c r="F1199" s="10">
        <v>1</v>
      </c>
      <c r="L1199" s="1">
        <v>221</v>
      </c>
      <c r="M1199" s="1">
        <v>24</v>
      </c>
      <c r="N1199" s="1">
        <v>0</v>
      </c>
      <c r="O1199" s="1">
        <v>1</v>
      </c>
      <c r="P1199" s="2">
        <v>1</v>
      </c>
      <c r="Q1199" s="67">
        <v>10</v>
      </c>
    </row>
    <row r="1200" spans="1:17" x14ac:dyDescent="0.25">
      <c r="A1200" s="10">
        <v>114</v>
      </c>
      <c r="B1200" s="10">
        <v>12</v>
      </c>
      <c r="C1200" s="10">
        <v>0</v>
      </c>
      <c r="D1200" s="10">
        <v>2</v>
      </c>
      <c r="E1200" s="10">
        <v>1</v>
      </c>
      <c r="F1200" s="10">
        <v>1</v>
      </c>
      <c r="L1200" s="1">
        <v>222</v>
      </c>
      <c r="M1200" s="1">
        <v>24</v>
      </c>
      <c r="N1200" s="1">
        <v>0</v>
      </c>
      <c r="O1200" s="1">
        <v>1</v>
      </c>
      <c r="P1200" s="2">
        <v>1</v>
      </c>
      <c r="Q1200" s="68">
        <v>13</v>
      </c>
    </row>
    <row r="1201" spans="1:17" x14ac:dyDescent="0.25">
      <c r="A1201" s="10">
        <v>115</v>
      </c>
      <c r="B1201" s="10">
        <v>13</v>
      </c>
      <c r="C1201" s="10">
        <v>0</v>
      </c>
      <c r="D1201" s="10">
        <v>2</v>
      </c>
      <c r="E1201" s="10">
        <v>1</v>
      </c>
      <c r="F1201" s="10">
        <v>1</v>
      </c>
      <c r="L1201" s="1">
        <v>223</v>
      </c>
      <c r="M1201" s="1">
        <v>24</v>
      </c>
      <c r="N1201" s="1">
        <v>0</v>
      </c>
      <c r="O1201" s="1">
        <v>1</v>
      </c>
      <c r="P1201" s="2">
        <v>1</v>
      </c>
      <c r="Q1201" s="67">
        <v>10</v>
      </c>
    </row>
    <row r="1202" spans="1:17" x14ac:dyDescent="0.25">
      <c r="A1202" s="10">
        <v>116</v>
      </c>
      <c r="B1202" s="10">
        <v>13</v>
      </c>
      <c r="C1202" s="10">
        <v>0</v>
      </c>
      <c r="D1202" s="10">
        <v>2</v>
      </c>
      <c r="E1202" s="10">
        <v>1</v>
      </c>
      <c r="F1202" s="10">
        <v>1</v>
      </c>
      <c r="L1202" s="1">
        <v>224</v>
      </c>
      <c r="M1202" s="1">
        <v>24</v>
      </c>
      <c r="N1202" s="1">
        <v>0</v>
      </c>
      <c r="O1202" s="1">
        <v>1</v>
      </c>
      <c r="P1202" s="2">
        <v>1</v>
      </c>
      <c r="Q1202" s="68">
        <v>10</v>
      </c>
    </row>
    <row r="1203" spans="1:17" x14ac:dyDescent="0.25">
      <c r="A1203" s="10">
        <v>117</v>
      </c>
      <c r="B1203" s="10">
        <v>13</v>
      </c>
      <c r="C1203" s="10">
        <v>0</v>
      </c>
      <c r="D1203" s="10">
        <v>2</v>
      </c>
      <c r="E1203" s="10">
        <v>1</v>
      </c>
      <c r="F1203" s="10">
        <v>1</v>
      </c>
      <c r="L1203" s="1">
        <v>225</v>
      </c>
      <c r="M1203" s="1">
        <v>24</v>
      </c>
      <c r="N1203" s="1">
        <v>0</v>
      </c>
      <c r="O1203" s="1">
        <v>1</v>
      </c>
      <c r="P1203" s="2">
        <v>1</v>
      </c>
      <c r="Q1203" s="67">
        <v>10</v>
      </c>
    </row>
    <row r="1204" spans="1:17" x14ac:dyDescent="0.25">
      <c r="A1204" s="10">
        <v>118</v>
      </c>
      <c r="B1204" s="10">
        <v>13</v>
      </c>
      <c r="C1204" s="10">
        <v>0</v>
      </c>
      <c r="D1204" s="10">
        <v>2</v>
      </c>
      <c r="E1204" s="10">
        <v>1</v>
      </c>
      <c r="F1204" s="10">
        <v>1</v>
      </c>
      <c r="L1204" s="1">
        <v>226</v>
      </c>
      <c r="M1204" s="1">
        <v>24</v>
      </c>
      <c r="N1204" s="1">
        <v>0</v>
      </c>
      <c r="O1204" s="1">
        <v>1</v>
      </c>
      <c r="P1204" s="2">
        <v>1</v>
      </c>
      <c r="Q1204" s="68">
        <v>5</v>
      </c>
    </row>
    <row r="1205" spans="1:17" x14ac:dyDescent="0.25">
      <c r="A1205" s="10">
        <v>119</v>
      </c>
      <c r="B1205" s="10">
        <v>13</v>
      </c>
      <c r="C1205" s="10">
        <v>0</v>
      </c>
      <c r="D1205" s="10">
        <v>2</v>
      </c>
      <c r="E1205" s="10">
        <v>1</v>
      </c>
      <c r="F1205" s="10">
        <v>1</v>
      </c>
      <c r="L1205" s="1">
        <v>227</v>
      </c>
      <c r="M1205" s="1">
        <v>24</v>
      </c>
      <c r="N1205" s="1">
        <v>0</v>
      </c>
      <c r="O1205" s="1">
        <v>1</v>
      </c>
      <c r="P1205" s="2">
        <v>1</v>
      </c>
      <c r="Q1205" s="67">
        <v>3</v>
      </c>
    </row>
    <row r="1206" spans="1:17" x14ac:dyDescent="0.25">
      <c r="A1206" s="10">
        <v>120</v>
      </c>
      <c r="B1206" s="10">
        <v>13</v>
      </c>
      <c r="C1206" s="10">
        <v>0</v>
      </c>
      <c r="D1206" s="10">
        <v>2</v>
      </c>
      <c r="E1206" s="10">
        <v>1</v>
      </c>
      <c r="F1206" s="10">
        <v>1</v>
      </c>
      <c r="L1206" s="1">
        <v>228</v>
      </c>
      <c r="M1206" s="1">
        <v>24</v>
      </c>
      <c r="N1206" s="1">
        <v>0</v>
      </c>
      <c r="O1206" s="1">
        <v>1</v>
      </c>
      <c r="P1206" s="2">
        <v>1</v>
      </c>
      <c r="Q1206" s="68">
        <v>3</v>
      </c>
    </row>
    <row r="1207" spans="1:17" x14ac:dyDescent="0.25">
      <c r="A1207" s="10">
        <v>121</v>
      </c>
      <c r="B1207" s="10">
        <v>13</v>
      </c>
      <c r="C1207" s="10">
        <v>0</v>
      </c>
      <c r="D1207" s="10">
        <v>2</v>
      </c>
      <c r="E1207" s="10">
        <v>1</v>
      </c>
      <c r="F1207" s="10">
        <v>1</v>
      </c>
      <c r="L1207" s="1">
        <v>229</v>
      </c>
      <c r="M1207" s="1">
        <v>25</v>
      </c>
      <c r="N1207" s="1">
        <v>0</v>
      </c>
      <c r="O1207" s="1">
        <v>1</v>
      </c>
      <c r="P1207" s="2">
        <v>1</v>
      </c>
      <c r="Q1207" s="67">
        <v>10</v>
      </c>
    </row>
    <row r="1208" spans="1:17" x14ac:dyDescent="0.25">
      <c r="A1208" s="10">
        <v>122</v>
      </c>
      <c r="B1208" s="10">
        <v>13</v>
      </c>
      <c r="C1208" s="10">
        <v>0</v>
      </c>
      <c r="D1208" s="10">
        <v>2</v>
      </c>
      <c r="E1208" s="10">
        <v>1</v>
      </c>
      <c r="F1208" s="10">
        <v>1</v>
      </c>
      <c r="L1208" s="1">
        <v>230</v>
      </c>
      <c r="M1208" s="1">
        <v>25</v>
      </c>
      <c r="N1208" s="1">
        <v>0</v>
      </c>
      <c r="O1208" s="1">
        <v>1</v>
      </c>
      <c r="P1208" s="2">
        <v>1</v>
      </c>
      <c r="Q1208" s="68">
        <v>14</v>
      </c>
    </row>
    <row r="1209" spans="1:17" x14ac:dyDescent="0.25">
      <c r="A1209" s="10">
        <v>123</v>
      </c>
      <c r="B1209" s="10">
        <v>14</v>
      </c>
      <c r="C1209" s="10">
        <v>0</v>
      </c>
      <c r="D1209" s="10">
        <v>2</v>
      </c>
      <c r="E1209" s="10">
        <v>1</v>
      </c>
      <c r="F1209" s="10">
        <v>1</v>
      </c>
      <c r="L1209" s="1">
        <v>231</v>
      </c>
      <c r="M1209" s="1">
        <v>25</v>
      </c>
      <c r="N1209" s="1">
        <v>0</v>
      </c>
      <c r="O1209" s="1">
        <v>1</v>
      </c>
      <c r="P1209" s="2">
        <v>1</v>
      </c>
      <c r="Q1209" s="67">
        <v>7</v>
      </c>
    </row>
    <row r="1210" spans="1:17" x14ac:dyDescent="0.25">
      <c r="A1210" s="10">
        <v>124</v>
      </c>
      <c r="B1210" s="10">
        <v>14</v>
      </c>
      <c r="C1210" s="10">
        <v>0</v>
      </c>
      <c r="D1210" s="10">
        <v>2</v>
      </c>
      <c r="E1210" s="10">
        <v>1</v>
      </c>
      <c r="F1210" s="10">
        <v>1</v>
      </c>
      <c r="L1210" s="1">
        <v>232</v>
      </c>
      <c r="M1210" s="1">
        <v>25</v>
      </c>
      <c r="N1210" s="1">
        <v>0</v>
      </c>
      <c r="O1210" s="1">
        <v>1</v>
      </c>
      <c r="P1210" s="2">
        <v>1</v>
      </c>
      <c r="Q1210" s="68">
        <v>13</v>
      </c>
    </row>
    <row r="1211" spans="1:17" x14ac:dyDescent="0.25">
      <c r="A1211" s="10">
        <v>125</v>
      </c>
      <c r="B1211" s="10">
        <v>14</v>
      </c>
      <c r="C1211" s="10">
        <v>0</v>
      </c>
      <c r="D1211" s="10">
        <v>2</v>
      </c>
      <c r="E1211" s="10">
        <v>1</v>
      </c>
      <c r="F1211" s="10">
        <v>1</v>
      </c>
      <c r="L1211" s="1">
        <v>233</v>
      </c>
      <c r="M1211" s="1">
        <v>25</v>
      </c>
      <c r="N1211" s="1">
        <v>0</v>
      </c>
      <c r="O1211" s="1">
        <v>1</v>
      </c>
      <c r="P1211" s="2">
        <v>1</v>
      </c>
      <c r="Q1211" s="67">
        <v>11</v>
      </c>
    </row>
    <row r="1212" spans="1:17" x14ac:dyDescent="0.25">
      <c r="A1212" s="10">
        <v>126</v>
      </c>
      <c r="B1212" s="10">
        <v>14</v>
      </c>
      <c r="C1212" s="10">
        <v>0</v>
      </c>
      <c r="D1212" s="10">
        <v>2</v>
      </c>
      <c r="E1212" s="10">
        <v>1</v>
      </c>
      <c r="F1212" s="10">
        <v>1</v>
      </c>
      <c r="L1212" s="1">
        <v>234</v>
      </c>
      <c r="M1212" s="1">
        <v>25</v>
      </c>
      <c r="N1212" s="1">
        <v>0</v>
      </c>
      <c r="O1212" s="1">
        <v>1</v>
      </c>
      <c r="P1212" s="2">
        <v>1</v>
      </c>
      <c r="Q1212" s="68">
        <v>10</v>
      </c>
    </row>
    <row r="1213" spans="1:17" x14ac:dyDescent="0.25">
      <c r="A1213" s="10">
        <v>127</v>
      </c>
      <c r="B1213" s="10">
        <v>14</v>
      </c>
      <c r="C1213" s="10">
        <v>0</v>
      </c>
      <c r="D1213" s="10">
        <v>2</v>
      </c>
      <c r="E1213" s="10">
        <v>1</v>
      </c>
      <c r="F1213" s="10">
        <v>1</v>
      </c>
      <c r="L1213" s="1">
        <v>235</v>
      </c>
      <c r="M1213" s="1">
        <v>25</v>
      </c>
      <c r="N1213" s="1">
        <v>0</v>
      </c>
      <c r="O1213" s="1">
        <v>1</v>
      </c>
      <c r="P1213" s="2">
        <v>1</v>
      </c>
      <c r="Q1213" s="67">
        <v>13</v>
      </c>
    </row>
    <row r="1214" spans="1:17" x14ac:dyDescent="0.25">
      <c r="A1214" s="10">
        <v>128</v>
      </c>
      <c r="B1214" s="10">
        <v>14</v>
      </c>
      <c r="C1214" s="10">
        <v>0</v>
      </c>
      <c r="D1214" s="10">
        <v>2</v>
      </c>
      <c r="E1214" s="10">
        <v>1</v>
      </c>
      <c r="F1214" s="10">
        <v>1</v>
      </c>
      <c r="L1214" s="1">
        <v>236</v>
      </c>
      <c r="M1214" s="1">
        <v>25</v>
      </c>
      <c r="N1214" s="1">
        <v>0</v>
      </c>
      <c r="O1214" s="1">
        <v>1</v>
      </c>
      <c r="P1214" s="2">
        <v>1</v>
      </c>
      <c r="Q1214" s="68">
        <v>8</v>
      </c>
    </row>
    <row r="1215" spans="1:17" x14ac:dyDescent="0.25">
      <c r="A1215" s="10">
        <v>129</v>
      </c>
      <c r="B1215" s="10">
        <v>14</v>
      </c>
      <c r="C1215" s="10">
        <v>0</v>
      </c>
      <c r="D1215" s="10">
        <v>2</v>
      </c>
      <c r="E1215" s="10">
        <v>1</v>
      </c>
      <c r="F1215" s="10">
        <v>1</v>
      </c>
      <c r="L1215" s="1">
        <v>237</v>
      </c>
      <c r="M1215" s="1">
        <v>26</v>
      </c>
      <c r="N1215" s="1">
        <v>0</v>
      </c>
      <c r="O1215" s="1">
        <v>1</v>
      </c>
      <c r="P1215" s="2">
        <v>1</v>
      </c>
      <c r="Q1215" s="67">
        <v>7</v>
      </c>
    </row>
    <row r="1216" spans="1:17" x14ac:dyDescent="0.25">
      <c r="A1216" s="10">
        <v>130</v>
      </c>
      <c r="B1216" s="10">
        <v>14</v>
      </c>
      <c r="C1216" s="10">
        <v>0</v>
      </c>
      <c r="D1216" s="10">
        <v>2</v>
      </c>
      <c r="E1216" s="10">
        <v>1</v>
      </c>
      <c r="F1216" s="10">
        <v>1</v>
      </c>
      <c r="L1216" s="1">
        <v>238</v>
      </c>
      <c r="M1216" s="1">
        <v>26</v>
      </c>
      <c r="N1216" s="1">
        <v>0</v>
      </c>
      <c r="O1216" s="1">
        <v>1</v>
      </c>
      <c r="P1216" s="2">
        <v>1</v>
      </c>
      <c r="Q1216" s="68">
        <v>9</v>
      </c>
    </row>
    <row r="1217" spans="1:17" x14ac:dyDescent="0.25">
      <c r="A1217" s="10">
        <v>131</v>
      </c>
      <c r="B1217" s="10">
        <v>14</v>
      </c>
      <c r="C1217" s="10">
        <v>0</v>
      </c>
      <c r="D1217" s="10">
        <v>2</v>
      </c>
      <c r="E1217" s="10">
        <v>1</v>
      </c>
      <c r="F1217" s="10">
        <v>1</v>
      </c>
      <c r="L1217" s="1">
        <v>239</v>
      </c>
      <c r="M1217" s="1">
        <v>26</v>
      </c>
      <c r="N1217" s="1">
        <v>0</v>
      </c>
      <c r="O1217" s="1">
        <v>1</v>
      </c>
      <c r="P1217" s="2">
        <v>1</v>
      </c>
      <c r="Q1217" s="67">
        <v>15</v>
      </c>
    </row>
    <row r="1218" spans="1:17" x14ac:dyDescent="0.25">
      <c r="A1218" s="10">
        <v>132</v>
      </c>
      <c r="B1218" s="10">
        <v>14</v>
      </c>
      <c r="C1218" s="10">
        <v>0</v>
      </c>
      <c r="D1218" s="10">
        <v>2</v>
      </c>
      <c r="E1218" s="10">
        <v>1</v>
      </c>
      <c r="F1218" s="10">
        <v>1</v>
      </c>
      <c r="L1218" s="1">
        <v>240</v>
      </c>
      <c r="M1218" s="1">
        <v>26</v>
      </c>
      <c r="N1218" s="1">
        <v>0</v>
      </c>
      <c r="O1218" s="1">
        <v>1</v>
      </c>
      <c r="P1218" s="2">
        <v>1</v>
      </c>
      <c r="Q1218" s="68">
        <v>20</v>
      </c>
    </row>
    <row r="1219" spans="1:17" x14ac:dyDescent="0.25">
      <c r="A1219" s="10">
        <v>133</v>
      </c>
      <c r="B1219" s="10">
        <v>15</v>
      </c>
      <c r="C1219" s="10">
        <v>0</v>
      </c>
      <c r="D1219" s="10">
        <v>2</v>
      </c>
      <c r="E1219" s="10">
        <v>1</v>
      </c>
      <c r="F1219" s="10">
        <v>1</v>
      </c>
      <c r="L1219" s="1">
        <v>241</v>
      </c>
      <c r="M1219" s="1">
        <v>26</v>
      </c>
      <c r="N1219" s="1">
        <v>0</v>
      </c>
      <c r="O1219" s="1">
        <v>1</v>
      </c>
      <c r="P1219" s="2">
        <v>1</v>
      </c>
      <c r="Q1219" s="67">
        <v>12</v>
      </c>
    </row>
    <row r="1220" spans="1:17" x14ac:dyDescent="0.25">
      <c r="A1220" s="10">
        <v>134</v>
      </c>
      <c r="B1220" s="10">
        <v>15</v>
      </c>
      <c r="C1220" s="10">
        <v>0</v>
      </c>
      <c r="D1220" s="10">
        <v>2</v>
      </c>
      <c r="E1220" s="10">
        <v>1</v>
      </c>
      <c r="F1220" s="10">
        <v>1</v>
      </c>
      <c r="L1220" s="1">
        <v>242</v>
      </c>
      <c r="M1220" s="1">
        <v>26</v>
      </c>
      <c r="N1220" s="1">
        <v>0</v>
      </c>
      <c r="O1220" s="1">
        <v>1</v>
      </c>
      <c r="P1220" s="2">
        <v>1</v>
      </c>
      <c r="Q1220" s="68">
        <v>9</v>
      </c>
    </row>
    <row r="1221" spans="1:17" x14ac:dyDescent="0.25">
      <c r="A1221" s="10">
        <v>135</v>
      </c>
      <c r="B1221" s="10">
        <v>15</v>
      </c>
      <c r="C1221" s="10">
        <v>0</v>
      </c>
      <c r="D1221" s="10">
        <v>2</v>
      </c>
      <c r="E1221" s="10">
        <v>1</v>
      </c>
      <c r="F1221" s="10">
        <v>1</v>
      </c>
      <c r="L1221" s="1">
        <v>243</v>
      </c>
      <c r="M1221" s="1">
        <v>26</v>
      </c>
      <c r="N1221" s="1">
        <v>0</v>
      </c>
      <c r="O1221" s="1">
        <v>1</v>
      </c>
      <c r="P1221" s="2">
        <v>1</v>
      </c>
      <c r="Q1221" s="67">
        <v>13</v>
      </c>
    </row>
    <row r="1222" spans="1:17" x14ac:dyDescent="0.25">
      <c r="A1222" s="10">
        <v>136</v>
      </c>
      <c r="B1222" s="10">
        <v>15</v>
      </c>
      <c r="C1222" s="10">
        <v>0</v>
      </c>
      <c r="D1222" s="10">
        <v>2</v>
      </c>
      <c r="E1222" s="10">
        <v>1</v>
      </c>
      <c r="F1222" s="10">
        <v>1</v>
      </c>
      <c r="L1222" s="1">
        <v>244</v>
      </c>
      <c r="M1222" s="1">
        <v>26</v>
      </c>
      <c r="N1222" s="1">
        <v>0</v>
      </c>
      <c r="O1222" s="1">
        <v>1</v>
      </c>
      <c r="P1222" s="2">
        <v>1</v>
      </c>
      <c r="Q1222" s="68">
        <v>12</v>
      </c>
    </row>
    <row r="1223" spans="1:17" x14ac:dyDescent="0.25">
      <c r="A1223" s="10">
        <v>137</v>
      </c>
      <c r="B1223" s="10">
        <v>15</v>
      </c>
      <c r="C1223" s="10">
        <v>0</v>
      </c>
      <c r="D1223" s="10">
        <v>2</v>
      </c>
      <c r="E1223" s="10">
        <v>1</v>
      </c>
      <c r="F1223" s="10">
        <v>1</v>
      </c>
      <c r="L1223" s="1">
        <v>245</v>
      </c>
      <c r="M1223" s="1">
        <v>26</v>
      </c>
      <c r="N1223" s="1">
        <v>0</v>
      </c>
      <c r="O1223" s="1">
        <v>1</v>
      </c>
      <c r="P1223" s="2">
        <v>1</v>
      </c>
      <c r="Q1223" s="67">
        <v>15</v>
      </c>
    </row>
    <row r="1224" spans="1:17" x14ac:dyDescent="0.25">
      <c r="A1224" s="10">
        <v>138</v>
      </c>
      <c r="B1224" s="10">
        <v>15</v>
      </c>
      <c r="C1224" s="10">
        <v>0</v>
      </c>
      <c r="D1224" s="10">
        <v>2</v>
      </c>
      <c r="E1224" s="10">
        <v>1</v>
      </c>
      <c r="F1224" s="10">
        <v>1</v>
      </c>
      <c r="L1224" s="1">
        <v>246</v>
      </c>
      <c r="M1224" s="1">
        <v>26</v>
      </c>
      <c r="N1224" s="1">
        <v>0</v>
      </c>
      <c r="O1224" s="1">
        <v>1</v>
      </c>
      <c r="P1224" s="2">
        <v>1</v>
      </c>
      <c r="Q1224" s="68">
        <v>10</v>
      </c>
    </row>
    <row r="1225" spans="1:17" x14ac:dyDescent="0.25">
      <c r="A1225" s="10">
        <v>139</v>
      </c>
      <c r="B1225" s="10">
        <v>15</v>
      </c>
      <c r="C1225" s="10">
        <v>0</v>
      </c>
      <c r="D1225" s="10">
        <v>2</v>
      </c>
      <c r="E1225" s="10">
        <v>1</v>
      </c>
      <c r="F1225" s="10">
        <v>1</v>
      </c>
      <c r="L1225" s="1">
        <v>247</v>
      </c>
      <c r="M1225" s="1">
        <v>27</v>
      </c>
      <c r="N1225" s="1">
        <v>0</v>
      </c>
      <c r="O1225" s="1">
        <v>1</v>
      </c>
      <c r="P1225" s="2">
        <v>1</v>
      </c>
      <c r="Q1225" s="67">
        <v>3</v>
      </c>
    </row>
    <row r="1226" spans="1:17" x14ac:dyDescent="0.25">
      <c r="A1226" s="10">
        <v>140</v>
      </c>
      <c r="B1226" s="10">
        <v>15</v>
      </c>
      <c r="C1226" s="10">
        <v>0</v>
      </c>
      <c r="D1226" s="10">
        <v>2</v>
      </c>
      <c r="E1226" s="10">
        <v>1</v>
      </c>
      <c r="F1226" s="10">
        <v>1</v>
      </c>
      <c r="L1226" s="1">
        <v>248</v>
      </c>
      <c r="M1226" s="1">
        <v>27</v>
      </c>
      <c r="N1226" s="1">
        <v>0</v>
      </c>
      <c r="O1226" s="1">
        <v>1</v>
      </c>
      <c r="P1226" s="2">
        <v>1</v>
      </c>
      <c r="Q1226" s="68">
        <v>5</v>
      </c>
    </row>
    <row r="1227" spans="1:17" x14ac:dyDescent="0.25">
      <c r="A1227" s="10">
        <v>141</v>
      </c>
      <c r="B1227" s="10">
        <v>15</v>
      </c>
      <c r="C1227" s="10">
        <v>0</v>
      </c>
      <c r="D1227" s="10">
        <v>2</v>
      </c>
      <c r="E1227" s="10">
        <v>1</v>
      </c>
      <c r="F1227" s="10">
        <v>1</v>
      </c>
      <c r="L1227" s="1">
        <v>249</v>
      </c>
      <c r="M1227" s="1">
        <v>27</v>
      </c>
      <c r="N1227" s="1">
        <v>0</v>
      </c>
      <c r="O1227" s="1">
        <v>1</v>
      </c>
      <c r="P1227" s="2">
        <v>1</v>
      </c>
      <c r="Q1227" s="67">
        <v>10</v>
      </c>
    </row>
    <row r="1228" spans="1:17" x14ac:dyDescent="0.25">
      <c r="A1228" s="10">
        <v>142</v>
      </c>
      <c r="B1228" s="10">
        <v>15</v>
      </c>
      <c r="C1228" s="10">
        <v>0</v>
      </c>
      <c r="D1228" s="10">
        <v>2</v>
      </c>
      <c r="E1228" s="10">
        <v>1</v>
      </c>
      <c r="F1228" s="10">
        <v>1</v>
      </c>
      <c r="L1228" s="1">
        <v>250</v>
      </c>
      <c r="M1228" s="1">
        <v>27</v>
      </c>
      <c r="N1228" s="1">
        <v>0</v>
      </c>
      <c r="O1228" s="1">
        <v>1</v>
      </c>
      <c r="P1228" s="2">
        <v>1</v>
      </c>
      <c r="Q1228" s="68">
        <v>11</v>
      </c>
    </row>
    <row r="1229" spans="1:17" x14ac:dyDescent="0.25">
      <c r="A1229" s="10">
        <v>143</v>
      </c>
      <c r="B1229" s="10">
        <v>16</v>
      </c>
      <c r="C1229" s="10">
        <v>0</v>
      </c>
      <c r="D1229" s="10">
        <v>2</v>
      </c>
      <c r="E1229" s="10">
        <v>1</v>
      </c>
      <c r="F1229" s="10">
        <v>1</v>
      </c>
      <c r="L1229" s="1">
        <v>251</v>
      </c>
      <c r="M1229" s="1">
        <v>27</v>
      </c>
      <c r="N1229" s="1">
        <v>0</v>
      </c>
      <c r="O1229" s="1">
        <v>1</v>
      </c>
      <c r="P1229" s="2">
        <v>1</v>
      </c>
      <c r="Q1229" s="67">
        <v>11</v>
      </c>
    </row>
    <row r="1230" spans="1:17" x14ac:dyDescent="0.25">
      <c r="A1230" s="10">
        <v>144</v>
      </c>
      <c r="B1230" s="10">
        <v>16</v>
      </c>
      <c r="C1230" s="10">
        <v>0</v>
      </c>
      <c r="D1230" s="10">
        <v>2</v>
      </c>
      <c r="E1230" s="10">
        <v>1</v>
      </c>
      <c r="F1230" s="10">
        <v>1</v>
      </c>
      <c r="L1230" s="1">
        <v>252</v>
      </c>
      <c r="M1230" s="1">
        <v>27</v>
      </c>
      <c r="N1230" s="1">
        <v>0</v>
      </c>
      <c r="O1230" s="1">
        <v>1</v>
      </c>
      <c r="P1230" s="2">
        <v>1</v>
      </c>
      <c r="Q1230" s="68">
        <v>2</v>
      </c>
    </row>
    <row r="1231" spans="1:17" x14ac:dyDescent="0.25">
      <c r="A1231" s="10">
        <v>145</v>
      </c>
      <c r="B1231" s="10">
        <v>16</v>
      </c>
      <c r="C1231" s="10">
        <v>0</v>
      </c>
      <c r="D1231" s="10">
        <v>2</v>
      </c>
      <c r="E1231" s="10">
        <v>1</v>
      </c>
      <c r="F1231" s="10">
        <v>1</v>
      </c>
      <c r="L1231" s="1">
        <v>253</v>
      </c>
      <c r="M1231" s="1">
        <v>27</v>
      </c>
      <c r="N1231" s="1">
        <v>0</v>
      </c>
      <c r="O1231" s="1">
        <v>1</v>
      </c>
      <c r="P1231" s="2">
        <v>1</v>
      </c>
      <c r="Q1231" s="67">
        <v>2</v>
      </c>
    </row>
    <row r="1232" spans="1:17" x14ac:dyDescent="0.25">
      <c r="A1232" s="10">
        <v>146</v>
      </c>
      <c r="B1232" s="10">
        <v>16</v>
      </c>
      <c r="C1232" s="10">
        <v>0</v>
      </c>
      <c r="D1232" s="10">
        <v>2</v>
      </c>
      <c r="E1232" s="10">
        <v>1</v>
      </c>
      <c r="F1232" s="10">
        <v>1</v>
      </c>
      <c r="L1232" s="1">
        <v>254</v>
      </c>
      <c r="M1232" s="1">
        <v>27</v>
      </c>
      <c r="N1232" s="1">
        <v>0</v>
      </c>
      <c r="O1232" s="1">
        <v>1</v>
      </c>
      <c r="P1232" s="2">
        <v>1</v>
      </c>
      <c r="Q1232" s="68">
        <v>2</v>
      </c>
    </row>
    <row r="1233" spans="1:17" x14ac:dyDescent="0.25">
      <c r="A1233" s="10">
        <v>147</v>
      </c>
      <c r="B1233" s="10">
        <v>16</v>
      </c>
      <c r="C1233" s="10">
        <v>0</v>
      </c>
      <c r="D1233" s="10">
        <v>2</v>
      </c>
      <c r="E1233" s="10">
        <v>1</v>
      </c>
      <c r="F1233" s="10">
        <v>1</v>
      </c>
      <c r="L1233" s="1">
        <v>255</v>
      </c>
      <c r="M1233" s="1">
        <v>28</v>
      </c>
      <c r="N1233" s="1">
        <v>0</v>
      </c>
      <c r="O1233" s="1">
        <v>1</v>
      </c>
      <c r="P1233" s="2">
        <v>1</v>
      </c>
      <c r="Q1233" s="67">
        <v>5</v>
      </c>
    </row>
    <row r="1234" spans="1:17" x14ac:dyDescent="0.25">
      <c r="A1234" s="10">
        <v>148</v>
      </c>
      <c r="B1234" s="10">
        <v>16</v>
      </c>
      <c r="C1234" s="10">
        <v>0</v>
      </c>
      <c r="D1234" s="10">
        <v>2</v>
      </c>
      <c r="E1234" s="10">
        <v>1</v>
      </c>
      <c r="F1234" s="10">
        <v>1</v>
      </c>
      <c r="L1234" s="1">
        <v>256</v>
      </c>
      <c r="M1234" s="1">
        <v>28</v>
      </c>
      <c r="N1234" s="1">
        <v>0</v>
      </c>
      <c r="O1234" s="1">
        <v>1</v>
      </c>
      <c r="P1234" s="2">
        <v>1</v>
      </c>
      <c r="Q1234" s="68">
        <v>15</v>
      </c>
    </row>
    <row r="1235" spans="1:17" x14ac:dyDescent="0.25">
      <c r="A1235" s="10">
        <v>149</v>
      </c>
      <c r="B1235" s="10">
        <v>16</v>
      </c>
      <c r="C1235" s="10">
        <v>0</v>
      </c>
      <c r="D1235" s="10">
        <v>2</v>
      </c>
      <c r="E1235" s="10">
        <v>1</v>
      </c>
      <c r="F1235" s="10">
        <v>1</v>
      </c>
      <c r="L1235" s="1">
        <v>257</v>
      </c>
      <c r="M1235" s="1">
        <v>28</v>
      </c>
      <c r="N1235" s="1">
        <v>0</v>
      </c>
      <c r="O1235" s="1">
        <v>1</v>
      </c>
      <c r="P1235" s="2">
        <v>1</v>
      </c>
      <c r="Q1235" s="67">
        <v>16</v>
      </c>
    </row>
    <row r="1236" spans="1:17" x14ac:dyDescent="0.25">
      <c r="A1236" s="10">
        <v>150</v>
      </c>
      <c r="B1236" s="10">
        <v>16</v>
      </c>
      <c r="C1236" s="10">
        <v>0</v>
      </c>
      <c r="D1236" s="10">
        <v>2</v>
      </c>
      <c r="E1236" s="10">
        <v>1</v>
      </c>
      <c r="F1236" s="10">
        <v>1</v>
      </c>
      <c r="L1236" s="1">
        <v>258</v>
      </c>
      <c r="M1236" s="1">
        <v>28</v>
      </c>
      <c r="N1236" s="1">
        <v>0</v>
      </c>
      <c r="O1236" s="1">
        <v>1</v>
      </c>
      <c r="P1236" s="2">
        <v>1</v>
      </c>
      <c r="Q1236" s="68">
        <v>5</v>
      </c>
    </row>
    <row r="1237" spans="1:17" x14ac:dyDescent="0.25">
      <c r="A1237" s="10">
        <v>151</v>
      </c>
      <c r="B1237" s="10">
        <v>16</v>
      </c>
      <c r="C1237" s="10">
        <v>0</v>
      </c>
      <c r="D1237" s="10">
        <v>2</v>
      </c>
      <c r="E1237" s="10">
        <v>1</v>
      </c>
      <c r="F1237" s="10">
        <v>1</v>
      </c>
      <c r="L1237" s="1">
        <v>259</v>
      </c>
      <c r="M1237" s="1">
        <v>28</v>
      </c>
      <c r="N1237" s="1">
        <v>0</v>
      </c>
      <c r="O1237" s="1">
        <v>1</v>
      </c>
      <c r="P1237" s="2">
        <v>1</v>
      </c>
      <c r="Q1237" s="67">
        <v>5</v>
      </c>
    </row>
    <row r="1238" spans="1:17" x14ac:dyDescent="0.25">
      <c r="A1238" s="10">
        <v>152</v>
      </c>
      <c r="B1238" s="10">
        <v>16</v>
      </c>
      <c r="C1238" s="10">
        <v>0</v>
      </c>
      <c r="D1238" s="10">
        <v>2</v>
      </c>
      <c r="E1238" s="10">
        <v>1</v>
      </c>
      <c r="F1238" s="10">
        <v>1</v>
      </c>
      <c r="L1238" s="1">
        <v>260</v>
      </c>
      <c r="M1238" s="1">
        <v>28</v>
      </c>
      <c r="N1238" s="1">
        <v>0</v>
      </c>
      <c r="O1238" s="1">
        <v>1</v>
      </c>
      <c r="P1238" s="2">
        <v>1</v>
      </c>
      <c r="Q1238" s="68">
        <v>8</v>
      </c>
    </row>
    <row r="1239" spans="1:17" x14ac:dyDescent="0.25">
      <c r="A1239" s="10">
        <v>153</v>
      </c>
      <c r="B1239" s="10">
        <v>17</v>
      </c>
      <c r="C1239" s="10">
        <v>0</v>
      </c>
      <c r="D1239" s="10">
        <v>2</v>
      </c>
      <c r="E1239" s="10">
        <v>1</v>
      </c>
      <c r="F1239" s="10">
        <v>1</v>
      </c>
      <c r="L1239" s="1">
        <v>261</v>
      </c>
      <c r="M1239" s="1">
        <v>28</v>
      </c>
      <c r="N1239" s="1">
        <v>0</v>
      </c>
      <c r="O1239" s="1">
        <v>1</v>
      </c>
      <c r="P1239" s="2">
        <v>1</v>
      </c>
      <c r="Q1239" s="67">
        <v>10</v>
      </c>
    </row>
    <row r="1240" spans="1:17" x14ac:dyDescent="0.25">
      <c r="A1240" s="10">
        <v>154</v>
      </c>
      <c r="B1240" s="10">
        <v>17</v>
      </c>
      <c r="C1240" s="10">
        <v>0</v>
      </c>
      <c r="D1240" s="10">
        <v>2</v>
      </c>
      <c r="E1240" s="10">
        <v>1</v>
      </c>
      <c r="F1240" s="10">
        <v>1</v>
      </c>
      <c r="L1240" s="1">
        <v>262</v>
      </c>
      <c r="M1240" s="1">
        <v>28</v>
      </c>
      <c r="N1240" s="1">
        <v>0</v>
      </c>
      <c r="O1240" s="1">
        <v>1</v>
      </c>
      <c r="P1240" s="2">
        <v>1</v>
      </c>
      <c r="Q1240" s="68">
        <v>12</v>
      </c>
    </row>
    <row r="1241" spans="1:17" x14ac:dyDescent="0.25">
      <c r="A1241" s="10">
        <v>155</v>
      </c>
      <c r="B1241" s="10">
        <v>17</v>
      </c>
      <c r="C1241" s="10">
        <v>0</v>
      </c>
      <c r="D1241" s="10">
        <v>2</v>
      </c>
      <c r="E1241" s="10">
        <v>1</v>
      </c>
      <c r="F1241" s="10">
        <v>1</v>
      </c>
      <c r="L1241" s="1">
        <v>263</v>
      </c>
      <c r="M1241" s="1">
        <v>29</v>
      </c>
      <c r="N1241" s="1">
        <v>0</v>
      </c>
      <c r="O1241" s="1">
        <v>1</v>
      </c>
      <c r="P1241" s="2">
        <v>1</v>
      </c>
      <c r="Q1241" s="67">
        <v>10</v>
      </c>
    </row>
    <row r="1242" spans="1:17" x14ac:dyDescent="0.25">
      <c r="A1242" s="10">
        <v>156</v>
      </c>
      <c r="B1242" s="10">
        <v>17</v>
      </c>
      <c r="C1242" s="10">
        <v>0</v>
      </c>
      <c r="D1242" s="10">
        <v>2</v>
      </c>
      <c r="E1242" s="10">
        <v>1</v>
      </c>
      <c r="F1242" s="10">
        <v>1</v>
      </c>
      <c r="L1242" s="1">
        <v>264</v>
      </c>
      <c r="M1242" s="1">
        <v>29</v>
      </c>
      <c r="N1242" s="1">
        <v>0</v>
      </c>
      <c r="O1242" s="1">
        <v>1</v>
      </c>
      <c r="P1242" s="2">
        <v>1</v>
      </c>
      <c r="Q1242" s="68">
        <v>10</v>
      </c>
    </row>
    <row r="1243" spans="1:17" x14ac:dyDescent="0.25">
      <c r="A1243" s="10">
        <v>157</v>
      </c>
      <c r="B1243" s="10">
        <v>17</v>
      </c>
      <c r="C1243" s="10">
        <v>0</v>
      </c>
      <c r="D1243" s="10">
        <v>2</v>
      </c>
      <c r="E1243" s="10">
        <v>1</v>
      </c>
      <c r="F1243" s="10">
        <v>1</v>
      </c>
      <c r="L1243" s="1">
        <v>265</v>
      </c>
      <c r="M1243" s="1">
        <v>29</v>
      </c>
      <c r="N1243" s="1">
        <v>0</v>
      </c>
      <c r="O1243" s="1">
        <v>1</v>
      </c>
      <c r="P1243" s="2">
        <v>1</v>
      </c>
      <c r="Q1243" s="67">
        <v>5</v>
      </c>
    </row>
    <row r="1244" spans="1:17" x14ac:dyDescent="0.25">
      <c r="A1244" s="10">
        <v>158</v>
      </c>
      <c r="B1244" s="10">
        <v>17</v>
      </c>
      <c r="C1244" s="10">
        <v>0</v>
      </c>
      <c r="D1244" s="10">
        <v>2</v>
      </c>
      <c r="E1244" s="10">
        <v>1</v>
      </c>
      <c r="F1244" s="10">
        <v>1</v>
      </c>
      <c r="L1244" s="1">
        <v>266</v>
      </c>
      <c r="M1244" s="1">
        <v>29</v>
      </c>
      <c r="N1244" s="1">
        <v>0</v>
      </c>
      <c r="O1244" s="1">
        <v>1</v>
      </c>
      <c r="P1244" s="2">
        <v>1</v>
      </c>
      <c r="Q1244" s="68">
        <v>11</v>
      </c>
    </row>
    <row r="1245" spans="1:17" x14ac:dyDescent="0.25">
      <c r="A1245" s="10">
        <v>159</v>
      </c>
      <c r="B1245" s="10">
        <v>17</v>
      </c>
      <c r="C1245" s="10">
        <v>0</v>
      </c>
      <c r="D1245" s="10">
        <v>2</v>
      </c>
      <c r="E1245" s="10">
        <v>1</v>
      </c>
      <c r="F1245" s="10">
        <v>1</v>
      </c>
      <c r="L1245" s="1">
        <v>267</v>
      </c>
      <c r="M1245" s="1">
        <v>29</v>
      </c>
      <c r="N1245" s="1">
        <v>0</v>
      </c>
      <c r="O1245" s="1">
        <v>1</v>
      </c>
      <c r="P1245" s="2">
        <v>1</v>
      </c>
      <c r="Q1245" s="67">
        <v>1</v>
      </c>
    </row>
    <row r="1246" spans="1:17" x14ac:dyDescent="0.25">
      <c r="A1246" s="10">
        <v>160</v>
      </c>
      <c r="B1246" s="10">
        <v>17</v>
      </c>
      <c r="C1246" s="10">
        <v>0</v>
      </c>
      <c r="D1246" s="10">
        <v>2</v>
      </c>
      <c r="E1246" s="10">
        <v>1</v>
      </c>
      <c r="F1246" s="10">
        <v>1</v>
      </c>
      <c r="L1246" s="1">
        <v>268</v>
      </c>
      <c r="M1246" s="1">
        <v>29</v>
      </c>
      <c r="N1246" s="1">
        <v>0</v>
      </c>
      <c r="O1246" s="1">
        <v>1</v>
      </c>
      <c r="P1246" s="2">
        <v>1</v>
      </c>
      <c r="Q1246" s="68">
        <v>0</v>
      </c>
    </row>
    <row r="1247" spans="1:17" x14ac:dyDescent="0.25">
      <c r="A1247" s="10">
        <v>161</v>
      </c>
      <c r="B1247" s="10">
        <v>17</v>
      </c>
      <c r="C1247" s="10">
        <v>0</v>
      </c>
      <c r="D1247" s="10">
        <v>2</v>
      </c>
      <c r="E1247" s="10">
        <v>1</v>
      </c>
      <c r="F1247" s="10">
        <v>1</v>
      </c>
      <c r="L1247" s="1">
        <v>269</v>
      </c>
      <c r="M1247" s="1">
        <v>29</v>
      </c>
      <c r="N1247" s="1">
        <v>0</v>
      </c>
      <c r="O1247" s="1">
        <v>1</v>
      </c>
      <c r="P1247" s="2">
        <v>1</v>
      </c>
      <c r="Q1247" s="67">
        <v>13</v>
      </c>
    </row>
    <row r="1248" spans="1:17" x14ac:dyDescent="0.25">
      <c r="A1248" s="10">
        <v>162</v>
      </c>
      <c r="B1248" s="10">
        <v>17</v>
      </c>
      <c r="C1248" s="10">
        <v>0</v>
      </c>
      <c r="D1248" s="10">
        <v>2</v>
      </c>
      <c r="E1248" s="10">
        <v>1</v>
      </c>
      <c r="F1248" s="10">
        <v>1</v>
      </c>
      <c r="L1248" s="1">
        <v>270</v>
      </c>
      <c r="M1248" s="1">
        <v>29</v>
      </c>
      <c r="N1248" s="1">
        <v>0</v>
      </c>
      <c r="O1248" s="1">
        <v>1</v>
      </c>
      <c r="P1248" s="2">
        <v>1</v>
      </c>
      <c r="Q1248" s="68">
        <v>5</v>
      </c>
    </row>
    <row r="1249" spans="1:17" x14ac:dyDescent="0.25">
      <c r="A1249" s="10">
        <v>163</v>
      </c>
      <c r="B1249" s="10">
        <v>18</v>
      </c>
      <c r="C1249" s="10">
        <v>0</v>
      </c>
      <c r="D1249" s="10">
        <v>2</v>
      </c>
      <c r="E1249" s="10">
        <v>1</v>
      </c>
      <c r="F1249" s="10">
        <v>1</v>
      </c>
      <c r="L1249" s="1">
        <v>271</v>
      </c>
      <c r="M1249" s="1">
        <v>30</v>
      </c>
      <c r="N1249" s="1">
        <v>0</v>
      </c>
      <c r="O1249" s="1">
        <v>1</v>
      </c>
      <c r="P1249" s="2">
        <v>1</v>
      </c>
      <c r="Q1249" s="67">
        <v>0</v>
      </c>
    </row>
    <row r="1250" spans="1:17" x14ac:dyDescent="0.25">
      <c r="A1250" s="10">
        <v>164</v>
      </c>
      <c r="B1250" s="10">
        <v>18</v>
      </c>
      <c r="C1250" s="10">
        <v>0</v>
      </c>
      <c r="D1250" s="10">
        <v>2</v>
      </c>
      <c r="E1250" s="10">
        <v>1</v>
      </c>
      <c r="F1250" s="10">
        <v>1</v>
      </c>
      <c r="L1250" s="1">
        <v>272</v>
      </c>
      <c r="M1250" s="1">
        <v>30</v>
      </c>
      <c r="N1250" s="1">
        <v>0</v>
      </c>
      <c r="O1250" s="1">
        <v>1</v>
      </c>
      <c r="P1250" s="2">
        <v>1</v>
      </c>
      <c r="Q1250" s="68">
        <v>1</v>
      </c>
    </row>
    <row r="1251" spans="1:17" x14ac:dyDescent="0.25">
      <c r="A1251" s="10">
        <v>165</v>
      </c>
      <c r="B1251" s="10">
        <v>18</v>
      </c>
      <c r="C1251" s="10">
        <v>0</v>
      </c>
      <c r="D1251" s="10">
        <v>2</v>
      </c>
      <c r="E1251" s="10">
        <v>1</v>
      </c>
      <c r="F1251" s="10">
        <v>1</v>
      </c>
      <c r="L1251" s="1">
        <v>273</v>
      </c>
      <c r="M1251" s="1">
        <v>30</v>
      </c>
      <c r="N1251" s="1">
        <v>0</v>
      </c>
      <c r="O1251" s="1">
        <v>1</v>
      </c>
      <c r="P1251" s="2">
        <v>1</v>
      </c>
      <c r="Q1251" s="67">
        <v>2</v>
      </c>
    </row>
    <row r="1252" spans="1:17" x14ac:dyDescent="0.25">
      <c r="A1252" s="10">
        <v>166</v>
      </c>
      <c r="B1252" s="10">
        <v>18</v>
      </c>
      <c r="C1252" s="10">
        <v>0</v>
      </c>
      <c r="D1252" s="10">
        <v>2</v>
      </c>
      <c r="E1252" s="10">
        <v>1</v>
      </c>
      <c r="F1252" s="10">
        <v>1</v>
      </c>
      <c r="L1252" s="1">
        <v>274</v>
      </c>
      <c r="M1252" s="1">
        <v>30</v>
      </c>
      <c r="N1252" s="1">
        <v>0</v>
      </c>
      <c r="O1252" s="1">
        <v>1</v>
      </c>
      <c r="P1252" s="2">
        <v>1</v>
      </c>
      <c r="Q1252" s="68">
        <v>3</v>
      </c>
    </row>
    <row r="1253" spans="1:17" x14ac:dyDescent="0.25">
      <c r="A1253" s="10">
        <v>167</v>
      </c>
      <c r="B1253" s="10">
        <v>18</v>
      </c>
      <c r="C1253" s="10">
        <v>0</v>
      </c>
      <c r="D1253" s="10">
        <v>2</v>
      </c>
      <c r="E1253" s="10">
        <v>1</v>
      </c>
      <c r="F1253" s="10">
        <v>1</v>
      </c>
      <c r="L1253" s="1">
        <v>275</v>
      </c>
      <c r="M1253" s="1">
        <v>30</v>
      </c>
      <c r="N1253" s="1">
        <v>0</v>
      </c>
      <c r="O1253" s="1">
        <v>1</v>
      </c>
      <c r="P1253" s="2">
        <v>1</v>
      </c>
      <c r="Q1253" s="67">
        <v>1</v>
      </c>
    </row>
    <row r="1254" spans="1:17" x14ac:dyDescent="0.25">
      <c r="A1254" s="10">
        <v>168</v>
      </c>
      <c r="B1254" s="10">
        <v>18</v>
      </c>
      <c r="C1254" s="10">
        <v>0</v>
      </c>
      <c r="D1254" s="10">
        <v>2</v>
      </c>
      <c r="E1254" s="10">
        <v>1</v>
      </c>
      <c r="F1254" s="10">
        <v>1</v>
      </c>
      <c r="L1254" s="1">
        <v>276</v>
      </c>
      <c r="M1254" s="1">
        <v>30</v>
      </c>
      <c r="N1254" s="1">
        <v>0</v>
      </c>
      <c r="O1254" s="1">
        <v>1</v>
      </c>
      <c r="P1254" s="2">
        <v>1</v>
      </c>
      <c r="Q1254" s="68">
        <v>3</v>
      </c>
    </row>
    <row r="1255" spans="1:17" x14ac:dyDescent="0.25">
      <c r="A1255" s="10">
        <v>169</v>
      </c>
      <c r="B1255" s="10">
        <v>18</v>
      </c>
      <c r="C1255" s="10">
        <v>0</v>
      </c>
      <c r="D1255" s="10">
        <v>2</v>
      </c>
      <c r="E1255" s="10">
        <v>1</v>
      </c>
      <c r="F1255" s="10">
        <v>1</v>
      </c>
      <c r="L1255" s="1">
        <v>277</v>
      </c>
      <c r="M1255" s="1">
        <v>30</v>
      </c>
      <c r="N1255" s="1">
        <v>0</v>
      </c>
      <c r="O1255" s="1">
        <v>1</v>
      </c>
      <c r="P1255" s="2">
        <v>1</v>
      </c>
      <c r="Q1255" s="67">
        <v>1</v>
      </c>
    </row>
    <row r="1256" spans="1:17" x14ac:dyDescent="0.25">
      <c r="A1256" s="10">
        <v>170</v>
      </c>
      <c r="B1256" s="10">
        <v>18</v>
      </c>
      <c r="C1256" s="10">
        <v>0</v>
      </c>
      <c r="D1256" s="10">
        <v>2</v>
      </c>
      <c r="E1256" s="10">
        <v>1</v>
      </c>
      <c r="F1256" s="10">
        <v>1</v>
      </c>
      <c r="L1256" s="1">
        <v>278</v>
      </c>
      <c r="M1256" s="1">
        <v>30</v>
      </c>
      <c r="N1256" s="1">
        <v>0</v>
      </c>
      <c r="O1256" s="1">
        <v>1</v>
      </c>
      <c r="P1256" s="2">
        <v>1</v>
      </c>
      <c r="Q1256" s="68">
        <v>12</v>
      </c>
    </row>
    <row r="1257" spans="1:17" x14ac:dyDescent="0.25">
      <c r="A1257" s="10">
        <v>171</v>
      </c>
      <c r="B1257" s="10">
        <v>18</v>
      </c>
      <c r="C1257" s="10">
        <v>0</v>
      </c>
      <c r="D1257" s="10">
        <v>2</v>
      </c>
      <c r="E1257" s="10">
        <v>1</v>
      </c>
      <c r="F1257" s="10">
        <v>1</v>
      </c>
      <c r="L1257" s="1">
        <v>279</v>
      </c>
      <c r="M1257" s="1">
        <v>30</v>
      </c>
      <c r="N1257" s="1">
        <v>0</v>
      </c>
      <c r="O1257" s="1">
        <v>1</v>
      </c>
      <c r="P1257" s="2">
        <v>1</v>
      </c>
      <c r="Q1257" s="67">
        <v>1</v>
      </c>
    </row>
    <row r="1258" spans="1:17" x14ac:dyDescent="0.25">
      <c r="A1258" s="10">
        <v>172</v>
      </c>
      <c r="B1258" s="10">
        <v>18</v>
      </c>
      <c r="C1258" s="10">
        <v>0</v>
      </c>
      <c r="D1258" s="10">
        <v>2</v>
      </c>
      <c r="E1258" s="10">
        <v>1</v>
      </c>
      <c r="F1258" s="10">
        <v>1</v>
      </c>
      <c r="L1258" s="1">
        <v>280</v>
      </c>
      <c r="M1258" s="1">
        <v>30</v>
      </c>
      <c r="N1258" s="1">
        <v>0</v>
      </c>
      <c r="O1258" s="1">
        <v>1</v>
      </c>
      <c r="P1258" s="2">
        <v>1</v>
      </c>
      <c r="Q1258" s="68">
        <v>15</v>
      </c>
    </row>
    <row r="1259" spans="1:17" x14ac:dyDescent="0.25">
      <c r="A1259" s="10">
        <v>173</v>
      </c>
      <c r="B1259" s="10">
        <v>19</v>
      </c>
      <c r="C1259" s="10">
        <v>0</v>
      </c>
      <c r="D1259" s="10">
        <v>2</v>
      </c>
      <c r="E1259" s="10">
        <v>1</v>
      </c>
      <c r="F1259" s="10">
        <v>1</v>
      </c>
      <c r="L1259" s="1">
        <v>281</v>
      </c>
      <c r="M1259" s="1">
        <v>31</v>
      </c>
      <c r="N1259" s="1">
        <v>0</v>
      </c>
      <c r="O1259" s="1">
        <v>1</v>
      </c>
      <c r="P1259" s="2">
        <v>1</v>
      </c>
      <c r="Q1259" s="67">
        <v>10</v>
      </c>
    </row>
    <row r="1260" spans="1:17" x14ac:dyDescent="0.25">
      <c r="A1260" s="10">
        <v>174</v>
      </c>
      <c r="B1260" s="10">
        <v>19</v>
      </c>
      <c r="C1260" s="10">
        <v>0</v>
      </c>
      <c r="D1260" s="10">
        <v>2</v>
      </c>
      <c r="E1260" s="10">
        <v>1</v>
      </c>
      <c r="F1260" s="10">
        <v>1</v>
      </c>
      <c r="L1260" s="1">
        <v>282</v>
      </c>
      <c r="M1260" s="1">
        <v>31</v>
      </c>
      <c r="N1260" s="1">
        <v>0</v>
      </c>
      <c r="O1260" s="1">
        <v>1</v>
      </c>
      <c r="P1260" s="2">
        <v>1</v>
      </c>
      <c r="Q1260" s="68">
        <v>6</v>
      </c>
    </row>
    <row r="1261" spans="1:17" x14ac:dyDescent="0.25">
      <c r="A1261" s="10">
        <v>175</v>
      </c>
      <c r="B1261" s="10">
        <v>19</v>
      </c>
      <c r="C1261" s="10">
        <v>0</v>
      </c>
      <c r="D1261" s="10">
        <v>2</v>
      </c>
      <c r="E1261" s="10">
        <v>1</v>
      </c>
      <c r="F1261" s="10">
        <v>1</v>
      </c>
      <c r="L1261" s="1">
        <v>283</v>
      </c>
      <c r="M1261" s="1">
        <v>31</v>
      </c>
      <c r="N1261" s="1">
        <v>0</v>
      </c>
      <c r="O1261" s="1">
        <v>1</v>
      </c>
      <c r="P1261" s="2">
        <v>1</v>
      </c>
      <c r="Q1261" s="67">
        <v>2</v>
      </c>
    </row>
    <row r="1262" spans="1:17" x14ac:dyDescent="0.25">
      <c r="A1262" s="10">
        <v>176</v>
      </c>
      <c r="B1262" s="10">
        <v>19</v>
      </c>
      <c r="C1262" s="10">
        <v>0</v>
      </c>
      <c r="D1262" s="10">
        <v>2</v>
      </c>
      <c r="E1262" s="10">
        <v>1</v>
      </c>
      <c r="F1262" s="10">
        <v>1</v>
      </c>
      <c r="L1262" s="1">
        <v>284</v>
      </c>
      <c r="M1262" s="1">
        <v>31</v>
      </c>
      <c r="N1262" s="1">
        <v>0</v>
      </c>
      <c r="O1262" s="1">
        <v>1</v>
      </c>
      <c r="P1262" s="2">
        <v>1</v>
      </c>
      <c r="Q1262" s="68">
        <v>7</v>
      </c>
    </row>
    <row r="1263" spans="1:17" x14ac:dyDescent="0.25">
      <c r="A1263" s="10">
        <v>177</v>
      </c>
      <c r="B1263" s="10">
        <v>19</v>
      </c>
      <c r="C1263" s="10">
        <v>0</v>
      </c>
      <c r="D1263" s="10">
        <v>2</v>
      </c>
      <c r="E1263" s="10">
        <v>1</v>
      </c>
      <c r="F1263" s="10">
        <v>1</v>
      </c>
      <c r="L1263" s="1">
        <v>285</v>
      </c>
      <c r="M1263" s="1">
        <v>31</v>
      </c>
      <c r="N1263" s="1">
        <v>0</v>
      </c>
      <c r="O1263" s="1">
        <v>1</v>
      </c>
      <c r="P1263" s="2">
        <v>1</v>
      </c>
      <c r="Q1263" s="67">
        <v>5</v>
      </c>
    </row>
    <row r="1264" spans="1:17" x14ac:dyDescent="0.25">
      <c r="A1264" s="10">
        <v>178</v>
      </c>
      <c r="B1264" s="10">
        <v>19</v>
      </c>
      <c r="C1264" s="10">
        <v>0</v>
      </c>
      <c r="D1264" s="10">
        <v>2</v>
      </c>
      <c r="E1264" s="10">
        <v>1</v>
      </c>
      <c r="F1264" s="10">
        <v>1</v>
      </c>
      <c r="L1264" s="1">
        <v>286</v>
      </c>
      <c r="M1264" s="1">
        <v>31</v>
      </c>
      <c r="N1264" s="1">
        <v>0</v>
      </c>
      <c r="O1264" s="1">
        <v>1</v>
      </c>
      <c r="P1264" s="2">
        <v>1</v>
      </c>
      <c r="Q1264" s="68">
        <v>5</v>
      </c>
    </row>
    <row r="1265" spans="1:17" x14ac:dyDescent="0.25">
      <c r="A1265" s="10">
        <v>179</v>
      </c>
      <c r="B1265" s="10">
        <v>19</v>
      </c>
      <c r="C1265" s="10">
        <v>0</v>
      </c>
      <c r="D1265" s="10">
        <v>2</v>
      </c>
      <c r="E1265" s="10">
        <v>1</v>
      </c>
      <c r="F1265" s="10">
        <v>1</v>
      </c>
      <c r="L1265" s="1">
        <v>287</v>
      </c>
      <c r="M1265" s="1">
        <v>31</v>
      </c>
      <c r="N1265" s="1">
        <v>0</v>
      </c>
      <c r="O1265" s="1">
        <v>1</v>
      </c>
      <c r="P1265" s="2">
        <v>1</v>
      </c>
      <c r="Q1265" s="67">
        <v>5</v>
      </c>
    </row>
    <row r="1266" spans="1:17" x14ac:dyDescent="0.25">
      <c r="A1266" s="10">
        <v>180</v>
      </c>
      <c r="B1266" s="10">
        <v>19</v>
      </c>
      <c r="C1266" s="10">
        <v>0</v>
      </c>
      <c r="D1266" s="10">
        <v>2</v>
      </c>
      <c r="E1266" s="10">
        <v>1</v>
      </c>
      <c r="F1266" s="10">
        <v>1</v>
      </c>
      <c r="L1266" s="1">
        <v>288</v>
      </c>
      <c r="M1266" s="1">
        <v>31</v>
      </c>
      <c r="N1266" s="1">
        <v>0</v>
      </c>
      <c r="O1266" s="1">
        <v>1</v>
      </c>
      <c r="P1266" s="2">
        <v>1</v>
      </c>
      <c r="Q1266" s="68">
        <v>16</v>
      </c>
    </row>
    <row r="1267" spans="1:17" x14ac:dyDescent="0.25">
      <c r="A1267" s="10">
        <v>181</v>
      </c>
      <c r="B1267" s="10">
        <v>19</v>
      </c>
      <c r="C1267" s="10">
        <v>0</v>
      </c>
      <c r="D1267" s="10">
        <v>2</v>
      </c>
      <c r="E1267" s="10">
        <v>1</v>
      </c>
      <c r="F1267" s="10">
        <v>1</v>
      </c>
      <c r="L1267" s="1">
        <v>289</v>
      </c>
      <c r="M1267" s="1">
        <v>31</v>
      </c>
      <c r="N1267" s="1">
        <v>0</v>
      </c>
      <c r="O1267" s="1">
        <v>1</v>
      </c>
      <c r="P1267" s="2">
        <v>1</v>
      </c>
      <c r="Q1267" s="67">
        <v>9</v>
      </c>
    </row>
    <row r="1268" spans="1:17" x14ac:dyDescent="0.25">
      <c r="A1268" s="10">
        <v>182</v>
      </c>
      <c r="B1268" s="10">
        <v>19</v>
      </c>
      <c r="C1268" s="10">
        <v>0</v>
      </c>
      <c r="D1268" s="10">
        <v>2</v>
      </c>
      <c r="E1268" s="10">
        <v>1</v>
      </c>
      <c r="F1268" s="10">
        <v>1</v>
      </c>
      <c r="L1268" s="1">
        <v>290</v>
      </c>
      <c r="M1268" s="1">
        <v>31</v>
      </c>
      <c r="N1268" s="1">
        <v>0</v>
      </c>
      <c r="O1268" s="1">
        <v>1</v>
      </c>
      <c r="P1268" s="2">
        <v>1</v>
      </c>
      <c r="Q1268" s="68">
        <v>10</v>
      </c>
    </row>
    <row r="1269" spans="1:17" x14ac:dyDescent="0.25">
      <c r="A1269" s="10">
        <v>183</v>
      </c>
      <c r="B1269" s="10">
        <v>20</v>
      </c>
      <c r="C1269" s="10">
        <v>0</v>
      </c>
      <c r="D1269" s="10">
        <v>2</v>
      </c>
      <c r="E1269" s="10">
        <v>1</v>
      </c>
      <c r="F1269" s="10">
        <v>1</v>
      </c>
      <c r="L1269" s="1">
        <v>291</v>
      </c>
      <c r="M1269" s="1">
        <v>32</v>
      </c>
      <c r="N1269" s="1">
        <v>0</v>
      </c>
      <c r="O1269" s="1">
        <v>1</v>
      </c>
      <c r="P1269" s="2">
        <v>1</v>
      </c>
      <c r="Q1269" s="67">
        <v>6</v>
      </c>
    </row>
    <row r="1270" spans="1:17" x14ac:dyDescent="0.25">
      <c r="A1270" s="10">
        <v>184</v>
      </c>
      <c r="B1270" s="10">
        <v>20</v>
      </c>
      <c r="C1270" s="10">
        <v>0</v>
      </c>
      <c r="D1270" s="10">
        <v>2</v>
      </c>
      <c r="E1270" s="10">
        <v>1</v>
      </c>
      <c r="F1270" s="10">
        <v>1</v>
      </c>
      <c r="L1270" s="1">
        <v>292</v>
      </c>
      <c r="M1270" s="1">
        <v>32</v>
      </c>
      <c r="N1270" s="1">
        <v>0</v>
      </c>
      <c r="O1270" s="1">
        <v>1</v>
      </c>
      <c r="P1270" s="2">
        <v>1</v>
      </c>
      <c r="Q1270" s="68">
        <v>5</v>
      </c>
    </row>
    <row r="1271" spans="1:17" x14ac:dyDescent="0.25">
      <c r="A1271" s="10">
        <v>185</v>
      </c>
      <c r="B1271" s="10">
        <v>20</v>
      </c>
      <c r="C1271" s="10">
        <v>0</v>
      </c>
      <c r="D1271" s="10">
        <v>2</v>
      </c>
      <c r="E1271" s="10">
        <v>1</v>
      </c>
      <c r="F1271" s="10">
        <v>1</v>
      </c>
      <c r="L1271" s="1">
        <v>293</v>
      </c>
      <c r="M1271" s="1">
        <v>32</v>
      </c>
      <c r="N1271" s="1">
        <v>0</v>
      </c>
      <c r="O1271" s="1">
        <v>1</v>
      </c>
      <c r="P1271" s="2">
        <v>1</v>
      </c>
      <c r="Q1271" s="67">
        <v>6</v>
      </c>
    </row>
    <row r="1272" spans="1:17" x14ac:dyDescent="0.25">
      <c r="A1272" s="10">
        <v>186</v>
      </c>
      <c r="B1272" s="10">
        <v>20</v>
      </c>
      <c r="C1272" s="10">
        <v>0</v>
      </c>
      <c r="D1272" s="10">
        <v>2</v>
      </c>
      <c r="E1272" s="10">
        <v>1</v>
      </c>
      <c r="F1272" s="10">
        <v>1</v>
      </c>
      <c r="L1272" s="1">
        <v>294</v>
      </c>
      <c r="M1272" s="1">
        <v>32</v>
      </c>
      <c r="N1272" s="1">
        <v>0</v>
      </c>
      <c r="O1272" s="1">
        <v>1</v>
      </c>
      <c r="P1272" s="2">
        <v>1</v>
      </c>
      <c r="Q1272" s="68">
        <v>9</v>
      </c>
    </row>
    <row r="1273" spans="1:17" x14ac:dyDescent="0.25">
      <c r="A1273" s="10">
        <v>187</v>
      </c>
      <c r="B1273" s="10">
        <v>20</v>
      </c>
      <c r="C1273" s="10">
        <v>0</v>
      </c>
      <c r="D1273" s="10">
        <v>2</v>
      </c>
      <c r="E1273" s="10">
        <v>1</v>
      </c>
      <c r="F1273" s="10">
        <v>1</v>
      </c>
      <c r="L1273" s="1">
        <v>295</v>
      </c>
      <c r="M1273" s="1">
        <v>32</v>
      </c>
      <c r="N1273" s="1">
        <v>0</v>
      </c>
      <c r="O1273" s="1">
        <v>1</v>
      </c>
      <c r="P1273" s="2">
        <v>1</v>
      </c>
      <c r="Q1273" s="67">
        <v>1</v>
      </c>
    </row>
    <row r="1274" spans="1:17" x14ac:dyDescent="0.25">
      <c r="A1274" s="10">
        <v>188</v>
      </c>
      <c r="B1274" s="10">
        <v>20</v>
      </c>
      <c r="C1274" s="10">
        <v>0</v>
      </c>
      <c r="D1274" s="10">
        <v>2</v>
      </c>
      <c r="E1274" s="10">
        <v>1</v>
      </c>
      <c r="F1274" s="10">
        <v>1</v>
      </c>
      <c r="L1274" s="1">
        <v>296</v>
      </c>
      <c r="M1274" s="1">
        <v>32</v>
      </c>
      <c r="N1274" s="1">
        <v>0</v>
      </c>
      <c r="O1274" s="1">
        <v>1</v>
      </c>
      <c r="P1274" s="2">
        <v>1</v>
      </c>
      <c r="Q1274" s="68">
        <v>14</v>
      </c>
    </row>
    <row r="1275" spans="1:17" x14ac:dyDescent="0.25">
      <c r="A1275" s="10">
        <v>189</v>
      </c>
      <c r="B1275" s="10">
        <v>20</v>
      </c>
      <c r="C1275" s="10">
        <v>0</v>
      </c>
      <c r="D1275" s="10">
        <v>2</v>
      </c>
      <c r="E1275" s="10">
        <v>1</v>
      </c>
      <c r="F1275" s="10">
        <v>1</v>
      </c>
      <c r="L1275" s="1">
        <v>297</v>
      </c>
      <c r="M1275" s="1">
        <v>32</v>
      </c>
      <c r="N1275" s="1">
        <v>0</v>
      </c>
      <c r="O1275" s="1">
        <v>1</v>
      </c>
      <c r="P1275" s="2">
        <v>1</v>
      </c>
      <c r="Q1275" s="67">
        <v>15</v>
      </c>
    </row>
    <row r="1276" spans="1:17" x14ac:dyDescent="0.25">
      <c r="A1276" s="10">
        <v>190</v>
      </c>
      <c r="B1276" s="10">
        <v>20</v>
      </c>
      <c r="C1276" s="10">
        <v>0</v>
      </c>
      <c r="D1276" s="10">
        <v>2</v>
      </c>
      <c r="E1276" s="10">
        <v>1</v>
      </c>
      <c r="F1276" s="10">
        <v>1</v>
      </c>
      <c r="L1276" s="1">
        <v>298</v>
      </c>
      <c r="M1276" s="1">
        <v>32</v>
      </c>
      <c r="N1276" s="1">
        <v>0</v>
      </c>
      <c r="O1276" s="1">
        <v>1</v>
      </c>
      <c r="P1276" s="2">
        <v>1</v>
      </c>
      <c r="Q1276" s="68">
        <v>15</v>
      </c>
    </row>
    <row r="1277" spans="1:17" x14ac:dyDescent="0.25">
      <c r="A1277" s="10">
        <v>191</v>
      </c>
      <c r="B1277" s="10">
        <v>21</v>
      </c>
      <c r="C1277" s="10">
        <v>0</v>
      </c>
      <c r="D1277" s="10">
        <v>2</v>
      </c>
      <c r="E1277" s="10">
        <v>1</v>
      </c>
      <c r="F1277" s="10">
        <v>1</v>
      </c>
      <c r="L1277" s="1">
        <v>299</v>
      </c>
      <c r="M1277" s="1">
        <v>32</v>
      </c>
      <c r="N1277" s="1">
        <v>0</v>
      </c>
      <c r="O1277" s="1">
        <v>1</v>
      </c>
      <c r="P1277" s="2">
        <v>1</v>
      </c>
      <c r="Q1277" s="67">
        <v>14</v>
      </c>
    </row>
    <row r="1278" spans="1:17" x14ac:dyDescent="0.25">
      <c r="A1278" s="10">
        <v>192</v>
      </c>
      <c r="B1278" s="10">
        <v>21</v>
      </c>
      <c r="C1278" s="10">
        <v>0</v>
      </c>
      <c r="D1278" s="10">
        <v>2</v>
      </c>
      <c r="E1278" s="10">
        <v>1</v>
      </c>
      <c r="F1278" s="10">
        <v>1</v>
      </c>
      <c r="L1278" s="1">
        <v>300</v>
      </c>
      <c r="M1278" s="1">
        <v>32</v>
      </c>
      <c r="N1278" s="1">
        <v>0</v>
      </c>
      <c r="O1278" s="1">
        <v>1</v>
      </c>
      <c r="P1278" s="2">
        <v>1</v>
      </c>
      <c r="Q1278" s="68">
        <v>6</v>
      </c>
    </row>
    <row r="1279" spans="1:17" x14ac:dyDescent="0.25">
      <c r="A1279" s="10">
        <v>193</v>
      </c>
      <c r="B1279" s="10">
        <v>21</v>
      </c>
      <c r="C1279" s="10">
        <v>0</v>
      </c>
      <c r="D1279" s="10">
        <v>2</v>
      </c>
      <c r="E1279" s="10">
        <v>1</v>
      </c>
      <c r="F1279" s="10">
        <v>1</v>
      </c>
      <c r="L1279" s="1">
        <v>301</v>
      </c>
      <c r="M1279" s="1">
        <v>33</v>
      </c>
      <c r="N1279" s="1">
        <v>0</v>
      </c>
      <c r="O1279" s="1">
        <v>1</v>
      </c>
      <c r="P1279" s="2">
        <v>1</v>
      </c>
      <c r="Q1279" s="67">
        <v>5</v>
      </c>
    </row>
    <row r="1280" spans="1:17" x14ac:dyDescent="0.25">
      <c r="A1280" s="10">
        <v>194</v>
      </c>
      <c r="B1280" s="10">
        <v>21</v>
      </c>
      <c r="C1280" s="10">
        <v>0</v>
      </c>
      <c r="D1280" s="10">
        <v>2</v>
      </c>
      <c r="E1280" s="10">
        <v>1</v>
      </c>
      <c r="F1280" s="10">
        <v>1</v>
      </c>
      <c r="L1280" s="1">
        <v>302</v>
      </c>
      <c r="M1280" s="1">
        <v>33</v>
      </c>
      <c r="N1280" s="1">
        <v>0</v>
      </c>
      <c r="O1280" s="1">
        <v>1</v>
      </c>
      <c r="P1280" s="2">
        <v>1</v>
      </c>
      <c r="Q1280" s="68">
        <v>11</v>
      </c>
    </row>
    <row r="1281" spans="1:17" x14ac:dyDescent="0.25">
      <c r="A1281" s="10">
        <v>195</v>
      </c>
      <c r="B1281" s="10">
        <v>21</v>
      </c>
      <c r="C1281" s="10">
        <v>0</v>
      </c>
      <c r="D1281" s="10">
        <v>2</v>
      </c>
      <c r="E1281" s="10">
        <v>1</v>
      </c>
      <c r="F1281" s="10">
        <v>1</v>
      </c>
      <c r="L1281" s="1">
        <v>303</v>
      </c>
      <c r="M1281" s="1">
        <v>33</v>
      </c>
      <c r="N1281" s="1">
        <v>0</v>
      </c>
      <c r="O1281" s="1">
        <v>1</v>
      </c>
      <c r="P1281" s="2">
        <v>1</v>
      </c>
      <c r="Q1281" s="67">
        <v>6</v>
      </c>
    </row>
    <row r="1282" spans="1:17" x14ac:dyDescent="0.25">
      <c r="A1282" s="10">
        <v>196</v>
      </c>
      <c r="B1282" s="10">
        <v>21</v>
      </c>
      <c r="C1282" s="10">
        <v>0</v>
      </c>
      <c r="D1282" s="10">
        <v>2</v>
      </c>
      <c r="E1282" s="10">
        <v>1</v>
      </c>
      <c r="F1282" s="10">
        <v>1</v>
      </c>
      <c r="L1282" s="1">
        <v>304</v>
      </c>
      <c r="M1282" s="1">
        <v>33</v>
      </c>
      <c r="N1282" s="1">
        <v>0</v>
      </c>
      <c r="O1282" s="1">
        <v>1</v>
      </c>
      <c r="P1282" s="2">
        <v>1</v>
      </c>
      <c r="Q1282" s="68">
        <v>12</v>
      </c>
    </row>
    <row r="1283" spans="1:17" x14ac:dyDescent="0.25">
      <c r="A1283" s="10">
        <v>197</v>
      </c>
      <c r="B1283" s="10">
        <v>21</v>
      </c>
      <c r="C1283" s="10">
        <v>0</v>
      </c>
      <c r="D1283" s="10">
        <v>2</v>
      </c>
      <c r="E1283" s="10">
        <v>1</v>
      </c>
      <c r="F1283" s="10">
        <v>1</v>
      </c>
      <c r="L1283" s="1">
        <v>305</v>
      </c>
      <c r="M1283" s="1">
        <v>33</v>
      </c>
      <c r="N1283" s="1">
        <v>0</v>
      </c>
      <c r="O1283" s="1">
        <v>1</v>
      </c>
      <c r="P1283" s="2">
        <v>1</v>
      </c>
      <c r="Q1283" s="67">
        <v>14</v>
      </c>
    </row>
    <row r="1284" spans="1:17" x14ac:dyDescent="0.25">
      <c r="A1284" s="10">
        <v>198</v>
      </c>
      <c r="B1284" s="10">
        <v>21</v>
      </c>
      <c r="C1284" s="10">
        <v>0</v>
      </c>
      <c r="D1284" s="10">
        <v>2</v>
      </c>
      <c r="E1284" s="10">
        <v>1</v>
      </c>
      <c r="F1284" s="10">
        <v>1</v>
      </c>
      <c r="L1284" s="1">
        <v>306</v>
      </c>
      <c r="M1284" s="1">
        <v>33</v>
      </c>
      <c r="N1284" s="1">
        <v>0</v>
      </c>
      <c r="O1284" s="1">
        <v>1</v>
      </c>
      <c r="P1284" s="2">
        <v>1</v>
      </c>
      <c r="Q1284" s="68">
        <v>8</v>
      </c>
    </row>
    <row r="1285" spans="1:17" x14ac:dyDescent="0.25">
      <c r="A1285" s="10">
        <v>199</v>
      </c>
      <c r="B1285" s="10">
        <v>22</v>
      </c>
      <c r="C1285" s="10">
        <v>0</v>
      </c>
      <c r="D1285" s="10">
        <v>2</v>
      </c>
      <c r="E1285" s="10">
        <v>1</v>
      </c>
      <c r="F1285" s="10">
        <v>1</v>
      </c>
      <c r="L1285" s="1">
        <v>307</v>
      </c>
      <c r="M1285" s="1">
        <v>33</v>
      </c>
      <c r="N1285" s="1">
        <v>0</v>
      </c>
      <c r="O1285" s="1">
        <v>1</v>
      </c>
      <c r="P1285" s="2">
        <v>1</v>
      </c>
      <c r="Q1285" s="67">
        <v>5</v>
      </c>
    </row>
    <row r="1286" spans="1:17" x14ac:dyDescent="0.25">
      <c r="A1286" s="10">
        <v>200</v>
      </c>
      <c r="B1286" s="10">
        <v>22</v>
      </c>
      <c r="C1286" s="10">
        <v>0</v>
      </c>
      <c r="D1286" s="10">
        <v>2</v>
      </c>
      <c r="E1286" s="10">
        <v>1</v>
      </c>
      <c r="F1286" s="10">
        <v>1</v>
      </c>
      <c r="L1286" s="1">
        <v>308</v>
      </c>
      <c r="M1286" s="1">
        <v>33</v>
      </c>
      <c r="N1286" s="1">
        <v>0</v>
      </c>
      <c r="O1286" s="1">
        <v>1</v>
      </c>
      <c r="P1286" s="2">
        <v>1</v>
      </c>
      <c r="Q1286" s="68">
        <v>3</v>
      </c>
    </row>
    <row r="1287" spans="1:17" x14ac:dyDescent="0.25">
      <c r="A1287" s="10">
        <v>201</v>
      </c>
      <c r="B1287" s="10">
        <v>22</v>
      </c>
      <c r="C1287" s="10">
        <v>0</v>
      </c>
      <c r="D1287" s="10">
        <v>2</v>
      </c>
      <c r="E1287" s="10">
        <v>1</v>
      </c>
      <c r="F1287" s="10">
        <v>1</v>
      </c>
      <c r="L1287" s="1">
        <v>309</v>
      </c>
      <c r="M1287" s="1">
        <v>33</v>
      </c>
      <c r="N1287" s="1">
        <v>0</v>
      </c>
      <c r="O1287" s="1">
        <v>1</v>
      </c>
      <c r="P1287" s="2">
        <v>1</v>
      </c>
      <c r="Q1287" s="67">
        <v>1</v>
      </c>
    </row>
    <row r="1288" spans="1:17" x14ac:dyDescent="0.25">
      <c r="A1288" s="10">
        <v>202</v>
      </c>
      <c r="B1288" s="10">
        <v>22</v>
      </c>
      <c r="C1288" s="10">
        <v>0</v>
      </c>
      <c r="D1288" s="10">
        <v>2</v>
      </c>
      <c r="E1288" s="10">
        <v>1</v>
      </c>
      <c r="F1288" s="10">
        <v>1</v>
      </c>
      <c r="L1288" s="1">
        <v>310</v>
      </c>
      <c r="M1288" s="1">
        <v>33</v>
      </c>
      <c r="N1288" s="1">
        <v>0</v>
      </c>
      <c r="O1288" s="1">
        <v>1</v>
      </c>
      <c r="P1288" s="2">
        <v>1</v>
      </c>
      <c r="Q1288" s="68">
        <v>2</v>
      </c>
    </row>
    <row r="1289" spans="1:17" x14ac:dyDescent="0.25">
      <c r="A1289" s="10">
        <v>203</v>
      </c>
      <c r="B1289" s="10">
        <v>22</v>
      </c>
      <c r="C1289" s="10">
        <v>0</v>
      </c>
      <c r="D1289" s="10">
        <v>2</v>
      </c>
      <c r="E1289" s="10">
        <v>1</v>
      </c>
      <c r="F1289" s="10">
        <v>1</v>
      </c>
      <c r="L1289" s="1">
        <v>311</v>
      </c>
      <c r="M1289" s="1">
        <v>34</v>
      </c>
      <c r="N1289" s="1">
        <v>0</v>
      </c>
      <c r="O1289" s="1">
        <v>1</v>
      </c>
      <c r="P1289" s="2">
        <v>1</v>
      </c>
      <c r="Q1289" s="67">
        <v>3</v>
      </c>
    </row>
    <row r="1290" spans="1:17" x14ac:dyDescent="0.25">
      <c r="A1290" s="10">
        <v>204</v>
      </c>
      <c r="B1290" s="10">
        <v>22</v>
      </c>
      <c r="C1290" s="10">
        <v>0</v>
      </c>
      <c r="D1290" s="10">
        <v>2</v>
      </c>
      <c r="E1290" s="10">
        <v>1</v>
      </c>
      <c r="F1290" s="10">
        <v>1</v>
      </c>
      <c r="L1290" s="1">
        <v>312</v>
      </c>
      <c r="M1290" s="1">
        <v>34</v>
      </c>
      <c r="N1290" s="1">
        <v>0</v>
      </c>
      <c r="O1290" s="1">
        <v>1</v>
      </c>
      <c r="P1290" s="2">
        <v>1</v>
      </c>
      <c r="Q1290" s="68">
        <v>6</v>
      </c>
    </row>
    <row r="1291" spans="1:17" x14ac:dyDescent="0.25">
      <c r="A1291" s="10">
        <v>205</v>
      </c>
      <c r="B1291" s="10">
        <v>22</v>
      </c>
      <c r="C1291" s="10">
        <v>0</v>
      </c>
      <c r="D1291" s="10">
        <v>2</v>
      </c>
      <c r="E1291" s="10">
        <v>1</v>
      </c>
      <c r="F1291" s="10">
        <v>1</v>
      </c>
      <c r="L1291" s="1">
        <v>313</v>
      </c>
      <c r="M1291" s="1">
        <v>34</v>
      </c>
      <c r="N1291" s="1">
        <v>0</v>
      </c>
      <c r="O1291" s="1">
        <v>1</v>
      </c>
      <c r="P1291" s="2">
        <v>1</v>
      </c>
      <c r="Q1291" s="67">
        <v>4</v>
      </c>
    </row>
    <row r="1292" spans="1:17" x14ac:dyDescent="0.25">
      <c r="A1292" s="10">
        <v>206</v>
      </c>
      <c r="B1292" s="10">
        <v>22</v>
      </c>
      <c r="C1292" s="10">
        <v>0</v>
      </c>
      <c r="D1292" s="10">
        <v>2</v>
      </c>
      <c r="E1292" s="10">
        <v>1</v>
      </c>
      <c r="F1292" s="10">
        <v>1</v>
      </c>
      <c r="L1292" s="1">
        <v>314</v>
      </c>
      <c r="M1292" s="1">
        <v>34</v>
      </c>
      <c r="N1292" s="1">
        <v>0</v>
      </c>
      <c r="O1292" s="1">
        <v>1</v>
      </c>
      <c r="P1292" s="2">
        <v>1</v>
      </c>
      <c r="Q1292" s="68">
        <v>3</v>
      </c>
    </row>
    <row r="1293" spans="1:17" x14ac:dyDescent="0.25">
      <c r="A1293" s="10">
        <v>207</v>
      </c>
      <c r="B1293" s="10">
        <v>22</v>
      </c>
      <c r="C1293" s="10">
        <v>0</v>
      </c>
      <c r="D1293" s="10">
        <v>2</v>
      </c>
      <c r="E1293" s="10">
        <v>1</v>
      </c>
      <c r="F1293" s="10">
        <v>1</v>
      </c>
      <c r="L1293" s="1">
        <v>315</v>
      </c>
      <c r="M1293" s="1">
        <v>34</v>
      </c>
      <c r="N1293" s="1">
        <v>0</v>
      </c>
      <c r="O1293" s="1">
        <v>1</v>
      </c>
      <c r="P1293" s="2">
        <v>1</v>
      </c>
      <c r="Q1293" s="67">
        <v>3</v>
      </c>
    </row>
    <row r="1294" spans="1:17" x14ac:dyDescent="0.25">
      <c r="A1294" s="10">
        <v>208</v>
      </c>
      <c r="B1294" s="10">
        <v>22</v>
      </c>
      <c r="C1294" s="10">
        <v>0</v>
      </c>
      <c r="D1294" s="10">
        <v>2</v>
      </c>
      <c r="E1294" s="10">
        <v>1</v>
      </c>
      <c r="F1294" s="10">
        <v>1</v>
      </c>
      <c r="L1294" s="1">
        <v>316</v>
      </c>
      <c r="M1294" s="1">
        <v>34</v>
      </c>
      <c r="N1294" s="1">
        <v>0</v>
      </c>
      <c r="O1294" s="1">
        <v>1</v>
      </c>
      <c r="P1294" s="2">
        <v>1</v>
      </c>
      <c r="Q1294" s="68">
        <v>0</v>
      </c>
    </row>
    <row r="1295" spans="1:17" x14ac:dyDescent="0.25">
      <c r="A1295" s="10">
        <v>209</v>
      </c>
      <c r="B1295" s="10">
        <v>23</v>
      </c>
      <c r="C1295" s="10">
        <v>0</v>
      </c>
      <c r="D1295" s="10">
        <v>2</v>
      </c>
      <c r="E1295" s="10">
        <v>1</v>
      </c>
      <c r="F1295" s="10">
        <v>1</v>
      </c>
      <c r="L1295" s="1">
        <v>317</v>
      </c>
      <c r="M1295" s="1">
        <v>34</v>
      </c>
      <c r="N1295" s="1">
        <v>0</v>
      </c>
      <c r="O1295" s="1">
        <v>1</v>
      </c>
      <c r="P1295" s="2">
        <v>1</v>
      </c>
      <c r="Q1295" s="67">
        <v>2</v>
      </c>
    </row>
    <row r="1296" spans="1:17" x14ac:dyDescent="0.25">
      <c r="A1296" s="10">
        <v>210</v>
      </c>
      <c r="B1296" s="10">
        <v>23</v>
      </c>
      <c r="C1296" s="10">
        <v>0</v>
      </c>
      <c r="D1296" s="10">
        <v>2</v>
      </c>
      <c r="E1296" s="10">
        <v>1</v>
      </c>
      <c r="F1296" s="10">
        <v>1</v>
      </c>
      <c r="L1296" s="1">
        <v>318</v>
      </c>
      <c r="M1296" s="1">
        <v>34</v>
      </c>
      <c r="N1296" s="1">
        <v>0</v>
      </c>
      <c r="O1296" s="1">
        <v>1</v>
      </c>
      <c r="P1296" s="2">
        <v>1</v>
      </c>
      <c r="Q1296" s="68">
        <v>1</v>
      </c>
    </row>
    <row r="1297" spans="1:17" x14ac:dyDescent="0.25">
      <c r="A1297" s="10">
        <v>211</v>
      </c>
      <c r="B1297" s="10">
        <v>23</v>
      </c>
      <c r="C1297" s="10">
        <v>0</v>
      </c>
      <c r="D1297" s="10">
        <v>2</v>
      </c>
      <c r="E1297" s="10">
        <v>1</v>
      </c>
      <c r="F1297" s="10">
        <v>1</v>
      </c>
      <c r="L1297" s="1">
        <v>319</v>
      </c>
      <c r="M1297" s="1">
        <v>34</v>
      </c>
      <c r="N1297" s="1">
        <v>0</v>
      </c>
      <c r="O1297" s="1">
        <v>1</v>
      </c>
      <c r="P1297" s="2">
        <v>1</v>
      </c>
      <c r="Q1297" s="67">
        <v>0</v>
      </c>
    </row>
    <row r="1298" spans="1:17" x14ac:dyDescent="0.25">
      <c r="A1298" s="10">
        <v>212</v>
      </c>
      <c r="B1298" s="10">
        <v>23</v>
      </c>
      <c r="C1298" s="10">
        <v>0</v>
      </c>
      <c r="D1298" s="10">
        <v>2</v>
      </c>
      <c r="E1298" s="10">
        <v>1</v>
      </c>
      <c r="F1298" s="10">
        <v>1</v>
      </c>
      <c r="L1298" s="1">
        <v>320</v>
      </c>
      <c r="M1298" s="1">
        <v>34</v>
      </c>
      <c r="N1298" s="1">
        <v>0</v>
      </c>
      <c r="O1298" s="1">
        <v>1</v>
      </c>
      <c r="P1298" s="2">
        <v>1</v>
      </c>
      <c r="Q1298" s="68">
        <v>1</v>
      </c>
    </row>
    <row r="1299" spans="1:17" x14ac:dyDescent="0.25">
      <c r="A1299" s="10">
        <v>213</v>
      </c>
      <c r="B1299" s="10">
        <v>23</v>
      </c>
      <c r="C1299" s="10">
        <v>0</v>
      </c>
      <c r="D1299" s="10">
        <v>2</v>
      </c>
      <c r="E1299" s="10">
        <v>1</v>
      </c>
      <c r="F1299" s="10">
        <v>1</v>
      </c>
      <c r="L1299" s="1">
        <v>321</v>
      </c>
      <c r="M1299" s="1">
        <v>35</v>
      </c>
      <c r="N1299" s="1">
        <v>0</v>
      </c>
      <c r="O1299" s="1">
        <v>1</v>
      </c>
      <c r="P1299" s="2">
        <v>1</v>
      </c>
      <c r="Q1299" s="67">
        <v>5</v>
      </c>
    </row>
    <row r="1300" spans="1:17" x14ac:dyDescent="0.25">
      <c r="A1300" s="10">
        <v>214</v>
      </c>
      <c r="B1300" s="10">
        <v>23</v>
      </c>
      <c r="C1300" s="10">
        <v>0</v>
      </c>
      <c r="D1300" s="10">
        <v>2</v>
      </c>
      <c r="E1300" s="10">
        <v>1</v>
      </c>
      <c r="F1300" s="10">
        <v>1</v>
      </c>
      <c r="L1300" s="1">
        <v>322</v>
      </c>
      <c r="M1300" s="1">
        <v>35</v>
      </c>
      <c r="N1300" s="1">
        <v>0</v>
      </c>
      <c r="O1300" s="1">
        <v>1</v>
      </c>
      <c r="P1300" s="2">
        <v>1</v>
      </c>
      <c r="Q1300" s="68">
        <v>2</v>
      </c>
    </row>
    <row r="1301" spans="1:17" x14ac:dyDescent="0.25">
      <c r="A1301" s="10">
        <v>215</v>
      </c>
      <c r="B1301" s="10">
        <v>23</v>
      </c>
      <c r="C1301" s="10">
        <v>0</v>
      </c>
      <c r="D1301" s="10">
        <v>2</v>
      </c>
      <c r="E1301" s="10">
        <v>1</v>
      </c>
      <c r="F1301" s="10">
        <v>1</v>
      </c>
      <c r="L1301" s="1">
        <v>323</v>
      </c>
      <c r="M1301" s="1">
        <v>35</v>
      </c>
      <c r="N1301" s="1">
        <v>0</v>
      </c>
      <c r="O1301" s="1">
        <v>1</v>
      </c>
      <c r="P1301" s="2">
        <v>1</v>
      </c>
      <c r="Q1301" s="67">
        <v>11</v>
      </c>
    </row>
    <row r="1302" spans="1:17" x14ac:dyDescent="0.25">
      <c r="A1302" s="10">
        <v>216</v>
      </c>
      <c r="B1302" s="10">
        <v>23</v>
      </c>
      <c r="C1302" s="10">
        <v>0</v>
      </c>
      <c r="D1302" s="10">
        <v>2</v>
      </c>
      <c r="E1302" s="10">
        <v>1</v>
      </c>
      <c r="F1302" s="10">
        <v>1</v>
      </c>
      <c r="L1302" s="1">
        <v>324</v>
      </c>
      <c r="M1302" s="1">
        <v>35</v>
      </c>
      <c r="N1302" s="1">
        <v>0</v>
      </c>
      <c r="O1302" s="1">
        <v>1</v>
      </c>
      <c r="P1302" s="2">
        <v>1</v>
      </c>
      <c r="Q1302" s="68">
        <v>8</v>
      </c>
    </row>
    <row r="1303" spans="1:17" x14ac:dyDescent="0.25">
      <c r="A1303" s="10">
        <v>217</v>
      </c>
      <c r="B1303" s="10">
        <v>23</v>
      </c>
      <c r="C1303" s="10">
        <v>0</v>
      </c>
      <c r="D1303" s="10">
        <v>2</v>
      </c>
      <c r="E1303" s="10">
        <v>1</v>
      </c>
      <c r="F1303" s="10">
        <v>1</v>
      </c>
      <c r="L1303" s="1">
        <v>325</v>
      </c>
      <c r="M1303" s="1">
        <v>35</v>
      </c>
      <c r="N1303" s="1">
        <v>0</v>
      </c>
      <c r="O1303" s="1">
        <v>1</v>
      </c>
      <c r="P1303" s="2">
        <v>1</v>
      </c>
      <c r="Q1303" s="67">
        <v>6</v>
      </c>
    </row>
    <row r="1304" spans="1:17" x14ac:dyDescent="0.25">
      <c r="A1304" s="10">
        <v>218</v>
      </c>
      <c r="B1304" s="10">
        <v>23</v>
      </c>
      <c r="C1304" s="10">
        <v>0</v>
      </c>
      <c r="D1304" s="10">
        <v>2</v>
      </c>
      <c r="E1304" s="10">
        <v>1</v>
      </c>
      <c r="F1304" s="10">
        <v>1</v>
      </c>
      <c r="L1304" s="1">
        <v>326</v>
      </c>
      <c r="M1304" s="1">
        <v>35</v>
      </c>
      <c r="N1304" s="1">
        <v>0</v>
      </c>
      <c r="O1304" s="1">
        <v>1</v>
      </c>
      <c r="P1304" s="2">
        <v>1</v>
      </c>
      <c r="Q1304" s="68">
        <v>9</v>
      </c>
    </row>
    <row r="1305" spans="1:17" x14ac:dyDescent="0.25">
      <c r="A1305" s="10">
        <v>219</v>
      </c>
      <c r="B1305" s="10">
        <v>24</v>
      </c>
      <c r="C1305" s="10">
        <v>0</v>
      </c>
      <c r="D1305" s="10">
        <v>2</v>
      </c>
      <c r="E1305" s="10">
        <v>1</v>
      </c>
      <c r="F1305" s="10">
        <v>1</v>
      </c>
      <c r="L1305" s="1">
        <v>327</v>
      </c>
      <c r="M1305" s="1">
        <v>35</v>
      </c>
      <c r="N1305" s="1">
        <v>0</v>
      </c>
      <c r="O1305" s="1">
        <v>1</v>
      </c>
      <c r="P1305" s="2">
        <v>1</v>
      </c>
      <c r="Q1305" s="67">
        <v>8</v>
      </c>
    </row>
    <row r="1306" spans="1:17" x14ac:dyDescent="0.25">
      <c r="A1306" s="10">
        <v>220</v>
      </c>
      <c r="B1306" s="10">
        <v>24</v>
      </c>
      <c r="C1306" s="10">
        <v>0</v>
      </c>
      <c r="D1306" s="10">
        <v>2</v>
      </c>
      <c r="E1306" s="10">
        <v>1</v>
      </c>
      <c r="F1306" s="10">
        <v>1</v>
      </c>
      <c r="L1306" s="1">
        <v>328</v>
      </c>
      <c r="M1306" s="1">
        <v>35</v>
      </c>
      <c r="N1306" s="1">
        <v>0</v>
      </c>
      <c r="O1306" s="1">
        <v>1</v>
      </c>
      <c r="P1306" s="2">
        <v>1</v>
      </c>
      <c r="Q1306" s="68">
        <v>9</v>
      </c>
    </row>
    <row r="1307" spans="1:17" x14ac:dyDescent="0.25">
      <c r="A1307" s="10">
        <v>221</v>
      </c>
      <c r="B1307" s="10">
        <v>24</v>
      </c>
      <c r="C1307" s="10">
        <v>0</v>
      </c>
      <c r="D1307" s="10">
        <v>2</v>
      </c>
      <c r="E1307" s="10">
        <v>1</v>
      </c>
      <c r="F1307" s="10">
        <v>1</v>
      </c>
      <c r="L1307" s="1">
        <v>329</v>
      </c>
      <c r="M1307" s="1">
        <v>35</v>
      </c>
      <c r="N1307" s="1">
        <v>0</v>
      </c>
      <c r="O1307" s="1">
        <v>1</v>
      </c>
      <c r="P1307" s="2">
        <v>1</v>
      </c>
      <c r="Q1307" s="67">
        <v>4</v>
      </c>
    </row>
    <row r="1308" spans="1:17" x14ac:dyDescent="0.25">
      <c r="A1308" s="10">
        <v>222</v>
      </c>
      <c r="B1308" s="10">
        <v>24</v>
      </c>
      <c r="C1308" s="10">
        <v>0</v>
      </c>
      <c r="D1308" s="10">
        <v>2</v>
      </c>
      <c r="E1308" s="10">
        <v>1</v>
      </c>
      <c r="F1308" s="10">
        <v>1</v>
      </c>
      <c r="L1308" s="1">
        <v>330</v>
      </c>
      <c r="M1308" s="1">
        <v>35</v>
      </c>
      <c r="N1308" s="1">
        <v>0</v>
      </c>
      <c r="O1308" s="1">
        <v>1</v>
      </c>
      <c r="P1308" s="2">
        <v>1</v>
      </c>
      <c r="Q1308" s="68">
        <v>0</v>
      </c>
    </row>
    <row r="1309" spans="1:17" x14ac:dyDescent="0.25">
      <c r="A1309" s="10">
        <v>223</v>
      </c>
      <c r="B1309" s="10">
        <v>24</v>
      </c>
      <c r="C1309" s="10">
        <v>0</v>
      </c>
      <c r="D1309" s="10">
        <v>2</v>
      </c>
      <c r="E1309" s="10">
        <v>1</v>
      </c>
      <c r="F1309" s="10">
        <v>1</v>
      </c>
      <c r="L1309" s="1">
        <v>331</v>
      </c>
      <c r="M1309" s="1">
        <v>36</v>
      </c>
      <c r="N1309" s="1">
        <v>0</v>
      </c>
      <c r="O1309" s="1">
        <v>1</v>
      </c>
      <c r="P1309" s="2">
        <v>1</v>
      </c>
      <c r="Q1309" s="67">
        <v>0</v>
      </c>
    </row>
    <row r="1310" spans="1:17" x14ac:dyDescent="0.25">
      <c r="A1310" s="10">
        <v>224</v>
      </c>
      <c r="B1310" s="10">
        <v>24</v>
      </c>
      <c r="C1310" s="10">
        <v>0</v>
      </c>
      <c r="D1310" s="10">
        <v>2</v>
      </c>
      <c r="E1310" s="10">
        <v>1</v>
      </c>
      <c r="F1310" s="10">
        <v>1</v>
      </c>
      <c r="L1310" s="1">
        <v>332</v>
      </c>
      <c r="M1310" s="1">
        <v>36</v>
      </c>
      <c r="N1310" s="1">
        <v>0</v>
      </c>
      <c r="O1310" s="1">
        <v>1</v>
      </c>
      <c r="P1310" s="2">
        <v>1</v>
      </c>
      <c r="Q1310" s="68">
        <v>0</v>
      </c>
    </row>
    <row r="1311" spans="1:17" x14ac:dyDescent="0.25">
      <c r="A1311" s="10">
        <v>225</v>
      </c>
      <c r="B1311" s="10">
        <v>24</v>
      </c>
      <c r="C1311" s="10">
        <v>0</v>
      </c>
      <c r="D1311" s="10">
        <v>2</v>
      </c>
      <c r="E1311" s="10">
        <v>1</v>
      </c>
      <c r="F1311" s="10">
        <v>1</v>
      </c>
      <c r="L1311" s="1">
        <v>333</v>
      </c>
      <c r="M1311" s="1">
        <v>36</v>
      </c>
      <c r="N1311" s="1">
        <v>0</v>
      </c>
      <c r="O1311" s="1">
        <v>1</v>
      </c>
      <c r="P1311" s="2">
        <v>1</v>
      </c>
      <c r="Q1311" s="67">
        <v>0</v>
      </c>
    </row>
    <row r="1312" spans="1:17" x14ac:dyDescent="0.25">
      <c r="A1312" s="10">
        <v>226</v>
      </c>
      <c r="B1312" s="10">
        <v>24</v>
      </c>
      <c r="C1312" s="10">
        <v>0</v>
      </c>
      <c r="D1312" s="10">
        <v>2</v>
      </c>
      <c r="E1312" s="10">
        <v>1</v>
      </c>
      <c r="F1312" s="10">
        <v>1</v>
      </c>
      <c r="L1312" s="1">
        <v>334</v>
      </c>
      <c r="M1312" s="1">
        <v>36</v>
      </c>
      <c r="N1312" s="1">
        <v>0</v>
      </c>
      <c r="O1312" s="1">
        <v>1</v>
      </c>
      <c r="P1312" s="2">
        <v>1</v>
      </c>
      <c r="Q1312" s="68">
        <v>1</v>
      </c>
    </row>
    <row r="1313" spans="1:17" x14ac:dyDescent="0.25">
      <c r="A1313" s="10">
        <v>227</v>
      </c>
      <c r="B1313" s="10">
        <v>24</v>
      </c>
      <c r="C1313" s="10">
        <v>0</v>
      </c>
      <c r="D1313" s="10">
        <v>2</v>
      </c>
      <c r="E1313" s="10">
        <v>1</v>
      </c>
      <c r="F1313" s="10">
        <v>1</v>
      </c>
      <c r="L1313" s="1">
        <v>335</v>
      </c>
      <c r="M1313" s="1">
        <v>36</v>
      </c>
      <c r="N1313" s="1">
        <v>0</v>
      </c>
      <c r="O1313" s="1">
        <v>1</v>
      </c>
      <c r="P1313" s="2">
        <v>1</v>
      </c>
      <c r="Q1313" s="67">
        <v>1</v>
      </c>
    </row>
    <row r="1314" spans="1:17" x14ac:dyDescent="0.25">
      <c r="A1314" s="10">
        <v>228</v>
      </c>
      <c r="B1314" s="10">
        <v>24</v>
      </c>
      <c r="C1314" s="10">
        <v>0</v>
      </c>
      <c r="D1314" s="10">
        <v>2</v>
      </c>
      <c r="E1314" s="10">
        <v>1</v>
      </c>
      <c r="F1314" s="10">
        <v>1</v>
      </c>
      <c r="L1314" s="1">
        <v>336</v>
      </c>
      <c r="M1314" s="1">
        <v>36</v>
      </c>
      <c r="N1314" s="1">
        <v>0</v>
      </c>
      <c r="O1314" s="1">
        <v>1</v>
      </c>
      <c r="P1314" s="2">
        <v>1</v>
      </c>
      <c r="Q1314" s="68">
        <v>0</v>
      </c>
    </row>
    <row r="1315" spans="1:17" x14ac:dyDescent="0.25">
      <c r="A1315" s="10">
        <v>229</v>
      </c>
      <c r="B1315" s="10">
        <v>25</v>
      </c>
      <c r="C1315" s="10">
        <v>0</v>
      </c>
      <c r="D1315" s="10">
        <v>2</v>
      </c>
      <c r="E1315" s="10">
        <v>1</v>
      </c>
      <c r="F1315" s="10">
        <v>1</v>
      </c>
      <c r="L1315" s="1">
        <v>337</v>
      </c>
      <c r="M1315" s="1">
        <v>36</v>
      </c>
      <c r="N1315" s="1">
        <v>0</v>
      </c>
      <c r="O1315" s="1">
        <v>1</v>
      </c>
      <c r="P1315" s="2">
        <v>1</v>
      </c>
      <c r="Q1315" s="67">
        <v>0</v>
      </c>
    </row>
    <row r="1316" spans="1:17" x14ac:dyDescent="0.25">
      <c r="A1316" s="10">
        <v>230</v>
      </c>
      <c r="B1316" s="10">
        <v>25</v>
      </c>
      <c r="C1316" s="10">
        <v>0</v>
      </c>
      <c r="D1316" s="10">
        <v>2</v>
      </c>
      <c r="E1316" s="10">
        <v>1</v>
      </c>
      <c r="F1316" s="10">
        <v>1</v>
      </c>
      <c r="L1316" s="1">
        <v>338</v>
      </c>
      <c r="M1316" s="1">
        <v>36</v>
      </c>
      <c r="N1316" s="1">
        <v>0</v>
      </c>
      <c r="O1316" s="1">
        <v>1</v>
      </c>
      <c r="P1316" s="2">
        <v>1</v>
      </c>
      <c r="Q1316" s="68">
        <v>0</v>
      </c>
    </row>
    <row r="1317" spans="1:17" x14ac:dyDescent="0.25">
      <c r="A1317" s="10">
        <v>231</v>
      </c>
      <c r="B1317" s="10">
        <v>25</v>
      </c>
      <c r="C1317" s="10">
        <v>0</v>
      </c>
      <c r="D1317" s="10">
        <v>2</v>
      </c>
      <c r="E1317" s="10">
        <v>1</v>
      </c>
      <c r="F1317" s="10">
        <v>1</v>
      </c>
      <c r="L1317" s="1">
        <v>339</v>
      </c>
      <c r="M1317" s="1">
        <v>37</v>
      </c>
      <c r="N1317" s="1">
        <v>0</v>
      </c>
      <c r="O1317" s="1">
        <v>1</v>
      </c>
      <c r="P1317" s="2">
        <v>1</v>
      </c>
      <c r="Q1317" s="67">
        <v>6</v>
      </c>
    </row>
    <row r="1318" spans="1:17" x14ac:dyDescent="0.25">
      <c r="A1318" s="10">
        <v>232</v>
      </c>
      <c r="B1318" s="10">
        <v>25</v>
      </c>
      <c r="C1318" s="10">
        <v>0</v>
      </c>
      <c r="D1318" s="10">
        <v>2</v>
      </c>
      <c r="E1318" s="10">
        <v>1</v>
      </c>
      <c r="F1318" s="10">
        <v>1</v>
      </c>
      <c r="L1318" s="1">
        <v>340</v>
      </c>
      <c r="M1318" s="1">
        <v>37</v>
      </c>
      <c r="N1318" s="1">
        <v>0</v>
      </c>
      <c r="O1318" s="1">
        <v>1</v>
      </c>
      <c r="P1318" s="2">
        <v>1</v>
      </c>
      <c r="Q1318" s="68">
        <v>3</v>
      </c>
    </row>
    <row r="1319" spans="1:17" x14ac:dyDescent="0.25">
      <c r="A1319" s="10">
        <v>233</v>
      </c>
      <c r="B1319" s="10">
        <v>25</v>
      </c>
      <c r="C1319" s="10">
        <v>0</v>
      </c>
      <c r="D1319" s="10">
        <v>2</v>
      </c>
      <c r="E1319" s="10">
        <v>1</v>
      </c>
      <c r="F1319" s="10">
        <v>1</v>
      </c>
      <c r="L1319" s="1">
        <v>341</v>
      </c>
      <c r="M1319" s="1">
        <v>37</v>
      </c>
      <c r="N1319" s="1">
        <v>0</v>
      </c>
      <c r="O1319" s="1">
        <v>1</v>
      </c>
      <c r="P1319" s="2">
        <v>1</v>
      </c>
      <c r="Q1319" s="67">
        <v>6</v>
      </c>
    </row>
    <row r="1320" spans="1:17" x14ac:dyDescent="0.25">
      <c r="A1320" s="10">
        <v>234</v>
      </c>
      <c r="B1320" s="10">
        <v>25</v>
      </c>
      <c r="C1320" s="10">
        <v>0</v>
      </c>
      <c r="D1320" s="10">
        <v>2</v>
      </c>
      <c r="E1320" s="10">
        <v>1</v>
      </c>
      <c r="F1320" s="10">
        <v>1</v>
      </c>
      <c r="L1320" s="1">
        <v>342</v>
      </c>
      <c r="M1320" s="1">
        <v>37</v>
      </c>
      <c r="N1320" s="1">
        <v>0</v>
      </c>
      <c r="O1320" s="1">
        <v>1</v>
      </c>
      <c r="P1320" s="2">
        <v>1</v>
      </c>
      <c r="Q1320" s="68">
        <v>4</v>
      </c>
    </row>
    <row r="1321" spans="1:17" x14ac:dyDescent="0.25">
      <c r="A1321" s="10">
        <v>235</v>
      </c>
      <c r="B1321" s="10">
        <v>25</v>
      </c>
      <c r="C1321" s="10">
        <v>0</v>
      </c>
      <c r="D1321" s="10">
        <v>2</v>
      </c>
      <c r="E1321" s="10">
        <v>1</v>
      </c>
      <c r="F1321" s="10">
        <v>1</v>
      </c>
      <c r="L1321" s="1">
        <v>343</v>
      </c>
      <c r="M1321" s="1">
        <v>37</v>
      </c>
      <c r="N1321" s="1">
        <v>0</v>
      </c>
      <c r="O1321" s="1">
        <v>1</v>
      </c>
      <c r="P1321" s="2">
        <v>1</v>
      </c>
      <c r="Q1321" s="67">
        <v>12</v>
      </c>
    </row>
    <row r="1322" spans="1:17" x14ac:dyDescent="0.25">
      <c r="A1322" s="10">
        <v>236</v>
      </c>
      <c r="B1322" s="10">
        <v>25</v>
      </c>
      <c r="C1322" s="10">
        <v>0</v>
      </c>
      <c r="D1322" s="10">
        <v>2</v>
      </c>
      <c r="E1322" s="10">
        <v>1</v>
      </c>
      <c r="F1322" s="10">
        <v>1</v>
      </c>
      <c r="L1322" s="1">
        <v>344</v>
      </c>
      <c r="M1322" s="1">
        <v>37</v>
      </c>
      <c r="N1322" s="1">
        <v>0</v>
      </c>
      <c r="O1322" s="1">
        <v>1</v>
      </c>
      <c r="P1322" s="2">
        <v>1</v>
      </c>
      <c r="Q1322" s="68">
        <v>5</v>
      </c>
    </row>
    <row r="1323" spans="1:17" x14ac:dyDescent="0.25">
      <c r="A1323" s="10">
        <v>237</v>
      </c>
      <c r="B1323" s="10">
        <v>26</v>
      </c>
      <c r="C1323" s="10">
        <v>0</v>
      </c>
      <c r="D1323" s="10">
        <v>2</v>
      </c>
      <c r="E1323" s="10">
        <v>1</v>
      </c>
      <c r="F1323" s="10">
        <v>1</v>
      </c>
      <c r="L1323" s="1">
        <v>345</v>
      </c>
      <c r="M1323" s="1">
        <v>37</v>
      </c>
      <c r="N1323" s="1">
        <v>0</v>
      </c>
      <c r="O1323" s="1">
        <v>1</v>
      </c>
      <c r="P1323" s="2">
        <v>1</v>
      </c>
      <c r="Q1323" s="67">
        <v>7</v>
      </c>
    </row>
    <row r="1324" spans="1:17" x14ac:dyDescent="0.25">
      <c r="A1324" s="10">
        <v>238</v>
      </c>
      <c r="B1324" s="10">
        <v>26</v>
      </c>
      <c r="C1324" s="10">
        <v>0</v>
      </c>
      <c r="D1324" s="10">
        <v>2</v>
      </c>
      <c r="E1324" s="10">
        <v>1</v>
      </c>
      <c r="F1324" s="10">
        <v>1</v>
      </c>
      <c r="L1324" s="1">
        <v>346</v>
      </c>
      <c r="M1324" s="1">
        <v>37</v>
      </c>
      <c r="N1324" s="1">
        <v>0</v>
      </c>
      <c r="O1324" s="1">
        <v>1</v>
      </c>
      <c r="P1324" s="2">
        <v>1</v>
      </c>
      <c r="Q1324" s="68">
        <v>3</v>
      </c>
    </row>
    <row r="1325" spans="1:17" x14ac:dyDescent="0.25">
      <c r="A1325" s="10">
        <v>239</v>
      </c>
      <c r="B1325" s="10">
        <v>26</v>
      </c>
      <c r="C1325" s="10">
        <v>0</v>
      </c>
      <c r="D1325" s="10">
        <v>2</v>
      </c>
      <c r="E1325" s="10">
        <v>1</v>
      </c>
      <c r="F1325" s="10">
        <v>1</v>
      </c>
      <c r="L1325" s="1">
        <v>347</v>
      </c>
      <c r="M1325" s="1">
        <v>38</v>
      </c>
      <c r="N1325" s="1">
        <v>0</v>
      </c>
      <c r="O1325" s="1">
        <v>1</v>
      </c>
      <c r="P1325" s="2">
        <v>1</v>
      </c>
      <c r="Q1325" s="67">
        <v>2</v>
      </c>
    </row>
    <row r="1326" spans="1:17" x14ac:dyDescent="0.25">
      <c r="A1326" s="10">
        <v>240</v>
      </c>
      <c r="B1326" s="10">
        <v>26</v>
      </c>
      <c r="C1326" s="10">
        <v>0</v>
      </c>
      <c r="D1326" s="10">
        <v>2</v>
      </c>
      <c r="E1326" s="10">
        <v>1</v>
      </c>
      <c r="F1326" s="10">
        <v>1</v>
      </c>
      <c r="L1326" s="1">
        <v>348</v>
      </c>
      <c r="M1326" s="1">
        <v>38</v>
      </c>
      <c r="N1326" s="1">
        <v>0</v>
      </c>
      <c r="O1326" s="1">
        <v>1</v>
      </c>
      <c r="P1326" s="2">
        <v>1</v>
      </c>
      <c r="Q1326" s="68">
        <v>4</v>
      </c>
    </row>
    <row r="1327" spans="1:17" x14ac:dyDescent="0.25">
      <c r="A1327" s="10">
        <v>241</v>
      </c>
      <c r="B1327" s="10">
        <v>26</v>
      </c>
      <c r="C1327" s="10">
        <v>0</v>
      </c>
      <c r="D1327" s="10">
        <v>2</v>
      </c>
      <c r="E1327" s="10">
        <v>1</v>
      </c>
      <c r="F1327" s="10">
        <v>1</v>
      </c>
      <c r="L1327" s="1">
        <v>349</v>
      </c>
      <c r="M1327" s="1">
        <v>38</v>
      </c>
      <c r="N1327" s="1">
        <v>0</v>
      </c>
      <c r="O1327" s="1">
        <v>1</v>
      </c>
      <c r="P1327" s="2">
        <v>1</v>
      </c>
      <c r="Q1327" s="67">
        <v>4</v>
      </c>
    </row>
    <row r="1328" spans="1:17" x14ac:dyDescent="0.25">
      <c r="A1328" s="10">
        <v>242</v>
      </c>
      <c r="B1328" s="10">
        <v>26</v>
      </c>
      <c r="C1328" s="10">
        <v>0</v>
      </c>
      <c r="D1328" s="10">
        <v>2</v>
      </c>
      <c r="E1328" s="10">
        <v>1</v>
      </c>
      <c r="F1328" s="10">
        <v>1</v>
      </c>
      <c r="L1328" s="1">
        <v>350</v>
      </c>
      <c r="M1328" s="1">
        <v>38</v>
      </c>
      <c r="N1328" s="1">
        <v>0</v>
      </c>
      <c r="O1328" s="1">
        <v>1</v>
      </c>
      <c r="P1328" s="2">
        <v>1</v>
      </c>
      <c r="Q1328" s="68">
        <v>4</v>
      </c>
    </row>
    <row r="1329" spans="1:17" x14ac:dyDescent="0.25">
      <c r="A1329" s="10">
        <v>243</v>
      </c>
      <c r="B1329" s="10">
        <v>26</v>
      </c>
      <c r="C1329" s="10">
        <v>0</v>
      </c>
      <c r="D1329" s="10">
        <v>2</v>
      </c>
      <c r="E1329" s="10">
        <v>1</v>
      </c>
      <c r="F1329" s="10">
        <v>1</v>
      </c>
      <c r="L1329" s="1">
        <v>351</v>
      </c>
      <c r="M1329" s="1">
        <v>38</v>
      </c>
      <c r="N1329" s="1">
        <v>0</v>
      </c>
      <c r="O1329" s="1">
        <v>1</v>
      </c>
      <c r="P1329" s="2">
        <v>1</v>
      </c>
      <c r="Q1329" s="67">
        <v>5</v>
      </c>
    </row>
    <row r="1330" spans="1:17" x14ac:dyDescent="0.25">
      <c r="A1330" s="10">
        <v>244</v>
      </c>
      <c r="B1330" s="10">
        <v>26</v>
      </c>
      <c r="C1330" s="10">
        <v>0</v>
      </c>
      <c r="D1330" s="10">
        <v>2</v>
      </c>
      <c r="E1330" s="10">
        <v>1</v>
      </c>
      <c r="F1330" s="10">
        <v>1</v>
      </c>
      <c r="L1330" s="1">
        <v>352</v>
      </c>
      <c r="M1330" s="1">
        <v>38</v>
      </c>
      <c r="N1330" s="1">
        <v>0</v>
      </c>
      <c r="O1330" s="1">
        <v>1</v>
      </c>
      <c r="P1330" s="2">
        <v>1</v>
      </c>
      <c r="Q1330" s="68">
        <v>6</v>
      </c>
    </row>
    <row r="1331" spans="1:17" x14ac:dyDescent="0.25">
      <c r="A1331" s="10">
        <v>245</v>
      </c>
      <c r="B1331" s="10">
        <v>26</v>
      </c>
      <c r="C1331" s="10">
        <v>0</v>
      </c>
      <c r="D1331" s="10">
        <v>2</v>
      </c>
      <c r="E1331" s="10">
        <v>1</v>
      </c>
      <c r="F1331" s="10">
        <v>1</v>
      </c>
      <c r="L1331" s="1">
        <v>353</v>
      </c>
      <c r="M1331" s="1">
        <v>38</v>
      </c>
      <c r="N1331" s="1">
        <v>0</v>
      </c>
      <c r="O1331" s="1">
        <v>1</v>
      </c>
      <c r="P1331" s="2">
        <v>1</v>
      </c>
      <c r="Q1331" s="67">
        <v>3</v>
      </c>
    </row>
    <row r="1332" spans="1:17" x14ac:dyDescent="0.25">
      <c r="A1332" s="10">
        <v>246</v>
      </c>
      <c r="B1332" s="10">
        <v>26</v>
      </c>
      <c r="C1332" s="10">
        <v>0</v>
      </c>
      <c r="D1332" s="10">
        <v>2</v>
      </c>
      <c r="E1332" s="10">
        <v>1</v>
      </c>
      <c r="F1332" s="10">
        <v>1</v>
      </c>
      <c r="L1332" s="1">
        <v>354</v>
      </c>
      <c r="M1332" s="1">
        <v>38</v>
      </c>
      <c r="N1332" s="1">
        <v>0</v>
      </c>
      <c r="O1332" s="1">
        <v>1</v>
      </c>
      <c r="P1332" s="2">
        <v>1</v>
      </c>
      <c r="Q1332" s="68">
        <v>4</v>
      </c>
    </row>
    <row r="1333" spans="1:17" x14ac:dyDescent="0.25">
      <c r="A1333" s="10">
        <v>247</v>
      </c>
      <c r="B1333" s="10">
        <v>27</v>
      </c>
      <c r="C1333" s="10">
        <v>0</v>
      </c>
      <c r="D1333" s="10">
        <v>2</v>
      </c>
      <c r="E1333" s="10">
        <v>1</v>
      </c>
      <c r="F1333" s="10">
        <v>1</v>
      </c>
      <c r="L1333" s="1">
        <v>355</v>
      </c>
      <c r="M1333" s="1">
        <v>38</v>
      </c>
      <c r="N1333" s="1">
        <v>0</v>
      </c>
      <c r="O1333" s="1">
        <v>1</v>
      </c>
      <c r="P1333" s="2">
        <v>1</v>
      </c>
      <c r="Q1333" s="67">
        <v>4</v>
      </c>
    </row>
    <row r="1334" spans="1:17" x14ac:dyDescent="0.25">
      <c r="A1334" s="10">
        <v>248</v>
      </c>
      <c r="B1334" s="10">
        <v>27</v>
      </c>
      <c r="C1334" s="10">
        <v>0</v>
      </c>
      <c r="D1334" s="10">
        <v>2</v>
      </c>
      <c r="E1334" s="10">
        <v>1</v>
      </c>
      <c r="F1334" s="10">
        <v>1</v>
      </c>
      <c r="L1334" s="1">
        <v>356</v>
      </c>
      <c r="M1334" s="1">
        <v>38</v>
      </c>
      <c r="N1334" s="1">
        <v>0</v>
      </c>
      <c r="O1334" s="1">
        <v>1</v>
      </c>
      <c r="P1334" s="2">
        <v>1</v>
      </c>
      <c r="Q1334" s="68">
        <v>2</v>
      </c>
    </row>
    <row r="1335" spans="1:17" x14ac:dyDescent="0.25">
      <c r="A1335" s="10">
        <v>249</v>
      </c>
      <c r="B1335" s="10">
        <v>27</v>
      </c>
      <c r="C1335" s="10">
        <v>0</v>
      </c>
      <c r="D1335" s="10">
        <v>2</v>
      </c>
      <c r="E1335" s="10">
        <v>1</v>
      </c>
      <c r="F1335" s="10">
        <v>1</v>
      </c>
      <c r="L1335" s="1">
        <v>357</v>
      </c>
      <c r="M1335" s="1">
        <v>39</v>
      </c>
      <c r="N1335" s="1">
        <v>0</v>
      </c>
      <c r="O1335" s="1">
        <v>1</v>
      </c>
      <c r="P1335" s="2">
        <v>1</v>
      </c>
      <c r="Q1335" s="67">
        <v>0</v>
      </c>
    </row>
    <row r="1336" spans="1:17" x14ac:dyDescent="0.25">
      <c r="A1336" s="10">
        <v>250</v>
      </c>
      <c r="B1336" s="10">
        <v>27</v>
      </c>
      <c r="C1336" s="10">
        <v>0</v>
      </c>
      <c r="D1336" s="10">
        <v>2</v>
      </c>
      <c r="E1336" s="10">
        <v>1</v>
      </c>
      <c r="F1336" s="10">
        <v>1</v>
      </c>
      <c r="L1336" s="1">
        <v>358</v>
      </c>
      <c r="M1336" s="1">
        <v>39</v>
      </c>
      <c r="N1336" s="1">
        <v>0</v>
      </c>
      <c r="O1336" s="1">
        <v>1</v>
      </c>
      <c r="P1336" s="2">
        <v>1</v>
      </c>
      <c r="Q1336" s="68">
        <v>1</v>
      </c>
    </row>
    <row r="1337" spans="1:17" x14ac:dyDescent="0.25">
      <c r="A1337" s="10">
        <v>251</v>
      </c>
      <c r="B1337" s="10">
        <v>27</v>
      </c>
      <c r="C1337" s="10">
        <v>0</v>
      </c>
      <c r="D1337" s="10">
        <v>2</v>
      </c>
      <c r="E1337" s="10">
        <v>1</v>
      </c>
      <c r="F1337" s="10">
        <v>1</v>
      </c>
      <c r="L1337" s="1">
        <v>359</v>
      </c>
      <c r="M1337" s="1">
        <v>39</v>
      </c>
      <c r="N1337" s="1">
        <v>0</v>
      </c>
      <c r="O1337" s="1">
        <v>1</v>
      </c>
      <c r="P1337" s="2">
        <v>1</v>
      </c>
      <c r="Q1337" s="67">
        <v>2</v>
      </c>
    </row>
    <row r="1338" spans="1:17" x14ac:dyDescent="0.25">
      <c r="A1338" s="10">
        <v>252</v>
      </c>
      <c r="B1338" s="10">
        <v>27</v>
      </c>
      <c r="C1338" s="10">
        <v>0</v>
      </c>
      <c r="D1338" s="10">
        <v>2</v>
      </c>
      <c r="E1338" s="10">
        <v>1</v>
      </c>
      <c r="F1338" s="10">
        <v>1</v>
      </c>
      <c r="L1338" s="1">
        <v>360</v>
      </c>
      <c r="M1338" s="1">
        <v>39</v>
      </c>
      <c r="N1338" s="1">
        <v>0</v>
      </c>
      <c r="O1338" s="1">
        <v>1</v>
      </c>
      <c r="P1338" s="2">
        <v>1</v>
      </c>
      <c r="Q1338" s="68">
        <v>4</v>
      </c>
    </row>
    <row r="1339" spans="1:17" x14ac:dyDescent="0.25">
      <c r="A1339" s="10">
        <v>253</v>
      </c>
      <c r="B1339" s="10">
        <v>27</v>
      </c>
      <c r="C1339" s="10">
        <v>0</v>
      </c>
      <c r="D1339" s="10">
        <v>2</v>
      </c>
      <c r="E1339" s="10">
        <v>1</v>
      </c>
      <c r="F1339" s="10">
        <v>1</v>
      </c>
      <c r="L1339" s="1">
        <v>361</v>
      </c>
      <c r="M1339" s="1">
        <v>39</v>
      </c>
      <c r="N1339" s="1">
        <v>0</v>
      </c>
      <c r="O1339" s="1">
        <v>1</v>
      </c>
      <c r="P1339" s="2">
        <v>1</v>
      </c>
      <c r="Q1339" s="67">
        <v>0</v>
      </c>
    </row>
    <row r="1340" spans="1:17" x14ac:dyDescent="0.25">
      <c r="A1340" s="10">
        <v>254</v>
      </c>
      <c r="B1340" s="10">
        <v>27</v>
      </c>
      <c r="C1340" s="10">
        <v>0</v>
      </c>
      <c r="D1340" s="10">
        <v>2</v>
      </c>
      <c r="E1340" s="10">
        <v>1</v>
      </c>
      <c r="F1340" s="10">
        <v>1</v>
      </c>
      <c r="L1340" s="1">
        <v>362</v>
      </c>
      <c r="M1340" s="1">
        <v>39</v>
      </c>
      <c r="N1340" s="1">
        <v>0</v>
      </c>
      <c r="O1340" s="1">
        <v>1</v>
      </c>
      <c r="P1340" s="2">
        <v>1</v>
      </c>
      <c r="Q1340" s="68">
        <v>10</v>
      </c>
    </row>
    <row r="1341" spans="1:17" x14ac:dyDescent="0.25">
      <c r="A1341" s="10">
        <v>255</v>
      </c>
      <c r="B1341" s="10">
        <v>28</v>
      </c>
      <c r="C1341" s="10">
        <v>0</v>
      </c>
      <c r="D1341" s="10">
        <v>2</v>
      </c>
      <c r="E1341" s="10">
        <v>1</v>
      </c>
      <c r="F1341" s="10">
        <v>1</v>
      </c>
      <c r="L1341" s="1">
        <v>363</v>
      </c>
      <c r="M1341" s="1">
        <v>39</v>
      </c>
      <c r="N1341" s="1">
        <v>0</v>
      </c>
      <c r="O1341" s="1">
        <v>1</v>
      </c>
      <c r="P1341" s="2">
        <v>1</v>
      </c>
      <c r="Q1341" s="67">
        <v>8</v>
      </c>
    </row>
    <row r="1342" spans="1:17" x14ac:dyDescent="0.25">
      <c r="A1342" s="10">
        <v>256</v>
      </c>
      <c r="B1342" s="10">
        <v>28</v>
      </c>
      <c r="C1342" s="10">
        <v>0</v>
      </c>
      <c r="D1342" s="10">
        <v>2</v>
      </c>
      <c r="E1342" s="10">
        <v>1</v>
      </c>
      <c r="F1342" s="10">
        <v>1</v>
      </c>
      <c r="L1342" s="1">
        <v>364</v>
      </c>
      <c r="M1342" s="1">
        <v>39</v>
      </c>
      <c r="N1342" s="1">
        <v>0</v>
      </c>
      <c r="O1342" s="1">
        <v>1</v>
      </c>
      <c r="P1342" s="2">
        <v>1</v>
      </c>
      <c r="Q1342" s="68">
        <v>5</v>
      </c>
    </row>
    <row r="1343" spans="1:17" x14ac:dyDescent="0.25">
      <c r="A1343" s="10">
        <v>257</v>
      </c>
      <c r="B1343" s="10">
        <v>28</v>
      </c>
      <c r="C1343" s="10">
        <v>0</v>
      </c>
      <c r="D1343" s="10">
        <v>2</v>
      </c>
      <c r="E1343" s="10">
        <v>1</v>
      </c>
      <c r="F1343" s="10">
        <v>1</v>
      </c>
      <c r="L1343" s="1">
        <v>365</v>
      </c>
      <c r="M1343" s="1">
        <v>39</v>
      </c>
      <c r="N1343" s="1">
        <v>0</v>
      </c>
      <c r="O1343" s="1">
        <v>1</v>
      </c>
      <c r="P1343" s="2">
        <v>1</v>
      </c>
      <c r="Q1343" s="67">
        <v>7</v>
      </c>
    </row>
    <row r="1344" spans="1:17" x14ac:dyDescent="0.25">
      <c r="A1344" s="10">
        <v>258</v>
      </c>
      <c r="B1344" s="10">
        <v>28</v>
      </c>
      <c r="C1344" s="10">
        <v>0</v>
      </c>
      <c r="D1344" s="10">
        <v>2</v>
      </c>
      <c r="E1344" s="10">
        <v>1</v>
      </c>
      <c r="F1344" s="10">
        <v>1</v>
      </c>
      <c r="L1344" s="1">
        <v>366</v>
      </c>
      <c r="M1344" s="1">
        <v>39</v>
      </c>
      <c r="N1344" s="1">
        <v>0</v>
      </c>
      <c r="O1344" s="1">
        <v>1</v>
      </c>
      <c r="P1344" s="2">
        <v>1</v>
      </c>
      <c r="Q1344" s="68">
        <v>7</v>
      </c>
    </row>
    <row r="1345" spans="1:17" x14ac:dyDescent="0.25">
      <c r="A1345" s="10">
        <v>259</v>
      </c>
      <c r="B1345" s="10">
        <v>28</v>
      </c>
      <c r="C1345" s="10">
        <v>0</v>
      </c>
      <c r="D1345" s="10">
        <v>2</v>
      </c>
      <c r="E1345" s="10">
        <v>1</v>
      </c>
      <c r="F1345" s="10">
        <v>1</v>
      </c>
      <c r="L1345" s="1">
        <v>367</v>
      </c>
      <c r="M1345" s="1">
        <v>40</v>
      </c>
      <c r="N1345" s="1">
        <v>0</v>
      </c>
      <c r="O1345" s="1">
        <v>1</v>
      </c>
      <c r="P1345" s="2">
        <v>1</v>
      </c>
      <c r="Q1345" s="67">
        <v>4</v>
      </c>
    </row>
    <row r="1346" spans="1:17" x14ac:dyDescent="0.25">
      <c r="A1346" s="10">
        <v>260</v>
      </c>
      <c r="B1346" s="10">
        <v>28</v>
      </c>
      <c r="C1346" s="10">
        <v>0</v>
      </c>
      <c r="D1346" s="10">
        <v>2</v>
      </c>
      <c r="E1346" s="10">
        <v>1</v>
      </c>
      <c r="F1346" s="10">
        <v>1</v>
      </c>
      <c r="L1346" s="1">
        <v>368</v>
      </c>
      <c r="M1346" s="1">
        <v>40</v>
      </c>
      <c r="N1346" s="1">
        <v>0</v>
      </c>
      <c r="O1346" s="1">
        <v>1</v>
      </c>
      <c r="P1346" s="2">
        <v>1</v>
      </c>
      <c r="Q1346" s="68">
        <v>5</v>
      </c>
    </row>
    <row r="1347" spans="1:17" x14ac:dyDescent="0.25">
      <c r="A1347" s="10">
        <v>261</v>
      </c>
      <c r="B1347" s="10">
        <v>28</v>
      </c>
      <c r="C1347" s="10">
        <v>0</v>
      </c>
      <c r="D1347" s="10">
        <v>2</v>
      </c>
      <c r="E1347" s="10">
        <v>1</v>
      </c>
      <c r="F1347" s="10">
        <v>1</v>
      </c>
      <c r="L1347" s="1">
        <v>369</v>
      </c>
      <c r="M1347" s="1">
        <v>40</v>
      </c>
      <c r="N1347" s="1">
        <v>0</v>
      </c>
      <c r="O1347" s="1">
        <v>1</v>
      </c>
      <c r="P1347" s="2">
        <v>1</v>
      </c>
      <c r="Q1347" s="67">
        <v>3</v>
      </c>
    </row>
    <row r="1348" spans="1:17" x14ac:dyDescent="0.25">
      <c r="A1348" s="10">
        <v>262</v>
      </c>
      <c r="B1348" s="10">
        <v>28</v>
      </c>
      <c r="C1348" s="10">
        <v>0</v>
      </c>
      <c r="D1348" s="10">
        <v>2</v>
      </c>
      <c r="E1348" s="10">
        <v>1</v>
      </c>
      <c r="F1348" s="10">
        <v>1</v>
      </c>
      <c r="L1348" s="1">
        <v>370</v>
      </c>
      <c r="M1348" s="1">
        <v>40</v>
      </c>
      <c r="N1348" s="1">
        <v>0</v>
      </c>
      <c r="O1348" s="1">
        <v>1</v>
      </c>
      <c r="P1348" s="2">
        <v>1</v>
      </c>
      <c r="Q1348" s="68">
        <v>3</v>
      </c>
    </row>
    <row r="1349" spans="1:17" x14ac:dyDescent="0.25">
      <c r="A1349" s="10">
        <v>263</v>
      </c>
      <c r="B1349" s="10">
        <v>29</v>
      </c>
      <c r="C1349" s="10">
        <v>0</v>
      </c>
      <c r="D1349" s="10">
        <v>2</v>
      </c>
      <c r="E1349" s="10">
        <v>1</v>
      </c>
      <c r="F1349" s="10">
        <v>1</v>
      </c>
      <c r="L1349" s="1">
        <v>371</v>
      </c>
      <c r="M1349" s="1">
        <v>40</v>
      </c>
      <c r="N1349" s="1">
        <v>0</v>
      </c>
      <c r="O1349" s="1">
        <v>1</v>
      </c>
      <c r="P1349" s="2">
        <v>1</v>
      </c>
      <c r="Q1349" s="67">
        <v>16</v>
      </c>
    </row>
    <row r="1350" spans="1:17" x14ac:dyDescent="0.25">
      <c r="A1350" s="10">
        <v>264</v>
      </c>
      <c r="B1350" s="10">
        <v>29</v>
      </c>
      <c r="C1350" s="10">
        <v>0</v>
      </c>
      <c r="D1350" s="10">
        <v>2</v>
      </c>
      <c r="E1350" s="10">
        <v>1</v>
      </c>
      <c r="F1350" s="10">
        <v>1</v>
      </c>
      <c r="L1350" s="1">
        <v>372</v>
      </c>
      <c r="M1350" s="1">
        <v>40</v>
      </c>
      <c r="N1350" s="1">
        <v>0</v>
      </c>
      <c r="O1350" s="1">
        <v>1</v>
      </c>
      <c r="P1350" s="2">
        <v>1</v>
      </c>
      <c r="Q1350" s="68">
        <v>7</v>
      </c>
    </row>
    <row r="1351" spans="1:17" x14ac:dyDescent="0.25">
      <c r="A1351" s="10">
        <v>265</v>
      </c>
      <c r="B1351" s="10">
        <v>29</v>
      </c>
      <c r="C1351" s="10">
        <v>0</v>
      </c>
      <c r="D1351" s="10">
        <v>2</v>
      </c>
      <c r="E1351" s="10">
        <v>1</v>
      </c>
      <c r="F1351" s="10">
        <v>1</v>
      </c>
      <c r="L1351" s="1">
        <v>373</v>
      </c>
      <c r="M1351" s="1">
        <v>40</v>
      </c>
      <c r="N1351" s="1">
        <v>0</v>
      </c>
      <c r="O1351" s="1">
        <v>1</v>
      </c>
      <c r="P1351" s="2">
        <v>1</v>
      </c>
      <c r="Q1351" s="67">
        <v>5</v>
      </c>
    </row>
    <row r="1352" spans="1:17" x14ac:dyDescent="0.25">
      <c r="A1352" s="10">
        <v>266</v>
      </c>
      <c r="B1352" s="10">
        <v>29</v>
      </c>
      <c r="C1352" s="10">
        <v>0</v>
      </c>
      <c r="D1352" s="10">
        <v>2</v>
      </c>
      <c r="E1352" s="10">
        <v>1</v>
      </c>
      <c r="F1352" s="10">
        <v>1</v>
      </c>
      <c r="L1352" s="1">
        <v>374</v>
      </c>
      <c r="M1352" s="1">
        <v>40</v>
      </c>
      <c r="N1352" s="1">
        <v>0</v>
      </c>
      <c r="O1352" s="1">
        <v>1</v>
      </c>
      <c r="P1352" s="2">
        <v>1</v>
      </c>
      <c r="Q1352" s="68">
        <v>10</v>
      </c>
    </row>
    <row r="1353" spans="1:17" x14ac:dyDescent="0.25">
      <c r="A1353" s="10">
        <v>267</v>
      </c>
      <c r="B1353" s="10">
        <v>29</v>
      </c>
      <c r="C1353" s="10">
        <v>0</v>
      </c>
      <c r="D1353" s="10">
        <v>2</v>
      </c>
      <c r="E1353" s="10">
        <v>1</v>
      </c>
      <c r="F1353" s="10">
        <v>1</v>
      </c>
      <c r="L1353" s="1">
        <v>375</v>
      </c>
      <c r="M1353" s="1">
        <v>41</v>
      </c>
      <c r="N1353" s="1">
        <v>0</v>
      </c>
      <c r="O1353" s="1">
        <v>1</v>
      </c>
      <c r="P1353" s="2">
        <v>1</v>
      </c>
      <c r="Q1353" s="67">
        <v>0</v>
      </c>
    </row>
    <row r="1354" spans="1:17" x14ac:dyDescent="0.25">
      <c r="A1354" s="10">
        <v>268</v>
      </c>
      <c r="B1354" s="10">
        <v>29</v>
      </c>
      <c r="C1354" s="10">
        <v>0</v>
      </c>
      <c r="D1354" s="10">
        <v>2</v>
      </c>
      <c r="E1354" s="10">
        <v>1</v>
      </c>
      <c r="F1354" s="10">
        <v>1</v>
      </c>
      <c r="L1354" s="1">
        <v>376</v>
      </c>
      <c r="M1354" s="1">
        <v>41</v>
      </c>
      <c r="N1354" s="1">
        <v>0</v>
      </c>
      <c r="O1354" s="1">
        <v>1</v>
      </c>
      <c r="P1354" s="2">
        <v>1</v>
      </c>
      <c r="Q1354" s="68">
        <v>25</v>
      </c>
    </row>
    <row r="1355" spans="1:17" x14ac:dyDescent="0.25">
      <c r="A1355" s="10">
        <v>269</v>
      </c>
      <c r="B1355" s="10">
        <v>29</v>
      </c>
      <c r="C1355" s="10">
        <v>0</v>
      </c>
      <c r="D1355" s="10">
        <v>2</v>
      </c>
      <c r="E1355" s="10">
        <v>1</v>
      </c>
      <c r="F1355" s="10">
        <v>1</v>
      </c>
      <c r="L1355" s="1">
        <v>377</v>
      </c>
      <c r="M1355" s="1">
        <v>41</v>
      </c>
      <c r="N1355" s="1">
        <v>0</v>
      </c>
      <c r="O1355" s="1">
        <v>1</v>
      </c>
      <c r="P1355" s="2">
        <v>1</v>
      </c>
      <c r="Q1355" s="67">
        <v>12</v>
      </c>
    </row>
    <row r="1356" spans="1:17" x14ac:dyDescent="0.25">
      <c r="A1356" s="10">
        <v>270</v>
      </c>
      <c r="B1356" s="10">
        <v>29</v>
      </c>
      <c r="C1356" s="10">
        <v>0</v>
      </c>
      <c r="D1356" s="10">
        <v>2</v>
      </c>
      <c r="E1356" s="10">
        <v>1</v>
      </c>
      <c r="F1356" s="10">
        <v>1</v>
      </c>
      <c r="L1356" s="1">
        <v>378</v>
      </c>
      <c r="M1356" s="1">
        <v>41</v>
      </c>
      <c r="N1356" s="1">
        <v>0</v>
      </c>
      <c r="O1356" s="1">
        <v>1</v>
      </c>
      <c r="P1356" s="2">
        <v>1</v>
      </c>
      <c r="Q1356" s="68">
        <v>15</v>
      </c>
    </row>
    <row r="1357" spans="1:17" x14ac:dyDescent="0.25">
      <c r="A1357" s="10">
        <v>271</v>
      </c>
      <c r="B1357" s="10">
        <v>30</v>
      </c>
      <c r="C1357" s="10">
        <v>0</v>
      </c>
      <c r="D1357" s="10">
        <v>2</v>
      </c>
      <c r="E1357" s="10">
        <v>1</v>
      </c>
      <c r="F1357" s="10">
        <v>1</v>
      </c>
      <c r="L1357" s="1">
        <v>379</v>
      </c>
      <c r="M1357" s="1">
        <v>41</v>
      </c>
      <c r="N1357" s="1">
        <v>0</v>
      </c>
      <c r="O1357" s="1">
        <v>1</v>
      </c>
      <c r="P1357" s="2">
        <v>1</v>
      </c>
      <c r="Q1357" s="67">
        <v>17</v>
      </c>
    </row>
    <row r="1358" spans="1:17" x14ac:dyDescent="0.25">
      <c r="A1358" s="10">
        <v>272</v>
      </c>
      <c r="B1358" s="10">
        <v>30</v>
      </c>
      <c r="C1358" s="10">
        <v>0</v>
      </c>
      <c r="D1358" s="10">
        <v>2</v>
      </c>
      <c r="E1358" s="10">
        <v>1</v>
      </c>
      <c r="F1358" s="10">
        <v>1</v>
      </c>
      <c r="L1358" s="1">
        <v>380</v>
      </c>
      <c r="M1358" s="1">
        <v>41</v>
      </c>
      <c r="N1358" s="1">
        <v>0</v>
      </c>
      <c r="O1358" s="1">
        <v>1</v>
      </c>
      <c r="P1358" s="2">
        <v>1</v>
      </c>
      <c r="Q1358" s="68">
        <v>4</v>
      </c>
    </row>
    <row r="1359" spans="1:17" x14ac:dyDescent="0.25">
      <c r="A1359" s="10">
        <v>273</v>
      </c>
      <c r="B1359" s="10">
        <v>30</v>
      </c>
      <c r="C1359" s="10">
        <v>0</v>
      </c>
      <c r="D1359" s="10">
        <v>2</v>
      </c>
      <c r="E1359" s="10">
        <v>1</v>
      </c>
      <c r="F1359" s="10">
        <v>1</v>
      </c>
      <c r="L1359" s="1">
        <v>381</v>
      </c>
      <c r="M1359" s="1">
        <v>41</v>
      </c>
      <c r="N1359" s="1">
        <v>0</v>
      </c>
      <c r="O1359" s="1">
        <v>1</v>
      </c>
      <c r="P1359" s="2">
        <v>1</v>
      </c>
      <c r="Q1359" s="67">
        <v>5</v>
      </c>
    </row>
    <row r="1360" spans="1:17" x14ac:dyDescent="0.25">
      <c r="A1360" s="10">
        <v>274</v>
      </c>
      <c r="B1360" s="10">
        <v>30</v>
      </c>
      <c r="C1360" s="10">
        <v>0</v>
      </c>
      <c r="D1360" s="10">
        <v>2</v>
      </c>
      <c r="E1360" s="10">
        <v>1</v>
      </c>
      <c r="F1360" s="10">
        <v>1</v>
      </c>
      <c r="L1360" s="1">
        <v>382</v>
      </c>
      <c r="M1360" s="1">
        <v>41</v>
      </c>
      <c r="N1360" s="1">
        <v>0</v>
      </c>
      <c r="O1360" s="1">
        <v>1</v>
      </c>
      <c r="P1360" s="2">
        <v>1</v>
      </c>
      <c r="Q1360" s="68">
        <v>3</v>
      </c>
    </row>
    <row r="1361" spans="1:17" x14ac:dyDescent="0.25">
      <c r="A1361" s="10">
        <v>275</v>
      </c>
      <c r="B1361" s="10">
        <v>30</v>
      </c>
      <c r="C1361" s="10">
        <v>0</v>
      </c>
      <c r="D1361" s="10">
        <v>2</v>
      </c>
      <c r="E1361" s="10">
        <v>1</v>
      </c>
      <c r="F1361" s="10">
        <v>1</v>
      </c>
      <c r="L1361" s="1">
        <v>383</v>
      </c>
      <c r="M1361" s="1">
        <v>41</v>
      </c>
      <c r="N1361" s="1">
        <v>0</v>
      </c>
      <c r="O1361" s="1">
        <v>1</v>
      </c>
      <c r="P1361" s="2">
        <v>1</v>
      </c>
      <c r="Q1361" s="67">
        <v>6</v>
      </c>
    </row>
    <row r="1362" spans="1:17" x14ac:dyDescent="0.25">
      <c r="A1362" s="10">
        <v>276</v>
      </c>
      <c r="B1362" s="10">
        <v>30</v>
      </c>
      <c r="C1362" s="10">
        <v>0</v>
      </c>
      <c r="D1362" s="10">
        <v>2</v>
      </c>
      <c r="E1362" s="10">
        <v>1</v>
      </c>
      <c r="F1362" s="10">
        <v>1</v>
      </c>
      <c r="L1362" s="1">
        <v>384</v>
      </c>
      <c r="M1362" s="1">
        <v>41</v>
      </c>
      <c r="N1362" s="1">
        <v>0</v>
      </c>
      <c r="O1362" s="1">
        <v>1</v>
      </c>
      <c r="P1362" s="2">
        <v>1</v>
      </c>
      <c r="Q1362" s="68">
        <v>7</v>
      </c>
    </row>
    <row r="1363" spans="1:17" x14ac:dyDescent="0.25">
      <c r="A1363" s="10">
        <v>277</v>
      </c>
      <c r="B1363" s="10">
        <v>30</v>
      </c>
      <c r="C1363" s="10">
        <v>0</v>
      </c>
      <c r="D1363" s="10">
        <v>2</v>
      </c>
      <c r="E1363" s="10">
        <v>1</v>
      </c>
      <c r="F1363" s="10">
        <v>1</v>
      </c>
      <c r="L1363" s="1">
        <v>385</v>
      </c>
      <c r="M1363" s="1">
        <v>42</v>
      </c>
      <c r="N1363" s="1">
        <v>0</v>
      </c>
      <c r="O1363" s="1">
        <v>1</v>
      </c>
      <c r="P1363" s="2">
        <v>1</v>
      </c>
      <c r="Q1363" s="67">
        <v>6</v>
      </c>
    </row>
    <row r="1364" spans="1:17" x14ac:dyDescent="0.25">
      <c r="A1364" s="10">
        <v>278</v>
      </c>
      <c r="B1364" s="10">
        <v>30</v>
      </c>
      <c r="C1364" s="10">
        <v>0</v>
      </c>
      <c r="D1364" s="10">
        <v>2</v>
      </c>
      <c r="E1364" s="10">
        <v>1</v>
      </c>
      <c r="F1364" s="10">
        <v>1</v>
      </c>
      <c r="L1364" s="1">
        <v>386</v>
      </c>
      <c r="M1364" s="1">
        <v>42</v>
      </c>
      <c r="N1364" s="1">
        <v>0</v>
      </c>
      <c r="O1364" s="1">
        <v>1</v>
      </c>
      <c r="P1364" s="2">
        <v>1</v>
      </c>
      <c r="Q1364" s="68">
        <v>6</v>
      </c>
    </row>
    <row r="1365" spans="1:17" x14ac:dyDescent="0.25">
      <c r="A1365" s="10">
        <v>279</v>
      </c>
      <c r="B1365" s="10">
        <v>30</v>
      </c>
      <c r="C1365" s="10">
        <v>0</v>
      </c>
      <c r="D1365" s="10">
        <v>2</v>
      </c>
      <c r="E1365" s="10">
        <v>1</v>
      </c>
      <c r="F1365" s="10">
        <v>1</v>
      </c>
      <c r="L1365" s="1">
        <v>387</v>
      </c>
      <c r="M1365" s="1">
        <v>42</v>
      </c>
      <c r="N1365" s="1">
        <v>0</v>
      </c>
      <c r="O1365" s="1">
        <v>1</v>
      </c>
      <c r="P1365" s="2">
        <v>1</v>
      </c>
      <c r="Q1365" s="67">
        <v>10</v>
      </c>
    </row>
    <row r="1366" spans="1:17" x14ac:dyDescent="0.25">
      <c r="A1366" s="10">
        <v>280</v>
      </c>
      <c r="B1366" s="10">
        <v>30</v>
      </c>
      <c r="C1366" s="10">
        <v>0</v>
      </c>
      <c r="D1366" s="10">
        <v>2</v>
      </c>
      <c r="E1366" s="10">
        <v>1</v>
      </c>
      <c r="F1366" s="10">
        <v>1</v>
      </c>
      <c r="L1366" s="1">
        <v>388</v>
      </c>
      <c r="M1366" s="1">
        <v>42</v>
      </c>
      <c r="N1366" s="1">
        <v>0</v>
      </c>
      <c r="O1366" s="1">
        <v>1</v>
      </c>
      <c r="P1366" s="2">
        <v>1</v>
      </c>
      <c r="Q1366" s="68">
        <v>23</v>
      </c>
    </row>
    <row r="1367" spans="1:17" x14ac:dyDescent="0.25">
      <c r="A1367" s="10">
        <v>281</v>
      </c>
      <c r="B1367" s="10">
        <v>31</v>
      </c>
      <c r="C1367" s="10">
        <v>0</v>
      </c>
      <c r="D1367" s="10">
        <v>2</v>
      </c>
      <c r="E1367" s="10">
        <v>1</v>
      </c>
      <c r="F1367" s="10">
        <v>1</v>
      </c>
      <c r="L1367" s="1">
        <v>389</v>
      </c>
      <c r="M1367" s="1">
        <v>42</v>
      </c>
      <c r="N1367" s="1">
        <v>0</v>
      </c>
      <c r="O1367" s="1">
        <v>1</v>
      </c>
      <c r="P1367" s="2">
        <v>1</v>
      </c>
      <c r="Q1367" s="67">
        <v>20</v>
      </c>
    </row>
    <row r="1368" spans="1:17" x14ac:dyDescent="0.25">
      <c r="A1368" s="10">
        <v>282</v>
      </c>
      <c r="B1368" s="10">
        <v>31</v>
      </c>
      <c r="C1368" s="10">
        <v>0</v>
      </c>
      <c r="D1368" s="10">
        <v>2</v>
      </c>
      <c r="E1368" s="10">
        <v>1</v>
      </c>
      <c r="F1368" s="10">
        <v>1</v>
      </c>
      <c r="L1368" s="1">
        <v>390</v>
      </c>
      <c r="M1368" s="1">
        <v>42</v>
      </c>
      <c r="N1368" s="1">
        <v>0</v>
      </c>
      <c r="O1368" s="1">
        <v>1</v>
      </c>
      <c r="P1368" s="2">
        <v>1</v>
      </c>
      <c r="Q1368" s="68">
        <v>23</v>
      </c>
    </row>
    <row r="1369" spans="1:17" x14ac:dyDescent="0.25">
      <c r="A1369" s="10">
        <v>283</v>
      </c>
      <c r="B1369" s="10">
        <v>31</v>
      </c>
      <c r="C1369" s="10">
        <v>0</v>
      </c>
      <c r="D1369" s="10">
        <v>2</v>
      </c>
      <c r="E1369" s="10">
        <v>1</v>
      </c>
      <c r="F1369" s="10">
        <v>1</v>
      </c>
      <c r="L1369" s="1">
        <v>391</v>
      </c>
      <c r="M1369" s="1">
        <v>42</v>
      </c>
      <c r="N1369" s="1">
        <v>0</v>
      </c>
      <c r="O1369" s="1">
        <v>1</v>
      </c>
      <c r="P1369" s="2">
        <v>1</v>
      </c>
      <c r="Q1369" s="67">
        <v>25</v>
      </c>
    </row>
    <row r="1370" spans="1:17" x14ac:dyDescent="0.25">
      <c r="A1370" s="10">
        <v>284</v>
      </c>
      <c r="B1370" s="10">
        <v>31</v>
      </c>
      <c r="C1370" s="10">
        <v>0</v>
      </c>
      <c r="D1370" s="10">
        <v>2</v>
      </c>
      <c r="E1370" s="10">
        <v>1</v>
      </c>
      <c r="F1370" s="10">
        <v>1</v>
      </c>
      <c r="L1370" s="1">
        <v>392</v>
      </c>
      <c r="M1370" s="1">
        <v>42</v>
      </c>
      <c r="N1370" s="1">
        <v>0</v>
      </c>
      <c r="O1370" s="1">
        <v>1</v>
      </c>
      <c r="P1370" s="2">
        <v>1</v>
      </c>
      <c r="Q1370" s="68">
        <v>20</v>
      </c>
    </row>
    <row r="1371" spans="1:17" x14ac:dyDescent="0.25">
      <c r="A1371" s="10">
        <v>285</v>
      </c>
      <c r="B1371" s="10">
        <v>31</v>
      </c>
      <c r="C1371" s="10">
        <v>0</v>
      </c>
      <c r="D1371" s="10">
        <v>2</v>
      </c>
      <c r="E1371" s="10">
        <v>1</v>
      </c>
      <c r="F1371" s="10">
        <v>1</v>
      </c>
      <c r="L1371" s="1">
        <v>393</v>
      </c>
      <c r="M1371" s="1">
        <v>42</v>
      </c>
      <c r="N1371" s="1">
        <v>0</v>
      </c>
      <c r="O1371" s="1">
        <v>1</v>
      </c>
      <c r="P1371" s="2">
        <v>1</v>
      </c>
      <c r="Q1371" s="67">
        <v>15</v>
      </c>
    </row>
    <row r="1372" spans="1:17" x14ac:dyDescent="0.25">
      <c r="A1372" s="10">
        <v>286</v>
      </c>
      <c r="B1372" s="10">
        <v>31</v>
      </c>
      <c r="C1372" s="10">
        <v>0</v>
      </c>
      <c r="D1372" s="10">
        <v>2</v>
      </c>
      <c r="E1372" s="10">
        <v>1</v>
      </c>
      <c r="F1372" s="10">
        <v>1</v>
      </c>
      <c r="L1372" s="1">
        <v>394</v>
      </c>
      <c r="M1372" s="1">
        <v>42</v>
      </c>
      <c r="N1372" s="1">
        <v>0</v>
      </c>
      <c r="O1372" s="1">
        <v>1</v>
      </c>
      <c r="P1372" s="2">
        <v>1</v>
      </c>
      <c r="Q1372" s="68">
        <v>20</v>
      </c>
    </row>
    <row r="1373" spans="1:17" x14ac:dyDescent="0.25">
      <c r="A1373" s="10">
        <v>287</v>
      </c>
      <c r="B1373" s="10">
        <v>31</v>
      </c>
      <c r="C1373" s="10">
        <v>0</v>
      </c>
      <c r="D1373" s="10">
        <v>2</v>
      </c>
      <c r="E1373" s="10">
        <v>1</v>
      </c>
      <c r="F1373" s="10">
        <v>1</v>
      </c>
      <c r="L1373" s="1">
        <v>395</v>
      </c>
      <c r="M1373" s="1">
        <v>43</v>
      </c>
      <c r="N1373" s="1">
        <v>0</v>
      </c>
      <c r="O1373" s="1">
        <v>1</v>
      </c>
      <c r="P1373" s="2">
        <v>1</v>
      </c>
      <c r="Q1373" s="67">
        <v>14</v>
      </c>
    </row>
    <row r="1374" spans="1:17" x14ac:dyDescent="0.25">
      <c r="A1374" s="10">
        <v>288</v>
      </c>
      <c r="B1374" s="10">
        <v>31</v>
      </c>
      <c r="C1374" s="10">
        <v>0</v>
      </c>
      <c r="D1374" s="10">
        <v>2</v>
      </c>
      <c r="E1374" s="10">
        <v>1</v>
      </c>
      <c r="F1374" s="10">
        <v>1</v>
      </c>
      <c r="L1374" s="1">
        <v>396</v>
      </c>
      <c r="M1374" s="1">
        <v>43</v>
      </c>
      <c r="N1374" s="1">
        <v>0</v>
      </c>
      <c r="O1374" s="1">
        <v>1</v>
      </c>
      <c r="P1374" s="2">
        <v>1</v>
      </c>
      <c r="Q1374" s="68">
        <v>14</v>
      </c>
    </row>
    <row r="1375" spans="1:17" x14ac:dyDescent="0.25">
      <c r="A1375" s="10">
        <v>289</v>
      </c>
      <c r="B1375" s="10">
        <v>31</v>
      </c>
      <c r="C1375" s="10">
        <v>0</v>
      </c>
      <c r="D1375" s="10">
        <v>2</v>
      </c>
      <c r="E1375" s="10">
        <v>1</v>
      </c>
      <c r="F1375" s="10">
        <v>1</v>
      </c>
      <c r="L1375" s="1">
        <v>397</v>
      </c>
      <c r="M1375" s="1">
        <v>43</v>
      </c>
      <c r="N1375" s="1">
        <v>0</v>
      </c>
      <c r="O1375" s="1">
        <v>1</v>
      </c>
      <c r="P1375" s="2">
        <v>1</v>
      </c>
      <c r="Q1375" s="67">
        <v>18</v>
      </c>
    </row>
    <row r="1376" spans="1:17" x14ac:dyDescent="0.25">
      <c r="A1376" s="10">
        <v>290</v>
      </c>
      <c r="B1376" s="10">
        <v>31</v>
      </c>
      <c r="C1376" s="10">
        <v>0</v>
      </c>
      <c r="D1376" s="10">
        <v>2</v>
      </c>
      <c r="E1376" s="10">
        <v>1</v>
      </c>
      <c r="F1376" s="10">
        <v>1</v>
      </c>
      <c r="L1376" s="1">
        <v>398</v>
      </c>
      <c r="M1376" s="1">
        <v>43</v>
      </c>
      <c r="N1376" s="1">
        <v>0</v>
      </c>
      <c r="O1376" s="1">
        <v>1</v>
      </c>
      <c r="P1376" s="2">
        <v>1</v>
      </c>
      <c r="Q1376" s="68">
        <v>21</v>
      </c>
    </row>
    <row r="1377" spans="1:17" x14ac:dyDescent="0.25">
      <c r="A1377" s="10">
        <v>291</v>
      </c>
      <c r="B1377" s="10">
        <v>32</v>
      </c>
      <c r="C1377" s="10">
        <v>0</v>
      </c>
      <c r="D1377" s="10">
        <v>2</v>
      </c>
      <c r="E1377" s="10">
        <v>1</v>
      </c>
      <c r="F1377" s="10">
        <v>1</v>
      </c>
      <c r="L1377" s="1">
        <v>399</v>
      </c>
      <c r="M1377" s="1">
        <v>43</v>
      </c>
      <c r="N1377" s="1">
        <v>0</v>
      </c>
      <c r="O1377" s="1">
        <v>1</v>
      </c>
      <c r="P1377" s="2">
        <v>1</v>
      </c>
      <c r="Q1377" s="67">
        <v>9</v>
      </c>
    </row>
    <row r="1378" spans="1:17" x14ac:dyDescent="0.25">
      <c r="A1378" s="10">
        <v>292</v>
      </c>
      <c r="B1378" s="10">
        <v>32</v>
      </c>
      <c r="C1378" s="10">
        <v>0</v>
      </c>
      <c r="D1378" s="10">
        <v>2</v>
      </c>
      <c r="E1378" s="10">
        <v>1</v>
      </c>
      <c r="F1378" s="10">
        <v>1</v>
      </c>
      <c r="L1378" s="1">
        <v>400</v>
      </c>
      <c r="M1378" s="1">
        <v>43</v>
      </c>
      <c r="N1378" s="1">
        <v>0</v>
      </c>
      <c r="O1378" s="1">
        <v>1</v>
      </c>
      <c r="P1378" s="2">
        <v>1</v>
      </c>
      <c r="Q1378" s="68">
        <v>15</v>
      </c>
    </row>
    <row r="1379" spans="1:17" x14ac:dyDescent="0.25">
      <c r="A1379" s="10">
        <v>293</v>
      </c>
      <c r="B1379" s="10">
        <v>32</v>
      </c>
      <c r="C1379" s="10">
        <v>0</v>
      </c>
      <c r="D1379" s="10">
        <v>2</v>
      </c>
      <c r="E1379" s="10">
        <v>1</v>
      </c>
      <c r="F1379" s="10">
        <v>1</v>
      </c>
      <c r="L1379" s="1">
        <v>401</v>
      </c>
      <c r="M1379" s="1">
        <v>43</v>
      </c>
      <c r="N1379" s="1">
        <v>0</v>
      </c>
      <c r="O1379" s="1">
        <v>1</v>
      </c>
      <c r="P1379" s="2">
        <v>1</v>
      </c>
      <c r="Q1379" s="67">
        <v>21</v>
      </c>
    </row>
    <row r="1380" spans="1:17" x14ac:dyDescent="0.25">
      <c r="A1380" s="10">
        <v>294</v>
      </c>
      <c r="B1380" s="10">
        <v>32</v>
      </c>
      <c r="C1380" s="10">
        <v>0</v>
      </c>
      <c r="D1380" s="10">
        <v>2</v>
      </c>
      <c r="E1380" s="10">
        <v>1</v>
      </c>
      <c r="F1380" s="10">
        <v>1</v>
      </c>
      <c r="L1380" s="1">
        <v>402</v>
      </c>
      <c r="M1380" s="1">
        <v>43</v>
      </c>
      <c r="N1380" s="1">
        <v>0</v>
      </c>
      <c r="O1380" s="1">
        <v>1</v>
      </c>
      <c r="P1380" s="2">
        <v>1</v>
      </c>
      <c r="Q1380" s="68">
        <v>8</v>
      </c>
    </row>
    <row r="1381" spans="1:17" x14ac:dyDescent="0.25">
      <c r="A1381" s="10">
        <v>295</v>
      </c>
      <c r="B1381" s="10">
        <v>32</v>
      </c>
      <c r="C1381" s="10">
        <v>0</v>
      </c>
      <c r="D1381" s="10">
        <v>2</v>
      </c>
      <c r="E1381" s="10">
        <v>1</v>
      </c>
      <c r="F1381" s="10">
        <v>1</v>
      </c>
      <c r="L1381" s="1">
        <v>403</v>
      </c>
      <c r="M1381" s="1">
        <v>43</v>
      </c>
      <c r="N1381" s="1">
        <v>0</v>
      </c>
      <c r="O1381" s="1">
        <v>1</v>
      </c>
      <c r="P1381" s="2">
        <v>1</v>
      </c>
      <c r="Q1381" s="67">
        <v>11</v>
      </c>
    </row>
    <row r="1382" spans="1:17" x14ac:dyDescent="0.25">
      <c r="A1382" s="10">
        <v>296</v>
      </c>
      <c r="B1382" s="10">
        <v>32</v>
      </c>
      <c r="C1382" s="10">
        <v>0</v>
      </c>
      <c r="D1382" s="10">
        <v>2</v>
      </c>
      <c r="E1382" s="10">
        <v>1</v>
      </c>
      <c r="F1382" s="10">
        <v>1</v>
      </c>
      <c r="L1382" s="1">
        <v>404</v>
      </c>
      <c r="M1382" s="1">
        <v>43</v>
      </c>
      <c r="N1382" s="1">
        <v>0</v>
      </c>
      <c r="O1382" s="1">
        <v>1</v>
      </c>
      <c r="P1382" s="2">
        <v>1</v>
      </c>
      <c r="Q1382" s="68">
        <v>13</v>
      </c>
    </row>
    <row r="1383" spans="1:17" x14ac:dyDescent="0.25">
      <c r="A1383" s="10">
        <v>297</v>
      </c>
      <c r="B1383" s="10">
        <v>32</v>
      </c>
      <c r="C1383" s="10">
        <v>0</v>
      </c>
      <c r="D1383" s="10">
        <v>2</v>
      </c>
      <c r="E1383" s="10">
        <v>1</v>
      </c>
      <c r="F1383" s="10">
        <v>1</v>
      </c>
      <c r="L1383" s="1">
        <v>405</v>
      </c>
      <c r="M1383" s="1">
        <v>44</v>
      </c>
      <c r="N1383" s="1">
        <v>0</v>
      </c>
      <c r="O1383" s="1">
        <v>1</v>
      </c>
      <c r="P1383" s="2">
        <v>1</v>
      </c>
      <c r="Q1383" s="67">
        <v>8</v>
      </c>
    </row>
    <row r="1384" spans="1:17" x14ac:dyDescent="0.25">
      <c r="A1384" s="10">
        <v>298</v>
      </c>
      <c r="B1384" s="10">
        <v>32</v>
      </c>
      <c r="C1384" s="10">
        <v>0</v>
      </c>
      <c r="D1384" s="10">
        <v>2</v>
      </c>
      <c r="E1384" s="10">
        <v>1</v>
      </c>
      <c r="F1384" s="10">
        <v>1</v>
      </c>
      <c r="L1384" s="1">
        <v>406</v>
      </c>
      <c r="M1384" s="1">
        <v>44</v>
      </c>
      <c r="N1384" s="1">
        <v>0</v>
      </c>
      <c r="O1384" s="1">
        <v>1</v>
      </c>
      <c r="P1384" s="2">
        <v>1</v>
      </c>
      <c r="Q1384" s="68">
        <v>11</v>
      </c>
    </row>
    <row r="1385" spans="1:17" x14ac:dyDescent="0.25">
      <c r="A1385" s="10">
        <v>299</v>
      </c>
      <c r="B1385" s="10">
        <v>32</v>
      </c>
      <c r="C1385" s="10">
        <v>0</v>
      </c>
      <c r="D1385" s="10">
        <v>2</v>
      </c>
      <c r="E1385" s="10">
        <v>1</v>
      </c>
      <c r="F1385" s="10">
        <v>1</v>
      </c>
      <c r="L1385" s="1">
        <v>407</v>
      </c>
      <c r="M1385" s="1">
        <v>44</v>
      </c>
      <c r="N1385" s="1">
        <v>0</v>
      </c>
      <c r="O1385" s="1">
        <v>1</v>
      </c>
      <c r="P1385" s="2">
        <v>1</v>
      </c>
      <c r="Q1385" s="67">
        <v>13</v>
      </c>
    </row>
    <row r="1386" spans="1:17" x14ac:dyDescent="0.25">
      <c r="A1386" s="10">
        <v>300</v>
      </c>
      <c r="B1386" s="10">
        <v>32</v>
      </c>
      <c r="C1386" s="10">
        <v>0</v>
      </c>
      <c r="D1386" s="10">
        <v>2</v>
      </c>
      <c r="E1386" s="10">
        <v>1</v>
      </c>
      <c r="F1386" s="10">
        <v>1</v>
      </c>
      <c r="L1386" s="1">
        <v>408</v>
      </c>
      <c r="M1386" s="1">
        <v>44</v>
      </c>
      <c r="N1386" s="1">
        <v>0</v>
      </c>
      <c r="O1386" s="1">
        <v>1</v>
      </c>
      <c r="P1386" s="2">
        <v>1</v>
      </c>
      <c r="Q1386" s="68">
        <v>11</v>
      </c>
    </row>
    <row r="1387" spans="1:17" x14ac:dyDescent="0.25">
      <c r="A1387" s="10">
        <v>301</v>
      </c>
      <c r="B1387" s="10">
        <v>33</v>
      </c>
      <c r="C1387" s="10">
        <v>0</v>
      </c>
      <c r="D1387" s="10">
        <v>2</v>
      </c>
      <c r="E1387" s="10">
        <v>1</v>
      </c>
      <c r="F1387" s="10">
        <v>1</v>
      </c>
      <c r="L1387" s="1">
        <v>409</v>
      </c>
      <c r="M1387" s="1">
        <v>44</v>
      </c>
      <c r="N1387" s="1">
        <v>0</v>
      </c>
      <c r="O1387" s="1">
        <v>1</v>
      </c>
      <c r="P1387" s="2">
        <v>1</v>
      </c>
      <c r="Q1387" s="67">
        <v>7</v>
      </c>
    </row>
    <row r="1388" spans="1:17" x14ac:dyDescent="0.25">
      <c r="A1388" s="10">
        <v>302</v>
      </c>
      <c r="B1388" s="10">
        <v>33</v>
      </c>
      <c r="C1388" s="10">
        <v>0</v>
      </c>
      <c r="D1388" s="10">
        <v>2</v>
      </c>
      <c r="E1388" s="10">
        <v>1</v>
      </c>
      <c r="F1388" s="10">
        <v>1</v>
      </c>
      <c r="L1388" s="1">
        <v>410</v>
      </c>
      <c r="M1388" s="1">
        <v>44</v>
      </c>
      <c r="N1388" s="1">
        <v>0</v>
      </c>
      <c r="O1388" s="1">
        <v>1</v>
      </c>
      <c r="P1388" s="2">
        <v>1</v>
      </c>
      <c r="Q1388" s="68">
        <v>10</v>
      </c>
    </row>
    <row r="1389" spans="1:17" x14ac:dyDescent="0.25">
      <c r="A1389" s="10">
        <v>303</v>
      </c>
      <c r="B1389" s="10">
        <v>33</v>
      </c>
      <c r="C1389" s="10">
        <v>0</v>
      </c>
      <c r="D1389" s="10">
        <v>2</v>
      </c>
      <c r="E1389" s="10">
        <v>1</v>
      </c>
      <c r="F1389" s="10">
        <v>1</v>
      </c>
      <c r="L1389" s="1">
        <v>411</v>
      </c>
      <c r="M1389" s="1">
        <v>44</v>
      </c>
      <c r="N1389" s="1">
        <v>0</v>
      </c>
      <c r="O1389" s="1">
        <v>1</v>
      </c>
      <c r="P1389" s="2">
        <v>1</v>
      </c>
      <c r="Q1389" s="67">
        <v>3</v>
      </c>
    </row>
    <row r="1390" spans="1:17" x14ac:dyDescent="0.25">
      <c r="A1390" s="10">
        <v>304</v>
      </c>
      <c r="B1390" s="10">
        <v>33</v>
      </c>
      <c r="C1390" s="10">
        <v>0</v>
      </c>
      <c r="D1390" s="10">
        <v>2</v>
      </c>
      <c r="E1390" s="10">
        <v>1</v>
      </c>
      <c r="F1390" s="10">
        <v>1</v>
      </c>
      <c r="L1390" s="1">
        <v>412</v>
      </c>
      <c r="M1390" s="1">
        <v>44</v>
      </c>
      <c r="N1390" s="1">
        <v>0</v>
      </c>
      <c r="O1390" s="1">
        <v>1</v>
      </c>
      <c r="P1390" s="2">
        <v>1</v>
      </c>
      <c r="Q1390" s="68">
        <v>15</v>
      </c>
    </row>
    <row r="1391" spans="1:17" x14ac:dyDescent="0.25">
      <c r="A1391" s="10">
        <v>305</v>
      </c>
      <c r="B1391" s="10">
        <v>33</v>
      </c>
      <c r="C1391" s="10">
        <v>0</v>
      </c>
      <c r="D1391" s="10">
        <v>2</v>
      </c>
      <c r="E1391" s="10">
        <v>1</v>
      </c>
      <c r="F1391" s="10">
        <v>1</v>
      </c>
      <c r="L1391" s="1">
        <v>413</v>
      </c>
      <c r="M1391" s="1">
        <v>44</v>
      </c>
      <c r="N1391" s="1">
        <v>0</v>
      </c>
      <c r="O1391" s="1">
        <v>1</v>
      </c>
      <c r="P1391" s="2">
        <v>1</v>
      </c>
      <c r="Q1391" s="67">
        <v>10</v>
      </c>
    </row>
    <row r="1392" spans="1:17" x14ac:dyDescent="0.25">
      <c r="A1392" s="10">
        <v>306</v>
      </c>
      <c r="B1392" s="10">
        <v>33</v>
      </c>
      <c r="C1392" s="10">
        <v>0</v>
      </c>
      <c r="D1392" s="10">
        <v>2</v>
      </c>
      <c r="E1392" s="10">
        <v>1</v>
      </c>
      <c r="F1392" s="10">
        <v>1</v>
      </c>
      <c r="L1392" s="1">
        <v>414</v>
      </c>
      <c r="M1392" s="1">
        <v>44</v>
      </c>
      <c r="N1392" s="1">
        <v>0</v>
      </c>
      <c r="O1392" s="1">
        <v>1</v>
      </c>
      <c r="P1392" s="2">
        <v>1</v>
      </c>
      <c r="Q1392" s="68">
        <v>10</v>
      </c>
    </row>
    <row r="1393" spans="1:17" x14ac:dyDescent="0.25">
      <c r="A1393" s="10">
        <v>307</v>
      </c>
      <c r="B1393" s="10">
        <v>33</v>
      </c>
      <c r="C1393" s="10">
        <v>0</v>
      </c>
      <c r="D1393" s="10">
        <v>2</v>
      </c>
      <c r="E1393" s="10">
        <v>1</v>
      </c>
      <c r="F1393" s="10">
        <v>1</v>
      </c>
      <c r="L1393" s="1">
        <v>415</v>
      </c>
      <c r="M1393" s="1">
        <v>45</v>
      </c>
      <c r="N1393" s="1">
        <v>0</v>
      </c>
      <c r="O1393" s="1">
        <v>1</v>
      </c>
      <c r="P1393" s="2">
        <v>1</v>
      </c>
      <c r="Q1393" s="67">
        <v>20</v>
      </c>
    </row>
    <row r="1394" spans="1:17" x14ac:dyDescent="0.25">
      <c r="A1394" s="10">
        <v>308</v>
      </c>
      <c r="B1394" s="10">
        <v>33</v>
      </c>
      <c r="C1394" s="10">
        <v>0</v>
      </c>
      <c r="D1394" s="10">
        <v>2</v>
      </c>
      <c r="E1394" s="10">
        <v>1</v>
      </c>
      <c r="F1394" s="10">
        <v>1</v>
      </c>
      <c r="L1394" s="1">
        <v>416</v>
      </c>
      <c r="M1394" s="1">
        <v>45</v>
      </c>
      <c r="N1394" s="1">
        <v>0</v>
      </c>
      <c r="O1394" s="1">
        <v>1</v>
      </c>
      <c r="P1394" s="2">
        <v>1</v>
      </c>
      <c r="Q1394" s="68">
        <v>17</v>
      </c>
    </row>
    <row r="1395" spans="1:17" x14ac:dyDescent="0.25">
      <c r="A1395" s="10">
        <v>309</v>
      </c>
      <c r="B1395" s="10">
        <v>33</v>
      </c>
      <c r="C1395" s="10">
        <v>0</v>
      </c>
      <c r="D1395" s="10">
        <v>2</v>
      </c>
      <c r="E1395" s="10">
        <v>1</v>
      </c>
      <c r="F1395" s="10">
        <v>1</v>
      </c>
      <c r="L1395" s="1">
        <v>417</v>
      </c>
      <c r="M1395" s="1">
        <v>45</v>
      </c>
      <c r="N1395" s="1">
        <v>0</v>
      </c>
      <c r="O1395" s="1">
        <v>1</v>
      </c>
      <c r="P1395" s="2">
        <v>1</v>
      </c>
      <c r="Q1395" s="67">
        <v>4</v>
      </c>
    </row>
    <row r="1396" spans="1:17" x14ac:dyDescent="0.25">
      <c r="A1396" s="10">
        <v>310</v>
      </c>
      <c r="B1396" s="10">
        <v>33</v>
      </c>
      <c r="C1396" s="10">
        <v>0</v>
      </c>
      <c r="D1396" s="10">
        <v>2</v>
      </c>
      <c r="E1396" s="10">
        <v>1</v>
      </c>
      <c r="F1396" s="10">
        <v>1</v>
      </c>
      <c r="L1396" s="1">
        <v>418</v>
      </c>
      <c r="M1396" s="1">
        <v>45</v>
      </c>
      <c r="N1396" s="1">
        <v>0</v>
      </c>
      <c r="O1396" s="1">
        <v>1</v>
      </c>
      <c r="P1396" s="2">
        <v>1</v>
      </c>
      <c r="Q1396" s="68">
        <v>5</v>
      </c>
    </row>
    <row r="1397" spans="1:17" x14ac:dyDescent="0.25">
      <c r="A1397" s="10">
        <v>311</v>
      </c>
      <c r="B1397" s="10">
        <v>34</v>
      </c>
      <c r="C1397" s="10">
        <v>0</v>
      </c>
      <c r="D1397" s="10">
        <v>2</v>
      </c>
      <c r="E1397" s="10">
        <v>1</v>
      </c>
      <c r="F1397" s="10">
        <v>1</v>
      </c>
      <c r="L1397" s="1">
        <v>419</v>
      </c>
      <c r="M1397" s="1">
        <v>45</v>
      </c>
      <c r="N1397" s="1">
        <v>0</v>
      </c>
      <c r="O1397" s="1">
        <v>1</v>
      </c>
      <c r="P1397" s="2">
        <v>1</v>
      </c>
      <c r="Q1397" s="67">
        <v>13</v>
      </c>
    </row>
    <row r="1398" spans="1:17" x14ac:dyDescent="0.25">
      <c r="A1398" s="10">
        <v>312</v>
      </c>
      <c r="B1398" s="10">
        <v>34</v>
      </c>
      <c r="C1398" s="10">
        <v>0</v>
      </c>
      <c r="D1398" s="10">
        <v>2</v>
      </c>
      <c r="E1398" s="10">
        <v>1</v>
      </c>
      <c r="F1398" s="10">
        <v>1</v>
      </c>
      <c r="L1398" s="1">
        <v>420</v>
      </c>
      <c r="M1398" s="1">
        <v>45</v>
      </c>
      <c r="N1398" s="1">
        <v>0</v>
      </c>
      <c r="O1398" s="1">
        <v>1</v>
      </c>
      <c r="P1398" s="2">
        <v>1</v>
      </c>
      <c r="Q1398" s="68">
        <v>19</v>
      </c>
    </row>
    <row r="1399" spans="1:17" x14ac:dyDescent="0.25">
      <c r="A1399" s="10">
        <v>313</v>
      </c>
      <c r="B1399" s="10">
        <v>34</v>
      </c>
      <c r="C1399" s="10">
        <v>0</v>
      </c>
      <c r="D1399" s="10">
        <v>2</v>
      </c>
      <c r="E1399" s="10">
        <v>1</v>
      </c>
      <c r="F1399" s="10">
        <v>1</v>
      </c>
      <c r="L1399" s="1">
        <v>421</v>
      </c>
      <c r="M1399" s="1">
        <v>45</v>
      </c>
      <c r="N1399" s="1">
        <v>0</v>
      </c>
      <c r="O1399" s="1">
        <v>1</v>
      </c>
      <c r="P1399" s="2">
        <v>1</v>
      </c>
      <c r="Q1399" s="67">
        <v>5</v>
      </c>
    </row>
    <row r="1400" spans="1:17" x14ac:dyDescent="0.25">
      <c r="A1400" s="10">
        <v>314</v>
      </c>
      <c r="B1400" s="10">
        <v>34</v>
      </c>
      <c r="C1400" s="10">
        <v>0</v>
      </c>
      <c r="D1400" s="10">
        <v>2</v>
      </c>
      <c r="E1400" s="10">
        <v>1</v>
      </c>
      <c r="F1400" s="10">
        <v>1</v>
      </c>
      <c r="L1400" s="1">
        <v>422</v>
      </c>
      <c r="M1400" s="1">
        <v>45</v>
      </c>
      <c r="N1400" s="1">
        <v>0</v>
      </c>
      <c r="O1400" s="1">
        <v>1</v>
      </c>
      <c r="P1400" s="2">
        <v>1</v>
      </c>
      <c r="Q1400" s="68">
        <v>5</v>
      </c>
    </row>
    <row r="1401" spans="1:17" x14ac:dyDescent="0.25">
      <c r="A1401" s="10">
        <v>315</v>
      </c>
      <c r="B1401" s="10">
        <v>34</v>
      </c>
      <c r="C1401" s="10">
        <v>0</v>
      </c>
      <c r="D1401" s="10">
        <v>2</v>
      </c>
      <c r="E1401" s="10">
        <v>1</v>
      </c>
      <c r="F1401" s="10">
        <v>1</v>
      </c>
      <c r="L1401" s="1">
        <v>423</v>
      </c>
      <c r="M1401" s="1">
        <v>46</v>
      </c>
      <c r="N1401" s="1">
        <v>0</v>
      </c>
      <c r="O1401" s="1">
        <v>1</v>
      </c>
      <c r="P1401" s="2">
        <v>1</v>
      </c>
      <c r="Q1401" s="67">
        <v>8</v>
      </c>
    </row>
    <row r="1402" spans="1:17" x14ac:dyDescent="0.25">
      <c r="A1402" s="10">
        <v>316</v>
      </c>
      <c r="B1402" s="10">
        <v>34</v>
      </c>
      <c r="C1402" s="10">
        <v>0</v>
      </c>
      <c r="D1402" s="10">
        <v>2</v>
      </c>
      <c r="E1402" s="10">
        <v>1</v>
      </c>
      <c r="F1402" s="10">
        <v>1</v>
      </c>
      <c r="L1402" s="1">
        <v>424</v>
      </c>
      <c r="M1402" s="1">
        <v>46</v>
      </c>
      <c r="N1402" s="1">
        <v>0</v>
      </c>
      <c r="O1402" s="1">
        <v>1</v>
      </c>
      <c r="P1402" s="2">
        <v>1</v>
      </c>
      <c r="Q1402" s="68">
        <v>2</v>
      </c>
    </row>
    <row r="1403" spans="1:17" x14ac:dyDescent="0.25">
      <c r="A1403" s="10">
        <v>317</v>
      </c>
      <c r="B1403" s="10">
        <v>34</v>
      </c>
      <c r="C1403" s="10">
        <v>0</v>
      </c>
      <c r="D1403" s="10">
        <v>2</v>
      </c>
      <c r="E1403" s="10">
        <v>1</v>
      </c>
      <c r="F1403" s="10">
        <v>1</v>
      </c>
      <c r="L1403" s="1">
        <v>425</v>
      </c>
      <c r="M1403" s="1">
        <v>46</v>
      </c>
      <c r="N1403" s="1">
        <v>0</v>
      </c>
      <c r="O1403" s="1">
        <v>1</v>
      </c>
      <c r="P1403" s="2">
        <v>1</v>
      </c>
      <c r="Q1403" s="67">
        <v>5</v>
      </c>
    </row>
    <row r="1404" spans="1:17" x14ac:dyDescent="0.25">
      <c r="A1404" s="10">
        <v>318</v>
      </c>
      <c r="B1404" s="10">
        <v>34</v>
      </c>
      <c r="C1404" s="10">
        <v>0</v>
      </c>
      <c r="D1404" s="10">
        <v>2</v>
      </c>
      <c r="E1404" s="10">
        <v>1</v>
      </c>
      <c r="F1404" s="10">
        <v>1</v>
      </c>
      <c r="L1404" s="1">
        <v>426</v>
      </c>
      <c r="M1404" s="1">
        <v>46</v>
      </c>
      <c r="N1404" s="1">
        <v>0</v>
      </c>
      <c r="O1404" s="1">
        <v>1</v>
      </c>
      <c r="P1404" s="2">
        <v>1</v>
      </c>
      <c r="Q1404" s="68">
        <v>9</v>
      </c>
    </row>
    <row r="1405" spans="1:17" x14ac:dyDescent="0.25">
      <c r="A1405" s="10">
        <v>319</v>
      </c>
      <c r="B1405" s="10">
        <v>34</v>
      </c>
      <c r="C1405" s="10">
        <v>0</v>
      </c>
      <c r="D1405" s="10">
        <v>2</v>
      </c>
      <c r="E1405" s="10">
        <v>1</v>
      </c>
      <c r="F1405" s="10">
        <v>1</v>
      </c>
      <c r="L1405" s="1">
        <v>427</v>
      </c>
      <c r="M1405" s="1">
        <v>46</v>
      </c>
      <c r="N1405" s="1">
        <v>0</v>
      </c>
      <c r="O1405" s="1">
        <v>1</v>
      </c>
      <c r="P1405" s="2">
        <v>1</v>
      </c>
      <c r="Q1405" s="67">
        <v>2</v>
      </c>
    </row>
    <row r="1406" spans="1:17" x14ac:dyDescent="0.25">
      <c r="A1406" s="10">
        <v>320</v>
      </c>
      <c r="B1406" s="10">
        <v>34</v>
      </c>
      <c r="C1406" s="10">
        <v>0</v>
      </c>
      <c r="D1406" s="10">
        <v>2</v>
      </c>
      <c r="E1406" s="10">
        <v>1</v>
      </c>
      <c r="F1406" s="10">
        <v>1</v>
      </c>
      <c r="L1406" s="1">
        <v>428</v>
      </c>
      <c r="M1406" s="1">
        <v>46</v>
      </c>
      <c r="N1406" s="1">
        <v>0</v>
      </c>
      <c r="O1406" s="1">
        <v>1</v>
      </c>
      <c r="P1406" s="2">
        <v>1</v>
      </c>
      <c r="Q1406" s="68">
        <v>2</v>
      </c>
    </row>
    <row r="1407" spans="1:17" x14ac:dyDescent="0.25">
      <c r="A1407" s="10">
        <v>321</v>
      </c>
      <c r="B1407" s="10">
        <v>35</v>
      </c>
      <c r="C1407" s="10">
        <v>0</v>
      </c>
      <c r="D1407" s="10">
        <v>2</v>
      </c>
      <c r="E1407" s="10">
        <v>1</v>
      </c>
      <c r="F1407" s="10">
        <v>1</v>
      </c>
      <c r="L1407" s="1">
        <v>429</v>
      </c>
      <c r="M1407" s="1">
        <v>46</v>
      </c>
      <c r="N1407" s="1">
        <v>0</v>
      </c>
      <c r="O1407" s="1">
        <v>1</v>
      </c>
      <c r="P1407" s="2">
        <v>1</v>
      </c>
      <c r="Q1407" s="67">
        <v>14</v>
      </c>
    </row>
    <row r="1408" spans="1:17" x14ac:dyDescent="0.25">
      <c r="A1408" s="10">
        <v>322</v>
      </c>
      <c r="B1408" s="10">
        <v>35</v>
      </c>
      <c r="C1408" s="10">
        <v>0</v>
      </c>
      <c r="D1408" s="10">
        <v>2</v>
      </c>
      <c r="E1408" s="10">
        <v>1</v>
      </c>
      <c r="F1408" s="10">
        <v>1</v>
      </c>
      <c r="L1408" s="1">
        <v>430</v>
      </c>
      <c r="M1408" s="1">
        <v>46</v>
      </c>
      <c r="N1408" s="1">
        <v>0</v>
      </c>
      <c r="O1408" s="1">
        <v>1</v>
      </c>
      <c r="P1408" s="2">
        <v>1</v>
      </c>
      <c r="Q1408" s="68">
        <v>4</v>
      </c>
    </row>
    <row r="1409" spans="1:17" x14ac:dyDescent="0.25">
      <c r="A1409" s="10">
        <v>323</v>
      </c>
      <c r="B1409" s="10">
        <v>35</v>
      </c>
      <c r="C1409" s="10">
        <v>0</v>
      </c>
      <c r="D1409" s="10">
        <v>2</v>
      </c>
      <c r="E1409" s="10">
        <v>1</v>
      </c>
      <c r="F1409" s="10">
        <v>1</v>
      </c>
      <c r="L1409" s="1">
        <v>431</v>
      </c>
      <c r="M1409" s="1">
        <v>46</v>
      </c>
      <c r="N1409" s="1">
        <v>0</v>
      </c>
      <c r="O1409" s="1">
        <v>1</v>
      </c>
      <c r="P1409" s="2">
        <v>1</v>
      </c>
      <c r="Q1409" s="67">
        <v>8</v>
      </c>
    </row>
    <row r="1410" spans="1:17" x14ac:dyDescent="0.25">
      <c r="A1410" s="10">
        <v>324</v>
      </c>
      <c r="B1410" s="10">
        <v>35</v>
      </c>
      <c r="C1410" s="10">
        <v>0</v>
      </c>
      <c r="D1410" s="10">
        <v>2</v>
      </c>
      <c r="E1410" s="10">
        <v>1</v>
      </c>
      <c r="F1410" s="10">
        <v>1</v>
      </c>
      <c r="L1410" s="1">
        <v>432</v>
      </c>
      <c r="M1410" s="1">
        <v>46</v>
      </c>
      <c r="N1410" s="1">
        <v>0</v>
      </c>
      <c r="O1410" s="1">
        <v>1</v>
      </c>
      <c r="P1410" s="2">
        <v>1</v>
      </c>
      <c r="Q1410" s="68">
        <v>7</v>
      </c>
    </row>
    <row r="1411" spans="1:17" x14ac:dyDescent="0.25">
      <c r="A1411" s="10">
        <v>325</v>
      </c>
      <c r="B1411" s="10">
        <v>35</v>
      </c>
      <c r="C1411" s="10">
        <v>0</v>
      </c>
      <c r="D1411" s="10">
        <v>2</v>
      </c>
      <c r="E1411" s="10">
        <v>1</v>
      </c>
      <c r="F1411" s="10">
        <v>1</v>
      </c>
      <c r="L1411" s="1">
        <v>433</v>
      </c>
      <c r="M1411" s="1">
        <v>47</v>
      </c>
      <c r="N1411" s="1">
        <v>0</v>
      </c>
      <c r="O1411" s="1">
        <v>1</v>
      </c>
      <c r="P1411" s="2">
        <v>1</v>
      </c>
      <c r="Q1411" s="67">
        <v>8</v>
      </c>
    </row>
    <row r="1412" spans="1:17" x14ac:dyDescent="0.25">
      <c r="A1412" s="10">
        <v>326</v>
      </c>
      <c r="B1412" s="10">
        <v>35</v>
      </c>
      <c r="C1412" s="10">
        <v>0</v>
      </c>
      <c r="D1412" s="10">
        <v>2</v>
      </c>
      <c r="E1412" s="10">
        <v>1</v>
      </c>
      <c r="F1412" s="10">
        <v>1</v>
      </c>
      <c r="L1412" s="1">
        <v>434</v>
      </c>
      <c r="M1412" s="1">
        <v>47</v>
      </c>
      <c r="N1412" s="1">
        <v>0</v>
      </c>
      <c r="O1412" s="1">
        <v>1</v>
      </c>
      <c r="P1412" s="2">
        <v>1</v>
      </c>
      <c r="Q1412" s="68">
        <v>8</v>
      </c>
    </row>
    <row r="1413" spans="1:17" x14ac:dyDescent="0.25">
      <c r="A1413" s="10">
        <v>327</v>
      </c>
      <c r="B1413" s="10">
        <v>35</v>
      </c>
      <c r="C1413" s="10">
        <v>0</v>
      </c>
      <c r="D1413" s="10">
        <v>2</v>
      </c>
      <c r="E1413" s="10">
        <v>1</v>
      </c>
      <c r="F1413" s="10">
        <v>1</v>
      </c>
      <c r="L1413" s="1">
        <v>435</v>
      </c>
      <c r="M1413" s="1">
        <v>47</v>
      </c>
      <c r="N1413" s="1">
        <v>0</v>
      </c>
      <c r="O1413" s="1">
        <v>1</v>
      </c>
      <c r="P1413" s="2">
        <v>1</v>
      </c>
      <c r="Q1413" s="67">
        <v>12</v>
      </c>
    </row>
    <row r="1414" spans="1:17" x14ac:dyDescent="0.25">
      <c r="A1414" s="10">
        <v>328</v>
      </c>
      <c r="B1414" s="10">
        <v>35</v>
      </c>
      <c r="C1414" s="10">
        <v>0</v>
      </c>
      <c r="D1414" s="10">
        <v>2</v>
      </c>
      <c r="E1414" s="10">
        <v>1</v>
      </c>
      <c r="F1414" s="10">
        <v>1</v>
      </c>
      <c r="L1414" s="1">
        <v>436</v>
      </c>
      <c r="M1414" s="1">
        <v>47</v>
      </c>
      <c r="N1414" s="1">
        <v>0</v>
      </c>
      <c r="O1414" s="1">
        <v>1</v>
      </c>
      <c r="P1414" s="2">
        <v>1</v>
      </c>
      <c r="Q1414" s="68">
        <v>3</v>
      </c>
    </row>
    <row r="1415" spans="1:17" x14ac:dyDescent="0.25">
      <c r="A1415" s="10">
        <v>329</v>
      </c>
      <c r="B1415" s="10">
        <v>35</v>
      </c>
      <c r="C1415" s="10">
        <v>0</v>
      </c>
      <c r="D1415" s="10">
        <v>2</v>
      </c>
      <c r="E1415" s="10">
        <v>1</v>
      </c>
      <c r="F1415" s="10">
        <v>1</v>
      </c>
      <c r="L1415" s="1">
        <v>437</v>
      </c>
      <c r="M1415" s="1">
        <v>47</v>
      </c>
      <c r="N1415" s="1">
        <v>0</v>
      </c>
      <c r="O1415" s="1">
        <v>1</v>
      </c>
      <c r="P1415" s="2">
        <v>1</v>
      </c>
      <c r="Q1415" s="67">
        <v>6</v>
      </c>
    </row>
    <row r="1416" spans="1:17" x14ac:dyDescent="0.25">
      <c r="A1416" s="10">
        <v>330</v>
      </c>
      <c r="B1416" s="10">
        <v>35</v>
      </c>
      <c r="C1416" s="10">
        <v>0</v>
      </c>
      <c r="D1416" s="10">
        <v>2</v>
      </c>
      <c r="E1416" s="10">
        <v>1</v>
      </c>
      <c r="F1416" s="10">
        <v>1</v>
      </c>
      <c r="L1416" s="1">
        <v>438</v>
      </c>
      <c r="M1416" s="1">
        <v>47</v>
      </c>
      <c r="N1416" s="1">
        <v>0</v>
      </c>
      <c r="O1416" s="1">
        <v>1</v>
      </c>
      <c r="P1416" s="2">
        <v>1</v>
      </c>
      <c r="Q1416" s="68">
        <v>5</v>
      </c>
    </row>
    <row r="1417" spans="1:17" x14ac:dyDescent="0.25">
      <c r="A1417" s="10">
        <v>331</v>
      </c>
      <c r="B1417" s="10">
        <v>36</v>
      </c>
      <c r="C1417" s="10">
        <v>0</v>
      </c>
      <c r="D1417" s="10">
        <v>2</v>
      </c>
      <c r="E1417" s="10">
        <v>1</v>
      </c>
      <c r="F1417" s="10">
        <v>1</v>
      </c>
      <c r="L1417" s="1">
        <v>439</v>
      </c>
      <c r="M1417" s="1">
        <v>47</v>
      </c>
      <c r="N1417" s="1">
        <v>0</v>
      </c>
      <c r="O1417" s="1">
        <v>1</v>
      </c>
      <c r="P1417" s="2">
        <v>1</v>
      </c>
      <c r="Q1417" s="67">
        <v>7</v>
      </c>
    </row>
    <row r="1418" spans="1:17" x14ac:dyDescent="0.25">
      <c r="A1418" s="10">
        <v>332</v>
      </c>
      <c r="B1418" s="10">
        <v>36</v>
      </c>
      <c r="C1418" s="10">
        <v>0</v>
      </c>
      <c r="D1418" s="10">
        <v>2</v>
      </c>
      <c r="E1418" s="10">
        <v>1</v>
      </c>
      <c r="F1418" s="10">
        <v>1</v>
      </c>
      <c r="L1418" s="1">
        <v>440</v>
      </c>
      <c r="M1418" s="1">
        <v>47</v>
      </c>
      <c r="N1418" s="1">
        <v>0</v>
      </c>
      <c r="O1418" s="1">
        <v>1</v>
      </c>
      <c r="P1418" s="2">
        <v>1</v>
      </c>
      <c r="Q1418" s="68">
        <v>2</v>
      </c>
    </row>
    <row r="1419" spans="1:17" x14ac:dyDescent="0.25">
      <c r="A1419" s="10">
        <v>333</v>
      </c>
      <c r="B1419" s="10">
        <v>36</v>
      </c>
      <c r="C1419" s="10">
        <v>0</v>
      </c>
      <c r="D1419" s="10">
        <v>2</v>
      </c>
      <c r="E1419" s="10">
        <v>1</v>
      </c>
      <c r="F1419" s="10">
        <v>1</v>
      </c>
      <c r="L1419" s="1">
        <v>441</v>
      </c>
      <c r="M1419" s="1">
        <v>47</v>
      </c>
      <c r="N1419" s="1">
        <v>0</v>
      </c>
      <c r="O1419" s="1">
        <v>1</v>
      </c>
      <c r="P1419" s="2">
        <v>1</v>
      </c>
      <c r="Q1419" s="67">
        <v>0</v>
      </c>
    </row>
    <row r="1420" spans="1:17" x14ac:dyDescent="0.25">
      <c r="A1420" s="10">
        <v>334</v>
      </c>
      <c r="B1420" s="10">
        <v>36</v>
      </c>
      <c r="C1420" s="10">
        <v>0</v>
      </c>
      <c r="D1420" s="10">
        <v>2</v>
      </c>
      <c r="E1420" s="10">
        <v>1</v>
      </c>
      <c r="F1420" s="10">
        <v>1</v>
      </c>
      <c r="L1420" s="1">
        <v>442</v>
      </c>
      <c r="M1420" s="1">
        <v>47</v>
      </c>
      <c r="N1420" s="1">
        <v>0</v>
      </c>
      <c r="O1420" s="1">
        <v>1</v>
      </c>
      <c r="P1420" s="2">
        <v>1</v>
      </c>
      <c r="Q1420" s="68">
        <v>4</v>
      </c>
    </row>
    <row r="1421" spans="1:17" x14ac:dyDescent="0.25">
      <c r="A1421" s="10">
        <v>335</v>
      </c>
      <c r="B1421" s="10">
        <v>36</v>
      </c>
      <c r="C1421" s="10">
        <v>0</v>
      </c>
      <c r="D1421" s="10">
        <v>2</v>
      </c>
      <c r="E1421" s="10">
        <v>1</v>
      </c>
      <c r="F1421" s="10">
        <v>1</v>
      </c>
      <c r="L1421" s="1">
        <v>443</v>
      </c>
      <c r="M1421" s="1">
        <v>48</v>
      </c>
      <c r="N1421" s="1">
        <v>0</v>
      </c>
      <c r="O1421" s="1">
        <v>1</v>
      </c>
      <c r="P1421" s="2">
        <v>1</v>
      </c>
      <c r="Q1421" s="67">
        <v>6</v>
      </c>
    </row>
    <row r="1422" spans="1:17" x14ac:dyDescent="0.25">
      <c r="A1422" s="10">
        <v>336</v>
      </c>
      <c r="B1422" s="10">
        <v>36</v>
      </c>
      <c r="C1422" s="10">
        <v>0</v>
      </c>
      <c r="D1422" s="10">
        <v>2</v>
      </c>
      <c r="E1422" s="10">
        <v>1</v>
      </c>
      <c r="F1422" s="10">
        <v>1</v>
      </c>
      <c r="L1422" s="1">
        <v>444</v>
      </c>
      <c r="M1422" s="1">
        <v>48</v>
      </c>
      <c r="N1422" s="1">
        <v>0</v>
      </c>
      <c r="O1422" s="1">
        <v>1</v>
      </c>
      <c r="P1422" s="2">
        <v>1</v>
      </c>
      <c r="Q1422" s="68">
        <v>8</v>
      </c>
    </row>
    <row r="1423" spans="1:17" x14ac:dyDescent="0.25">
      <c r="A1423" s="10">
        <v>337</v>
      </c>
      <c r="B1423" s="10">
        <v>36</v>
      </c>
      <c r="C1423" s="10">
        <v>0</v>
      </c>
      <c r="D1423" s="10">
        <v>2</v>
      </c>
      <c r="E1423" s="10">
        <v>1</v>
      </c>
      <c r="F1423" s="10">
        <v>1</v>
      </c>
      <c r="L1423" s="1">
        <v>445</v>
      </c>
      <c r="M1423" s="1">
        <v>48</v>
      </c>
      <c r="N1423" s="1">
        <v>0</v>
      </c>
      <c r="O1423" s="1">
        <v>1</v>
      </c>
      <c r="P1423" s="2">
        <v>1</v>
      </c>
      <c r="Q1423" s="67">
        <v>12</v>
      </c>
    </row>
    <row r="1424" spans="1:17" x14ac:dyDescent="0.25">
      <c r="A1424" s="10">
        <v>338</v>
      </c>
      <c r="B1424" s="10">
        <v>36</v>
      </c>
      <c r="C1424" s="10">
        <v>0</v>
      </c>
      <c r="D1424" s="10">
        <v>2</v>
      </c>
      <c r="E1424" s="10">
        <v>1</v>
      </c>
      <c r="F1424" s="10">
        <v>1</v>
      </c>
      <c r="L1424" s="1">
        <v>446</v>
      </c>
      <c r="M1424" s="1">
        <v>48</v>
      </c>
      <c r="N1424" s="1">
        <v>0</v>
      </c>
      <c r="O1424" s="1">
        <v>1</v>
      </c>
      <c r="P1424" s="2">
        <v>1</v>
      </c>
      <c r="Q1424" s="68">
        <v>4</v>
      </c>
    </row>
    <row r="1425" spans="1:17" x14ac:dyDescent="0.25">
      <c r="A1425" s="10">
        <v>339</v>
      </c>
      <c r="B1425" s="10">
        <v>37</v>
      </c>
      <c r="C1425" s="10">
        <v>0</v>
      </c>
      <c r="D1425" s="10">
        <v>2</v>
      </c>
      <c r="E1425" s="10">
        <v>1</v>
      </c>
      <c r="F1425" s="10">
        <v>1</v>
      </c>
      <c r="L1425" s="1">
        <v>447</v>
      </c>
      <c r="M1425" s="1">
        <v>48</v>
      </c>
      <c r="N1425" s="1">
        <v>0</v>
      </c>
      <c r="O1425" s="1">
        <v>1</v>
      </c>
      <c r="P1425" s="2">
        <v>1</v>
      </c>
      <c r="Q1425" s="67">
        <v>11</v>
      </c>
    </row>
    <row r="1426" spans="1:17" x14ac:dyDescent="0.25">
      <c r="A1426" s="10">
        <v>340</v>
      </c>
      <c r="B1426" s="10">
        <v>37</v>
      </c>
      <c r="C1426" s="10">
        <v>0</v>
      </c>
      <c r="D1426" s="10">
        <v>2</v>
      </c>
      <c r="E1426" s="10">
        <v>1</v>
      </c>
      <c r="F1426" s="10">
        <v>1</v>
      </c>
      <c r="L1426" s="1">
        <v>448</v>
      </c>
      <c r="M1426" s="1">
        <v>48</v>
      </c>
      <c r="N1426" s="1">
        <v>0</v>
      </c>
      <c r="O1426" s="1">
        <v>1</v>
      </c>
      <c r="P1426" s="2">
        <v>1</v>
      </c>
      <c r="Q1426" s="68">
        <v>11</v>
      </c>
    </row>
    <row r="1427" spans="1:17" x14ac:dyDescent="0.25">
      <c r="A1427" s="10">
        <v>341</v>
      </c>
      <c r="B1427" s="10">
        <v>37</v>
      </c>
      <c r="C1427" s="10">
        <v>0</v>
      </c>
      <c r="D1427" s="10">
        <v>2</v>
      </c>
      <c r="E1427" s="10">
        <v>1</v>
      </c>
      <c r="F1427" s="10">
        <v>1</v>
      </c>
      <c r="L1427" s="1">
        <v>449</v>
      </c>
      <c r="M1427" s="1">
        <v>48</v>
      </c>
      <c r="N1427" s="1">
        <v>0</v>
      </c>
      <c r="O1427" s="1">
        <v>1</v>
      </c>
      <c r="P1427" s="2">
        <v>1</v>
      </c>
      <c r="Q1427" s="67">
        <v>6</v>
      </c>
    </row>
    <row r="1428" spans="1:17" x14ac:dyDescent="0.25">
      <c r="A1428" s="10">
        <v>342</v>
      </c>
      <c r="B1428" s="10">
        <v>37</v>
      </c>
      <c r="C1428" s="10">
        <v>0</v>
      </c>
      <c r="D1428" s="10">
        <v>2</v>
      </c>
      <c r="E1428" s="10">
        <v>1</v>
      </c>
      <c r="F1428" s="10">
        <v>1</v>
      </c>
      <c r="L1428" s="1">
        <v>450</v>
      </c>
      <c r="M1428" s="1">
        <v>48</v>
      </c>
      <c r="N1428" s="1">
        <v>0</v>
      </c>
      <c r="O1428" s="1">
        <v>1</v>
      </c>
      <c r="P1428" s="2">
        <v>1</v>
      </c>
      <c r="Q1428" s="68">
        <v>11</v>
      </c>
    </row>
    <row r="1429" spans="1:17" x14ac:dyDescent="0.25">
      <c r="A1429" s="10">
        <v>343</v>
      </c>
      <c r="B1429" s="10">
        <v>37</v>
      </c>
      <c r="C1429" s="10">
        <v>0</v>
      </c>
      <c r="D1429" s="10">
        <v>2</v>
      </c>
      <c r="E1429" s="10">
        <v>1</v>
      </c>
      <c r="F1429" s="10">
        <v>1</v>
      </c>
      <c r="L1429" s="1">
        <v>451</v>
      </c>
      <c r="M1429" s="1">
        <v>48</v>
      </c>
      <c r="N1429" s="1">
        <v>0</v>
      </c>
      <c r="O1429" s="1">
        <v>1</v>
      </c>
      <c r="P1429" s="2">
        <v>1</v>
      </c>
      <c r="Q1429" s="67">
        <v>8</v>
      </c>
    </row>
    <row r="1430" spans="1:17" x14ac:dyDescent="0.25">
      <c r="A1430" s="10">
        <v>344</v>
      </c>
      <c r="B1430" s="10">
        <v>37</v>
      </c>
      <c r="C1430" s="10">
        <v>0</v>
      </c>
      <c r="D1430" s="10">
        <v>2</v>
      </c>
      <c r="E1430" s="10">
        <v>1</v>
      </c>
      <c r="F1430" s="10">
        <v>1</v>
      </c>
      <c r="L1430" s="1">
        <v>452</v>
      </c>
      <c r="M1430" s="1">
        <v>48</v>
      </c>
      <c r="N1430" s="1">
        <v>0</v>
      </c>
      <c r="O1430" s="1">
        <v>1</v>
      </c>
      <c r="P1430" s="2">
        <v>1</v>
      </c>
      <c r="Q1430" s="68">
        <v>13</v>
      </c>
    </row>
    <row r="1431" spans="1:17" x14ac:dyDescent="0.25">
      <c r="A1431" s="10">
        <v>345</v>
      </c>
      <c r="B1431" s="10">
        <v>37</v>
      </c>
      <c r="C1431" s="10">
        <v>0</v>
      </c>
      <c r="D1431" s="10">
        <v>2</v>
      </c>
      <c r="E1431" s="10">
        <v>1</v>
      </c>
      <c r="F1431" s="10">
        <v>1</v>
      </c>
      <c r="L1431" s="1">
        <v>453</v>
      </c>
      <c r="M1431" s="1">
        <v>49</v>
      </c>
      <c r="N1431" s="1">
        <v>0</v>
      </c>
      <c r="O1431" s="1">
        <v>1</v>
      </c>
      <c r="P1431" s="2">
        <v>1</v>
      </c>
      <c r="Q1431" s="67">
        <v>14</v>
      </c>
    </row>
    <row r="1432" spans="1:17" x14ac:dyDescent="0.25">
      <c r="A1432" s="10">
        <v>346</v>
      </c>
      <c r="B1432" s="10">
        <v>37</v>
      </c>
      <c r="C1432" s="10">
        <v>0</v>
      </c>
      <c r="D1432" s="10">
        <v>2</v>
      </c>
      <c r="E1432" s="10">
        <v>1</v>
      </c>
      <c r="F1432" s="10">
        <v>1</v>
      </c>
      <c r="L1432" s="1">
        <v>454</v>
      </c>
      <c r="M1432" s="1">
        <v>49</v>
      </c>
      <c r="N1432" s="1">
        <v>0</v>
      </c>
      <c r="O1432" s="1">
        <v>1</v>
      </c>
      <c r="P1432" s="2">
        <v>1</v>
      </c>
      <c r="Q1432" s="68">
        <v>13</v>
      </c>
    </row>
    <row r="1433" spans="1:17" x14ac:dyDescent="0.25">
      <c r="A1433" s="10">
        <v>347</v>
      </c>
      <c r="B1433" s="10">
        <v>38</v>
      </c>
      <c r="C1433" s="10">
        <v>0</v>
      </c>
      <c r="D1433" s="10">
        <v>2</v>
      </c>
      <c r="E1433" s="10">
        <v>1</v>
      </c>
      <c r="F1433" s="10">
        <v>1</v>
      </c>
      <c r="L1433" s="1">
        <v>455</v>
      </c>
      <c r="M1433" s="1">
        <v>49</v>
      </c>
      <c r="N1433" s="1">
        <v>0</v>
      </c>
      <c r="O1433" s="1">
        <v>1</v>
      </c>
      <c r="P1433" s="2">
        <v>1</v>
      </c>
      <c r="Q1433" s="67">
        <v>11</v>
      </c>
    </row>
    <row r="1434" spans="1:17" x14ac:dyDescent="0.25">
      <c r="A1434" s="10">
        <v>348</v>
      </c>
      <c r="B1434" s="10">
        <v>38</v>
      </c>
      <c r="C1434" s="10">
        <v>0</v>
      </c>
      <c r="D1434" s="10">
        <v>2</v>
      </c>
      <c r="E1434" s="10">
        <v>1</v>
      </c>
      <c r="F1434" s="10">
        <v>1</v>
      </c>
      <c r="L1434" s="1">
        <v>456</v>
      </c>
      <c r="M1434" s="1">
        <v>49</v>
      </c>
      <c r="N1434" s="1">
        <v>0</v>
      </c>
      <c r="O1434" s="1">
        <v>1</v>
      </c>
      <c r="P1434" s="2">
        <v>1</v>
      </c>
      <c r="Q1434" s="68">
        <v>17</v>
      </c>
    </row>
    <row r="1435" spans="1:17" x14ac:dyDescent="0.25">
      <c r="A1435" s="10">
        <v>349</v>
      </c>
      <c r="B1435" s="10">
        <v>38</v>
      </c>
      <c r="C1435" s="10">
        <v>0</v>
      </c>
      <c r="D1435" s="10">
        <v>2</v>
      </c>
      <c r="E1435" s="10">
        <v>1</v>
      </c>
      <c r="F1435" s="10">
        <v>1</v>
      </c>
      <c r="L1435" s="1">
        <v>457</v>
      </c>
      <c r="M1435" s="1">
        <v>49</v>
      </c>
      <c r="N1435" s="1">
        <v>0</v>
      </c>
      <c r="O1435" s="1">
        <v>1</v>
      </c>
      <c r="P1435" s="2">
        <v>1</v>
      </c>
      <c r="Q1435" s="67">
        <v>15</v>
      </c>
    </row>
    <row r="1436" spans="1:17" x14ac:dyDescent="0.25">
      <c r="A1436" s="10">
        <v>350</v>
      </c>
      <c r="B1436" s="10">
        <v>38</v>
      </c>
      <c r="C1436" s="10">
        <v>0</v>
      </c>
      <c r="D1436" s="10">
        <v>2</v>
      </c>
      <c r="E1436" s="10">
        <v>1</v>
      </c>
      <c r="F1436" s="10">
        <v>1</v>
      </c>
      <c r="L1436" s="1">
        <v>458</v>
      </c>
      <c r="M1436" s="1">
        <v>49</v>
      </c>
      <c r="N1436" s="1">
        <v>0</v>
      </c>
      <c r="O1436" s="1">
        <v>1</v>
      </c>
      <c r="P1436" s="2">
        <v>1</v>
      </c>
      <c r="Q1436" s="68">
        <v>15</v>
      </c>
    </row>
    <row r="1437" spans="1:17" x14ac:dyDescent="0.25">
      <c r="A1437" s="10">
        <v>351</v>
      </c>
      <c r="B1437" s="10">
        <v>38</v>
      </c>
      <c r="C1437" s="10">
        <v>0</v>
      </c>
      <c r="D1437" s="10">
        <v>2</v>
      </c>
      <c r="E1437" s="10">
        <v>1</v>
      </c>
      <c r="F1437" s="10">
        <v>1</v>
      </c>
      <c r="L1437" s="1">
        <v>459</v>
      </c>
      <c r="M1437" s="1">
        <v>49</v>
      </c>
      <c r="N1437" s="1">
        <v>0</v>
      </c>
      <c r="O1437" s="1">
        <v>1</v>
      </c>
      <c r="P1437" s="2">
        <v>1</v>
      </c>
      <c r="Q1437" s="67">
        <v>4</v>
      </c>
    </row>
    <row r="1438" spans="1:17" x14ac:dyDescent="0.25">
      <c r="A1438" s="10">
        <v>352</v>
      </c>
      <c r="B1438" s="10">
        <v>38</v>
      </c>
      <c r="C1438" s="10">
        <v>0</v>
      </c>
      <c r="D1438" s="10">
        <v>2</v>
      </c>
      <c r="E1438" s="10">
        <v>1</v>
      </c>
      <c r="F1438" s="10">
        <v>1</v>
      </c>
      <c r="L1438" s="1">
        <v>460</v>
      </c>
      <c r="M1438" s="1">
        <v>49</v>
      </c>
      <c r="N1438" s="1">
        <v>0</v>
      </c>
      <c r="O1438" s="1">
        <v>1</v>
      </c>
      <c r="P1438" s="2">
        <v>1</v>
      </c>
      <c r="Q1438" s="68">
        <v>15</v>
      </c>
    </row>
    <row r="1439" spans="1:17" x14ac:dyDescent="0.25">
      <c r="A1439" s="10">
        <v>353</v>
      </c>
      <c r="B1439" s="10">
        <v>38</v>
      </c>
      <c r="C1439" s="10">
        <v>0</v>
      </c>
      <c r="D1439" s="10">
        <v>2</v>
      </c>
      <c r="E1439" s="10">
        <v>1</v>
      </c>
      <c r="F1439" s="10">
        <v>1</v>
      </c>
      <c r="L1439" s="1">
        <v>461</v>
      </c>
      <c r="M1439" s="1">
        <v>49</v>
      </c>
      <c r="N1439" s="1">
        <v>0</v>
      </c>
      <c r="O1439" s="1">
        <v>1</v>
      </c>
      <c r="P1439" s="2">
        <v>1</v>
      </c>
      <c r="Q1439" s="67">
        <v>2</v>
      </c>
    </row>
    <row r="1440" spans="1:17" x14ac:dyDescent="0.25">
      <c r="A1440" s="10">
        <v>354</v>
      </c>
      <c r="B1440" s="10">
        <v>38</v>
      </c>
      <c r="C1440" s="10">
        <v>0</v>
      </c>
      <c r="D1440" s="10">
        <v>2</v>
      </c>
      <c r="E1440" s="10">
        <v>1</v>
      </c>
      <c r="F1440" s="10">
        <v>1</v>
      </c>
      <c r="L1440" s="1">
        <v>462</v>
      </c>
      <c r="M1440" s="1">
        <v>49</v>
      </c>
      <c r="N1440" s="1">
        <v>0</v>
      </c>
      <c r="O1440" s="1">
        <v>1</v>
      </c>
      <c r="P1440" s="2">
        <v>1</v>
      </c>
      <c r="Q1440" s="68">
        <v>2</v>
      </c>
    </row>
    <row r="1441" spans="1:17" x14ac:dyDescent="0.25">
      <c r="A1441" s="10">
        <v>355</v>
      </c>
      <c r="B1441" s="10">
        <v>38</v>
      </c>
      <c r="C1441" s="10">
        <v>0</v>
      </c>
      <c r="D1441" s="10">
        <v>2</v>
      </c>
      <c r="E1441" s="10">
        <v>1</v>
      </c>
      <c r="F1441" s="10">
        <v>1</v>
      </c>
      <c r="L1441" s="1">
        <v>463</v>
      </c>
      <c r="M1441" s="1">
        <v>50</v>
      </c>
      <c r="N1441" s="1">
        <v>0</v>
      </c>
      <c r="O1441" s="1">
        <v>1</v>
      </c>
      <c r="P1441" s="2">
        <v>1</v>
      </c>
      <c r="Q1441" s="67">
        <v>2</v>
      </c>
    </row>
    <row r="1442" spans="1:17" x14ac:dyDescent="0.25">
      <c r="A1442" s="10">
        <v>356</v>
      </c>
      <c r="B1442" s="10">
        <v>38</v>
      </c>
      <c r="C1442" s="10">
        <v>0</v>
      </c>
      <c r="D1442" s="10">
        <v>2</v>
      </c>
      <c r="E1442" s="10">
        <v>1</v>
      </c>
      <c r="F1442" s="10">
        <v>1</v>
      </c>
      <c r="L1442" s="1">
        <v>464</v>
      </c>
      <c r="M1442" s="1">
        <v>50</v>
      </c>
      <c r="N1442" s="1">
        <v>0</v>
      </c>
      <c r="O1442" s="1">
        <v>1</v>
      </c>
      <c r="P1442" s="2">
        <v>1</v>
      </c>
      <c r="Q1442" s="68">
        <v>12</v>
      </c>
    </row>
    <row r="1443" spans="1:17" x14ac:dyDescent="0.25">
      <c r="A1443" s="10">
        <v>357</v>
      </c>
      <c r="B1443" s="10">
        <v>39</v>
      </c>
      <c r="C1443" s="10">
        <v>0</v>
      </c>
      <c r="D1443" s="10">
        <v>2</v>
      </c>
      <c r="E1443" s="10">
        <v>1</v>
      </c>
      <c r="F1443" s="10">
        <v>1</v>
      </c>
      <c r="L1443" s="1">
        <v>465</v>
      </c>
      <c r="M1443" s="1">
        <v>50</v>
      </c>
      <c r="N1443" s="1">
        <v>0</v>
      </c>
      <c r="O1443" s="1">
        <v>1</v>
      </c>
      <c r="P1443" s="2">
        <v>1</v>
      </c>
      <c r="Q1443" s="67">
        <v>10</v>
      </c>
    </row>
    <row r="1444" spans="1:17" x14ac:dyDescent="0.25">
      <c r="A1444" s="10">
        <v>358</v>
      </c>
      <c r="B1444" s="10">
        <v>39</v>
      </c>
      <c r="C1444" s="10">
        <v>0</v>
      </c>
      <c r="D1444" s="10">
        <v>2</v>
      </c>
      <c r="E1444" s="10">
        <v>1</v>
      </c>
      <c r="F1444" s="10">
        <v>1</v>
      </c>
      <c r="L1444" s="1">
        <v>466</v>
      </c>
      <c r="M1444" s="1">
        <v>50</v>
      </c>
      <c r="N1444" s="1">
        <v>0</v>
      </c>
      <c r="O1444" s="1">
        <v>1</v>
      </c>
      <c r="P1444" s="2">
        <v>1</v>
      </c>
      <c r="Q1444" s="68">
        <v>24</v>
      </c>
    </row>
    <row r="1445" spans="1:17" x14ac:dyDescent="0.25">
      <c r="A1445" s="10">
        <v>359</v>
      </c>
      <c r="B1445" s="10">
        <v>39</v>
      </c>
      <c r="C1445" s="10">
        <v>0</v>
      </c>
      <c r="D1445" s="10">
        <v>2</v>
      </c>
      <c r="E1445" s="10">
        <v>1</v>
      </c>
      <c r="F1445" s="10">
        <v>1</v>
      </c>
      <c r="L1445" s="1">
        <v>467</v>
      </c>
      <c r="M1445" s="1">
        <v>50</v>
      </c>
      <c r="N1445" s="1">
        <v>0</v>
      </c>
      <c r="O1445" s="1">
        <v>1</v>
      </c>
      <c r="P1445" s="2">
        <v>1</v>
      </c>
      <c r="Q1445" s="67">
        <v>14</v>
      </c>
    </row>
    <row r="1446" spans="1:17" x14ac:dyDescent="0.25">
      <c r="A1446" s="10">
        <v>360</v>
      </c>
      <c r="B1446" s="10">
        <v>39</v>
      </c>
      <c r="C1446" s="10">
        <v>0</v>
      </c>
      <c r="D1446" s="10">
        <v>2</v>
      </c>
      <c r="E1446" s="10">
        <v>1</v>
      </c>
      <c r="F1446" s="10">
        <v>1</v>
      </c>
      <c r="L1446" s="1">
        <v>468</v>
      </c>
      <c r="M1446" s="1">
        <v>50</v>
      </c>
      <c r="N1446" s="1">
        <v>0</v>
      </c>
      <c r="O1446" s="1">
        <v>1</v>
      </c>
      <c r="P1446" s="2">
        <v>1</v>
      </c>
      <c r="Q1446" s="68">
        <v>15</v>
      </c>
    </row>
    <row r="1447" spans="1:17" x14ac:dyDescent="0.25">
      <c r="A1447" s="10">
        <v>361</v>
      </c>
      <c r="B1447" s="10">
        <v>39</v>
      </c>
      <c r="C1447" s="10">
        <v>0</v>
      </c>
      <c r="D1447" s="10">
        <v>2</v>
      </c>
      <c r="E1447" s="10">
        <v>1</v>
      </c>
      <c r="F1447" s="10">
        <v>1</v>
      </c>
      <c r="L1447" s="1">
        <v>469</v>
      </c>
      <c r="M1447" s="1">
        <v>50</v>
      </c>
      <c r="N1447" s="1">
        <v>0</v>
      </c>
      <c r="O1447" s="1">
        <v>1</v>
      </c>
      <c r="P1447" s="2">
        <v>1</v>
      </c>
      <c r="Q1447" s="67">
        <v>9</v>
      </c>
    </row>
    <row r="1448" spans="1:17" x14ac:dyDescent="0.25">
      <c r="A1448" s="10">
        <v>362</v>
      </c>
      <c r="B1448" s="10">
        <v>39</v>
      </c>
      <c r="C1448" s="10">
        <v>0</v>
      </c>
      <c r="D1448" s="10">
        <v>2</v>
      </c>
      <c r="E1448" s="10">
        <v>1</v>
      </c>
      <c r="F1448" s="10">
        <v>1</v>
      </c>
      <c r="L1448" s="1">
        <v>470</v>
      </c>
      <c r="M1448" s="1">
        <v>50</v>
      </c>
      <c r="N1448" s="1">
        <v>0</v>
      </c>
      <c r="O1448" s="1">
        <v>1</v>
      </c>
      <c r="P1448" s="2">
        <v>1</v>
      </c>
      <c r="Q1448" s="68">
        <v>1</v>
      </c>
    </row>
    <row r="1449" spans="1:17" x14ac:dyDescent="0.25">
      <c r="A1449" s="10">
        <v>363</v>
      </c>
      <c r="B1449" s="10">
        <v>39</v>
      </c>
      <c r="C1449" s="10">
        <v>0</v>
      </c>
      <c r="D1449" s="10">
        <v>2</v>
      </c>
      <c r="E1449" s="10">
        <v>1</v>
      </c>
      <c r="F1449" s="10">
        <v>1</v>
      </c>
      <c r="L1449" s="1">
        <v>471</v>
      </c>
      <c r="M1449" s="1">
        <v>50</v>
      </c>
      <c r="N1449" s="1">
        <v>0</v>
      </c>
      <c r="O1449" s="1">
        <v>1</v>
      </c>
      <c r="P1449" s="2">
        <v>1</v>
      </c>
      <c r="Q1449" s="67">
        <v>2</v>
      </c>
    </row>
    <row r="1450" spans="1:17" x14ac:dyDescent="0.25">
      <c r="A1450" s="10">
        <v>364</v>
      </c>
      <c r="B1450" s="10">
        <v>39</v>
      </c>
      <c r="C1450" s="10">
        <v>0</v>
      </c>
      <c r="D1450" s="10">
        <v>2</v>
      </c>
      <c r="E1450" s="10">
        <v>1</v>
      </c>
      <c r="F1450" s="10">
        <v>1</v>
      </c>
      <c r="L1450" s="1">
        <v>472</v>
      </c>
      <c r="M1450" s="1">
        <v>50</v>
      </c>
      <c r="N1450" s="1">
        <v>0</v>
      </c>
      <c r="O1450" s="1">
        <v>1</v>
      </c>
      <c r="P1450" s="2">
        <v>1</v>
      </c>
      <c r="Q1450" s="68">
        <v>6</v>
      </c>
    </row>
    <row r="1451" spans="1:17" x14ac:dyDescent="0.25">
      <c r="A1451" s="10">
        <v>365</v>
      </c>
      <c r="B1451" s="10">
        <v>39</v>
      </c>
      <c r="C1451" s="10">
        <v>0</v>
      </c>
      <c r="D1451" s="10">
        <v>2</v>
      </c>
      <c r="E1451" s="10">
        <v>1</v>
      </c>
      <c r="F1451" s="10">
        <v>1</v>
      </c>
      <c r="L1451" s="1">
        <v>473</v>
      </c>
      <c r="M1451" s="1">
        <v>51</v>
      </c>
      <c r="N1451" s="1">
        <v>0</v>
      </c>
      <c r="O1451" s="1">
        <v>1</v>
      </c>
      <c r="P1451" s="2">
        <v>1</v>
      </c>
      <c r="Q1451" s="67">
        <v>7</v>
      </c>
    </row>
    <row r="1452" spans="1:17" x14ac:dyDescent="0.25">
      <c r="A1452" s="10">
        <v>366</v>
      </c>
      <c r="B1452" s="10">
        <v>39</v>
      </c>
      <c r="C1452" s="10">
        <v>0</v>
      </c>
      <c r="D1452" s="10">
        <v>2</v>
      </c>
      <c r="E1452" s="10">
        <v>1</v>
      </c>
      <c r="F1452" s="10">
        <v>1</v>
      </c>
      <c r="L1452" s="1">
        <v>474</v>
      </c>
      <c r="M1452" s="1">
        <v>51</v>
      </c>
      <c r="N1452" s="1">
        <v>0</v>
      </c>
      <c r="O1452" s="1">
        <v>1</v>
      </c>
      <c r="P1452" s="2">
        <v>1</v>
      </c>
      <c r="Q1452" s="68">
        <v>4</v>
      </c>
    </row>
    <row r="1453" spans="1:17" x14ac:dyDescent="0.25">
      <c r="A1453" s="10">
        <v>367</v>
      </c>
      <c r="B1453" s="10">
        <v>40</v>
      </c>
      <c r="C1453" s="10">
        <v>0</v>
      </c>
      <c r="D1453" s="10">
        <v>2</v>
      </c>
      <c r="E1453" s="10">
        <v>1</v>
      </c>
      <c r="F1453" s="10">
        <v>1</v>
      </c>
      <c r="L1453" s="1">
        <v>475</v>
      </c>
      <c r="M1453" s="1">
        <v>51</v>
      </c>
      <c r="N1453" s="1">
        <v>0</v>
      </c>
      <c r="O1453" s="1">
        <v>1</v>
      </c>
      <c r="P1453" s="2">
        <v>1</v>
      </c>
      <c r="Q1453" s="67">
        <v>10</v>
      </c>
    </row>
    <row r="1454" spans="1:17" x14ac:dyDescent="0.25">
      <c r="A1454" s="10">
        <v>368</v>
      </c>
      <c r="B1454" s="10">
        <v>40</v>
      </c>
      <c r="C1454" s="10">
        <v>0</v>
      </c>
      <c r="D1454" s="10">
        <v>2</v>
      </c>
      <c r="E1454" s="10">
        <v>1</v>
      </c>
      <c r="F1454" s="10">
        <v>1</v>
      </c>
      <c r="L1454" s="1">
        <v>476</v>
      </c>
      <c r="M1454" s="1">
        <v>51</v>
      </c>
      <c r="N1454" s="1">
        <v>0</v>
      </c>
      <c r="O1454" s="1">
        <v>1</v>
      </c>
      <c r="P1454" s="2">
        <v>1</v>
      </c>
      <c r="Q1454" s="68">
        <v>6</v>
      </c>
    </row>
    <row r="1455" spans="1:17" x14ac:dyDescent="0.25">
      <c r="A1455" s="10">
        <v>369</v>
      </c>
      <c r="B1455" s="10">
        <v>40</v>
      </c>
      <c r="C1455" s="10">
        <v>0</v>
      </c>
      <c r="D1455" s="10">
        <v>2</v>
      </c>
      <c r="E1455" s="10">
        <v>1</v>
      </c>
      <c r="F1455" s="10">
        <v>1</v>
      </c>
      <c r="L1455" s="1">
        <v>477</v>
      </c>
      <c r="M1455" s="1">
        <v>51</v>
      </c>
      <c r="N1455" s="1">
        <v>0</v>
      </c>
      <c r="O1455" s="1">
        <v>1</v>
      </c>
      <c r="P1455" s="2">
        <v>1</v>
      </c>
      <c r="Q1455" s="67">
        <v>11</v>
      </c>
    </row>
    <row r="1456" spans="1:17" x14ac:dyDescent="0.25">
      <c r="A1456" s="10">
        <v>370</v>
      </c>
      <c r="B1456" s="10">
        <v>40</v>
      </c>
      <c r="C1456" s="10">
        <v>0</v>
      </c>
      <c r="D1456" s="10">
        <v>2</v>
      </c>
      <c r="E1456" s="10">
        <v>1</v>
      </c>
      <c r="F1456" s="10">
        <v>1</v>
      </c>
      <c r="L1456" s="1">
        <v>478</v>
      </c>
      <c r="M1456" s="1">
        <v>51</v>
      </c>
      <c r="N1456" s="1">
        <v>0</v>
      </c>
      <c r="O1456" s="1">
        <v>1</v>
      </c>
      <c r="P1456" s="2">
        <v>1</v>
      </c>
      <c r="Q1456" s="68">
        <v>19</v>
      </c>
    </row>
    <row r="1457" spans="1:17" x14ac:dyDescent="0.25">
      <c r="A1457" s="10">
        <v>371</v>
      </c>
      <c r="B1457" s="10">
        <v>40</v>
      </c>
      <c r="C1457" s="10">
        <v>0</v>
      </c>
      <c r="D1457" s="10">
        <v>2</v>
      </c>
      <c r="E1457" s="10">
        <v>1</v>
      </c>
      <c r="F1457" s="10">
        <v>1</v>
      </c>
      <c r="L1457" s="1">
        <v>479</v>
      </c>
      <c r="M1457" s="1">
        <v>51</v>
      </c>
      <c r="N1457" s="1">
        <v>0</v>
      </c>
      <c r="O1457" s="1">
        <v>1</v>
      </c>
      <c r="P1457" s="2">
        <v>1</v>
      </c>
      <c r="Q1457" s="67">
        <v>18</v>
      </c>
    </row>
    <row r="1458" spans="1:17" x14ac:dyDescent="0.25">
      <c r="A1458" s="10">
        <v>372</v>
      </c>
      <c r="B1458" s="10">
        <v>40</v>
      </c>
      <c r="C1458" s="10">
        <v>0</v>
      </c>
      <c r="D1458" s="10">
        <v>2</v>
      </c>
      <c r="E1458" s="10">
        <v>1</v>
      </c>
      <c r="F1458" s="10">
        <v>1</v>
      </c>
      <c r="L1458" s="1">
        <v>480</v>
      </c>
      <c r="M1458" s="1">
        <v>51</v>
      </c>
      <c r="N1458" s="1">
        <v>0</v>
      </c>
      <c r="O1458" s="1">
        <v>1</v>
      </c>
      <c r="P1458" s="2">
        <v>1</v>
      </c>
      <c r="Q1458" s="68">
        <v>13</v>
      </c>
    </row>
    <row r="1459" spans="1:17" x14ac:dyDescent="0.25">
      <c r="A1459" s="10">
        <v>373</v>
      </c>
      <c r="B1459" s="10">
        <v>40</v>
      </c>
      <c r="C1459" s="10">
        <v>0</v>
      </c>
      <c r="D1459" s="10">
        <v>2</v>
      </c>
      <c r="E1459" s="10">
        <v>1</v>
      </c>
      <c r="F1459" s="10">
        <v>1</v>
      </c>
      <c r="L1459" s="1">
        <v>481</v>
      </c>
      <c r="M1459" s="1">
        <v>51</v>
      </c>
      <c r="N1459" s="1">
        <v>0</v>
      </c>
      <c r="O1459" s="1">
        <v>1</v>
      </c>
      <c r="P1459" s="2">
        <v>1</v>
      </c>
      <c r="Q1459" s="67">
        <v>18</v>
      </c>
    </row>
    <row r="1460" spans="1:17" x14ac:dyDescent="0.25">
      <c r="A1460" s="10">
        <v>374</v>
      </c>
      <c r="B1460" s="10">
        <v>40</v>
      </c>
      <c r="C1460" s="10">
        <v>0</v>
      </c>
      <c r="D1460" s="10">
        <v>2</v>
      </c>
      <c r="E1460" s="10">
        <v>1</v>
      </c>
      <c r="F1460" s="10">
        <v>1</v>
      </c>
      <c r="L1460" s="1">
        <v>482</v>
      </c>
      <c r="M1460" s="1">
        <v>51</v>
      </c>
      <c r="N1460" s="1">
        <v>0</v>
      </c>
      <c r="O1460" s="1">
        <v>1</v>
      </c>
      <c r="P1460" s="2">
        <v>1</v>
      </c>
      <c r="Q1460" s="68">
        <v>17</v>
      </c>
    </row>
    <row r="1461" spans="1:17" x14ac:dyDescent="0.25">
      <c r="A1461" s="10">
        <v>375</v>
      </c>
      <c r="B1461" s="10">
        <v>41</v>
      </c>
      <c r="C1461" s="10">
        <v>0</v>
      </c>
      <c r="D1461" s="10">
        <v>2</v>
      </c>
      <c r="E1461" s="10">
        <v>1</v>
      </c>
      <c r="F1461" s="10">
        <v>1</v>
      </c>
      <c r="L1461" s="1">
        <v>483</v>
      </c>
      <c r="M1461" s="1">
        <v>52</v>
      </c>
      <c r="N1461" s="1">
        <v>0</v>
      </c>
      <c r="O1461" s="1">
        <v>1</v>
      </c>
      <c r="P1461" s="2">
        <v>1</v>
      </c>
      <c r="Q1461" s="67">
        <v>22</v>
      </c>
    </row>
    <row r="1462" spans="1:17" x14ac:dyDescent="0.25">
      <c r="A1462" s="10">
        <v>376</v>
      </c>
      <c r="B1462" s="10">
        <v>41</v>
      </c>
      <c r="C1462" s="10">
        <v>0</v>
      </c>
      <c r="D1462" s="10">
        <v>2</v>
      </c>
      <c r="E1462" s="10">
        <v>1</v>
      </c>
      <c r="F1462" s="10">
        <v>1</v>
      </c>
      <c r="L1462" s="1">
        <v>484</v>
      </c>
      <c r="M1462" s="1">
        <v>52</v>
      </c>
      <c r="N1462" s="1">
        <v>0</v>
      </c>
      <c r="O1462" s="1">
        <v>1</v>
      </c>
      <c r="P1462" s="2">
        <v>1</v>
      </c>
      <c r="Q1462" s="68">
        <v>18</v>
      </c>
    </row>
    <row r="1463" spans="1:17" x14ac:dyDescent="0.25">
      <c r="A1463" s="10">
        <v>377</v>
      </c>
      <c r="B1463" s="10">
        <v>41</v>
      </c>
      <c r="C1463" s="10">
        <v>0</v>
      </c>
      <c r="D1463" s="10">
        <v>2</v>
      </c>
      <c r="E1463" s="10">
        <v>1</v>
      </c>
      <c r="F1463" s="10">
        <v>1</v>
      </c>
      <c r="L1463" s="1">
        <v>485</v>
      </c>
      <c r="M1463" s="1">
        <v>52</v>
      </c>
      <c r="N1463" s="1">
        <v>0</v>
      </c>
      <c r="O1463" s="1">
        <v>1</v>
      </c>
      <c r="P1463" s="2">
        <v>1</v>
      </c>
      <c r="Q1463" s="67">
        <v>15</v>
      </c>
    </row>
    <row r="1464" spans="1:17" x14ac:dyDescent="0.25">
      <c r="A1464" s="10">
        <v>378</v>
      </c>
      <c r="B1464" s="10">
        <v>41</v>
      </c>
      <c r="C1464" s="10">
        <v>0</v>
      </c>
      <c r="D1464" s="10">
        <v>2</v>
      </c>
      <c r="E1464" s="10">
        <v>1</v>
      </c>
      <c r="F1464" s="10">
        <v>1</v>
      </c>
      <c r="L1464" s="1">
        <v>486</v>
      </c>
      <c r="M1464" s="1">
        <v>52</v>
      </c>
      <c r="N1464" s="1">
        <v>0</v>
      </c>
      <c r="O1464" s="1">
        <v>1</v>
      </c>
      <c r="P1464" s="2">
        <v>1</v>
      </c>
      <c r="Q1464" s="68">
        <v>12</v>
      </c>
    </row>
    <row r="1465" spans="1:17" x14ac:dyDescent="0.25">
      <c r="A1465" s="10">
        <v>379</v>
      </c>
      <c r="B1465" s="10">
        <v>41</v>
      </c>
      <c r="C1465" s="10">
        <v>0</v>
      </c>
      <c r="D1465" s="10">
        <v>2</v>
      </c>
      <c r="E1465" s="10">
        <v>1</v>
      </c>
      <c r="F1465" s="10">
        <v>1</v>
      </c>
      <c r="L1465" s="1">
        <v>487</v>
      </c>
      <c r="M1465" s="1">
        <v>52</v>
      </c>
      <c r="N1465" s="1">
        <v>0</v>
      </c>
      <c r="O1465" s="1">
        <v>1</v>
      </c>
      <c r="P1465" s="2">
        <v>1</v>
      </c>
      <c r="Q1465" s="67">
        <v>17</v>
      </c>
    </row>
    <row r="1466" spans="1:17" x14ac:dyDescent="0.25">
      <c r="A1466" s="10">
        <v>380</v>
      </c>
      <c r="B1466" s="10">
        <v>41</v>
      </c>
      <c r="C1466" s="10">
        <v>0</v>
      </c>
      <c r="D1466" s="10">
        <v>2</v>
      </c>
      <c r="E1466" s="10">
        <v>1</v>
      </c>
      <c r="F1466" s="10">
        <v>1</v>
      </c>
      <c r="L1466" s="1">
        <v>488</v>
      </c>
      <c r="M1466" s="1">
        <v>52</v>
      </c>
      <c r="N1466" s="1">
        <v>0</v>
      </c>
      <c r="O1466" s="1">
        <v>1</v>
      </c>
      <c r="P1466" s="2">
        <v>1</v>
      </c>
      <c r="Q1466" s="68">
        <v>11</v>
      </c>
    </row>
    <row r="1467" spans="1:17" x14ac:dyDescent="0.25">
      <c r="A1467" s="10">
        <v>381</v>
      </c>
      <c r="B1467" s="10">
        <v>41</v>
      </c>
      <c r="C1467" s="10">
        <v>0</v>
      </c>
      <c r="D1467" s="10">
        <v>2</v>
      </c>
      <c r="E1467" s="10">
        <v>1</v>
      </c>
      <c r="F1467" s="10">
        <v>1</v>
      </c>
      <c r="L1467" s="1">
        <v>1</v>
      </c>
      <c r="M1467" s="1">
        <v>1</v>
      </c>
      <c r="N1467" s="1">
        <v>0</v>
      </c>
      <c r="O1467" s="1">
        <v>4</v>
      </c>
      <c r="P1467" s="2">
        <v>1</v>
      </c>
      <c r="Q1467" s="67">
        <v>3</v>
      </c>
    </row>
    <row r="1468" spans="1:17" x14ac:dyDescent="0.25">
      <c r="A1468" s="10">
        <v>382</v>
      </c>
      <c r="B1468" s="10">
        <v>41</v>
      </c>
      <c r="C1468" s="10">
        <v>0</v>
      </c>
      <c r="D1468" s="10">
        <v>2</v>
      </c>
      <c r="E1468" s="10">
        <v>1</v>
      </c>
      <c r="F1468" s="10">
        <v>1</v>
      </c>
      <c r="L1468" s="1">
        <v>2</v>
      </c>
      <c r="M1468" s="1">
        <v>1</v>
      </c>
      <c r="N1468" s="1">
        <v>0</v>
      </c>
      <c r="O1468" s="1">
        <v>4</v>
      </c>
      <c r="P1468" s="2">
        <v>1</v>
      </c>
      <c r="Q1468" s="68">
        <v>9</v>
      </c>
    </row>
    <row r="1469" spans="1:17" x14ac:dyDescent="0.25">
      <c r="A1469" s="10">
        <v>383</v>
      </c>
      <c r="B1469" s="10">
        <v>41</v>
      </c>
      <c r="C1469" s="10">
        <v>0</v>
      </c>
      <c r="D1469" s="10">
        <v>2</v>
      </c>
      <c r="E1469" s="10">
        <v>1</v>
      </c>
      <c r="F1469" s="10">
        <v>1</v>
      </c>
      <c r="L1469" s="1">
        <v>3</v>
      </c>
      <c r="M1469" s="1">
        <v>1</v>
      </c>
      <c r="N1469" s="1">
        <v>0</v>
      </c>
      <c r="O1469" s="1">
        <v>4</v>
      </c>
      <c r="P1469" s="2">
        <v>1</v>
      </c>
      <c r="Q1469" s="67">
        <v>7</v>
      </c>
    </row>
    <row r="1470" spans="1:17" x14ac:dyDescent="0.25">
      <c r="A1470" s="10">
        <v>384</v>
      </c>
      <c r="B1470" s="10">
        <v>41</v>
      </c>
      <c r="C1470" s="10">
        <v>0</v>
      </c>
      <c r="D1470" s="10">
        <v>2</v>
      </c>
      <c r="E1470" s="10">
        <v>1</v>
      </c>
      <c r="F1470" s="10">
        <v>1</v>
      </c>
      <c r="L1470" s="1">
        <v>4</v>
      </c>
      <c r="M1470" s="1">
        <v>1</v>
      </c>
      <c r="N1470" s="1">
        <v>0</v>
      </c>
      <c r="O1470" s="1">
        <v>4</v>
      </c>
      <c r="P1470" s="2">
        <v>1</v>
      </c>
      <c r="Q1470" s="68">
        <v>6</v>
      </c>
    </row>
    <row r="1471" spans="1:17" x14ac:dyDescent="0.25">
      <c r="A1471" s="10">
        <v>385</v>
      </c>
      <c r="B1471" s="10">
        <v>42</v>
      </c>
      <c r="C1471" s="10">
        <v>0</v>
      </c>
      <c r="D1471" s="10">
        <v>2</v>
      </c>
      <c r="E1471" s="10">
        <v>1</v>
      </c>
      <c r="F1471" s="10">
        <v>1</v>
      </c>
      <c r="L1471" s="1">
        <v>5</v>
      </c>
      <c r="M1471" s="1">
        <v>1</v>
      </c>
      <c r="N1471" s="1">
        <v>0</v>
      </c>
      <c r="O1471" s="1">
        <v>4</v>
      </c>
      <c r="P1471" s="2">
        <v>1</v>
      </c>
      <c r="Q1471" s="67">
        <v>5</v>
      </c>
    </row>
    <row r="1472" spans="1:17" x14ac:dyDescent="0.25">
      <c r="A1472" s="10">
        <v>386</v>
      </c>
      <c r="B1472" s="10">
        <v>42</v>
      </c>
      <c r="C1472" s="10">
        <v>0</v>
      </c>
      <c r="D1472" s="10">
        <v>2</v>
      </c>
      <c r="E1472" s="10">
        <v>1</v>
      </c>
      <c r="F1472" s="10">
        <v>1</v>
      </c>
      <c r="L1472" s="1">
        <v>6</v>
      </c>
      <c r="M1472" s="1">
        <v>1</v>
      </c>
      <c r="N1472" s="1">
        <v>0</v>
      </c>
      <c r="O1472" s="1">
        <v>4</v>
      </c>
      <c r="P1472" s="2">
        <v>1</v>
      </c>
      <c r="Q1472" s="68">
        <v>4</v>
      </c>
    </row>
    <row r="1473" spans="1:17" x14ac:dyDescent="0.25">
      <c r="A1473" s="10">
        <v>387</v>
      </c>
      <c r="B1473" s="10">
        <v>42</v>
      </c>
      <c r="C1473" s="10">
        <v>0</v>
      </c>
      <c r="D1473" s="10">
        <v>2</v>
      </c>
      <c r="E1473" s="10">
        <v>1</v>
      </c>
      <c r="F1473" s="10">
        <v>1</v>
      </c>
      <c r="L1473" s="1">
        <v>7</v>
      </c>
      <c r="M1473" s="1">
        <v>1</v>
      </c>
      <c r="N1473" s="1">
        <v>0</v>
      </c>
      <c r="O1473" s="1">
        <v>4</v>
      </c>
      <c r="P1473" s="2">
        <v>1</v>
      </c>
      <c r="Q1473" s="67">
        <v>6</v>
      </c>
    </row>
    <row r="1474" spans="1:17" x14ac:dyDescent="0.25">
      <c r="A1474" s="10">
        <v>388</v>
      </c>
      <c r="B1474" s="10">
        <v>42</v>
      </c>
      <c r="C1474" s="10">
        <v>0</v>
      </c>
      <c r="D1474" s="10">
        <v>2</v>
      </c>
      <c r="E1474" s="10">
        <v>1</v>
      </c>
      <c r="F1474" s="10">
        <v>1</v>
      </c>
      <c r="L1474" s="1">
        <v>8</v>
      </c>
      <c r="M1474" s="1">
        <v>1</v>
      </c>
      <c r="N1474" s="1">
        <v>0</v>
      </c>
      <c r="O1474" s="1">
        <v>4</v>
      </c>
      <c r="P1474" s="2">
        <v>1</v>
      </c>
      <c r="Q1474" s="68">
        <v>4</v>
      </c>
    </row>
    <row r="1475" spans="1:17" x14ac:dyDescent="0.25">
      <c r="A1475" s="10">
        <v>389</v>
      </c>
      <c r="B1475" s="10">
        <v>42</v>
      </c>
      <c r="C1475" s="10">
        <v>0</v>
      </c>
      <c r="D1475" s="10">
        <v>2</v>
      </c>
      <c r="E1475" s="10">
        <v>1</v>
      </c>
      <c r="F1475" s="10">
        <v>1</v>
      </c>
      <c r="L1475" s="1">
        <v>9</v>
      </c>
      <c r="M1475" s="1">
        <v>1</v>
      </c>
      <c r="N1475" s="1">
        <v>0</v>
      </c>
      <c r="O1475" s="1">
        <v>4</v>
      </c>
      <c r="P1475" s="2">
        <v>1</v>
      </c>
      <c r="Q1475" s="67">
        <v>4</v>
      </c>
    </row>
    <row r="1476" spans="1:17" x14ac:dyDescent="0.25">
      <c r="A1476" s="10">
        <v>390</v>
      </c>
      <c r="B1476" s="10">
        <v>42</v>
      </c>
      <c r="C1476" s="10">
        <v>0</v>
      </c>
      <c r="D1476" s="10">
        <v>2</v>
      </c>
      <c r="E1476" s="10">
        <v>1</v>
      </c>
      <c r="F1476" s="10">
        <v>1</v>
      </c>
      <c r="L1476" s="1">
        <v>10</v>
      </c>
      <c r="M1476" s="1">
        <v>1</v>
      </c>
      <c r="N1476" s="1">
        <v>0</v>
      </c>
      <c r="O1476" s="1">
        <v>4</v>
      </c>
      <c r="P1476" s="2">
        <v>1</v>
      </c>
      <c r="Q1476" s="68">
        <v>18</v>
      </c>
    </row>
    <row r="1477" spans="1:17" x14ac:dyDescent="0.25">
      <c r="A1477" s="10">
        <v>391</v>
      </c>
      <c r="B1477" s="10">
        <v>42</v>
      </c>
      <c r="C1477" s="10">
        <v>0</v>
      </c>
      <c r="D1477" s="10">
        <v>2</v>
      </c>
      <c r="E1477" s="10">
        <v>1</v>
      </c>
      <c r="F1477" s="10">
        <v>1</v>
      </c>
      <c r="L1477" s="1">
        <v>11</v>
      </c>
      <c r="M1477" s="1">
        <v>2</v>
      </c>
      <c r="N1477" s="1">
        <v>0</v>
      </c>
      <c r="O1477" s="1">
        <v>4</v>
      </c>
      <c r="P1477" s="2">
        <v>1</v>
      </c>
      <c r="Q1477" s="67">
        <v>20</v>
      </c>
    </row>
    <row r="1478" spans="1:17" x14ac:dyDescent="0.25">
      <c r="A1478" s="10">
        <v>392</v>
      </c>
      <c r="B1478" s="10">
        <v>42</v>
      </c>
      <c r="C1478" s="10">
        <v>0</v>
      </c>
      <c r="D1478" s="10">
        <v>2</v>
      </c>
      <c r="E1478" s="10">
        <v>1</v>
      </c>
      <c r="F1478" s="10">
        <v>1</v>
      </c>
      <c r="L1478" s="1">
        <v>12</v>
      </c>
      <c r="M1478" s="1">
        <v>2</v>
      </c>
      <c r="N1478" s="1">
        <v>0</v>
      </c>
      <c r="O1478" s="1">
        <v>4</v>
      </c>
      <c r="P1478" s="2">
        <v>1</v>
      </c>
      <c r="Q1478" s="68">
        <v>15</v>
      </c>
    </row>
    <row r="1479" spans="1:17" x14ac:dyDescent="0.25">
      <c r="A1479" s="10">
        <v>393</v>
      </c>
      <c r="B1479" s="10">
        <v>42</v>
      </c>
      <c r="C1479" s="10">
        <v>0</v>
      </c>
      <c r="D1479" s="10">
        <v>2</v>
      </c>
      <c r="E1479" s="10">
        <v>1</v>
      </c>
      <c r="F1479" s="10">
        <v>1</v>
      </c>
      <c r="L1479" s="1">
        <v>13</v>
      </c>
      <c r="M1479" s="1">
        <v>2</v>
      </c>
      <c r="N1479" s="1">
        <v>0</v>
      </c>
      <c r="O1479" s="1">
        <v>4</v>
      </c>
      <c r="P1479" s="2">
        <v>1</v>
      </c>
      <c r="Q1479" s="67">
        <v>13</v>
      </c>
    </row>
    <row r="1480" spans="1:17" x14ac:dyDescent="0.25">
      <c r="A1480" s="10">
        <v>394</v>
      </c>
      <c r="B1480" s="10">
        <v>42</v>
      </c>
      <c r="C1480" s="10">
        <v>0</v>
      </c>
      <c r="D1480" s="10">
        <v>2</v>
      </c>
      <c r="E1480" s="10">
        <v>1</v>
      </c>
      <c r="F1480" s="10">
        <v>1</v>
      </c>
      <c r="L1480" s="1">
        <v>14</v>
      </c>
      <c r="M1480" s="1">
        <v>2</v>
      </c>
      <c r="N1480" s="1">
        <v>0</v>
      </c>
      <c r="O1480" s="1">
        <v>4</v>
      </c>
      <c r="P1480" s="2">
        <v>1</v>
      </c>
      <c r="Q1480" s="68">
        <v>10</v>
      </c>
    </row>
    <row r="1481" spans="1:17" x14ac:dyDescent="0.25">
      <c r="A1481" s="10">
        <v>395</v>
      </c>
      <c r="B1481" s="10">
        <v>43</v>
      </c>
      <c r="C1481" s="10">
        <v>0</v>
      </c>
      <c r="D1481" s="10">
        <v>2</v>
      </c>
      <c r="E1481" s="10">
        <v>1</v>
      </c>
      <c r="F1481" s="10">
        <v>1</v>
      </c>
      <c r="L1481" s="1">
        <v>15</v>
      </c>
      <c r="M1481" s="1">
        <v>2</v>
      </c>
      <c r="N1481" s="1">
        <v>0</v>
      </c>
      <c r="O1481" s="1">
        <v>4</v>
      </c>
      <c r="P1481" s="2">
        <v>1</v>
      </c>
      <c r="Q1481" s="67">
        <v>14</v>
      </c>
    </row>
    <row r="1482" spans="1:17" x14ac:dyDescent="0.25">
      <c r="A1482" s="10">
        <v>396</v>
      </c>
      <c r="B1482" s="10">
        <v>43</v>
      </c>
      <c r="C1482" s="10">
        <v>0</v>
      </c>
      <c r="D1482" s="10">
        <v>2</v>
      </c>
      <c r="E1482" s="10">
        <v>1</v>
      </c>
      <c r="F1482" s="10">
        <v>1</v>
      </c>
      <c r="L1482" s="1">
        <v>16</v>
      </c>
      <c r="M1482" s="1">
        <v>2</v>
      </c>
      <c r="N1482" s="1">
        <v>0</v>
      </c>
      <c r="O1482" s="1">
        <v>4</v>
      </c>
      <c r="P1482" s="2">
        <v>1</v>
      </c>
      <c r="Q1482" s="68">
        <v>19</v>
      </c>
    </row>
    <row r="1483" spans="1:17" x14ac:dyDescent="0.25">
      <c r="A1483" s="10">
        <v>397</v>
      </c>
      <c r="B1483" s="10">
        <v>43</v>
      </c>
      <c r="C1483" s="10">
        <v>0</v>
      </c>
      <c r="D1483" s="10">
        <v>2</v>
      </c>
      <c r="E1483" s="10">
        <v>1</v>
      </c>
      <c r="F1483" s="10">
        <v>1</v>
      </c>
      <c r="L1483" s="1">
        <v>17</v>
      </c>
      <c r="M1483" s="1">
        <v>2</v>
      </c>
      <c r="N1483" s="1">
        <v>0</v>
      </c>
      <c r="O1483" s="1">
        <v>4</v>
      </c>
      <c r="P1483" s="2">
        <v>1</v>
      </c>
      <c r="Q1483" s="67">
        <v>18</v>
      </c>
    </row>
    <row r="1484" spans="1:17" x14ac:dyDescent="0.25">
      <c r="A1484" s="10">
        <v>398</v>
      </c>
      <c r="B1484" s="10">
        <v>43</v>
      </c>
      <c r="C1484" s="10">
        <v>0</v>
      </c>
      <c r="D1484" s="10">
        <v>2</v>
      </c>
      <c r="E1484" s="10">
        <v>1</v>
      </c>
      <c r="F1484" s="10">
        <v>1</v>
      </c>
      <c r="L1484" s="1">
        <v>18</v>
      </c>
      <c r="M1484" s="1">
        <v>2</v>
      </c>
      <c r="N1484" s="1">
        <v>0</v>
      </c>
      <c r="O1484" s="1">
        <v>4</v>
      </c>
      <c r="P1484" s="2">
        <v>1</v>
      </c>
      <c r="Q1484" s="68">
        <v>15</v>
      </c>
    </row>
    <row r="1485" spans="1:17" x14ac:dyDescent="0.25">
      <c r="A1485" s="10">
        <v>399</v>
      </c>
      <c r="B1485" s="10">
        <v>43</v>
      </c>
      <c r="C1485" s="10">
        <v>0</v>
      </c>
      <c r="D1485" s="10">
        <v>2</v>
      </c>
      <c r="E1485" s="10">
        <v>1</v>
      </c>
      <c r="F1485" s="10">
        <v>1</v>
      </c>
      <c r="L1485" s="1">
        <v>19</v>
      </c>
      <c r="M1485" s="1">
        <v>2</v>
      </c>
      <c r="N1485" s="1">
        <v>0</v>
      </c>
      <c r="O1485" s="1">
        <v>4</v>
      </c>
      <c r="P1485" s="2">
        <v>1</v>
      </c>
      <c r="Q1485" s="67">
        <v>10</v>
      </c>
    </row>
    <row r="1486" spans="1:17" x14ac:dyDescent="0.25">
      <c r="A1486" s="10">
        <v>400</v>
      </c>
      <c r="B1486" s="10">
        <v>43</v>
      </c>
      <c r="C1486" s="10">
        <v>0</v>
      </c>
      <c r="D1486" s="10">
        <v>2</v>
      </c>
      <c r="E1486" s="10">
        <v>1</v>
      </c>
      <c r="F1486" s="10">
        <v>1</v>
      </c>
      <c r="L1486" s="1">
        <v>20</v>
      </c>
      <c r="M1486" s="1">
        <v>2</v>
      </c>
      <c r="N1486" s="1">
        <v>0</v>
      </c>
      <c r="O1486" s="1">
        <v>4</v>
      </c>
      <c r="P1486" s="2">
        <v>1</v>
      </c>
      <c r="Q1486" s="68">
        <v>7</v>
      </c>
    </row>
    <row r="1487" spans="1:17" x14ac:dyDescent="0.25">
      <c r="A1487" s="10">
        <v>401</v>
      </c>
      <c r="B1487" s="10">
        <v>43</v>
      </c>
      <c r="C1487" s="10">
        <v>0</v>
      </c>
      <c r="D1487" s="10">
        <v>2</v>
      </c>
      <c r="E1487" s="10">
        <v>1</v>
      </c>
      <c r="F1487" s="10">
        <v>1</v>
      </c>
      <c r="L1487" s="1">
        <v>21</v>
      </c>
      <c r="M1487" s="1">
        <v>3</v>
      </c>
      <c r="N1487" s="1">
        <v>0</v>
      </c>
      <c r="O1487" s="1">
        <v>4</v>
      </c>
      <c r="P1487" s="2">
        <v>1</v>
      </c>
      <c r="Q1487" s="67">
        <v>18</v>
      </c>
    </row>
    <row r="1488" spans="1:17" x14ac:dyDescent="0.25">
      <c r="A1488" s="10">
        <v>402</v>
      </c>
      <c r="B1488" s="10">
        <v>43</v>
      </c>
      <c r="C1488" s="10">
        <v>0</v>
      </c>
      <c r="D1488" s="10">
        <v>2</v>
      </c>
      <c r="E1488" s="10">
        <v>1</v>
      </c>
      <c r="F1488" s="10">
        <v>1</v>
      </c>
      <c r="L1488" s="1">
        <v>22</v>
      </c>
      <c r="M1488" s="1">
        <v>3</v>
      </c>
      <c r="N1488" s="1">
        <v>0</v>
      </c>
      <c r="O1488" s="1">
        <v>4</v>
      </c>
      <c r="P1488" s="2">
        <v>1</v>
      </c>
      <c r="Q1488" s="68">
        <v>8</v>
      </c>
    </row>
    <row r="1489" spans="1:17" x14ac:dyDescent="0.25">
      <c r="A1489" s="10">
        <v>403</v>
      </c>
      <c r="B1489" s="10">
        <v>43</v>
      </c>
      <c r="C1489" s="10">
        <v>0</v>
      </c>
      <c r="D1489" s="10">
        <v>2</v>
      </c>
      <c r="E1489" s="10">
        <v>1</v>
      </c>
      <c r="F1489" s="10">
        <v>1</v>
      </c>
      <c r="L1489" s="1">
        <v>23</v>
      </c>
      <c r="M1489" s="1">
        <v>3</v>
      </c>
      <c r="N1489" s="1">
        <v>0</v>
      </c>
      <c r="O1489" s="1">
        <v>4</v>
      </c>
      <c r="P1489" s="2">
        <v>1</v>
      </c>
      <c r="Q1489" s="67">
        <v>13</v>
      </c>
    </row>
    <row r="1490" spans="1:17" x14ac:dyDescent="0.25">
      <c r="A1490" s="10">
        <v>404</v>
      </c>
      <c r="B1490" s="10">
        <v>43</v>
      </c>
      <c r="C1490" s="10">
        <v>0</v>
      </c>
      <c r="D1490" s="10">
        <v>2</v>
      </c>
      <c r="E1490" s="10">
        <v>1</v>
      </c>
      <c r="F1490" s="10">
        <v>1</v>
      </c>
      <c r="L1490" s="1">
        <v>24</v>
      </c>
      <c r="M1490" s="1">
        <v>3</v>
      </c>
      <c r="N1490" s="1">
        <v>0</v>
      </c>
      <c r="O1490" s="1">
        <v>4</v>
      </c>
      <c r="P1490" s="2">
        <v>1</v>
      </c>
      <c r="Q1490" s="68">
        <v>12</v>
      </c>
    </row>
    <row r="1491" spans="1:17" x14ac:dyDescent="0.25">
      <c r="A1491" s="10">
        <v>405</v>
      </c>
      <c r="B1491" s="10">
        <v>44</v>
      </c>
      <c r="C1491" s="10">
        <v>0</v>
      </c>
      <c r="D1491" s="10">
        <v>2</v>
      </c>
      <c r="E1491" s="10">
        <v>1</v>
      </c>
      <c r="F1491" s="10">
        <v>1</v>
      </c>
      <c r="L1491" s="1">
        <v>25</v>
      </c>
      <c r="M1491" s="1">
        <v>3</v>
      </c>
      <c r="N1491" s="1">
        <v>0</v>
      </c>
      <c r="O1491" s="1">
        <v>4</v>
      </c>
      <c r="P1491" s="2">
        <v>1</v>
      </c>
      <c r="Q1491" s="67">
        <v>4</v>
      </c>
    </row>
    <row r="1492" spans="1:17" x14ac:dyDescent="0.25">
      <c r="A1492" s="10">
        <v>406</v>
      </c>
      <c r="B1492" s="10">
        <v>44</v>
      </c>
      <c r="C1492" s="10">
        <v>0</v>
      </c>
      <c r="D1492" s="10">
        <v>2</v>
      </c>
      <c r="E1492" s="10">
        <v>1</v>
      </c>
      <c r="F1492" s="10">
        <v>1</v>
      </c>
      <c r="L1492" s="1">
        <v>26</v>
      </c>
      <c r="M1492" s="1">
        <v>3</v>
      </c>
      <c r="N1492" s="1">
        <v>0</v>
      </c>
      <c r="O1492" s="1">
        <v>4</v>
      </c>
      <c r="P1492" s="2">
        <v>1</v>
      </c>
      <c r="Q1492" s="68">
        <v>11</v>
      </c>
    </row>
    <row r="1493" spans="1:17" x14ac:dyDescent="0.25">
      <c r="A1493" s="10">
        <v>407</v>
      </c>
      <c r="B1493" s="10">
        <v>44</v>
      </c>
      <c r="C1493" s="10">
        <v>0</v>
      </c>
      <c r="D1493" s="10">
        <v>2</v>
      </c>
      <c r="E1493" s="10">
        <v>1</v>
      </c>
      <c r="F1493" s="10">
        <v>1</v>
      </c>
      <c r="L1493" s="1">
        <v>27</v>
      </c>
      <c r="M1493" s="1">
        <v>4</v>
      </c>
      <c r="N1493" s="1">
        <v>0</v>
      </c>
      <c r="O1493" s="1">
        <v>4</v>
      </c>
      <c r="P1493" s="2">
        <v>1</v>
      </c>
      <c r="Q1493" s="67">
        <v>9</v>
      </c>
    </row>
    <row r="1494" spans="1:17" x14ac:dyDescent="0.25">
      <c r="A1494" s="10">
        <v>408</v>
      </c>
      <c r="B1494" s="10">
        <v>44</v>
      </c>
      <c r="C1494" s="10">
        <v>0</v>
      </c>
      <c r="D1494" s="10">
        <v>2</v>
      </c>
      <c r="E1494" s="10">
        <v>1</v>
      </c>
      <c r="F1494" s="10">
        <v>1</v>
      </c>
      <c r="L1494" s="1">
        <v>28</v>
      </c>
      <c r="M1494" s="1">
        <v>4</v>
      </c>
      <c r="N1494" s="1">
        <v>0</v>
      </c>
      <c r="O1494" s="1">
        <v>4</v>
      </c>
      <c r="P1494" s="2">
        <v>1</v>
      </c>
      <c r="Q1494" s="68">
        <v>7</v>
      </c>
    </row>
    <row r="1495" spans="1:17" x14ac:dyDescent="0.25">
      <c r="A1495" s="10">
        <v>409</v>
      </c>
      <c r="B1495" s="10">
        <v>44</v>
      </c>
      <c r="C1495" s="10">
        <v>0</v>
      </c>
      <c r="D1495" s="10">
        <v>2</v>
      </c>
      <c r="E1495" s="10">
        <v>1</v>
      </c>
      <c r="F1495" s="10">
        <v>1</v>
      </c>
      <c r="L1495" s="1">
        <v>29</v>
      </c>
      <c r="M1495" s="1">
        <v>4</v>
      </c>
      <c r="N1495" s="1">
        <v>0</v>
      </c>
      <c r="O1495" s="1">
        <v>4</v>
      </c>
      <c r="P1495" s="2">
        <v>1</v>
      </c>
      <c r="Q1495" s="67">
        <v>3</v>
      </c>
    </row>
    <row r="1496" spans="1:17" x14ac:dyDescent="0.25">
      <c r="A1496" s="10">
        <v>410</v>
      </c>
      <c r="B1496" s="10">
        <v>44</v>
      </c>
      <c r="C1496" s="10">
        <v>0</v>
      </c>
      <c r="D1496" s="10">
        <v>2</v>
      </c>
      <c r="E1496" s="10">
        <v>1</v>
      </c>
      <c r="F1496" s="10">
        <v>1</v>
      </c>
      <c r="L1496" s="1">
        <v>30</v>
      </c>
      <c r="M1496" s="1">
        <v>4</v>
      </c>
      <c r="N1496" s="1">
        <v>0</v>
      </c>
      <c r="O1496" s="1">
        <v>4</v>
      </c>
      <c r="P1496" s="2">
        <v>1</v>
      </c>
      <c r="Q1496" s="68">
        <v>4</v>
      </c>
    </row>
    <row r="1497" spans="1:17" x14ac:dyDescent="0.25">
      <c r="A1497" s="10">
        <v>411</v>
      </c>
      <c r="B1497" s="10">
        <v>44</v>
      </c>
      <c r="C1497" s="10">
        <v>0</v>
      </c>
      <c r="D1497" s="10">
        <v>2</v>
      </c>
      <c r="E1497" s="10">
        <v>1</v>
      </c>
      <c r="F1497" s="10">
        <v>1</v>
      </c>
      <c r="L1497" s="1">
        <v>31</v>
      </c>
      <c r="M1497" s="1">
        <v>4</v>
      </c>
      <c r="N1497" s="1">
        <v>0</v>
      </c>
      <c r="O1497" s="1">
        <v>4</v>
      </c>
      <c r="P1497" s="2">
        <v>1</v>
      </c>
      <c r="Q1497" s="67">
        <v>2</v>
      </c>
    </row>
    <row r="1498" spans="1:17" x14ac:dyDescent="0.25">
      <c r="A1498" s="10">
        <v>412</v>
      </c>
      <c r="B1498" s="10">
        <v>44</v>
      </c>
      <c r="C1498" s="10">
        <v>0</v>
      </c>
      <c r="D1498" s="10">
        <v>2</v>
      </c>
      <c r="E1498" s="10">
        <v>1</v>
      </c>
      <c r="F1498" s="10">
        <v>1</v>
      </c>
      <c r="L1498" s="1">
        <v>32</v>
      </c>
      <c r="M1498" s="1">
        <v>4</v>
      </c>
      <c r="N1498" s="1">
        <v>0</v>
      </c>
      <c r="O1498" s="1">
        <v>4</v>
      </c>
      <c r="P1498" s="2">
        <v>1</v>
      </c>
      <c r="Q1498" s="68">
        <v>7</v>
      </c>
    </row>
    <row r="1499" spans="1:17" x14ac:dyDescent="0.25">
      <c r="A1499" s="10">
        <v>413</v>
      </c>
      <c r="B1499" s="10">
        <v>44</v>
      </c>
      <c r="C1499" s="10">
        <v>0</v>
      </c>
      <c r="D1499" s="10">
        <v>2</v>
      </c>
      <c r="E1499" s="10">
        <v>1</v>
      </c>
      <c r="F1499" s="10">
        <v>1</v>
      </c>
      <c r="L1499" s="1">
        <v>33</v>
      </c>
      <c r="M1499" s="1">
        <v>4</v>
      </c>
      <c r="N1499" s="1">
        <v>0</v>
      </c>
      <c r="O1499" s="1">
        <v>4</v>
      </c>
      <c r="P1499" s="2">
        <v>1</v>
      </c>
      <c r="Q1499" s="67">
        <v>4</v>
      </c>
    </row>
    <row r="1500" spans="1:17" x14ac:dyDescent="0.25">
      <c r="A1500" s="10">
        <v>414</v>
      </c>
      <c r="B1500" s="10">
        <v>44</v>
      </c>
      <c r="C1500" s="10">
        <v>0</v>
      </c>
      <c r="D1500" s="10">
        <v>2</v>
      </c>
      <c r="E1500" s="10">
        <v>1</v>
      </c>
      <c r="F1500" s="10">
        <v>1</v>
      </c>
      <c r="L1500" s="1">
        <v>34</v>
      </c>
      <c r="M1500" s="1">
        <v>4</v>
      </c>
      <c r="N1500" s="1">
        <v>0</v>
      </c>
      <c r="O1500" s="1">
        <v>4</v>
      </c>
      <c r="P1500" s="2">
        <v>1</v>
      </c>
      <c r="Q1500" s="68">
        <v>9</v>
      </c>
    </row>
    <row r="1501" spans="1:17" x14ac:dyDescent="0.25">
      <c r="A1501" s="10">
        <v>415</v>
      </c>
      <c r="B1501" s="10">
        <v>45</v>
      </c>
      <c r="C1501" s="10">
        <v>0</v>
      </c>
      <c r="D1501" s="10">
        <v>2</v>
      </c>
      <c r="E1501" s="10">
        <v>1</v>
      </c>
      <c r="F1501" s="10">
        <v>1</v>
      </c>
      <c r="L1501" s="1">
        <v>35</v>
      </c>
      <c r="M1501" s="1">
        <v>4</v>
      </c>
      <c r="N1501" s="1">
        <v>0</v>
      </c>
      <c r="O1501" s="1">
        <v>4</v>
      </c>
      <c r="P1501" s="2">
        <v>1</v>
      </c>
      <c r="Q1501" s="67">
        <v>6</v>
      </c>
    </row>
    <row r="1502" spans="1:17" x14ac:dyDescent="0.25">
      <c r="A1502" s="10">
        <v>416</v>
      </c>
      <c r="B1502" s="10">
        <v>45</v>
      </c>
      <c r="C1502" s="10">
        <v>0</v>
      </c>
      <c r="D1502" s="10">
        <v>2</v>
      </c>
      <c r="E1502" s="10">
        <v>1</v>
      </c>
      <c r="F1502" s="10">
        <v>1</v>
      </c>
      <c r="L1502" s="1">
        <v>36</v>
      </c>
      <c r="M1502" s="1">
        <v>4</v>
      </c>
      <c r="N1502" s="1">
        <v>0</v>
      </c>
      <c r="O1502" s="1">
        <v>4</v>
      </c>
      <c r="P1502" s="2">
        <v>1</v>
      </c>
      <c r="Q1502" s="68">
        <v>10</v>
      </c>
    </row>
    <row r="1503" spans="1:17" x14ac:dyDescent="0.25">
      <c r="A1503" s="10">
        <v>417</v>
      </c>
      <c r="B1503" s="10">
        <v>45</v>
      </c>
      <c r="C1503" s="10">
        <v>0</v>
      </c>
      <c r="D1503" s="10">
        <v>2</v>
      </c>
      <c r="E1503" s="10">
        <v>1</v>
      </c>
      <c r="F1503" s="10">
        <v>1</v>
      </c>
      <c r="L1503" s="1">
        <v>37</v>
      </c>
      <c r="M1503" s="1">
        <v>5</v>
      </c>
      <c r="N1503" s="1">
        <v>0</v>
      </c>
      <c r="O1503" s="1">
        <v>4</v>
      </c>
      <c r="P1503" s="2">
        <v>1</v>
      </c>
      <c r="Q1503" s="67">
        <v>12</v>
      </c>
    </row>
    <row r="1504" spans="1:17" x14ac:dyDescent="0.25">
      <c r="A1504" s="10">
        <v>418</v>
      </c>
      <c r="B1504" s="10">
        <v>45</v>
      </c>
      <c r="C1504" s="10">
        <v>0</v>
      </c>
      <c r="D1504" s="10">
        <v>2</v>
      </c>
      <c r="E1504" s="10">
        <v>1</v>
      </c>
      <c r="F1504" s="10">
        <v>1</v>
      </c>
      <c r="L1504" s="1">
        <v>38</v>
      </c>
      <c r="M1504" s="1">
        <v>5</v>
      </c>
      <c r="N1504" s="1">
        <v>0</v>
      </c>
      <c r="O1504" s="1">
        <v>4</v>
      </c>
      <c r="P1504" s="2">
        <v>1</v>
      </c>
      <c r="Q1504" s="68">
        <v>17</v>
      </c>
    </row>
    <row r="1505" spans="1:17" x14ac:dyDescent="0.25">
      <c r="A1505" s="10">
        <v>419</v>
      </c>
      <c r="B1505" s="10">
        <v>45</v>
      </c>
      <c r="C1505" s="10">
        <v>0</v>
      </c>
      <c r="D1505" s="10">
        <v>2</v>
      </c>
      <c r="E1505" s="10">
        <v>1</v>
      </c>
      <c r="F1505" s="10">
        <v>1</v>
      </c>
      <c r="L1505" s="1">
        <v>39</v>
      </c>
      <c r="M1505" s="1">
        <v>5</v>
      </c>
      <c r="N1505" s="1">
        <v>0</v>
      </c>
      <c r="O1505" s="1">
        <v>4</v>
      </c>
      <c r="P1505" s="2">
        <v>1</v>
      </c>
      <c r="Q1505" s="67">
        <v>8</v>
      </c>
    </row>
    <row r="1506" spans="1:17" x14ac:dyDescent="0.25">
      <c r="A1506" s="10">
        <v>420</v>
      </c>
      <c r="B1506" s="10">
        <v>45</v>
      </c>
      <c r="C1506" s="10">
        <v>0</v>
      </c>
      <c r="D1506" s="10">
        <v>2</v>
      </c>
      <c r="E1506" s="10">
        <v>1</v>
      </c>
      <c r="F1506" s="10">
        <v>1</v>
      </c>
      <c r="L1506" s="1">
        <v>40</v>
      </c>
      <c r="M1506" s="1">
        <v>5</v>
      </c>
      <c r="N1506" s="1">
        <v>0</v>
      </c>
      <c r="O1506" s="1">
        <v>4</v>
      </c>
      <c r="P1506" s="2">
        <v>1</v>
      </c>
      <c r="Q1506" s="68">
        <v>16</v>
      </c>
    </row>
    <row r="1507" spans="1:17" x14ac:dyDescent="0.25">
      <c r="A1507" s="10">
        <v>421</v>
      </c>
      <c r="B1507" s="10">
        <v>45</v>
      </c>
      <c r="C1507" s="10">
        <v>0</v>
      </c>
      <c r="D1507" s="10">
        <v>2</v>
      </c>
      <c r="E1507" s="10">
        <v>1</v>
      </c>
      <c r="F1507" s="10">
        <v>1</v>
      </c>
      <c r="L1507" s="1">
        <v>41</v>
      </c>
      <c r="M1507" s="1">
        <v>5</v>
      </c>
      <c r="N1507" s="1">
        <v>0</v>
      </c>
      <c r="O1507" s="1">
        <v>4</v>
      </c>
      <c r="P1507" s="2">
        <v>1</v>
      </c>
      <c r="Q1507" s="67">
        <v>9</v>
      </c>
    </row>
    <row r="1508" spans="1:17" x14ac:dyDescent="0.25">
      <c r="A1508" s="10">
        <v>422</v>
      </c>
      <c r="B1508" s="10">
        <v>45</v>
      </c>
      <c r="C1508" s="10">
        <v>0</v>
      </c>
      <c r="D1508" s="10">
        <v>2</v>
      </c>
      <c r="E1508" s="10">
        <v>1</v>
      </c>
      <c r="F1508" s="10">
        <v>1</v>
      </c>
      <c r="L1508" s="1">
        <v>42</v>
      </c>
      <c r="M1508" s="1">
        <v>5</v>
      </c>
      <c r="N1508" s="1">
        <v>0</v>
      </c>
      <c r="O1508" s="1">
        <v>4</v>
      </c>
      <c r="P1508" s="2">
        <v>1</v>
      </c>
      <c r="Q1508" s="68">
        <v>4</v>
      </c>
    </row>
    <row r="1509" spans="1:17" x14ac:dyDescent="0.25">
      <c r="A1509" s="10">
        <v>423</v>
      </c>
      <c r="B1509" s="10">
        <v>46</v>
      </c>
      <c r="C1509" s="10">
        <v>0</v>
      </c>
      <c r="D1509" s="10">
        <v>2</v>
      </c>
      <c r="E1509" s="10">
        <v>1</v>
      </c>
      <c r="F1509" s="10">
        <v>1</v>
      </c>
      <c r="L1509" s="1">
        <v>43</v>
      </c>
      <c r="M1509" s="1">
        <v>5</v>
      </c>
      <c r="N1509" s="1">
        <v>0</v>
      </c>
      <c r="O1509" s="1">
        <v>4</v>
      </c>
      <c r="P1509" s="2">
        <v>1</v>
      </c>
      <c r="Q1509" s="67">
        <v>13</v>
      </c>
    </row>
    <row r="1510" spans="1:17" x14ac:dyDescent="0.25">
      <c r="A1510" s="10">
        <v>424</v>
      </c>
      <c r="B1510" s="10">
        <v>46</v>
      </c>
      <c r="C1510" s="10">
        <v>0</v>
      </c>
      <c r="D1510" s="10">
        <v>2</v>
      </c>
      <c r="E1510" s="10">
        <v>1</v>
      </c>
      <c r="F1510" s="10">
        <v>1</v>
      </c>
      <c r="L1510" s="1">
        <v>44</v>
      </c>
      <c r="M1510" s="1">
        <v>5</v>
      </c>
      <c r="N1510" s="1">
        <v>0</v>
      </c>
      <c r="O1510" s="1">
        <v>4</v>
      </c>
      <c r="P1510" s="2">
        <v>1</v>
      </c>
      <c r="Q1510" s="68">
        <v>10</v>
      </c>
    </row>
    <row r="1511" spans="1:17" x14ac:dyDescent="0.25">
      <c r="A1511" s="10">
        <v>425</v>
      </c>
      <c r="B1511" s="10">
        <v>46</v>
      </c>
      <c r="C1511" s="10">
        <v>0</v>
      </c>
      <c r="D1511" s="10">
        <v>2</v>
      </c>
      <c r="E1511" s="10">
        <v>1</v>
      </c>
      <c r="F1511" s="10">
        <v>1</v>
      </c>
      <c r="L1511" s="1">
        <v>45</v>
      </c>
      <c r="M1511" s="1">
        <v>5</v>
      </c>
      <c r="N1511" s="1">
        <v>0</v>
      </c>
      <c r="O1511" s="1">
        <v>4</v>
      </c>
      <c r="P1511" s="2">
        <v>1</v>
      </c>
      <c r="Q1511" s="67">
        <v>16</v>
      </c>
    </row>
    <row r="1512" spans="1:17" x14ac:dyDescent="0.25">
      <c r="A1512" s="10">
        <v>426</v>
      </c>
      <c r="B1512" s="10">
        <v>46</v>
      </c>
      <c r="C1512" s="10">
        <v>0</v>
      </c>
      <c r="D1512" s="10">
        <v>2</v>
      </c>
      <c r="E1512" s="10">
        <v>1</v>
      </c>
      <c r="F1512" s="10">
        <v>1</v>
      </c>
      <c r="L1512" s="1">
        <v>46</v>
      </c>
      <c r="M1512" s="1">
        <v>5</v>
      </c>
      <c r="N1512" s="1">
        <v>0</v>
      </c>
      <c r="O1512" s="1">
        <v>4</v>
      </c>
      <c r="P1512" s="2">
        <v>1</v>
      </c>
      <c r="Q1512" s="68">
        <v>13</v>
      </c>
    </row>
    <row r="1513" spans="1:17" x14ac:dyDescent="0.25">
      <c r="A1513" s="10">
        <v>427</v>
      </c>
      <c r="B1513" s="10">
        <v>46</v>
      </c>
      <c r="C1513" s="10">
        <v>0</v>
      </c>
      <c r="D1513" s="10">
        <v>2</v>
      </c>
      <c r="E1513" s="10">
        <v>1</v>
      </c>
      <c r="F1513" s="10">
        <v>1</v>
      </c>
      <c r="L1513" s="1">
        <v>47</v>
      </c>
      <c r="M1513" s="1">
        <v>6</v>
      </c>
      <c r="N1513" s="1">
        <v>0</v>
      </c>
      <c r="O1513" s="1">
        <v>4</v>
      </c>
      <c r="P1513" s="2">
        <v>1</v>
      </c>
      <c r="Q1513" s="67">
        <v>9</v>
      </c>
    </row>
    <row r="1514" spans="1:17" x14ac:dyDescent="0.25">
      <c r="A1514" s="10">
        <v>428</v>
      </c>
      <c r="B1514" s="10">
        <v>46</v>
      </c>
      <c r="C1514" s="10">
        <v>0</v>
      </c>
      <c r="D1514" s="10">
        <v>2</v>
      </c>
      <c r="E1514" s="10">
        <v>1</v>
      </c>
      <c r="F1514" s="10">
        <v>1</v>
      </c>
      <c r="L1514" s="1">
        <v>48</v>
      </c>
      <c r="M1514" s="1">
        <v>6</v>
      </c>
      <c r="N1514" s="1">
        <v>0</v>
      </c>
      <c r="O1514" s="1">
        <v>4</v>
      </c>
      <c r="P1514" s="2">
        <v>1</v>
      </c>
      <c r="Q1514" s="68">
        <v>3</v>
      </c>
    </row>
    <row r="1515" spans="1:17" x14ac:dyDescent="0.25">
      <c r="A1515" s="10">
        <v>429</v>
      </c>
      <c r="B1515" s="10">
        <v>46</v>
      </c>
      <c r="C1515" s="10">
        <v>0</v>
      </c>
      <c r="D1515" s="10">
        <v>2</v>
      </c>
      <c r="E1515" s="10">
        <v>1</v>
      </c>
      <c r="F1515" s="10">
        <v>1</v>
      </c>
      <c r="L1515" s="1">
        <v>49</v>
      </c>
      <c r="M1515" s="1">
        <v>6</v>
      </c>
      <c r="N1515" s="1">
        <v>0</v>
      </c>
      <c r="O1515" s="1">
        <v>4</v>
      </c>
      <c r="P1515" s="2">
        <v>1</v>
      </c>
      <c r="Q1515" s="67">
        <v>2</v>
      </c>
    </row>
    <row r="1516" spans="1:17" x14ac:dyDescent="0.25">
      <c r="A1516" s="10">
        <v>430</v>
      </c>
      <c r="B1516" s="10">
        <v>46</v>
      </c>
      <c r="C1516" s="10">
        <v>0</v>
      </c>
      <c r="D1516" s="10">
        <v>2</v>
      </c>
      <c r="E1516" s="10">
        <v>1</v>
      </c>
      <c r="F1516" s="10">
        <v>1</v>
      </c>
      <c r="L1516" s="1">
        <v>50</v>
      </c>
      <c r="M1516" s="1">
        <v>6</v>
      </c>
      <c r="N1516" s="1">
        <v>0</v>
      </c>
      <c r="O1516" s="1">
        <v>4</v>
      </c>
      <c r="P1516" s="2">
        <v>1</v>
      </c>
      <c r="Q1516" s="68">
        <v>10</v>
      </c>
    </row>
    <row r="1517" spans="1:17" x14ac:dyDescent="0.25">
      <c r="A1517" s="10">
        <v>431</v>
      </c>
      <c r="B1517" s="10">
        <v>46</v>
      </c>
      <c r="C1517" s="10">
        <v>0</v>
      </c>
      <c r="D1517" s="10">
        <v>2</v>
      </c>
      <c r="E1517" s="10">
        <v>1</v>
      </c>
      <c r="F1517" s="10">
        <v>1</v>
      </c>
      <c r="L1517" s="1">
        <v>51</v>
      </c>
      <c r="M1517" s="1">
        <v>6</v>
      </c>
      <c r="N1517" s="1">
        <v>0</v>
      </c>
      <c r="O1517" s="1">
        <v>4</v>
      </c>
      <c r="P1517" s="2">
        <v>1</v>
      </c>
      <c r="Q1517" s="67">
        <v>2</v>
      </c>
    </row>
    <row r="1518" spans="1:17" x14ac:dyDescent="0.25">
      <c r="A1518" s="10">
        <v>432</v>
      </c>
      <c r="B1518" s="10">
        <v>46</v>
      </c>
      <c r="C1518" s="10">
        <v>0</v>
      </c>
      <c r="D1518" s="10">
        <v>2</v>
      </c>
      <c r="E1518" s="10">
        <v>1</v>
      </c>
      <c r="F1518" s="10">
        <v>1</v>
      </c>
      <c r="L1518" s="1">
        <v>52</v>
      </c>
      <c r="M1518" s="1">
        <v>6</v>
      </c>
      <c r="N1518" s="1">
        <v>0</v>
      </c>
      <c r="O1518" s="1">
        <v>4</v>
      </c>
      <c r="P1518" s="2">
        <v>1</v>
      </c>
      <c r="Q1518" s="68">
        <v>0</v>
      </c>
    </row>
    <row r="1519" spans="1:17" x14ac:dyDescent="0.25">
      <c r="A1519" s="10">
        <v>433</v>
      </c>
      <c r="B1519" s="10">
        <v>47</v>
      </c>
      <c r="C1519" s="10">
        <v>0</v>
      </c>
      <c r="D1519" s="10">
        <v>2</v>
      </c>
      <c r="E1519" s="10">
        <v>1</v>
      </c>
      <c r="F1519" s="10">
        <v>1</v>
      </c>
      <c r="L1519" s="1">
        <v>53</v>
      </c>
      <c r="M1519" s="1">
        <v>6</v>
      </c>
      <c r="N1519" s="1">
        <v>0</v>
      </c>
      <c r="O1519" s="1">
        <v>4</v>
      </c>
      <c r="P1519" s="2">
        <v>1</v>
      </c>
      <c r="Q1519" s="67">
        <v>0</v>
      </c>
    </row>
    <row r="1520" spans="1:17" x14ac:dyDescent="0.25">
      <c r="A1520" s="10">
        <v>434</v>
      </c>
      <c r="B1520" s="10">
        <v>47</v>
      </c>
      <c r="C1520" s="10">
        <v>0</v>
      </c>
      <c r="D1520" s="10">
        <v>2</v>
      </c>
      <c r="E1520" s="10">
        <v>1</v>
      </c>
      <c r="F1520" s="10">
        <v>1</v>
      </c>
      <c r="L1520" s="1">
        <v>54</v>
      </c>
      <c r="M1520" s="1">
        <v>6</v>
      </c>
      <c r="N1520" s="1">
        <v>0</v>
      </c>
      <c r="O1520" s="1">
        <v>4</v>
      </c>
      <c r="P1520" s="2">
        <v>1</v>
      </c>
      <c r="Q1520" s="68">
        <v>17</v>
      </c>
    </row>
    <row r="1521" spans="1:17" x14ac:dyDescent="0.25">
      <c r="A1521" s="10">
        <v>435</v>
      </c>
      <c r="B1521" s="10">
        <v>47</v>
      </c>
      <c r="C1521" s="10">
        <v>0</v>
      </c>
      <c r="D1521" s="10">
        <v>2</v>
      </c>
      <c r="E1521" s="10">
        <v>1</v>
      </c>
      <c r="F1521" s="10">
        <v>1</v>
      </c>
      <c r="L1521" s="1">
        <v>55</v>
      </c>
      <c r="M1521" s="1">
        <v>6</v>
      </c>
      <c r="N1521" s="1">
        <v>0</v>
      </c>
      <c r="O1521" s="1">
        <v>4</v>
      </c>
      <c r="P1521" s="2">
        <v>1</v>
      </c>
      <c r="Q1521" s="67">
        <v>0</v>
      </c>
    </row>
    <row r="1522" spans="1:17" x14ac:dyDescent="0.25">
      <c r="A1522" s="10">
        <v>436</v>
      </c>
      <c r="B1522" s="10">
        <v>47</v>
      </c>
      <c r="C1522" s="10">
        <v>0</v>
      </c>
      <c r="D1522" s="10">
        <v>2</v>
      </c>
      <c r="E1522" s="10">
        <v>1</v>
      </c>
      <c r="F1522" s="10">
        <v>1</v>
      </c>
      <c r="L1522" s="1">
        <v>56</v>
      </c>
      <c r="M1522" s="1">
        <v>6</v>
      </c>
      <c r="N1522" s="1">
        <v>0</v>
      </c>
      <c r="O1522" s="1">
        <v>4</v>
      </c>
      <c r="P1522" s="2">
        <v>1</v>
      </c>
      <c r="Q1522" s="68">
        <v>20</v>
      </c>
    </row>
    <row r="1523" spans="1:17" x14ac:dyDescent="0.25">
      <c r="A1523" s="10">
        <v>437</v>
      </c>
      <c r="B1523" s="10">
        <v>47</v>
      </c>
      <c r="C1523" s="10">
        <v>0</v>
      </c>
      <c r="D1523" s="10">
        <v>2</v>
      </c>
      <c r="E1523" s="10">
        <v>1</v>
      </c>
      <c r="F1523" s="10">
        <v>1</v>
      </c>
      <c r="L1523" s="1">
        <v>57</v>
      </c>
      <c r="M1523" s="1">
        <v>7</v>
      </c>
      <c r="N1523" s="1">
        <v>0</v>
      </c>
      <c r="O1523" s="1">
        <v>4</v>
      </c>
      <c r="P1523" s="2">
        <v>1</v>
      </c>
      <c r="Q1523" s="67">
        <v>16</v>
      </c>
    </row>
    <row r="1524" spans="1:17" x14ac:dyDescent="0.25">
      <c r="A1524" s="10">
        <v>438</v>
      </c>
      <c r="B1524" s="10">
        <v>47</v>
      </c>
      <c r="C1524" s="10">
        <v>0</v>
      </c>
      <c r="D1524" s="10">
        <v>2</v>
      </c>
      <c r="E1524" s="10">
        <v>1</v>
      </c>
      <c r="F1524" s="10">
        <v>1</v>
      </c>
      <c r="L1524" s="1">
        <v>58</v>
      </c>
      <c r="M1524" s="1">
        <v>7</v>
      </c>
      <c r="N1524" s="1">
        <v>0</v>
      </c>
      <c r="O1524" s="1">
        <v>4</v>
      </c>
      <c r="P1524" s="2">
        <v>1</v>
      </c>
      <c r="Q1524" s="68">
        <v>17</v>
      </c>
    </row>
    <row r="1525" spans="1:17" x14ac:dyDescent="0.25">
      <c r="A1525" s="10">
        <v>439</v>
      </c>
      <c r="B1525" s="10">
        <v>47</v>
      </c>
      <c r="C1525" s="10">
        <v>0</v>
      </c>
      <c r="D1525" s="10">
        <v>2</v>
      </c>
      <c r="E1525" s="10">
        <v>1</v>
      </c>
      <c r="F1525" s="10">
        <v>1</v>
      </c>
      <c r="L1525" s="1">
        <v>59</v>
      </c>
      <c r="M1525" s="1">
        <v>7</v>
      </c>
      <c r="N1525" s="1">
        <v>0</v>
      </c>
      <c r="O1525" s="1">
        <v>4</v>
      </c>
      <c r="P1525" s="2">
        <v>1</v>
      </c>
      <c r="Q1525" s="67">
        <v>16</v>
      </c>
    </row>
    <row r="1526" spans="1:17" x14ac:dyDescent="0.25">
      <c r="A1526" s="10">
        <v>440</v>
      </c>
      <c r="B1526" s="10">
        <v>47</v>
      </c>
      <c r="C1526" s="10">
        <v>0</v>
      </c>
      <c r="D1526" s="10">
        <v>2</v>
      </c>
      <c r="E1526" s="10">
        <v>1</v>
      </c>
      <c r="F1526" s="10">
        <v>1</v>
      </c>
      <c r="L1526" s="1">
        <v>60</v>
      </c>
      <c r="M1526" s="1">
        <v>7</v>
      </c>
      <c r="N1526" s="1">
        <v>0</v>
      </c>
      <c r="O1526" s="1">
        <v>4</v>
      </c>
      <c r="P1526" s="2">
        <v>1</v>
      </c>
      <c r="Q1526" s="68">
        <v>22</v>
      </c>
    </row>
    <row r="1527" spans="1:17" x14ac:dyDescent="0.25">
      <c r="A1527" s="10">
        <v>441</v>
      </c>
      <c r="B1527" s="10">
        <v>47</v>
      </c>
      <c r="C1527" s="10">
        <v>0</v>
      </c>
      <c r="D1527" s="10">
        <v>2</v>
      </c>
      <c r="E1527" s="10">
        <v>1</v>
      </c>
      <c r="F1527" s="10">
        <v>1</v>
      </c>
      <c r="L1527" s="1">
        <v>61</v>
      </c>
      <c r="M1527" s="1">
        <v>7</v>
      </c>
      <c r="N1527" s="1">
        <v>0</v>
      </c>
      <c r="O1527" s="1">
        <v>4</v>
      </c>
      <c r="P1527" s="2">
        <v>1</v>
      </c>
      <c r="Q1527" s="67">
        <v>9</v>
      </c>
    </row>
    <row r="1528" spans="1:17" x14ac:dyDescent="0.25">
      <c r="A1528" s="10">
        <v>442</v>
      </c>
      <c r="B1528" s="10">
        <v>47</v>
      </c>
      <c r="C1528" s="10">
        <v>0</v>
      </c>
      <c r="D1528" s="10">
        <v>2</v>
      </c>
      <c r="E1528" s="10">
        <v>1</v>
      </c>
      <c r="F1528" s="10">
        <v>1</v>
      </c>
      <c r="L1528" s="1">
        <v>62</v>
      </c>
      <c r="M1528" s="1">
        <v>7</v>
      </c>
      <c r="N1528" s="1">
        <v>0</v>
      </c>
      <c r="O1528" s="1">
        <v>4</v>
      </c>
      <c r="P1528" s="2">
        <v>1</v>
      </c>
      <c r="Q1528" s="68">
        <v>10</v>
      </c>
    </row>
    <row r="1529" spans="1:17" x14ac:dyDescent="0.25">
      <c r="A1529" s="10">
        <v>443</v>
      </c>
      <c r="B1529" s="10">
        <v>48</v>
      </c>
      <c r="C1529" s="10">
        <v>0</v>
      </c>
      <c r="D1529" s="10">
        <v>2</v>
      </c>
      <c r="E1529" s="10">
        <v>1</v>
      </c>
      <c r="F1529" s="10">
        <v>1</v>
      </c>
      <c r="L1529" s="1">
        <v>63</v>
      </c>
      <c r="M1529" s="1">
        <v>7</v>
      </c>
      <c r="N1529" s="1">
        <v>0</v>
      </c>
      <c r="O1529" s="1">
        <v>4</v>
      </c>
      <c r="P1529" s="2">
        <v>1</v>
      </c>
      <c r="Q1529" s="67">
        <v>3</v>
      </c>
    </row>
    <row r="1530" spans="1:17" x14ac:dyDescent="0.25">
      <c r="A1530" s="10">
        <v>444</v>
      </c>
      <c r="B1530" s="10">
        <v>48</v>
      </c>
      <c r="C1530" s="10">
        <v>0</v>
      </c>
      <c r="D1530" s="10">
        <v>2</v>
      </c>
      <c r="E1530" s="10">
        <v>1</v>
      </c>
      <c r="F1530" s="10">
        <v>1</v>
      </c>
      <c r="L1530" s="1">
        <v>64</v>
      </c>
      <c r="M1530" s="1">
        <v>7</v>
      </c>
      <c r="N1530" s="1">
        <v>0</v>
      </c>
      <c r="O1530" s="1">
        <v>4</v>
      </c>
      <c r="P1530" s="2">
        <v>1</v>
      </c>
      <c r="Q1530" s="68">
        <v>2</v>
      </c>
    </row>
    <row r="1531" spans="1:17" x14ac:dyDescent="0.25">
      <c r="A1531" s="10">
        <v>445</v>
      </c>
      <c r="B1531" s="10">
        <v>48</v>
      </c>
      <c r="C1531" s="10">
        <v>0</v>
      </c>
      <c r="D1531" s="10">
        <v>2</v>
      </c>
      <c r="E1531" s="10">
        <v>1</v>
      </c>
      <c r="F1531" s="10">
        <v>1</v>
      </c>
      <c r="L1531" s="1">
        <v>65</v>
      </c>
      <c r="M1531" s="1">
        <v>7</v>
      </c>
      <c r="N1531" s="1">
        <v>0</v>
      </c>
      <c r="O1531" s="1">
        <v>4</v>
      </c>
      <c r="P1531" s="2">
        <v>1</v>
      </c>
      <c r="Q1531" s="67">
        <v>5</v>
      </c>
    </row>
    <row r="1532" spans="1:17" x14ac:dyDescent="0.25">
      <c r="A1532" s="10">
        <v>446</v>
      </c>
      <c r="B1532" s="10">
        <v>48</v>
      </c>
      <c r="C1532" s="10">
        <v>0</v>
      </c>
      <c r="D1532" s="10">
        <v>2</v>
      </c>
      <c r="E1532" s="10">
        <v>1</v>
      </c>
      <c r="F1532" s="10">
        <v>1</v>
      </c>
      <c r="L1532" s="1">
        <v>66</v>
      </c>
      <c r="M1532" s="1">
        <v>7</v>
      </c>
      <c r="N1532" s="1">
        <v>0</v>
      </c>
      <c r="O1532" s="1">
        <v>4</v>
      </c>
      <c r="P1532" s="2">
        <v>1</v>
      </c>
      <c r="Q1532" s="68">
        <v>2</v>
      </c>
    </row>
    <row r="1533" spans="1:17" x14ac:dyDescent="0.25">
      <c r="A1533" s="10">
        <v>447</v>
      </c>
      <c r="B1533" s="10">
        <v>48</v>
      </c>
      <c r="C1533" s="10">
        <v>0</v>
      </c>
      <c r="D1533" s="10">
        <v>2</v>
      </c>
      <c r="E1533" s="10">
        <v>1</v>
      </c>
      <c r="F1533" s="10">
        <v>1</v>
      </c>
      <c r="L1533" s="1">
        <v>67</v>
      </c>
      <c r="M1533" s="1">
        <v>8</v>
      </c>
      <c r="N1533" s="1">
        <v>0</v>
      </c>
      <c r="O1533" s="1">
        <v>4</v>
      </c>
      <c r="P1533" s="2">
        <v>1</v>
      </c>
      <c r="Q1533" s="67">
        <v>5</v>
      </c>
    </row>
    <row r="1534" spans="1:17" x14ac:dyDescent="0.25">
      <c r="A1534" s="10">
        <v>448</v>
      </c>
      <c r="B1534" s="10">
        <v>48</v>
      </c>
      <c r="C1534" s="10">
        <v>0</v>
      </c>
      <c r="D1534" s="10">
        <v>2</v>
      </c>
      <c r="E1534" s="10">
        <v>1</v>
      </c>
      <c r="F1534" s="10">
        <v>1</v>
      </c>
      <c r="L1534" s="1">
        <v>68</v>
      </c>
      <c r="M1534" s="1">
        <v>8</v>
      </c>
      <c r="N1534" s="1">
        <v>0</v>
      </c>
      <c r="O1534" s="1">
        <v>4</v>
      </c>
      <c r="P1534" s="2">
        <v>1</v>
      </c>
      <c r="Q1534" s="68">
        <v>1</v>
      </c>
    </row>
    <row r="1535" spans="1:17" x14ac:dyDescent="0.25">
      <c r="A1535" s="10">
        <v>449</v>
      </c>
      <c r="B1535" s="10">
        <v>48</v>
      </c>
      <c r="C1535" s="10">
        <v>0</v>
      </c>
      <c r="D1535" s="10">
        <v>2</v>
      </c>
      <c r="E1535" s="10">
        <v>1</v>
      </c>
      <c r="F1535" s="10">
        <v>1</v>
      </c>
      <c r="L1535" s="1">
        <v>69</v>
      </c>
      <c r="M1535" s="1">
        <v>8</v>
      </c>
      <c r="N1535" s="1">
        <v>0</v>
      </c>
      <c r="O1535" s="1">
        <v>4</v>
      </c>
      <c r="P1535" s="2">
        <v>1</v>
      </c>
      <c r="Q1535" s="67">
        <v>2</v>
      </c>
    </row>
    <row r="1536" spans="1:17" x14ac:dyDescent="0.25">
      <c r="A1536" s="10">
        <v>450</v>
      </c>
      <c r="B1536" s="10">
        <v>48</v>
      </c>
      <c r="C1536" s="10">
        <v>0</v>
      </c>
      <c r="D1536" s="10">
        <v>2</v>
      </c>
      <c r="E1536" s="10">
        <v>1</v>
      </c>
      <c r="F1536" s="10">
        <v>1</v>
      </c>
      <c r="L1536" s="1">
        <v>70</v>
      </c>
      <c r="M1536" s="1">
        <v>8</v>
      </c>
      <c r="N1536" s="1">
        <v>0</v>
      </c>
      <c r="O1536" s="1">
        <v>4</v>
      </c>
      <c r="P1536" s="2">
        <v>1</v>
      </c>
      <c r="Q1536" s="68">
        <v>3</v>
      </c>
    </row>
    <row r="1537" spans="1:17" x14ac:dyDescent="0.25">
      <c r="A1537" s="10">
        <v>451</v>
      </c>
      <c r="B1537" s="10">
        <v>48</v>
      </c>
      <c r="C1537" s="10">
        <v>0</v>
      </c>
      <c r="D1537" s="10">
        <v>2</v>
      </c>
      <c r="E1537" s="10">
        <v>1</v>
      </c>
      <c r="F1537" s="10">
        <v>1</v>
      </c>
      <c r="L1537" s="1">
        <v>71</v>
      </c>
      <c r="M1537" s="1">
        <v>8</v>
      </c>
      <c r="N1537" s="1">
        <v>0</v>
      </c>
      <c r="O1537" s="1">
        <v>4</v>
      </c>
      <c r="P1537" s="2">
        <v>1</v>
      </c>
      <c r="Q1537" s="67">
        <v>4</v>
      </c>
    </row>
    <row r="1538" spans="1:17" x14ac:dyDescent="0.25">
      <c r="A1538" s="10">
        <v>452</v>
      </c>
      <c r="B1538" s="10">
        <v>48</v>
      </c>
      <c r="C1538" s="10">
        <v>0</v>
      </c>
      <c r="D1538" s="10">
        <v>2</v>
      </c>
      <c r="E1538" s="10">
        <v>1</v>
      </c>
      <c r="F1538" s="10">
        <v>1</v>
      </c>
      <c r="L1538" s="1">
        <v>72</v>
      </c>
      <c r="M1538" s="1">
        <v>8</v>
      </c>
      <c r="N1538" s="1">
        <v>0</v>
      </c>
      <c r="O1538" s="1">
        <v>4</v>
      </c>
      <c r="P1538" s="2">
        <v>1</v>
      </c>
      <c r="Q1538" s="68">
        <v>0</v>
      </c>
    </row>
    <row r="1539" spans="1:17" x14ac:dyDescent="0.25">
      <c r="A1539" s="10">
        <v>453</v>
      </c>
      <c r="B1539" s="10">
        <v>49</v>
      </c>
      <c r="C1539" s="10">
        <v>0</v>
      </c>
      <c r="D1539" s="10">
        <v>2</v>
      </c>
      <c r="E1539" s="10">
        <v>1</v>
      </c>
      <c r="F1539" s="10">
        <v>1</v>
      </c>
      <c r="L1539" s="1">
        <v>73</v>
      </c>
      <c r="M1539" s="1">
        <v>8</v>
      </c>
      <c r="N1539" s="1">
        <v>0</v>
      </c>
      <c r="O1539" s="1">
        <v>4</v>
      </c>
      <c r="P1539" s="2">
        <v>1</v>
      </c>
      <c r="Q1539" s="67">
        <v>2</v>
      </c>
    </row>
    <row r="1540" spans="1:17" x14ac:dyDescent="0.25">
      <c r="A1540" s="10">
        <v>454</v>
      </c>
      <c r="B1540" s="10">
        <v>49</v>
      </c>
      <c r="C1540" s="10">
        <v>0</v>
      </c>
      <c r="D1540" s="10">
        <v>2</v>
      </c>
      <c r="E1540" s="10">
        <v>1</v>
      </c>
      <c r="F1540" s="10">
        <v>1</v>
      </c>
      <c r="L1540" s="1">
        <v>74</v>
      </c>
      <c r="M1540" s="1">
        <v>8</v>
      </c>
      <c r="N1540" s="1">
        <v>0</v>
      </c>
      <c r="O1540" s="1">
        <v>4</v>
      </c>
      <c r="P1540" s="2">
        <v>1</v>
      </c>
      <c r="Q1540" s="68">
        <v>1</v>
      </c>
    </row>
    <row r="1541" spans="1:17" x14ac:dyDescent="0.25">
      <c r="A1541" s="10">
        <v>455</v>
      </c>
      <c r="B1541" s="10">
        <v>49</v>
      </c>
      <c r="C1541" s="10">
        <v>0</v>
      </c>
      <c r="D1541" s="10">
        <v>2</v>
      </c>
      <c r="E1541" s="10">
        <v>1</v>
      </c>
      <c r="F1541" s="10">
        <v>1</v>
      </c>
      <c r="L1541" s="1">
        <v>75</v>
      </c>
      <c r="M1541" s="1">
        <v>8</v>
      </c>
      <c r="N1541" s="1">
        <v>0</v>
      </c>
      <c r="O1541" s="1">
        <v>4</v>
      </c>
      <c r="P1541" s="2">
        <v>1</v>
      </c>
      <c r="Q1541" s="67">
        <v>15</v>
      </c>
    </row>
    <row r="1542" spans="1:17" x14ac:dyDescent="0.25">
      <c r="A1542" s="10">
        <v>456</v>
      </c>
      <c r="B1542" s="10">
        <v>49</v>
      </c>
      <c r="C1542" s="10">
        <v>0</v>
      </c>
      <c r="D1542" s="10">
        <v>2</v>
      </c>
      <c r="E1542" s="10">
        <v>1</v>
      </c>
      <c r="F1542" s="10">
        <v>1</v>
      </c>
      <c r="L1542" s="1">
        <v>76</v>
      </c>
      <c r="M1542" s="1">
        <v>8</v>
      </c>
      <c r="N1542" s="1">
        <v>0</v>
      </c>
      <c r="O1542" s="1">
        <v>4</v>
      </c>
      <c r="P1542" s="2">
        <v>1</v>
      </c>
      <c r="Q1542" s="68">
        <v>3</v>
      </c>
    </row>
    <row r="1543" spans="1:17" x14ac:dyDescent="0.25">
      <c r="A1543" s="10">
        <v>457</v>
      </c>
      <c r="B1543" s="10">
        <v>49</v>
      </c>
      <c r="C1543" s="10">
        <v>0</v>
      </c>
      <c r="D1543" s="10">
        <v>2</v>
      </c>
      <c r="E1543" s="10">
        <v>1</v>
      </c>
      <c r="F1543" s="10">
        <v>1</v>
      </c>
      <c r="L1543" s="1">
        <v>77</v>
      </c>
      <c r="M1543" s="1">
        <v>9</v>
      </c>
      <c r="N1543" s="1">
        <v>0</v>
      </c>
      <c r="O1543" s="1">
        <v>4</v>
      </c>
      <c r="P1543" s="2">
        <v>1</v>
      </c>
      <c r="Q1543" s="67">
        <v>7</v>
      </c>
    </row>
    <row r="1544" spans="1:17" x14ac:dyDescent="0.25">
      <c r="A1544" s="10">
        <v>458</v>
      </c>
      <c r="B1544" s="10">
        <v>49</v>
      </c>
      <c r="C1544" s="10">
        <v>0</v>
      </c>
      <c r="D1544" s="10">
        <v>2</v>
      </c>
      <c r="E1544" s="10">
        <v>1</v>
      </c>
      <c r="F1544" s="10">
        <v>1</v>
      </c>
      <c r="L1544" s="1">
        <v>78</v>
      </c>
      <c r="M1544" s="1">
        <v>9</v>
      </c>
      <c r="N1544" s="1">
        <v>0</v>
      </c>
      <c r="O1544" s="1">
        <v>4</v>
      </c>
      <c r="P1544" s="2">
        <v>1</v>
      </c>
      <c r="Q1544" s="68">
        <v>6</v>
      </c>
    </row>
    <row r="1545" spans="1:17" x14ac:dyDescent="0.25">
      <c r="A1545" s="10">
        <v>459</v>
      </c>
      <c r="B1545" s="10">
        <v>49</v>
      </c>
      <c r="C1545" s="10">
        <v>0</v>
      </c>
      <c r="D1545" s="10">
        <v>2</v>
      </c>
      <c r="E1545" s="10">
        <v>1</v>
      </c>
      <c r="F1545" s="10">
        <v>1</v>
      </c>
      <c r="L1545" s="1">
        <v>79</v>
      </c>
      <c r="M1545" s="1">
        <v>9</v>
      </c>
      <c r="N1545" s="1">
        <v>0</v>
      </c>
      <c r="O1545" s="1">
        <v>4</v>
      </c>
      <c r="P1545" s="2">
        <v>1</v>
      </c>
      <c r="Q1545" s="67">
        <v>4</v>
      </c>
    </row>
    <row r="1546" spans="1:17" x14ac:dyDescent="0.25">
      <c r="A1546" s="10">
        <v>460</v>
      </c>
      <c r="B1546" s="10">
        <v>49</v>
      </c>
      <c r="C1546" s="10">
        <v>0</v>
      </c>
      <c r="D1546" s="10">
        <v>2</v>
      </c>
      <c r="E1546" s="10">
        <v>1</v>
      </c>
      <c r="F1546" s="10">
        <v>1</v>
      </c>
      <c r="L1546" s="1">
        <v>80</v>
      </c>
      <c r="M1546" s="1">
        <v>9</v>
      </c>
      <c r="N1546" s="1">
        <v>0</v>
      </c>
      <c r="O1546" s="1">
        <v>4</v>
      </c>
      <c r="P1546" s="2">
        <v>1</v>
      </c>
      <c r="Q1546" s="68">
        <v>8</v>
      </c>
    </row>
    <row r="1547" spans="1:17" x14ac:dyDescent="0.25">
      <c r="A1547" s="10">
        <v>461</v>
      </c>
      <c r="B1547" s="10">
        <v>49</v>
      </c>
      <c r="C1547" s="10">
        <v>0</v>
      </c>
      <c r="D1547" s="10">
        <v>2</v>
      </c>
      <c r="E1547" s="10">
        <v>1</v>
      </c>
      <c r="F1547" s="10">
        <v>1</v>
      </c>
      <c r="L1547" s="1">
        <v>81</v>
      </c>
      <c r="M1547" s="1">
        <v>9</v>
      </c>
      <c r="N1547" s="1">
        <v>0</v>
      </c>
      <c r="O1547" s="1">
        <v>4</v>
      </c>
      <c r="P1547" s="2">
        <v>1</v>
      </c>
      <c r="Q1547" s="67">
        <v>9</v>
      </c>
    </row>
    <row r="1548" spans="1:17" x14ac:dyDescent="0.25">
      <c r="A1548" s="10">
        <v>462</v>
      </c>
      <c r="B1548" s="10">
        <v>49</v>
      </c>
      <c r="C1548" s="10">
        <v>0</v>
      </c>
      <c r="D1548" s="10">
        <v>2</v>
      </c>
      <c r="E1548" s="10">
        <v>1</v>
      </c>
      <c r="F1548" s="10">
        <v>1</v>
      </c>
      <c r="L1548" s="1">
        <v>82</v>
      </c>
      <c r="M1548" s="1">
        <v>9</v>
      </c>
      <c r="N1548" s="1">
        <v>0</v>
      </c>
      <c r="O1548" s="1">
        <v>4</v>
      </c>
      <c r="P1548" s="2">
        <v>1</v>
      </c>
      <c r="Q1548" s="68">
        <v>4</v>
      </c>
    </row>
    <row r="1549" spans="1:17" x14ac:dyDescent="0.25">
      <c r="A1549" s="10">
        <v>463</v>
      </c>
      <c r="B1549" s="10">
        <v>50</v>
      </c>
      <c r="C1549" s="10">
        <v>0</v>
      </c>
      <c r="D1549" s="10">
        <v>2</v>
      </c>
      <c r="E1549" s="10">
        <v>1</v>
      </c>
      <c r="F1549" s="10">
        <v>1</v>
      </c>
      <c r="L1549" s="1">
        <v>83</v>
      </c>
      <c r="M1549" s="1">
        <v>9</v>
      </c>
      <c r="N1549" s="1">
        <v>0</v>
      </c>
      <c r="O1549" s="1">
        <v>4</v>
      </c>
      <c r="P1549" s="2">
        <v>1</v>
      </c>
      <c r="Q1549" s="67">
        <v>16</v>
      </c>
    </row>
    <row r="1550" spans="1:17" x14ac:dyDescent="0.25">
      <c r="A1550" s="10">
        <v>464</v>
      </c>
      <c r="B1550" s="10">
        <v>50</v>
      </c>
      <c r="C1550" s="10">
        <v>0</v>
      </c>
      <c r="D1550" s="10">
        <v>2</v>
      </c>
      <c r="E1550" s="10">
        <v>1</v>
      </c>
      <c r="F1550" s="10">
        <v>1</v>
      </c>
      <c r="L1550" s="1">
        <v>84</v>
      </c>
      <c r="M1550" s="1">
        <v>9</v>
      </c>
      <c r="N1550" s="1">
        <v>0</v>
      </c>
      <c r="O1550" s="1">
        <v>4</v>
      </c>
      <c r="P1550" s="2">
        <v>1</v>
      </c>
      <c r="Q1550" s="68">
        <v>4</v>
      </c>
    </row>
    <row r="1551" spans="1:17" x14ac:dyDescent="0.25">
      <c r="A1551" s="10">
        <v>465</v>
      </c>
      <c r="B1551" s="10">
        <v>50</v>
      </c>
      <c r="C1551" s="10">
        <v>0</v>
      </c>
      <c r="D1551" s="10">
        <v>2</v>
      </c>
      <c r="E1551" s="10">
        <v>1</v>
      </c>
      <c r="F1551" s="10">
        <v>1</v>
      </c>
      <c r="L1551" s="1">
        <v>85</v>
      </c>
      <c r="M1551" s="1">
        <v>9</v>
      </c>
      <c r="N1551" s="1">
        <v>0</v>
      </c>
      <c r="O1551" s="1">
        <v>4</v>
      </c>
      <c r="P1551" s="2">
        <v>1</v>
      </c>
      <c r="Q1551" s="67">
        <v>13</v>
      </c>
    </row>
    <row r="1552" spans="1:17" x14ac:dyDescent="0.25">
      <c r="A1552" s="10">
        <v>466</v>
      </c>
      <c r="B1552" s="10">
        <v>50</v>
      </c>
      <c r="C1552" s="10">
        <v>0</v>
      </c>
      <c r="D1552" s="10">
        <v>2</v>
      </c>
      <c r="E1552" s="10">
        <v>1</v>
      </c>
      <c r="F1552" s="10">
        <v>1</v>
      </c>
      <c r="L1552" s="1">
        <v>86</v>
      </c>
      <c r="M1552" s="1">
        <v>9</v>
      </c>
      <c r="N1552" s="1">
        <v>0</v>
      </c>
      <c r="O1552" s="1">
        <v>4</v>
      </c>
      <c r="P1552" s="2">
        <v>1</v>
      </c>
      <c r="Q1552" s="68">
        <v>14</v>
      </c>
    </row>
    <row r="1553" spans="1:17" x14ac:dyDescent="0.25">
      <c r="A1553" s="10">
        <v>467</v>
      </c>
      <c r="B1553" s="10">
        <v>50</v>
      </c>
      <c r="C1553" s="10">
        <v>0</v>
      </c>
      <c r="D1553" s="10">
        <v>2</v>
      </c>
      <c r="E1553" s="10">
        <v>1</v>
      </c>
      <c r="F1553" s="10">
        <v>1</v>
      </c>
      <c r="L1553" s="1">
        <v>87</v>
      </c>
      <c r="M1553" s="1">
        <v>10</v>
      </c>
      <c r="N1553" s="1">
        <v>0</v>
      </c>
      <c r="O1553" s="1">
        <v>4</v>
      </c>
      <c r="P1553" s="2">
        <v>1</v>
      </c>
      <c r="Q1553" s="67">
        <v>10</v>
      </c>
    </row>
    <row r="1554" spans="1:17" x14ac:dyDescent="0.25">
      <c r="A1554" s="10">
        <v>468</v>
      </c>
      <c r="B1554" s="10">
        <v>50</v>
      </c>
      <c r="C1554" s="10">
        <v>0</v>
      </c>
      <c r="D1554" s="10">
        <v>2</v>
      </c>
      <c r="E1554" s="10">
        <v>1</v>
      </c>
      <c r="F1554" s="10">
        <v>1</v>
      </c>
      <c r="L1554" s="1">
        <v>88</v>
      </c>
      <c r="M1554" s="1">
        <v>10</v>
      </c>
      <c r="N1554" s="1">
        <v>0</v>
      </c>
      <c r="O1554" s="1">
        <v>4</v>
      </c>
      <c r="P1554" s="2">
        <v>1</v>
      </c>
      <c r="Q1554" s="68">
        <v>5</v>
      </c>
    </row>
    <row r="1555" spans="1:17" x14ac:dyDescent="0.25">
      <c r="A1555" s="10">
        <v>469</v>
      </c>
      <c r="B1555" s="10">
        <v>50</v>
      </c>
      <c r="C1555" s="10">
        <v>0</v>
      </c>
      <c r="D1555" s="10">
        <v>2</v>
      </c>
      <c r="E1555" s="10">
        <v>1</v>
      </c>
      <c r="F1555" s="10">
        <v>1</v>
      </c>
      <c r="L1555" s="1">
        <v>89</v>
      </c>
      <c r="M1555" s="1">
        <v>10</v>
      </c>
      <c r="N1555" s="1">
        <v>0</v>
      </c>
      <c r="O1555" s="1">
        <v>4</v>
      </c>
      <c r="P1555" s="2">
        <v>1</v>
      </c>
      <c r="Q1555" s="67">
        <v>8</v>
      </c>
    </row>
    <row r="1556" spans="1:17" x14ac:dyDescent="0.25">
      <c r="A1556" s="10">
        <v>470</v>
      </c>
      <c r="B1556" s="10">
        <v>50</v>
      </c>
      <c r="C1556" s="10">
        <v>0</v>
      </c>
      <c r="D1556" s="10">
        <v>2</v>
      </c>
      <c r="E1556" s="10">
        <v>1</v>
      </c>
      <c r="F1556" s="10">
        <v>1</v>
      </c>
      <c r="L1556" s="1">
        <v>90</v>
      </c>
      <c r="M1556" s="1">
        <v>10</v>
      </c>
      <c r="N1556" s="1">
        <v>0</v>
      </c>
      <c r="O1556" s="1">
        <v>4</v>
      </c>
      <c r="P1556" s="2">
        <v>1</v>
      </c>
      <c r="Q1556" s="68">
        <v>4</v>
      </c>
    </row>
    <row r="1557" spans="1:17" x14ac:dyDescent="0.25">
      <c r="A1557" s="10">
        <v>471</v>
      </c>
      <c r="B1557" s="10">
        <v>50</v>
      </c>
      <c r="C1557" s="10">
        <v>0</v>
      </c>
      <c r="D1557" s="10">
        <v>2</v>
      </c>
      <c r="E1557" s="10">
        <v>1</v>
      </c>
      <c r="F1557" s="10">
        <v>1</v>
      </c>
      <c r="L1557" s="1">
        <v>91</v>
      </c>
      <c r="M1557" s="1">
        <v>10</v>
      </c>
      <c r="N1557" s="1">
        <v>0</v>
      </c>
      <c r="O1557" s="1">
        <v>4</v>
      </c>
      <c r="P1557" s="2">
        <v>1</v>
      </c>
      <c r="Q1557" s="67">
        <v>5</v>
      </c>
    </row>
    <row r="1558" spans="1:17" x14ac:dyDescent="0.25">
      <c r="A1558" s="10">
        <v>472</v>
      </c>
      <c r="B1558" s="10">
        <v>50</v>
      </c>
      <c r="C1558" s="10">
        <v>0</v>
      </c>
      <c r="D1558" s="10">
        <v>2</v>
      </c>
      <c r="E1558" s="10">
        <v>1</v>
      </c>
      <c r="F1558" s="10">
        <v>1</v>
      </c>
      <c r="L1558" s="1">
        <v>92</v>
      </c>
      <c r="M1558" s="1">
        <v>10</v>
      </c>
      <c r="N1558" s="1">
        <v>0</v>
      </c>
      <c r="O1558" s="1">
        <v>4</v>
      </c>
      <c r="P1558" s="2">
        <v>1</v>
      </c>
      <c r="Q1558" s="68">
        <v>4</v>
      </c>
    </row>
    <row r="1559" spans="1:17" x14ac:dyDescent="0.25">
      <c r="A1559" s="10">
        <v>473</v>
      </c>
      <c r="B1559" s="10">
        <v>51</v>
      </c>
      <c r="C1559" s="10">
        <v>0</v>
      </c>
      <c r="D1559" s="10">
        <v>2</v>
      </c>
      <c r="E1559" s="10">
        <v>1</v>
      </c>
      <c r="F1559" s="10">
        <v>1</v>
      </c>
      <c r="L1559" s="1">
        <v>93</v>
      </c>
      <c r="M1559" s="1">
        <v>10</v>
      </c>
      <c r="N1559" s="1">
        <v>0</v>
      </c>
      <c r="O1559" s="1">
        <v>4</v>
      </c>
      <c r="P1559" s="2">
        <v>1</v>
      </c>
      <c r="Q1559" s="67">
        <v>0</v>
      </c>
    </row>
    <row r="1560" spans="1:17" x14ac:dyDescent="0.25">
      <c r="A1560" s="10">
        <v>474</v>
      </c>
      <c r="B1560" s="10">
        <v>51</v>
      </c>
      <c r="C1560" s="10">
        <v>0</v>
      </c>
      <c r="D1560" s="10">
        <v>2</v>
      </c>
      <c r="E1560" s="10">
        <v>1</v>
      </c>
      <c r="F1560" s="10">
        <v>1</v>
      </c>
      <c r="L1560" s="1">
        <v>94</v>
      </c>
      <c r="M1560" s="1">
        <v>10</v>
      </c>
      <c r="N1560" s="1">
        <v>0</v>
      </c>
      <c r="O1560" s="1">
        <v>4</v>
      </c>
      <c r="P1560" s="2">
        <v>1</v>
      </c>
      <c r="Q1560" s="68">
        <v>9</v>
      </c>
    </row>
    <row r="1561" spans="1:17" x14ac:dyDescent="0.25">
      <c r="A1561" s="10">
        <v>475</v>
      </c>
      <c r="B1561" s="10">
        <v>51</v>
      </c>
      <c r="C1561" s="10">
        <v>0</v>
      </c>
      <c r="D1561" s="10">
        <v>2</v>
      </c>
      <c r="E1561" s="10">
        <v>1</v>
      </c>
      <c r="F1561" s="10">
        <v>1</v>
      </c>
      <c r="L1561" s="1">
        <v>95</v>
      </c>
      <c r="M1561" s="1">
        <v>10</v>
      </c>
      <c r="N1561" s="1">
        <v>0</v>
      </c>
      <c r="O1561" s="1">
        <v>4</v>
      </c>
      <c r="P1561" s="2">
        <v>1</v>
      </c>
      <c r="Q1561" s="67">
        <v>12</v>
      </c>
    </row>
    <row r="1562" spans="1:17" x14ac:dyDescent="0.25">
      <c r="A1562" s="10">
        <v>476</v>
      </c>
      <c r="B1562" s="10">
        <v>51</v>
      </c>
      <c r="C1562" s="10">
        <v>0</v>
      </c>
      <c r="D1562" s="10">
        <v>2</v>
      </c>
      <c r="E1562" s="10">
        <v>1</v>
      </c>
      <c r="F1562" s="10">
        <v>1</v>
      </c>
      <c r="L1562" s="1">
        <v>96</v>
      </c>
      <c r="M1562" s="1">
        <v>10</v>
      </c>
      <c r="N1562" s="1">
        <v>0</v>
      </c>
      <c r="O1562" s="1">
        <v>4</v>
      </c>
      <c r="P1562" s="2">
        <v>1</v>
      </c>
      <c r="Q1562" s="68">
        <v>6</v>
      </c>
    </row>
    <row r="1563" spans="1:17" x14ac:dyDescent="0.25">
      <c r="A1563" s="10">
        <v>477</v>
      </c>
      <c r="B1563" s="10">
        <v>51</v>
      </c>
      <c r="C1563" s="10">
        <v>0</v>
      </c>
      <c r="D1563" s="10">
        <v>2</v>
      </c>
      <c r="E1563" s="10">
        <v>1</v>
      </c>
      <c r="F1563" s="10">
        <v>1</v>
      </c>
      <c r="L1563" s="1">
        <v>97</v>
      </c>
      <c r="M1563" s="1">
        <v>11</v>
      </c>
      <c r="N1563" s="1">
        <v>0</v>
      </c>
      <c r="O1563" s="1">
        <v>4</v>
      </c>
      <c r="P1563" s="2">
        <v>1</v>
      </c>
      <c r="Q1563" s="67">
        <v>9</v>
      </c>
    </row>
    <row r="1564" spans="1:17" x14ac:dyDescent="0.25">
      <c r="A1564" s="10">
        <v>478</v>
      </c>
      <c r="B1564" s="10">
        <v>51</v>
      </c>
      <c r="C1564" s="10">
        <v>0</v>
      </c>
      <c r="D1564" s="10">
        <v>2</v>
      </c>
      <c r="E1564" s="10">
        <v>1</v>
      </c>
      <c r="F1564" s="10">
        <v>1</v>
      </c>
      <c r="L1564" s="1">
        <v>98</v>
      </c>
      <c r="M1564" s="1">
        <v>11</v>
      </c>
      <c r="N1564" s="1">
        <v>0</v>
      </c>
      <c r="O1564" s="1">
        <v>4</v>
      </c>
      <c r="P1564" s="2">
        <v>1</v>
      </c>
      <c r="Q1564" s="68">
        <v>6</v>
      </c>
    </row>
    <row r="1565" spans="1:17" x14ac:dyDescent="0.25">
      <c r="A1565" s="10">
        <v>479</v>
      </c>
      <c r="B1565" s="10">
        <v>52</v>
      </c>
      <c r="C1565" s="10">
        <v>0</v>
      </c>
      <c r="D1565" s="10">
        <v>2</v>
      </c>
      <c r="E1565" s="10">
        <v>1</v>
      </c>
      <c r="F1565" s="10">
        <v>1</v>
      </c>
      <c r="L1565" s="1">
        <v>99</v>
      </c>
      <c r="M1565" s="1">
        <v>11</v>
      </c>
      <c r="N1565" s="1">
        <v>0</v>
      </c>
      <c r="O1565" s="1">
        <v>4</v>
      </c>
      <c r="P1565" s="2">
        <v>1</v>
      </c>
      <c r="Q1565" s="67">
        <v>6</v>
      </c>
    </row>
    <row r="1566" spans="1:17" x14ac:dyDescent="0.25">
      <c r="A1566" s="10">
        <v>480</v>
      </c>
      <c r="B1566" s="10">
        <v>52</v>
      </c>
      <c r="C1566" s="10">
        <v>0</v>
      </c>
      <c r="D1566" s="10">
        <v>2</v>
      </c>
      <c r="E1566" s="10">
        <v>1</v>
      </c>
      <c r="F1566" s="10">
        <v>1</v>
      </c>
      <c r="L1566" s="1">
        <v>100</v>
      </c>
      <c r="M1566" s="1">
        <v>11</v>
      </c>
      <c r="N1566" s="1">
        <v>0</v>
      </c>
      <c r="O1566" s="1">
        <v>4</v>
      </c>
      <c r="P1566" s="2">
        <v>1</v>
      </c>
      <c r="Q1566" s="68">
        <v>2</v>
      </c>
    </row>
    <row r="1567" spans="1:17" x14ac:dyDescent="0.25">
      <c r="A1567" s="10">
        <v>481</v>
      </c>
      <c r="B1567" s="10">
        <v>52</v>
      </c>
      <c r="C1567" s="10">
        <v>0</v>
      </c>
      <c r="D1567" s="10">
        <v>2</v>
      </c>
      <c r="E1567" s="10">
        <v>1</v>
      </c>
      <c r="F1567" s="10">
        <v>1</v>
      </c>
      <c r="L1567" s="1">
        <v>101</v>
      </c>
      <c r="M1567" s="1">
        <v>11</v>
      </c>
      <c r="N1567" s="1">
        <v>0</v>
      </c>
      <c r="O1567" s="1">
        <v>4</v>
      </c>
      <c r="P1567" s="2">
        <v>1</v>
      </c>
      <c r="Q1567" s="67">
        <v>12</v>
      </c>
    </row>
    <row r="1568" spans="1:17" x14ac:dyDescent="0.25">
      <c r="A1568" s="10">
        <v>482</v>
      </c>
      <c r="B1568" s="10">
        <v>52</v>
      </c>
      <c r="C1568" s="10">
        <v>0</v>
      </c>
      <c r="D1568" s="10">
        <v>2</v>
      </c>
      <c r="E1568" s="10">
        <v>1</v>
      </c>
      <c r="F1568" s="10">
        <v>1</v>
      </c>
      <c r="L1568" s="1">
        <v>102</v>
      </c>
      <c r="M1568" s="1">
        <v>11</v>
      </c>
      <c r="N1568" s="1">
        <v>0</v>
      </c>
      <c r="O1568" s="1">
        <v>4</v>
      </c>
      <c r="P1568" s="2">
        <v>1</v>
      </c>
      <c r="Q1568" s="68">
        <v>18</v>
      </c>
    </row>
    <row r="1569" spans="1:17" x14ac:dyDescent="0.25">
      <c r="A1569" s="10">
        <v>483</v>
      </c>
      <c r="B1569" s="10">
        <v>52</v>
      </c>
      <c r="C1569" s="10">
        <v>0</v>
      </c>
      <c r="D1569" s="10">
        <v>2</v>
      </c>
      <c r="E1569" s="10">
        <v>1</v>
      </c>
      <c r="F1569" s="10">
        <v>1</v>
      </c>
      <c r="L1569" s="1">
        <v>103</v>
      </c>
      <c r="M1569" s="1">
        <v>11</v>
      </c>
      <c r="N1569" s="1">
        <v>0</v>
      </c>
      <c r="O1569" s="1">
        <v>4</v>
      </c>
      <c r="P1569" s="2">
        <v>1</v>
      </c>
      <c r="Q1569" s="67">
        <v>4</v>
      </c>
    </row>
    <row r="1570" spans="1:17" x14ac:dyDescent="0.25">
      <c r="A1570" s="10">
        <v>484</v>
      </c>
      <c r="B1570" s="10">
        <v>52</v>
      </c>
      <c r="C1570" s="10">
        <v>0</v>
      </c>
      <c r="D1570" s="10">
        <v>2</v>
      </c>
      <c r="E1570" s="10">
        <v>1</v>
      </c>
      <c r="F1570" s="10">
        <v>1</v>
      </c>
      <c r="L1570" s="1">
        <v>104</v>
      </c>
      <c r="M1570" s="1">
        <v>11</v>
      </c>
      <c r="N1570" s="1">
        <v>0</v>
      </c>
      <c r="O1570" s="1">
        <v>4</v>
      </c>
      <c r="P1570" s="2">
        <v>1</v>
      </c>
      <c r="Q1570" s="68">
        <v>17</v>
      </c>
    </row>
    <row r="1571" spans="1:17" x14ac:dyDescent="0.25">
      <c r="A1571" s="10">
        <v>485</v>
      </c>
      <c r="B1571" s="10">
        <v>52</v>
      </c>
      <c r="C1571" s="10">
        <v>0</v>
      </c>
      <c r="D1571" s="10">
        <v>2</v>
      </c>
      <c r="E1571" s="10">
        <v>1</v>
      </c>
      <c r="F1571" s="10">
        <v>1</v>
      </c>
      <c r="L1571" s="1">
        <v>105</v>
      </c>
      <c r="M1571" s="1">
        <v>11</v>
      </c>
      <c r="N1571" s="1">
        <v>0</v>
      </c>
      <c r="O1571" s="1">
        <v>4</v>
      </c>
      <c r="P1571" s="2">
        <v>1</v>
      </c>
      <c r="Q1571" s="67">
        <v>2</v>
      </c>
    </row>
    <row r="1572" spans="1:17" x14ac:dyDescent="0.25">
      <c r="A1572" s="10">
        <v>486</v>
      </c>
      <c r="B1572" s="10">
        <v>52</v>
      </c>
      <c r="C1572" s="10">
        <v>0</v>
      </c>
      <c r="D1572" s="10">
        <v>2</v>
      </c>
      <c r="E1572" s="10">
        <v>1</v>
      </c>
      <c r="F1572" s="10">
        <v>1</v>
      </c>
      <c r="L1572" s="1">
        <v>106</v>
      </c>
      <c r="M1572" s="1">
        <v>11</v>
      </c>
      <c r="N1572" s="1">
        <v>0</v>
      </c>
      <c r="O1572" s="1">
        <v>4</v>
      </c>
      <c r="P1572" s="2">
        <v>1</v>
      </c>
      <c r="Q1572" s="68">
        <v>2</v>
      </c>
    </row>
    <row r="1573" spans="1:17" x14ac:dyDescent="0.25">
      <c r="A1573" s="10">
        <v>487</v>
      </c>
      <c r="B1573" s="10">
        <v>52</v>
      </c>
      <c r="C1573" s="10">
        <v>0</v>
      </c>
      <c r="D1573" s="10">
        <v>2</v>
      </c>
      <c r="E1573" s="10">
        <v>1</v>
      </c>
      <c r="F1573" s="10">
        <v>1</v>
      </c>
      <c r="L1573" s="1">
        <v>107</v>
      </c>
      <c r="M1573" s="1">
        <v>12</v>
      </c>
      <c r="N1573" s="1">
        <v>0</v>
      </c>
      <c r="O1573" s="1">
        <v>4</v>
      </c>
      <c r="P1573" s="2">
        <v>1</v>
      </c>
      <c r="Q1573" s="67">
        <v>6</v>
      </c>
    </row>
    <row r="1574" spans="1:17" x14ac:dyDescent="0.25">
      <c r="A1574" s="10">
        <v>488</v>
      </c>
      <c r="B1574" s="10">
        <v>52</v>
      </c>
      <c r="C1574" s="10">
        <v>0</v>
      </c>
      <c r="D1574" s="10">
        <v>2</v>
      </c>
      <c r="E1574" s="10">
        <v>1</v>
      </c>
      <c r="F1574" s="10">
        <v>1</v>
      </c>
      <c r="L1574" s="1">
        <v>108</v>
      </c>
      <c r="M1574" s="1">
        <v>12</v>
      </c>
      <c r="N1574" s="1">
        <v>0</v>
      </c>
      <c r="O1574" s="1">
        <v>4</v>
      </c>
      <c r="P1574" s="2">
        <v>1</v>
      </c>
      <c r="Q1574" s="68">
        <v>1</v>
      </c>
    </row>
    <row r="1575" spans="1:17" x14ac:dyDescent="0.25">
      <c r="A1575" s="10">
        <v>17</v>
      </c>
      <c r="B1575" s="10">
        <v>2</v>
      </c>
      <c r="C1575" s="10">
        <v>1</v>
      </c>
      <c r="D1575" s="10">
        <v>1</v>
      </c>
      <c r="E1575" s="10">
        <v>601</v>
      </c>
      <c r="F1575" s="10">
        <v>601</v>
      </c>
      <c r="L1575" s="1">
        <v>109</v>
      </c>
      <c r="M1575" s="1">
        <v>12</v>
      </c>
      <c r="N1575" s="1">
        <v>0</v>
      </c>
      <c r="O1575" s="1">
        <v>4</v>
      </c>
      <c r="P1575" s="2">
        <v>1</v>
      </c>
      <c r="Q1575" s="67">
        <v>1</v>
      </c>
    </row>
    <row r="1576" spans="1:17" x14ac:dyDescent="0.25">
      <c r="A1576" s="10">
        <v>37</v>
      </c>
      <c r="B1576" s="10">
        <v>5</v>
      </c>
      <c r="C1576" s="10">
        <v>1</v>
      </c>
      <c r="D1576" s="10">
        <v>1</v>
      </c>
      <c r="E1576" s="10">
        <v>13</v>
      </c>
      <c r="F1576" s="10">
        <v>13</v>
      </c>
      <c r="L1576" s="1">
        <v>110</v>
      </c>
      <c r="M1576" s="1">
        <v>12</v>
      </c>
      <c r="N1576" s="1">
        <v>0</v>
      </c>
      <c r="O1576" s="1">
        <v>4</v>
      </c>
      <c r="P1576" s="2">
        <v>1</v>
      </c>
      <c r="Q1576" s="68">
        <v>3</v>
      </c>
    </row>
    <row r="1577" spans="1:17" x14ac:dyDescent="0.25">
      <c r="A1577" s="10">
        <v>37</v>
      </c>
      <c r="B1577" s="10">
        <v>5</v>
      </c>
      <c r="C1577" s="10">
        <v>1</v>
      </c>
      <c r="D1577" s="10">
        <v>2</v>
      </c>
      <c r="E1577" s="10">
        <v>34</v>
      </c>
      <c r="F1577" s="10">
        <v>34</v>
      </c>
      <c r="L1577" s="1">
        <v>111</v>
      </c>
      <c r="M1577" s="1">
        <v>12</v>
      </c>
      <c r="N1577" s="1">
        <v>0</v>
      </c>
      <c r="O1577" s="1">
        <v>4</v>
      </c>
      <c r="P1577" s="2">
        <v>1</v>
      </c>
      <c r="Q1577" s="67">
        <v>7</v>
      </c>
    </row>
    <row r="1578" spans="1:17" x14ac:dyDescent="0.25">
      <c r="A1578" s="10">
        <v>37</v>
      </c>
      <c r="B1578" s="10">
        <v>5</v>
      </c>
      <c r="C1578" s="10">
        <v>1</v>
      </c>
      <c r="D1578" s="10">
        <v>3</v>
      </c>
      <c r="E1578" s="10">
        <v>1</v>
      </c>
      <c r="F1578" s="10">
        <v>1</v>
      </c>
      <c r="L1578" s="1">
        <v>112</v>
      </c>
      <c r="M1578" s="1">
        <v>12</v>
      </c>
      <c r="N1578" s="1">
        <v>0</v>
      </c>
      <c r="O1578" s="1">
        <v>4</v>
      </c>
      <c r="P1578" s="2">
        <v>1</v>
      </c>
      <c r="Q1578" s="68">
        <v>12</v>
      </c>
    </row>
    <row r="1579" spans="1:17" x14ac:dyDescent="0.25">
      <c r="A1579" s="10">
        <v>37</v>
      </c>
      <c r="B1579" s="10">
        <v>5</v>
      </c>
      <c r="C1579" s="10">
        <v>1</v>
      </c>
      <c r="D1579" s="10">
        <v>5</v>
      </c>
      <c r="E1579" s="10">
        <v>2</v>
      </c>
      <c r="F1579" s="10">
        <v>2</v>
      </c>
      <c r="L1579" s="1">
        <v>113</v>
      </c>
      <c r="M1579" s="1">
        <v>12</v>
      </c>
      <c r="N1579" s="1">
        <v>0</v>
      </c>
      <c r="O1579" s="1">
        <v>4</v>
      </c>
      <c r="P1579" s="2">
        <v>1</v>
      </c>
      <c r="Q1579" s="67">
        <v>11</v>
      </c>
    </row>
    <row r="1580" spans="1:17" x14ac:dyDescent="0.25">
      <c r="A1580" s="10">
        <v>17</v>
      </c>
      <c r="B1580" s="10">
        <v>2</v>
      </c>
      <c r="C1580" s="10">
        <v>1</v>
      </c>
      <c r="D1580" s="10">
        <v>2</v>
      </c>
      <c r="E1580" s="10">
        <v>396</v>
      </c>
      <c r="F1580" s="10">
        <v>396</v>
      </c>
      <c r="L1580" s="1">
        <v>114</v>
      </c>
      <c r="M1580" s="1">
        <v>12</v>
      </c>
      <c r="N1580" s="1">
        <v>0</v>
      </c>
      <c r="O1580" s="1">
        <v>4</v>
      </c>
      <c r="P1580" s="2">
        <v>1</v>
      </c>
      <c r="Q1580" s="68">
        <v>10</v>
      </c>
    </row>
    <row r="1581" spans="1:17" x14ac:dyDescent="0.25">
      <c r="A1581" s="10">
        <v>17</v>
      </c>
      <c r="B1581" s="10">
        <v>2</v>
      </c>
      <c r="C1581" s="10">
        <v>1</v>
      </c>
      <c r="D1581" s="10">
        <v>10</v>
      </c>
      <c r="E1581" s="10">
        <v>3</v>
      </c>
      <c r="F1581" s="10">
        <v>3</v>
      </c>
      <c r="L1581" s="1">
        <v>115</v>
      </c>
      <c r="M1581" s="1">
        <v>13</v>
      </c>
      <c r="N1581" s="1">
        <v>0</v>
      </c>
      <c r="O1581" s="1">
        <v>4</v>
      </c>
      <c r="P1581" s="2">
        <v>1</v>
      </c>
      <c r="Q1581" s="67">
        <v>11</v>
      </c>
    </row>
    <row r="1582" spans="1:17" x14ac:dyDescent="0.25">
      <c r="A1582" s="10">
        <v>35</v>
      </c>
      <c r="B1582" s="10">
        <v>4</v>
      </c>
      <c r="C1582" s="10">
        <v>1</v>
      </c>
      <c r="D1582" s="10">
        <v>1</v>
      </c>
      <c r="E1582" s="10">
        <v>9</v>
      </c>
      <c r="F1582" s="10">
        <v>9</v>
      </c>
      <c r="L1582" s="1">
        <v>116</v>
      </c>
      <c r="M1582" s="1">
        <v>13</v>
      </c>
      <c r="N1582" s="1">
        <v>0</v>
      </c>
      <c r="O1582" s="1">
        <v>4</v>
      </c>
      <c r="P1582" s="2">
        <v>1</v>
      </c>
      <c r="Q1582" s="68">
        <v>11</v>
      </c>
    </row>
    <row r="1583" spans="1:17" x14ac:dyDescent="0.25">
      <c r="A1583" s="10">
        <v>389</v>
      </c>
      <c r="B1583" s="10">
        <v>42</v>
      </c>
      <c r="C1583" s="10">
        <v>1</v>
      </c>
      <c r="D1583" s="10">
        <v>1</v>
      </c>
      <c r="E1583" s="10">
        <v>13</v>
      </c>
      <c r="F1583" s="10">
        <v>13</v>
      </c>
      <c r="L1583" s="1">
        <v>117</v>
      </c>
      <c r="M1583" s="1">
        <v>13</v>
      </c>
      <c r="N1583" s="1">
        <v>0</v>
      </c>
      <c r="O1583" s="1">
        <v>4</v>
      </c>
      <c r="P1583" s="2">
        <v>1</v>
      </c>
      <c r="Q1583" s="67">
        <v>10</v>
      </c>
    </row>
    <row r="1584" spans="1:17" x14ac:dyDescent="0.25">
      <c r="A1584" s="10">
        <v>388</v>
      </c>
      <c r="B1584" s="10">
        <v>42</v>
      </c>
      <c r="C1584" s="10">
        <v>1</v>
      </c>
      <c r="D1584" s="10">
        <v>1</v>
      </c>
      <c r="E1584" s="10">
        <v>4</v>
      </c>
      <c r="F1584" s="10">
        <v>4</v>
      </c>
      <c r="L1584" s="1">
        <v>118</v>
      </c>
      <c r="M1584" s="1">
        <v>13</v>
      </c>
      <c r="N1584" s="1">
        <v>0</v>
      </c>
      <c r="O1584" s="1">
        <v>4</v>
      </c>
      <c r="P1584" s="2">
        <v>1</v>
      </c>
      <c r="Q1584" s="68">
        <v>9</v>
      </c>
    </row>
    <row r="1585" spans="1:17" x14ac:dyDescent="0.25">
      <c r="A1585" s="10">
        <v>389</v>
      </c>
      <c r="B1585" s="10">
        <v>42</v>
      </c>
      <c r="C1585" s="10">
        <v>1</v>
      </c>
      <c r="D1585" s="10">
        <v>2</v>
      </c>
      <c r="E1585" s="10">
        <v>13</v>
      </c>
      <c r="F1585" s="10">
        <v>13</v>
      </c>
      <c r="L1585" s="1">
        <v>119</v>
      </c>
      <c r="M1585" s="1">
        <v>13</v>
      </c>
      <c r="N1585" s="1">
        <v>0</v>
      </c>
      <c r="O1585" s="1">
        <v>4</v>
      </c>
      <c r="P1585" s="2">
        <v>1</v>
      </c>
      <c r="Q1585" s="67">
        <v>12</v>
      </c>
    </row>
    <row r="1586" spans="1:17" x14ac:dyDescent="0.25">
      <c r="A1586" s="10">
        <v>389</v>
      </c>
      <c r="B1586" s="10">
        <v>42</v>
      </c>
      <c r="C1586" s="10">
        <v>1</v>
      </c>
      <c r="D1586" s="10">
        <v>5</v>
      </c>
      <c r="E1586" s="10">
        <v>1</v>
      </c>
      <c r="F1586" s="10">
        <v>1</v>
      </c>
      <c r="L1586" s="1">
        <v>120</v>
      </c>
      <c r="M1586" s="1">
        <v>13</v>
      </c>
      <c r="N1586" s="1">
        <v>0</v>
      </c>
      <c r="O1586" s="1">
        <v>4</v>
      </c>
      <c r="P1586" s="2">
        <v>1</v>
      </c>
      <c r="Q1586" s="68">
        <v>14</v>
      </c>
    </row>
    <row r="1587" spans="1:17" x14ac:dyDescent="0.25">
      <c r="A1587" s="10">
        <v>388</v>
      </c>
      <c r="B1587" s="10">
        <v>42</v>
      </c>
      <c r="C1587" s="10">
        <v>1</v>
      </c>
      <c r="D1587" s="10">
        <v>2</v>
      </c>
      <c r="E1587" s="10">
        <v>2</v>
      </c>
      <c r="F1587" s="10">
        <v>2</v>
      </c>
      <c r="L1587" s="1">
        <v>121</v>
      </c>
      <c r="M1587" s="1">
        <v>13</v>
      </c>
      <c r="N1587" s="1">
        <v>0</v>
      </c>
      <c r="O1587" s="1">
        <v>4</v>
      </c>
      <c r="P1587" s="2">
        <v>1</v>
      </c>
      <c r="Q1587" s="67">
        <v>14</v>
      </c>
    </row>
    <row r="1588" spans="1:17" x14ac:dyDescent="0.25">
      <c r="A1588" s="10">
        <v>311</v>
      </c>
      <c r="B1588" s="10">
        <v>34</v>
      </c>
      <c r="C1588" s="10">
        <v>1</v>
      </c>
      <c r="D1588" s="10">
        <v>1</v>
      </c>
      <c r="E1588" s="10">
        <v>11</v>
      </c>
      <c r="F1588" s="10">
        <v>11</v>
      </c>
      <c r="L1588" s="1">
        <v>122</v>
      </c>
      <c r="M1588" s="1">
        <v>13</v>
      </c>
      <c r="N1588" s="1">
        <v>0</v>
      </c>
      <c r="O1588" s="1">
        <v>4</v>
      </c>
      <c r="P1588" s="2">
        <v>1</v>
      </c>
      <c r="Q1588" s="68">
        <v>9</v>
      </c>
    </row>
    <row r="1589" spans="1:17" x14ac:dyDescent="0.25">
      <c r="A1589" s="10">
        <v>127</v>
      </c>
      <c r="B1589" s="10">
        <v>14</v>
      </c>
      <c r="C1589" s="10">
        <v>1</v>
      </c>
      <c r="D1589" s="10">
        <v>1</v>
      </c>
      <c r="E1589" s="10">
        <v>40</v>
      </c>
      <c r="F1589" s="10">
        <v>40</v>
      </c>
      <c r="L1589" s="1">
        <v>123</v>
      </c>
      <c r="M1589" s="1">
        <v>14</v>
      </c>
      <c r="N1589" s="1">
        <v>0</v>
      </c>
      <c r="O1589" s="1">
        <v>4</v>
      </c>
      <c r="P1589" s="2">
        <v>1</v>
      </c>
      <c r="Q1589" s="67">
        <v>11</v>
      </c>
    </row>
    <row r="1590" spans="1:17" x14ac:dyDescent="0.25">
      <c r="A1590" s="10">
        <v>127</v>
      </c>
      <c r="B1590" s="10">
        <v>14</v>
      </c>
      <c r="C1590" s="10">
        <v>1</v>
      </c>
      <c r="D1590" s="10">
        <v>2</v>
      </c>
      <c r="E1590" s="10">
        <v>5</v>
      </c>
      <c r="F1590" s="10">
        <v>5</v>
      </c>
      <c r="L1590" s="1">
        <v>124</v>
      </c>
      <c r="M1590" s="1">
        <v>14</v>
      </c>
      <c r="N1590" s="1">
        <v>0</v>
      </c>
      <c r="O1590" s="1">
        <v>4</v>
      </c>
      <c r="P1590" s="2">
        <v>1</v>
      </c>
      <c r="Q1590" s="68">
        <v>8</v>
      </c>
    </row>
    <row r="1591" spans="1:17" x14ac:dyDescent="0.25">
      <c r="A1591" s="10">
        <v>311</v>
      </c>
      <c r="B1591" s="10">
        <v>34</v>
      </c>
      <c r="C1591" s="10">
        <v>1</v>
      </c>
      <c r="D1591" s="10">
        <v>2</v>
      </c>
      <c r="E1591" s="10">
        <v>2</v>
      </c>
      <c r="F1591" s="10">
        <v>2</v>
      </c>
      <c r="L1591" s="1">
        <v>125</v>
      </c>
      <c r="M1591" s="1">
        <v>14</v>
      </c>
      <c r="N1591" s="1">
        <v>0</v>
      </c>
      <c r="O1591" s="1">
        <v>4</v>
      </c>
      <c r="P1591" s="2">
        <v>1</v>
      </c>
      <c r="Q1591" s="67">
        <v>6</v>
      </c>
    </row>
    <row r="1592" spans="1:17" x14ac:dyDescent="0.25">
      <c r="A1592" s="10">
        <v>35</v>
      </c>
      <c r="B1592" s="10">
        <v>4</v>
      </c>
      <c r="C1592" s="10">
        <v>1</v>
      </c>
      <c r="D1592" s="10">
        <v>2</v>
      </c>
      <c r="E1592" s="10">
        <v>1</v>
      </c>
      <c r="F1592" s="10">
        <v>1</v>
      </c>
      <c r="L1592" s="1">
        <v>126</v>
      </c>
      <c r="M1592" s="1">
        <v>14</v>
      </c>
      <c r="N1592" s="1">
        <v>0</v>
      </c>
      <c r="O1592" s="1">
        <v>4</v>
      </c>
      <c r="P1592" s="2">
        <v>1</v>
      </c>
      <c r="Q1592" s="68">
        <v>10</v>
      </c>
    </row>
    <row r="1593" spans="1:17" x14ac:dyDescent="0.25">
      <c r="A1593" s="10">
        <v>201</v>
      </c>
      <c r="B1593" s="10">
        <v>22</v>
      </c>
      <c r="C1593" s="10">
        <v>1</v>
      </c>
      <c r="D1593" s="10">
        <v>1</v>
      </c>
      <c r="E1593" s="10">
        <v>5</v>
      </c>
      <c r="F1593" s="10">
        <v>5</v>
      </c>
      <c r="L1593" s="1">
        <v>127</v>
      </c>
      <c r="M1593" s="1">
        <v>14</v>
      </c>
      <c r="N1593" s="1">
        <v>0</v>
      </c>
      <c r="O1593" s="1">
        <v>4</v>
      </c>
      <c r="P1593" s="2">
        <v>1</v>
      </c>
      <c r="Q1593" s="67">
        <v>4</v>
      </c>
    </row>
    <row r="1594" spans="1:17" x14ac:dyDescent="0.25">
      <c r="A1594" s="10">
        <v>201</v>
      </c>
      <c r="B1594" s="10">
        <v>22</v>
      </c>
      <c r="C1594" s="10">
        <v>1</v>
      </c>
      <c r="D1594" s="10">
        <v>2</v>
      </c>
      <c r="E1594" s="10">
        <v>0</v>
      </c>
      <c r="F1594" s="10">
        <v>0</v>
      </c>
      <c r="L1594" s="1">
        <v>128</v>
      </c>
      <c r="M1594" s="1">
        <v>14</v>
      </c>
      <c r="N1594" s="1">
        <v>0</v>
      </c>
      <c r="O1594" s="1">
        <v>4</v>
      </c>
      <c r="P1594" s="2">
        <v>1</v>
      </c>
      <c r="Q1594" s="68">
        <v>6</v>
      </c>
    </row>
    <row r="1595" spans="1:17" x14ac:dyDescent="0.25">
      <c r="A1595" s="10">
        <v>131</v>
      </c>
      <c r="B1595" s="10">
        <v>14</v>
      </c>
      <c r="C1595" s="10">
        <v>1</v>
      </c>
      <c r="D1595" s="10">
        <v>1</v>
      </c>
      <c r="E1595" s="10">
        <v>36</v>
      </c>
      <c r="F1595" s="10">
        <v>36</v>
      </c>
      <c r="L1595" s="1">
        <v>129</v>
      </c>
      <c r="M1595" s="1">
        <v>14</v>
      </c>
      <c r="N1595" s="1">
        <v>0</v>
      </c>
      <c r="O1595" s="1">
        <v>4</v>
      </c>
      <c r="P1595" s="2">
        <v>1</v>
      </c>
      <c r="Q1595" s="67">
        <v>4</v>
      </c>
    </row>
    <row r="1596" spans="1:17" x14ac:dyDescent="0.25">
      <c r="A1596" s="10">
        <v>43</v>
      </c>
      <c r="B1596" s="10">
        <v>5</v>
      </c>
      <c r="C1596" s="10">
        <v>1</v>
      </c>
      <c r="D1596" s="10">
        <v>1</v>
      </c>
      <c r="E1596" s="10">
        <v>5</v>
      </c>
      <c r="F1596" s="10">
        <v>5</v>
      </c>
      <c r="L1596" s="1">
        <v>130</v>
      </c>
      <c r="M1596" s="1">
        <v>14</v>
      </c>
      <c r="N1596" s="1">
        <v>0</v>
      </c>
      <c r="O1596" s="1">
        <v>4</v>
      </c>
      <c r="P1596" s="2">
        <v>1</v>
      </c>
      <c r="Q1596" s="68">
        <v>7</v>
      </c>
    </row>
    <row r="1597" spans="1:17" x14ac:dyDescent="0.25">
      <c r="A1597" s="10">
        <v>2</v>
      </c>
      <c r="B1597" s="10">
        <v>1</v>
      </c>
      <c r="C1597" s="10">
        <v>1</v>
      </c>
      <c r="D1597" s="10">
        <v>1</v>
      </c>
      <c r="E1597" s="10">
        <v>513</v>
      </c>
      <c r="F1597" s="10">
        <v>513</v>
      </c>
      <c r="L1597" s="1">
        <v>131</v>
      </c>
      <c r="M1597" s="1">
        <v>14</v>
      </c>
      <c r="N1597" s="1">
        <v>0</v>
      </c>
      <c r="O1597" s="1">
        <v>4</v>
      </c>
      <c r="P1597" s="2">
        <v>1</v>
      </c>
      <c r="Q1597" s="67">
        <v>8</v>
      </c>
    </row>
    <row r="1598" spans="1:17" x14ac:dyDescent="0.25">
      <c r="A1598" s="10">
        <v>205</v>
      </c>
      <c r="B1598" s="10">
        <v>22</v>
      </c>
      <c r="C1598" s="10">
        <v>1</v>
      </c>
      <c r="D1598" s="10">
        <v>1</v>
      </c>
      <c r="E1598" s="10">
        <v>25</v>
      </c>
      <c r="F1598" s="10">
        <v>25</v>
      </c>
      <c r="L1598" s="1">
        <v>132</v>
      </c>
      <c r="M1598" s="1">
        <v>14</v>
      </c>
      <c r="N1598" s="1">
        <v>0</v>
      </c>
      <c r="O1598" s="1">
        <v>4</v>
      </c>
      <c r="P1598" s="2">
        <v>1</v>
      </c>
      <c r="Q1598" s="68">
        <v>4</v>
      </c>
    </row>
    <row r="1599" spans="1:17" x14ac:dyDescent="0.25">
      <c r="A1599" s="10">
        <v>43</v>
      </c>
      <c r="B1599" s="10">
        <v>5</v>
      </c>
      <c r="C1599" s="10">
        <v>1</v>
      </c>
      <c r="D1599" s="10">
        <v>2</v>
      </c>
      <c r="E1599" s="10">
        <v>6</v>
      </c>
      <c r="F1599" s="10">
        <v>6</v>
      </c>
      <c r="L1599" s="1">
        <v>133</v>
      </c>
      <c r="M1599" s="1">
        <v>15</v>
      </c>
      <c r="N1599" s="1">
        <v>0</v>
      </c>
      <c r="O1599" s="1">
        <v>4</v>
      </c>
      <c r="P1599" s="2">
        <v>1</v>
      </c>
      <c r="Q1599" s="67">
        <v>5</v>
      </c>
    </row>
    <row r="1600" spans="1:17" x14ac:dyDescent="0.25">
      <c r="A1600" s="10">
        <v>131</v>
      </c>
      <c r="B1600" s="10">
        <v>14</v>
      </c>
      <c r="C1600" s="10">
        <v>1</v>
      </c>
      <c r="D1600" s="10">
        <v>3</v>
      </c>
      <c r="E1600" s="10">
        <v>1</v>
      </c>
      <c r="F1600" s="10">
        <v>1</v>
      </c>
      <c r="L1600" s="1">
        <v>134</v>
      </c>
      <c r="M1600" s="1">
        <v>15</v>
      </c>
      <c r="N1600" s="1">
        <v>0</v>
      </c>
      <c r="O1600" s="1">
        <v>4</v>
      </c>
      <c r="P1600" s="2">
        <v>1</v>
      </c>
      <c r="Q1600" s="68">
        <v>8</v>
      </c>
    </row>
    <row r="1601" spans="1:17" x14ac:dyDescent="0.25">
      <c r="A1601" s="10">
        <v>249</v>
      </c>
      <c r="B1601" s="10">
        <v>27</v>
      </c>
      <c r="C1601" s="10">
        <v>1</v>
      </c>
      <c r="D1601" s="10">
        <v>1</v>
      </c>
      <c r="E1601" s="10">
        <v>20</v>
      </c>
      <c r="F1601" s="10">
        <v>20</v>
      </c>
      <c r="L1601" s="1">
        <v>135</v>
      </c>
      <c r="M1601" s="1">
        <v>15</v>
      </c>
      <c r="N1601" s="1">
        <v>0</v>
      </c>
      <c r="O1601" s="1">
        <v>4</v>
      </c>
      <c r="P1601" s="2">
        <v>1</v>
      </c>
      <c r="Q1601" s="67">
        <v>5</v>
      </c>
    </row>
    <row r="1602" spans="1:17" x14ac:dyDescent="0.25">
      <c r="A1602" s="10">
        <v>249</v>
      </c>
      <c r="B1602" s="10">
        <v>27</v>
      </c>
      <c r="C1602" s="10">
        <v>1</v>
      </c>
      <c r="D1602" s="10">
        <v>2</v>
      </c>
      <c r="E1602" s="10">
        <v>9</v>
      </c>
      <c r="F1602" s="10">
        <v>9</v>
      </c>
      <c r="L1602" s="1">
        <v>136</v>
      </c>
      <c r="M1602" s="1">
        <v>15</v>
      </c>
      <c r="N1602" s="1">
        <v>0</v>
      </c>
      <c r="O1602" s="1">
        <v>4</v>
      </c>
      <c r="P1602" s="2">
        <v>1</v>
      </c>
      <c r="Q1602" s="68">
        <v>9</v>
      </c>
    </row>
    <row r="1603" spans="1:17" x14ac:dyDescent="0.25">
      <c r="A1603" s="10">
        <v>249</v>
      </c>
      <c r="B1603" s="10">
        <v>27</v>
      </c>
      <c r="C1603" s="10">
        <v>1</v>
      </c>
      <c r="D1603" s="10">
        <v>3</v>
      </c>
      <c r="E1603" s="10">
        <v>0</v>
      </c>
      <c r="F1603" s="10">
        <v>0</v>
      </c>
      <c r="L1603" s="1">
        <v>137</v>
      </c>
      <c r="M1603" s="1">
        <v>15</v>
      </c>
      <c r="N1603" s="1">
        <v>0</v>
      </c>
      <c r="O1603" s="1">
        <v>4</v>
      </c>
      <c r="P1603" s="2">
        <v>1</v>
      </c>
      <c r="Q1603" s="67">
        <v>12</v>
      </c>
    </row>
    <row r="1604" spans="1:17" x14ac:dyDescent="0.25">
      <c r="A1604" s="10">
        <v>205</v>
      </c>
      <c r="B1604" s="10">
        <v>22</v>
      </c>
      <c r="C1604" s="10">
        <v>1</v>
      </c>
      <c r="D1604" s="10">
        <v>3</v>
      </c>
      <c r="E1604" s="10">
        <v>5</v>
      </c>
      <c r="F1604" s="10">
        <v>5</v>
      </c>
      <c r="L1604" s="1">
        <v>138</v>
      </c>
      <c r="M1604" s="1">
        <v>15</v>
      </c>
      <c r="N1604" s="1">
        <v>0</v>
      </c>
      <c r="O1604" s="1">
        <v>4</v>
      </c>
      <c r="P1604" s="2">
        <v>1</v>
      </c>
      <c r="Q1604" s="68">
        <v>9</v>
      </c>
    </row>
    <row r="1605" spans="1:17" x14ac:dyDescent="0.25">
      <c r="A1605" s="10">
        <v>121</v>
      </c>
      <c r="B1605" s="10">
        <v>13</v>
      </c>
      <c r="C1605" s="10">
        <v>1</v>
      </c>
      <c r="D1605" s="10">
        <v>1</v>
      </c>
      <c r="E1605" s="10">
        <v>3</v>
      </c>
      <c r="F1605" s="10">
        <v>3</v>
      </c>
      <c r="L1605" s="1">
        <v>139</v>
      </c>
      <c r="M1605" s="1">
        <v>15</v>
      </c>
      <c r="N1605" s="1">
        <v>0</v>
      </c>
      <c r="O1605" s="1">
        <v>4</v>
      </c>
      <c r="P1605" s="2">
        <v>1</v>
      </c>
      <c r="Q1605" s="67">
        <v>10</v>
      </c>
    </row>
    <row r="1606" spans="1:17" x14ac:dyDescent="0.25">
      <c r="A1606" s="10">
        <v>121</v>
      </c>
      <c r="B1606" s="10">
        <v>13</v>
      </c>
      <c r="C1606" s="10">
        <v>1</v>
      </c>
      <c r="D1606" s="10">
        <v>2</v>
      </c>
      <c r="E1606" s="10">
        <v>6</v>
      </c>
      <c r="F1606" s="10">
        <v>6</v>
      </c>
      <c r="L1606" s="1">
        <v>140</v>
      </c>
      <c r="M1606" s="1">
        <v>15</v>
      </c>
      <c r="N1606" s="1">
        <v>0</v>
      </c>
      <c r="O1606" s="1">
        <v>4</v>
      </c>
      <c r="P1606" s="2">
        <v>1</v>
      </c>
      <c r="Q1606" s="68">
        <v>13</v>
      </c>
    </row>
    <row r="1607" spans="1:17" x14ac:dyDescent="0.25">
      <c r="A1607" s="10">
        <v>251</v>
      </c>
      <c r="B1607" s="10">
        <v>27</v>
      </c>
      <c r="C1607" s="10">
        <v>1</v>
      </c>
      <c r="D1607" s="10">
        <v>1</v>
      </c>
      <c r="E1607" s="10">
        <v>0</v>
      </c>
      <c r="F1607" s="10">
        <v>0</v>
      </c>
      <c r="L1607" s="1">
        <v>141</v>
      </c>
      <c r="M1607" s="1">
        <v>15</v>
      </c>
      <c r="N1607" s="1">
        <v>0</v>
      </c>
      <c r="O1607" s="1">
        <v>4</v>
      </c>
      <c r="P1607" s="2">
        <v>1</v>
      </c>
      <c r="Q1607" s="67">
        <v>8</v>
      </c>
    </row>
    <row r="1608" spans="1:17" x14ac:dyDescent="0.25">
      <c r="A1608" s="10">
        <v>280</v>
      </c>
      <c r="B1608" s="10">
        <v>30</v>
      </c>
      <c r="C1608" s="10">
        <v>1</v>
      </c>
      <c r="D1608" s="10">
        <v>1</v>
      </c>
      <c r="E1608" s="10">
        <v>20</v>
      </c>
      <c r="F1608" s="10">
        <v>20</v>
      </c>
      <c r="L1608" s="1">
        <v>142</v>
      </c>
      <c r="M1608" s="1">
        <v>15</v>
      </c>
      <c r="N1608" s="1">
        <v>0</v>
      </c>
      <c r="O1608" s="1">
        <v>4</v>
      </c>
      <c r="P1608" s="2">
        <v>1</v>
      </c>
      <c r="Q1608" s="68">
        <v>10</v>
      </c>
    </row>
    <row r="1609" spans="1:17" x14ac:dyDescent="0.25">
      <c r="A1609" s="10">
        <v>251</v>
      </c>
      <c r="B1609" s="10">
        <v>27</v>
      </c>
      <c r="C1609" s="10">
        <v>1</v>
      </c>
      <c r="D1609" s="10">
        <v>2</v>
      </c>
      <c r="E1609" s="10">
        <v>0</v>
      </c>
      <c r="F1609" s="10">
        <v>0</v>
      </c>
      <c r="L1609" s="1">
        <v>143</v>
      </c>
      <c r="M1609" s="1">
        <v>16</v>
      </c>
      <c r="N1609" s="1">
        <v>0</v>
      </c>
      <c r="O1609" s="1">
        <v>4</v>
      </c>
      <c r="P1609" s="2">
        <v>1</v>
      </c>
      <c r="Q1609" s="67">
        <v>9</v>
      </c>
    </row>
    <row r="1610" spans="1:17" x14ac:dyDescent="0.25">
      <c r="A1610" s="10">
        <v>251</v>
      </c>
      <c r="B1610" s="10">
        <v>27</v>
      </c>
      <c r="C1610" s="10">
        <v>1</v>
      </c>
      <c r="D1610" s="10">
        <v>3</v>
      </c>
      <c r="E1610" s="10">
        <v>0</v>
      </c>
      <c r="F1610" s="10">
        <v>0</v>
      </c>
      <c r="L1610" s="1">
        <v>144</v>
      </c>
      <c r="M1610" s="1">
        <v>16</v>
      </c>
      <c r="N1610" s="1">
        <v>0</v>
      </c>
      <c r="O1610" s="1">
        <v>4</v>
      </c>
      <c r="P1610" s="2">
        <v>1</v>
      </c>
      <c r="Q1610" s="68">
        <v>4</v>
      </c>
    </row>
    <row r="1611" spans="1:17" x14ac:dyDescent="0.25">
      <c r="A1611" s="10">
        <v>39</v>
      </c>
      <c r="B1611" s="10">
        <v>5</v>
      </c>
      <c r="C1611" s="10">
        <v>1</v>
      </c>
      <c r="D1611" s="10">
        <v>1</v>
      </c>
      <c r="E1611" s="10">
        <v>4</v>
      </c>
      <c r="F1611" s="10">
        <v>4</v>
      </c>
      <c r="L1611" s="1">
        <v>145</v>
      </c>
      <c r="M1611" s="1">
        <v>16</v>
      </c>
      <c r="N1611" s="1">
        <v>0</v>
      </c>
      <c r="O1611" s="1">
        <v>4</v>
      </c>
      <c r="P1611" s="2">
        <v>1</v>
      </c>
      <c r="Q1611" s="67">
        <v>7</v>
      </c>
    </row>
    <row r="1612" spans="1:17" x14ac:dyDescent="0.25">
      <c r="A1612" s="10">
        <v>39</v>
      </c>
      <c r="B1612" s="10">
        <v>5</v>
      </c>
      <c r="C1612" s="10">
        <v>1</v>
      </c>
      <c r="D1612" s="10">
        <v>2</v>
      </c>
      <c r="E1612" s="10">
        <v>3</v>
      </c>
      <c r="F1612" s="10">
        <v>3</v>
      </c>
      <c r="L1612" s="1">
        <v>146</v>
      </c>
      <c r="M1612" s="1">
        <v>16</v>
      </c>
      <c r="N1612" s="1">
        <v>0</v>
      </c>
      <c r="O1612" s="1">
        <v>4</v>
      </c>
      <c r="P1612" s="2">
        <v>1</v>
      </c>
      <c r="Q1612" s="68">
        <v>6</v>
      </c>
    </row>
    <row r="1613" spans="1:17" x14ac:dyDescent="0.25">
      <c r="A1613" s="10">
        <v>251</v>
      </c>
      <c r="B1613" s="10">
        <v>27</v>
      </c>
      <c r="C1613" s="10">
        <v>1</v>
      </c>
      <c r="D1613" s="10">
        <v>4</v>
      </c>
      <c r="E1613" s="10">
        <v>5</v>
      </c>
      <c r="F1613" s="10">
        <v>5</v>
      </c>
      <c r="L1613" s="1">
        <v>147</v>
      </c>
      <c r="M1613" s="1">
        <v>16</v>
      </c>
      <c r="N1613" s="1">
        <v>0</v>
      </c>
      <c r="O1613" s="1">
        <v>4</v>
      </c>
      <c r="P1613" s="2">
        <v>1</v>
      </c>
      <c r="Q1613" s="67">
        <v>8</v>
      </c>
    </row>
    <row r="1614" spans="1:17" x14ac:dyDescent="0.25">
      <c r="A1614" s="10">
        <v>418</v>
      </c>
      <c r="B1614" s="10">
        <v>45</v>
      </c>
      <c r="C1614" s="10">
        <v>1</v>
      </c>
      <c r="D1614" s="10">
        <v>1</v>
      </c>
      <c r="E1614" s="10">
        <v>10</v>
      </c>
      <c r="F1614" s="10">
        <v>10</v>
      </c>
      <c r="L1614" s="1">
        <v>148</v>
      </c>
      <c r="M1614" s="1">
        <v>16</v>
      </c>
      <c r="N1614" s="1">
        <v>0</v>
      </c>
      <c r="O1614" s="1">
        <v>4</v>
      </c>
      <c r="P1614" s="2">
        <v>1</v>
      </c>
      <c r="Q1614" s="68">
        <v>7</v>
      </c>
    </row>
    <row r="1615" spans="1:17" x14ac:dyDescent="0.25">
      <c r="A1615" s="10">
        <v>251</v>
      </c>
      <c r="B1615" s="10">
        <v>27</v>
      </c>
      <c r="C1615" s="10">
        <v>1</v>
      </c>
      <c r="D1615" s="10">
        <v>5</v>
      </c>
      <c r="E1615" s="10">
        <v>1</v>
      </c>
      <c r="F1615" s="10">
        <v>1</v>
      </c>
      <c r="L1615" s="1">
        <v>149</v>
      </c>
      <c r="M1615" s="1">
        <v>16</v>
      </c>
      <c r="N1615" s="1">
        <v>0</v>
      </c>
      <c r="O1615" s="1">
        <v>4</v>
      </c>
      <c r="P1615" s="2">
        <v>1</v>
      </c>
      <c r="Q1615" s="67">
        <v>4</v>
      </c>
    </row>
    <row r="1616" spans="1:17" x14ac:dyDescent="0.25">
      <c r="A1616" s="10">
        <v>418</v>
      </c>
      <c r="B1616" s="10">
        <v>45</v>
      </c>
      <c r="C1616" s="10">
        <v>1</v>
      </c>
      <c r="D1616" s="10">
        <v>2</v>
      </c>
      <c r="E1616" s="10">
        <v>5</v>
      </c>
      <c r="F1616" s="10">
        <v>5</v>
      </c>
      <c r="L1616" s="1">
        <v>150</v>
      </c>
      <c r="M1616" s="1">
        <v>16</v>
      </c>
      <c r="N1616" s="1">
        <v>0</v>
      </c>
      <c r="O1616" s="1">
        <v>4</v>
      </c>
      <c r="P1616" s="2">
        <v>1</v>
      </c>
      <c r="Q1616" s="68">
        <v>11</v>
      </c>
    </row>
    <row r="1617" spans="1:17" x14ac:dyDescent="0.25">
      <c r="A1617" s="10">
        <v>438</v>
      </c>
      <c r="B1617" s="10">
        <v>47</v>
      </c>
      <c r="C1617" s="10">
        <v>1</v>
      </c>
      <c r="D1617" s="10">
        <v>2</v>
      </c>
      <c r="E1617" s="10">
        <v>6</v>
      </c>
      <c r="F1617" s="10">
        <v>6</v>
      </c>
      <c r="L1617" s="1">
        <v>151</v>
      </c>
      <c r="M1617" s="1">
        <v>16</v>
      </c>
      <c r="N1617" s="1">
        <v>0</v>
      </c>
      <c r="O1617" s="1">
        <v>4</v>
      </c>
      <c r="P1617" s="2">
        <v>1</v>
      </c>
      <c r="Q1617" s="67">
        <v>6</v>
      </c>
    </row>
    <row r="1618" spans="1:17" x14ac:dyDescent="0.25">
      <c r="A1618" s="10">
        <v>280</v>
      </c>
      <c r="B1618" s="10">
        <v>30</v>
      </c>
      <c r="C1618" s="10">
        <v>1</v>
      </c>
      <c r="D1618" s="10">
        <v>2</v>
      </c>
      <c r="E1618" s="10">
        <v>8</v>
      </c>
      <c r="F1618" s="10">
        <v>8</v>
      </c>
      <c r="L1618" s="1">
        <v>152</v>
      </c>
      <c r="M1618" s="1">
        <v>16</v>
      </c>
      <c r="N1618" s="1">
        <v>0</v>
      </c>
      <c r="O1618" s="1">
        <v>4</v>
      </c>
      <c r="P1618" s="2">
        <v>1</v>
      </c>
      <c r="Q1618" s="68">
        <v>10</v>
      </c>
    </row>
    <row r="1619" spans="1:17" x14ac:dyDescent="0.25">
      <c r="A1619" s="10">
        <v>437</v>
      </c>
      <c r="B1619" s="10">
        <v>47</v>
      </c>
      <c r="C1619" s="10">
        <v>1</v>
      </c>
      <c r="D1619" s="10">
        <v>1</v>
      </c>
      <c r="E1619" s="10">
        <v>17</v>
      </c>
      <c r="F1619" s="10">
        <v>17</v>
      </c>
      <c r="L1619" s="1">
        <v>153</v>
      </c>
      <c r="M1619" s="1">
        <v>17</v>
      </c>
      <c r="N1619" s="1">
        <v>0</v>
      </c>
      <c r="O1619" s="1">
        <v>4</v>
      </c>
      <c r="P1619" s="2">
        <v>1</v>
      </c>
      <c r="Q1619" s="67">
        <v>5</v>
      </c>
    </row>
    <row r="1620" spans="1:17" x14ac:dyDescent="0.25">
      <c r="A1620" s="10">
        <v>437</v>
      </c>
      <c r="B1620" s="10">
        <v>47</v>
      </c>
      <c r="C1620" s="10">
        <v>1</v>
      </c>
      <c r="D1620" s="10">
        <v>2</v>
      </c>
      <c r="E1620" s="10">
        <v>28</v>
      </c>
      <c r="F1620" s="10">
        <v>28</v>
      </c>
      <c r="L1620" s="1">
        <v>154</v>
      </c>
      <c r="M1620" s="1">
        <v>17</v>
      </c>
      <c r="N1620" s="1">
        <v>0</v>
      </c>
      <c r="O1620" s="1">
        <v>4</v>
      </c>
      <c r="P1620" s="2">
        <v>1</v>
      </c>
      <c r="Q1620" s="68">
        <v>12</v>
      </c>
    </row>
    <row r="1621" spans="1:17" x14ac:dyDescent="0.25">
      <c r="A1621" s="10">
        <v>434</v>
      </c>
      <c r="B1621" s="10">
        <v>47</v>
      </c>
      <c r="C1621" s="10">
        <v>1</v>
      </c>
      <c r="D1621" s="10">
        <v>1</v>
      </c>
      <c r="E1621" s="10">
        <v>28</v>
      </c>
      <c r="F1621" s="10">
        <v>28</v>
      </c>
      <c r="L1621" s="1">
        <v>155</v>
      </c>
      <c r="M1621" s="1">
        <v>17</v>
      </c>
      <c r="N1621" s="1">
        <v>0</v>
      </c>
      <c r="O1621" s="1">
        <v>4</v>
      </c>
      <c r="P1621" s="2">
        <v>1</v>
      </c>
      <c r="Q1621" s="67">
        <v>13</v>
      </c>
    </row>
    <row r="1622" spans="1:17" x14ac:dyDescent="0.25">
      <c r="A1622" s="10">
        <v>437</v>
      </c>
      <c r="B1622" s="10">
        <v>47</v>
      </c>
      <c r="C1622" s="10">
        <v>1</v>
      </c>
      <c r="D1622" s="10">
        <v>3</v>
      </c>
      <c r="E1622" s="10">
        <v>1</v>
      </c>
      <c r="F1622" s="10">
        <v>1</v>
      </c>
      <c r="L1622" s="1">
        <v>156</v>
      </c>
      <c r="M1622" s="1">
        <v>17</v>
      </c>
      <c r="N1622" s="1">
        <v>0</v>
      </c>
      <c r="O1622" s="1">
        <v>4</v>
      </c>
      <c r="P1622" s="2">
        <v>1</v>
      </c>
      <c r="Q1622" s="68">
        <v>13</v>
      </c>
    </row>
    <row r="1623" spans="1:17" x14ac:dyDescent="0.25">
      <c r="A1623" s="10">
        <v>434</v>
      </c>
      <c r="B1623" s="10">
        <v>47</v>
      </c>
      <c r="C1623" s="10">
        <v>1</v>
      </c>
      <c r="D1623" s="10">
        <v>2</v>
      </c>
      <c r="E1623" s="10">
        <v>14</v>
      </c>
      <c r="F1623" s="10">
        <v>14</v>
      </c>
      <c r="L1623" s="1">
        <v>157</v>
      </c>
      <c r="M1623" s="1">
        <v>17</v>
      </c>
      <c r="N1623" s="1">
        <v>0</v>
      </c>
      <c r="O1623" s="1">
        <v>4</v>
      </c>
      <c r="P1623" s="2">
        <v>1</v>
      </c>
      <c r="Q1623" s="67">
        <v>11</v>
      </c>
    </row>
    <row r="1624" spans="1:17" x14ac:dyDescent="0.25">
      <c r="A1624" s="10">
        <v>434</v>
      </c>
      <c r="B1624" s="10">
        <v>47</v>
      </c>
      <c r="C1624" s="10">
        <v>1</v>
      </c>
      <c r="D1624" s="10">
        <v>3</v>
      </c>
      <c r="E1624" s="10">
        <v>3</v>
      </c>
      <c r="F1624" s="10">
        <v>3</v>
      </c>
      <c r="L1624" s="1">
        <v>158</v>
      </c>
      <c r="M1624" s="1">
        <v>17</v>
      </c>
      <c r="N1624" s="1">
        <v>0</v>
      </c>
      <c r="O1624" s="1">
        <v>4</v>
      </c>
      <c r="P1624" s="2">
        <v>1</v>
      </c>
      <c r="Q1624" s="68">
        <v>10</v>
      </c>
    </row>
    <row r="1625" spans="1:17" x14ac:dyDescent="0.25">
      <c r="A1625" s="10">
        <v>12</v>
      </c>
      <c r="B1625" s="10">
        <v>2</v>
      </c>
      <c r="C1625" s="10">
        <v>1</v>
      </c>
      <c r="D1625" s="10">
        <v>1</v>
      </c>
      <c r="E1625" s="10">
        <v>6</v>
      </c>
      <c r="F1625" s="10">
        <v>6</v>
      </c>
      <c r="L1625" s="1">
        <v>159</v>
      </c>
      <c r="M1625" s="1">
        <v>17</v>
      </c>
      <c r="N1625" s="1">
        <v>0</v>
      </c>
      <c r="O1625" s="1">
        <v>4</v>
      </c>
      <c r="P1625" s="2">
        <v>1</v>
      </c>
      <c r="Q1625" s="67">
        <v>11</v>
      </c>
    </row>
    <row r="1626" spans="1:17" x14ac:dyDescent="0.25">
      <c r="A1626" s="10">
        <v>434</v>
      </c>
      <c r="B1626" s="10">
        <v>47</v>
      </c>
      <c r="C1626" s="10">
        <v>1</v>
      </c>
      <c r="D1626" s="10">
        <v>4</v>
      </c>
      <c r="E1626" s="10">
        <v>0</v>
      </c>
      <c r="F1626" s="10">
        <v>0</v>
      </c>
      <c r="L1626" s="1">
        <v>160</v>
      </c>
      <c r="M1626" s="1">
        <v>17</v>
      </c>
      <c r="N1626" s="1">
        <v>0</v>
      </c>
      <c r="O1626" s="1">
        <v>4</v>
      </c>
      <c r="P1626" s="2">
        <v>1</v>
      </c>
      <c r="Q1626" s="68">
        <v>13</v>
      </c>
    </row>
    <row r="1627" spans="1:17" x14ac:dyDescent="0.25">
      <c r="A1627" s="10">
        <v>441</v>
      </c>
      <c r="B1627" s="10">
        <v>47</v>
      </c>
      <c r="C1627" s="10">
        <v>1</v>
      </c>
      <c r="D1627" s="10">
        <v>1</v>
      </c>
      <c r="E1627" s="10">
        <v>9</v>
      </c>
      <c r="F1627" s="10">
        <v>9</v>
      </c>
      <c r="L1627" s="1">
        <v>161</v>
      </c>
      <c r="M1627" s="1">
        <v>17</v>
      </c>
      <c r="N1627" s="1">
        <v>0</v>
      </c>
      <c r="O1627" s="1">
        <v>4</v>
      </c>
      <c r="P1627" s="2">
        <v>1</v>
      </c>
      <c r="Q1627" s="67">
        <v>10</v>
      </c>
    </row>
    <row r="1628" spans="1:17" x14ac:dyDescent="0.25">
      <c r="A1628" s="10">
        <v>434</v>
      </c>
      <c r="B1628" s="10">
        <v>47</v>
      </c>
      <c r="C1628" s="10">
        <v>1</v>
      </c>
      <c r="D1628" s="10">
        <v>7</v>
      </c>
      <c r="E1628" s="10">
        <v>3</v>
      </c>
      <c r="F1628" s="10">
        <v>3</v>
      </c>
      <c r="L1628" s="1">
        <v>162</v>
      </c>
      <c r="M1628" s="1">
        <v>17</v>
      </c>
      <c r="N1628" s="1">
        <v>0</v>
      </c>
      <c r="O1628" s="1">
        <v>4</v>
      </c>
      <c r="P1628" s="2">
        <v>1</v>
      </c>
      <c r="Q1628" s="68">
        <v>19</v>
      </c>
    </row>
    <row r="1629" spans="1:17" x14ac:dyDescent="0.25">
      <c r="A1629" s="10">
        <v>441</v>
      </c>
      <c r="B1629" s="10">
        <v>47</v>
      </c>
      <c r="C1629" s="10">
        <v>1</v>
      </c>
      <c r="D1629" s="10">
        <v>2</v>
      </c>
      <c r="E1629" s="10">
        <v>8</v>
      </c>
      <c r="F1629" s="10">
        <v>8</v>
      </c>
      <c r="L1629" s="1">
        <v>163</v>
      </c>
      <c r="M1629" s="1">
        <v>18</v>
      </c>
      <c r="N1629" s="1">
        <v>0</v>
      </c>
      <c r="O1629" s="1">
        <v>4</v>
      </c>
      <c r="P1629" s="2">
        <v>1</v>
      </c>
      <c r="Q1629" s="67">
        <v>11</v>
      </c>
    </row>
    <row r="1630" spans="1:17" x14ac:dyDescent="0.25">
      <c r="A1630" s="10">
        <v>12</v>
      </c>
      <c r="B1630" s="10">
        <v>2</v>
      </c>
      <c r="C1630" s="10">
        <v>1</v>
      </c>
      <c r="D1630" s="10">
        <v>2</v>
      </c>
      <c r="E1630" s="10">
        <v>9</v>
      </c>
      <c r="F1630" s="10">
        <v>9</v>
      </c>
      <c r="L1630" s="1">
        <v>164</v>
      </c>
      <c r="M1630" s="1">
        <v>18</v>
      </c>
      <c r="N1630" s="1">
        <v>0</v>
      </c>
      <c r="O1630" s="1">
        <v>4</v>
      </c>
      <c r="P1630" s="2">
        <v>1</v>
      </c>
      <c r="Q1630" s="68">
        <v>18</v>
      </c>
    </row>
    <row r="1631" spans="1:17" x14ac:dyDescent="0.25">
      <c r="A1631" s="10">
        <v>442</v>
      </c>
      <c r="B1631" s="10">
        <v>47</v>
      </c>
      <c r="C1631" s="10">
        <v>1</v>
      </c>
      <c r="D1631" s="10">
        <v>1</v>
      </c>
      <c r="E1631" s="10">
        <v>30</v>
      </c>
      <c r="F1631" s="10">
        <v>30</v>
      </c>
      <c r="L1631" s="1">
        <v>165</v>
      </c>
      <c r="M1631" s="1">
        <v>18</v>
      </c>
      <c r="N1631" s="1">
        <v>0</v>
      </c>
      <c r="O1631" s="1">
        <v>4</v>
      </c>
      <c r="P1631" s="2">
        <v>1</v>
      </c>
      <c r="Q1631" s="67">
        <v>13</v>
      </c>
    </row>
    <row r="1632" spans="1:17" x14ac:dyDescent="0.25">
      <c r="A1632" s="10">
        <v>442</v>
      </c>
      <c r="B1632" s="10">
        <v>47</v>
      </c>
      <c r="C1632" s="10">
        <v>1</v>
      </c>
      <c r="D1632" s="10">
        <v>2</v>
      </c>
      <c r="E1632" s="10">
        <v>15</v>
      </c>
      <c r="F1632" s="10">
        <v>15</v>
      </c>
      <c r="L1632" s="1">
        <v>166</v>
      </c>
      <c r="M1632" s="1">
        <v>18</v>
      </c>
      <c r="N1632" s="1">
        <v>0</v>
      </c>
      <c r="O1632" s="1">
        <v>4</v>
      </c>
      <c r="P1632" s="2">
        <v>1</v>
      </c>
      <c r="Q1632" s="68">
        <v>17</v>
      </c>
    </row>
    <row r="1633" spans="1:17" x14ac:dyDescent="0.25">
      <c r="A1633" s="10">
        <v>6</v>
      </c>
      <c r="B1633" s="10">
        <v>1</v>
      </c>
      <c r="C1633" s="10">
        <v>1</v>
      </c>
      <c r="D1633" s="10">
        <v>1</v>
      </c>
      <c r="E1633" s="10">
        <v>23</v>
      </c>
      <c r="F1633" s="10">
        <v>23</v>
      </c>
      <c r="L1633" s="1">
        <v>167</v>
      </c>
      <c r="M1633" s="1">
        <v>18</v>
      </c>
      <c r="N1633" s="1">
        <v>0</v>
      </c>
      <c r="O1633" s="1">
        <v>4</v>
      </c>
      <c r="P1633" s="2">
        <v>1</v>
      </c>
      <c r="Q1633" s="67">
        <v>8</v>
      </c>
    </row>
    <row r="1634" spans="1:17" x14ac:dyDescent="0.25">
      <c r="A1634" s="10">
        <v>442</v>
      </c>
      <c r="B1634" s="10">
        <v>47</v>
      </c>
      <c r="C1634" s="10">
        <v>1</v>
      </c>
      <c r="D1634" s="10">
        <v>3</v>
      </c>
      <c r="E1634" s="10">
        <v>3</v>
      </c>
      <c r="F1634" s="10">
        <v>3</v>
      </c>
      <c r="L1634" s="1">
        <v>168</v>
      </c>
      <c r="M1634" s="1">
        <v>18</v>
      </c>
      <c r="N1634" s="1">
        <v>0</v>
      </c>
      <c r="O1634" s="1">
        <v>4</v>
      </c>
      <c r="P1634" s="2">
        <v>1</v>
      </c>
      <c r="Q1634" s="68">
        <v>15</v>
      </c>
    </row>
    <row r="1635" spans="1:17" x14ac:dyDescent="0.25">
      <c r="A1635" s="10">
        <v>442</v>
      </c>
      <c r="B1635" s="10">
        <v>47</v>
      </c>
      <c r="C1635" s="10">
        <v>1</v>
      </c>
      <c r="D1635" s="10">
        <v>4</v>
      </c>
      <c r="E1635" s="10">
        <v>1</v>
      </c>
      <c r="F1635" s="10">
        <v>1</v>
      </c>
      <c r="L1635" s="1">
        <v>169</v>
      </c>
      <c r="M1635" s="1">
        <v>18</v>
      </c>
      <c r="N1635" s="1">
        <v>0</v>
      </c>
      <c r="O1635" s="1">
        <v>4</v>
      </c>
      <c r="P1635" s="2">
        <v>1</v>
      </c>
      <c r="Q1635" s="67">
        <v>5</v>
      </c>
    </row>
    <row r="1636" spans="1:17" x14ac:dyDescent="0.25">
      <c r="A1636" s="10">
        <v>442</v>
      </c>
      <c r="B1636" s="10">
        <v>47</v>
      </c>
      <c r="C1636" s="10">
        <v>1</v>
      </c>
      <c r="D1636" s="10">
        <v>6</v>
      </c>
      <c r="E1636" s="10">
        <v>1</v>
      </c>
      <c r="F1636" s="10">
        <v>1</v>
      </c>
      <c r="L1636" s="1">
        <v>170</v>
      </c>
      <c r="M1636" s="1">
        <v>18</v>
      </c>
      <c r="N1636" s="1">
        <v>0</v>
      </c>
      <c r="O1636" s="1">
        <v>4</v>
      </c>
      <c r="P1636" s="2">
        <v>1</v>
      </c>
      <c r="Q1636" s="68">
        <v>10</v>
      </c>
    </row>
    <row r="1637" spans="1:17" x14ac:dyDescent="0.25">
      <c r="A1637" s="10">
        <v>6</v>
      </c>
      <c r="B1637" s="10">
        <v>1</v>
      </c>
      <c r="C1637" s="10">
        <v>1</v>
      </c>
      <c r="D1637" s="10">
        <v>2</v>
      </c>
      <c r="E1637" s="10">
        <v>20</v>
      </c>
      <c r="F1637" s="10">
        <v>20</v>
      </c>
      <c r="L1637" s="1">
        <v>171</v>
      </c>
      <c r="M1637" s="1">
        <v>18</v>
      </c>
      <c r="N1637" s="1">
        <v>0</v>
      </c>
      <c r="O1637" s="1">
        <v>4</v>
      </c>
      <c r="P1637" s="2">
        <v>1</v>
      </c>
      <c r="Q1637" s="67">
        <v>9</v>
      </c>
    </row>
    <row r="1638" spans="1:17" x14ac:dyDescent="0.25">
      <c r="A1638" s="10">
        <v>420</v>
      </c>
      <c r="B1638" s="10">
        <v>45</v>
      </c>
      <c r="C1638" s="10">
        <v>1</v>
      </c>
      <c r="D1638" s="10">
        <v>1</v>
      </c>
      <c r="E1638" s="10">
        <v>18</v>
      </c>
      <c r="F1638" s="10">
        <v>18</v>
      </c>
      <c r="L1638" s="1">
        <v>172</v>
      </c>
      <c r="M1638" s="1">
        <v>18</v>
      </c>
      <c r="N1638" s="1">
        <v>0</v>
      </c>
      <c r="O1638" s="1">
        <v>4</v>
      </c>
      <c r="P1638" s="2">
        <v>1</v>
      </c>
      <c r="Q1638" s="68">
        <v>13</v>
      </c>
    </row>
    <row r="1639" spans="1:17" x14ac:dyDescent="0.25">
      <c r="A1639" s="10">
        <v>417</v>
      </c>
      <c r="B1639" s="10">
        <v>45</v>
      </c>
      <c r="C1639" s="10">
        <v>1</v>
      </c>
      <c r="D1639" s="10">
        <v>1</v>
      </c>
      <c r="E1639" s="10">
        <v>15</v>
      </c>
      <c r="F1639" s="10">
        <v>15</v>
      </c>
      <c r="L1639" s="1">
        <v>173</v>
      </c>
      <c r="M1639" s="1">
        <v>19</v>
      </c>
      <c r="N1639" s="1">
        <v>0</v>
      </c>
      <c r="O1639" s="1">
        <v>4</v>
      </c>
      <c r="P1639" s="2">
        <v>1</v>
      </c>
      <c r="Q1639" s="67">
        <v>16</v>
      </c>
    </row>
    <row r="1640" spans="1:17" x14ac:dyDescent="0.25">
      <c r="A1640" s="10">
        <v>440</v>
      </c>
      <c r="B1640" s="10">
        <v>47</v>
      </c>
      <c r="C1640" s="10">
        <v>1</v>
      </c>
      <c r="D1640" s="10">
        <v>1</v>
      </c>
      <c r="E1640" s="10">
        <v>16</v>
      </c>
      <c r="F1640" s="10">
        <v>16</v>
      </c>
      <c r="L1640" s="1">
        <v>174</v>
      </c>
      <c r="M1640" s="1">
        <v>19</v>
      </c>
      <c r="N1640" s="1">
        <v>0</v>
      </c>
      <c r="O1640" s="1">
        <v>4</v>
      </c>
      <c r="P1640" s="2">
        <v>1</v>
      </c>
      <c r="Q1640" s="68">
        <v>15</v>
      </c>
    </row>
    <row r="1641" spans="1:17" x14ac:dyDescent="0.25">
      <c r="A1641" s="10">
        <v>420</v>
      </c>
      <c r="B1641" s="10">
        <v>45</v>
      </c>
      <c r="C1641" s="10">
        <v>1</v>
      </c>
      <c r="D1641" s="10">
        <v>2</v>
      </c>
      <c r="E1641" s="10">
        <v>4</v>
      </c>
      <c r="F1641" s="10">
        <v>4</v>
      </c>
      <c r="L1641" s="1">
        <v>175</v>
      </c>
      <c r="M1641" s="1">
        <v>19</v>
      </c>
      <c r="N1641" s="1">
        <v>0</v>
      </c>
      <c r="O1641" s="1">
        <v>4</v>
      </c>
      <c r="P1641" s="2">
        <v>1</v>
      </c>
      <c r="Q1641" s="67">
        <v>10</v>
      </c>
    </row>
    <row r="1642" spans="1:17" x14ac:dyDescent="0.25">
      <c r="A1642" s="10">
        <v>440</v>
      </c>
      <c r="B1642" s="10">
        <v>47</v>
      </c>
      <c r="C1642" s="10">
        <v>1</v>
      </c>
      <c r="D1642" s="10">
        <v>2</v>
      </c>
      <c r="E1642" s="10">
        <v>6</v>
      </c>
      <c r="F1642" s="10">
        <v>6</v>
      </c>
      <c r="L1642" s="1">
        <v>176</v>
      </c>
      <c r="M1642" s="1">
        <v>19</v>
      </c>
      <c r="N1642" s="1">
        <v>0</v>
      </c>
      <c r="O1642" s="1">
        <v>4</v>
      </c>
      <c r="P1642" s="2">
        <v>1</v>
      </c>
      <c r="Q1642" s="68">
        <v>9</v>
      </c>
    </row>
    <row r="1643" spans="1:17" x14ac:dyDescent="0.25">
      <c r="A1643" s="10">
        <v>417</v>
      </c>
      <c r="B1643" s="10">
        <v>45</v>
      </c>
      <c r="C1643" s="10">
        <v>1</v>
      </c>
      <c r="D1643" s="10">
        <v>2</v>
      </c>
      <c r="E1643" s="10">
        <v>10</v>
      </c>
      <c r="F1643" s="10">
        <v>10</v>
      </c>
      <c r="L1643" s="1">
        <v>177</v>
      </c>
      <c r="M1643" s="1">
        <v>19</v>
      </c>
      <c r="N1643" s="1">
        <v>0</v>
      </c>
      <c r="O1643" s="1">
        <v>4</v>
      </c>
      <c r="P1643" s="2">
        <v>1</v>
      </c>
      <c r="Q1643" s="67">
        <v>3</v>
      </c>
    </row>
    <row r="1644" spans="1:17" x14ac:dyDescent="0.25">
      <c r="A1644" s="10">
        <v>417</v>
      </c>
      <c r="B1644" s="10">
        <v>45</v>
      </c>
      <c r="C1644" s="10">
        <v>1</v>
      </c>
      <c r="D1644" s="10">
        <v>3</v>
      </c>
      <c r="E1644" s="10">
        <v>2</v>
      </c>
      <c r="F1644" s="10">
        <v>2</v>
      </c>
      <c r="L1644" s="1">
        <v>178</v>
      </c>
      <c r="M1644" s="1">
        <v>19</v>
      </c>
      <c r="N1644" s="1">
        <v>0</v>
      </c>
      <c r="O1644" s="1">
        <v>4</v>
      </c>
      <c r="P1644" s="2">
        <v>1</v>
      </c>
      <c r="Q1644" s="68">
        <v>5</v>
      </c>
    </row>
    <row r="1645" spans="1:17" x14ac:dyDescent="0.25">
      <c r="A1645" s="10">
        <v>420</v>
      </c>
      <c r="B1645" s="10">
        <v>45</v>
      </c>
      <c r="C1645" s="10">
        <v>1</v>
      </c>
      <c r="D1645" s="10">
        <v>3</v>
      </c>
      <c r="E1645" s="10">
        <v>4</v>
      </c>
      <c r="F1645" s="10">
        <v>4</v>
      </c>
      <c r="L1645" s="1">
        <v>179</v>
      </c>
      <c r="M1645" s="1">
        <v>19</v>
      </c>
      <c r="N1645" s="1">
        <v>0</v>
      </c>
      <c r="O1645" s="1">
        <v>4</v>
      </c>
      <c r="P1645" s="2">
        <v>1</v>
      </c>
      <c r="Q1645" s="67">
        <v>4</v>
      </c>
    </row>
    <row r="1646" spans="1:17" x14ac:dyDescent="0.25">
      <c r="A1646" s="10">
        <v>420</v>
      </c>
      <c r="B1646" s="10">
        <v>45</v>
      </c>
      <c r="C1646" s="10">
        <v>1</v>
      </c>
      <c r="D1646" s="10">
        <v>5</v>
      </c>
      <c r="E1646" s="10">
        <v>5</v>
      </c>
      <c r="F1646" s="10">
        <v>5</v>
      </c>
      <c r="L1646" s="1">
        <v>180</v>
      </c>
      <c r="M1646" s="1">
        <v>19</v>
      </c>
      <c r="N1646" s="1">
        <v>0</v>
      </c>
      <c r="O1646" s="1">
        <v>4</v>
      </c>
      <c r="P1646" s="2">
        <v>1</v>
      </c>
      <c r="Q1646" s="68">
        <v>10</v>
      </c>
    </row>
    <row r="1647" spans="1:17" x14ac:dyDescent="0.25">
      <c r="A1647" s="10">
        <v>417</v>
      </c>
      <c r="B1647" s="10">
        <v>45</v>
      </c>
      <c r="C1647" s="10">
        <v>1</v>
      </c>
      <c r="D1647" s="10">
        <v>4</v>
      </c>
      <c r="E1647" s="10">
        <v>8</v>
      </c>
      <c r="F1647" s="10">
        <v>8</v>
      </c>
      <c r="L1647" s="1">
        <v>181</v>
      </c>
      <c r="M1647" s="1">
        <v>19</v>
      </c>
      <c r="N1647" s="1">
        <v>0</v>
      </c>
      <c r="O1647" s="1">
        <v>4</v>
      </c>
      <c r="P1647" s="2">
        <v>1</v>
      </c>
      <c r="Q1647" s="67">
        <v>14</v>
      </c>
    </row>
    <row r="1648" spans="1:17" x14ac:dyDescent="0.25">
      <c r="A1648" s="10">
        <v>417</v>
      </c>
      <c r="B1648" s="10">
        <v>45</v>
      </c>
      <c r="C1648" s="10">
        <v>1</v>
      </c>
      <c r="D1648" s="10">
        <v>5</v>
      </c>
      <c r="E1648" s="10">
        <v>12</v>
      </c>
      <c r="F1648" s="10">
        <v>12</v>
      </c>
      <c r="L1648" s="1">
        <v>182</v>
      </c>
      <c r="M1648" s="1">
        <v>19</v>
      </c>
      <c r="N1648" s="1">
        <v>0</v>
      </c>
      <c r="O1648" s="1">
        <v>4</v>
      </c>
      <c r="P1648" s="2">
        <v>1</v>
      </c>
      <c r="Q1648" s="68">
        <v>11</v>
      </c>
    </row>
    <row r="1649" spans="1:17" x14ac:dyDescent="0.25">
      <c r="A1649" s="10">
        <v>439</v>
      </c>
      <c r="B1649" s="10">
        <v>47</v>
      </c>
      <c r="C1649" s="10">
        <v>1</v>
      </c>
      <c r="D1649" s="10">
        <v>1</v>
      </c>
      <c r="E1649" s="10">
        <v>19</v>
      </c>
      <c r="F1649" s="10">
        <v>19</v>
      </c>
      <c r="L1649" s="1">
        <v>183</v>
      </c>
      <c r="M1649" s="1">
        <v>20</v>
      </c>
      <c r="N1649" s="1">
        <v>0</v>
      </c>
      <c r="O1649" s="1">
        <v>4</v>
      </c>
      <c r="P1649" s="2">
        <v>1</v>
      </c>
      <c r="Q1649" s="67">
        <v>16</v>
      </c>
    </row>
    <row r="1650" spans="1:17" x14ac:dyDescent="0.25">
      <c r="A1650" s="10">
        <v>439</v>
      </c>
      <c r="B1650" s="10">
        <v>47</v>
      </c>
      <c r="C1650" s="10">
        <v>1</v>
      </c>
      <c r="D1650" s="10">
        <v>2</v>
      </c>
      <c r="E1650" s="10">
        <v>10</v>
      </c>
      <c r="F1650" s="10">
        <v>10</v>
      </c>
      <c r="L1650" s="1">
        <v>184</v>
      </c>
      <c r="M1650" s="1">
        <v>20</v>
      </c>
      <c r="N1650" s="1">
        <v>0</v>
      </c>
      <c r="O1650" s="1">
        <v>4</v>
      </c>
      <c r="P1650" s="2">
        <v>1</v>
      </c>
      <c r="Q1650" s="68">
        <v>2</v>
      </c>
    </row>
    <row r="1651" spans="1:17" x14ac:dyDescent="0.25">
      <c r="A1651" s="10">
        <v>439</v>
      </c>
      <c r="B1651" s="10">
        <v>47</v>
      </c>
      <c r="C1651" s="10">
        <v>1</v>
      </c>
      <c r="D1651" s="10">
        <v>3</v>
      </c>
      <c r="E1651" s="10">
        <v>3</v>
      </c>
      <c r="F1651" s="10">
        <v>3</v>
      </c>
      <c r="L1651" s="1">
        <v>185</v>
      </c>
      <c r="M1651" s="1">
        <v>20</v>
      </c>
      <c r="N1651" s="1">
        <v>0</v>
      </c>
      <c r="O1651" s="1">
        <v>4</v>
      </c>
      <c r="P1651" s="2">
        <v>1</v>
      </c>
      <c r="Q1651" s="67">
        <v>4</v>
      </c>
    </row>
    <row r="1652" spans="1:17" x14ac:dyDescent="0.25">
      <c r="A1652" s="10">
        <v>35</v>
      </c>
      <c r="B1652" s="10">
        <v>4</v>
      </c>
      <c r="C1652" s="10">
        <v>1</v>
      </c>
      <c r="D1652" s="10">
        <v>4</v>
      </c>
      <c r="E1652" s="10">
        <v>1</v>
      </c>
      <c r="F1652" s="10">
        <v>1</v>
      </c>
      <c r="L1652" s="1">
        <v>186</v>
      </c>
      <c r="M1652" s="1">
        <v>20</v>
      </c>
      <c r="N1652" s="1">
        <v>0</v>
      </c>
      <c r="O1652" s="1">
        <v>4</v>
      </c>
      <c r="P1652" s="2">
        <v>1</v>
      </c>
      <c r="Q1652" s="68">
        <v>10</v>
      </c>
    </row>
    <row r="1653" spans="1:17" x14ac:dyDescent="0.25">
      <c r="A1653" s="10">
        <v>20</v>
      </c>
      <c r="B1653" s="10">
        <v>2</v>
      </c>
      <c r="C1653" s="10">
        <v>1</v>
      </c>
      <c r="D1653" s="10">
        <v>1</v>
      </c>
      <c r="E1653" s="10">
        <v>26</v>
      </c>
      <c r="F1653" s="10">
        <v>26</v>
      </c>
      <c r="L1653" s="1">
        <v>187</v>
      </c>
      <c r="M1653" s="1">
        <v>20</v>
      </c>
      <c r="N1653" s="1">
        <v>0</v>
      </c>
      <c r="O1653" s="1">
        <v>4</v>
      </c>
      <c r="P1653" s="2">
        <v>1</v>
      </c>
      <c r="Q1653" s="67">
        <v>12</v>
      </c>
    </row>
    <row r="1654" spans="1:17" x14ac:dyDescent="0.25">
      <c r="A1654" s="10">
        <v>20</v>
      </c>
      <c r="B1654" s="10">
        <v>2</v>
      </c>
      <c r="C1654" s="10">
        <v>1</v>
      </c>
      <c r="D1654" s="10">
        <v>2</v>
      </c>
      <c r="E1654" s="10">
        <v>18</v>
      </c>
      <c r="F1654" s="10">
        <v>18</v>
      </c>
      <c r="L1654" s="1">
        <v>188</v>
      </c>
      <c r="M1654" s="1">
        <v>20</v>
      </c>
      <c r="N1654" s="1">
        <v>0</v>
      </c>
      <c r="O1654" s="1">
        <v>4</v>
      </c>
      <c r="P1654" s="2">
        <v>1</v>
      </c>
      <c r="Q1654" s="68">
        <v>11</v>
      </c>
    </row>
    <row r="1655" spans="1:17" x14ac:dyDescent="0.25">
      <c r="A1655" s="10">
        <v>413</v>
      </c>
      <c r="B1655" s="10">
        <v>44</v>
      </c>
      <c r="C1655" s="10">
        <v>1</v>
      </c>
      <c r="D1655" s="10">
        <v>1</v>
      </c>
      <c r="E1655" s="10">
        <v>20</v>
      </c>
      <c r="F1655" s="10">
        <v>20</v>
      </c>
      <c r="L1655" s="1">
        <v>189</v>
      </c>
      <c r="M1655" s="1">
        <v>20</v>
      </c>
      <c r="N1655" s="1">
        <v>0</v>
      </c>
      <c r="O1655" s="1">
        <v>4</v>
      </c>
      <c r="P1655" s="2">
        <v>1</v>
      </c>
      <c r="Q1655" s="67">
        <v>10</v>
      </c>
    </row>
    <row r="1656" spans="1:17" x14ac:dyDescent="0.25">
      <c r="A1656" s="10">
        <v>413</v>
      </c>
      <c r="B1656" s="10">
        <v>44</v>
      </c>
      <c r="C1656" s="10">
        <v>1</v>
      </c>
      <c r="D1656" s="10">
        <v>2</v>
      </c>
      <c r="E1656" s="10">
        <v>9</v>
      </c>
      <c r="F1656" s="10">
        <v>9</v>
      </c>
      <c r="L1656" s="1">
        <v>190</v>
      </c>
      <c r="M1656" s="1">
        <v>20</v>
      </c>
      <c r="N1656" s="1">
        <v>0</v>
      </c>
      <c r="O1656" s="1">
        <v>4</v>
      </c>
      <c r="P1656" s="2">
        <v>1</v>
      </c>
      <c r="Q1656" s="68">
        <v>10</v>
      </c>
    </row>
    <row r="1657" spans="1:17" x14ac:dyDescent="0.25">
      <c r="A1657" s="10">
        <v>413</v>
      </c>
      <c r="B1657" s="10">
        <v>44</v>
      </c>
      <c r="C1657" s="10">
        <v>1</v>
      </c>
      <c r="D1657" s="10">
        <v>8</v>
      </c>
      <c r="E1657" s="10">
        <v>2</v>
      </c>
      <c r="F1657" s="10">
        <v>2</v>
      </c>
      <c r="L1657" s="1">
        <v>191</v>
      </c>
      <c r="M1657" s="1">
        <v>21</v>
      </c>
      <c r="N1657" s="1">
        <v>0</v>
      </c>
      <c r="O1657" s="1">
        <v>4</v>
      </c>
      <c r="P1657" s="2">
        <v>1</v>
      </c>
      <c r="Q1657" s="67">
        <v>11</v>
      </c>
    </row>
    <row r="1658" spans="1:17" x14ac:dyDescent="0.25">
      <c r="A1658" s="10">
        <v>411</v>
      </c>
      <c r="B1658" s="10">
        <v>44</v>
      </c>
      <c r="C1658" s="10">
        <v>1</v>
      </c>
      <c r="D1658" s="10">
        <v>1</v>
      </c>
      <c r="E1658" s="10">
        <v>30</v>
      </c>
      <c r="F1658" s="10">
        <v>30</v>
      </c>
      <c r="L1658" s="1">
        <v>192</v>
      </c>
      <c r="M1658" s="1">
        <v>21</v>
      </c>
      <c r="N1658" s="1">
        <v>0</v>
      </c>
      <c r="O1658" s="1">
        <v>4</v>
      </c>
      <c r="P1658" s="2">
        <v>1</v>
      </c>
      <c r="Q1658" s="68">
        <v>10</v>
      </c>
    </row>
    <row r="1659" spans="1:17" x14ac:dyDescent="0.25">
      <c r="A1659" s="10">
        <v>411</v>
      </c>
      <c r="B1659" s="10">
        <v>44</v>
      </c>
      <c r="C1659" s="10">
        <v>1</v>
      </c>
      <c r="D1659" s="10">
        <v>2</v>
      </c>
      <c r="E1659" s="10">
        <v>4</v>
      </c>
      <c r="F1659" s="10">
        <v>4</v>
      </c>
      <c r="L1659" s="1">
        <v>193</v>
      </c>
      <c r="M1659" s="1">
        <v>21</v>
      </c>
      <c r="N1659" s="1">
        <v>0</v>
      </c>
      <c r="O1659" s="1">
        <v>4</v>
      </c>
      <c r="P1659" s="2">
        <v>1</v>
      </c>
      <c r="Q1659" s="67">
        <v>12</v>
      </c>
    </row>
    <row r="1660" spans="1:17" x14ac:dyDescent="0.25">
      <c r="A1660" s="10">
        <v>413</v>
      </c>
      <c r="B1660" s="10">
        <v>44</v>
      </c>
      <c r="C1660" s="10">
        <v>1</v>
      </c>
      <c r="D1660" s="10">
        <v>4</v>
      </c>
      <c r="E1660" s="10">
        <v>1</v>
      </c>
      <c r="F1660" s="10">
        <v>1</v>
      </c>
      <c r="L1660" s="1">
        <v>194</v>
      </c>
      <c r="M1660" s="1">
        <v>21</v>
      </c>
      <c r="N1660" s="1">
        <v>0</v>
      </c>
      <c r="O1660" s="1">
        <v>4</v>
      </c>
      <c r="P1660" s="2">
        <v>1</v>
      </c>
      <c r="Q1660" s="68">
        <v>15</v>
      </c>
    </row>
    <row r="1661" spans="1:17" x14ac:dyDescent="0.25">
      <c r="A1661" s="10">
        <v>4</v>
      </c>
      <c r="B1661" s="10">
        <v>1</v>
      </c>
      <c r="C1661" s="10">
        <v>1</v>
      </c>
      <c r="D1661" s="10">
        <v>1</v>
      </c>
      <c r="E1661" s="10">
        <v>5</v>
      </c>
      <c r="F1661" s="10">
        <v>5</v>
      </c>
      <c r="L1661" s="1">
        <v>195</v>
      </c>
      <c r="M1661" s="1">
        <v>21</v>
      </c>
      <c r="N1661" s="1">
        <v>0</v>
      </c>
      <c r="O1661" s="1">
        <v>4</v>
      </c>
      <c r="P1661" s="2">
        <v>1</v>
      </c>
      <c r="Q1661" s="67">
        <v>4</v>
      </c>
    </row>
    <row r="1662" spans="1:17" x14ac:dyDescent="0.25">
      <c r="A1662" s="10">
        <v>4</v>
      </c>
      <c r="B1662" s="10">
        <v>1</v>
      </c>
      <c r="C1662" s="10">
        <v>1</v>
      </c>
      <c r="D1662" s="10">
        <v>2</v>
      </c>
      <c r="E1662" s="10">
        <v>9</v>
      </c>
      <c r="F1662" s="10">
        <v>9</v>
      </c>
      <c r="L1662" s="1">
        <v>196</v>
      </c>
      <c r="M1662" s="1">
        <v>21</v>
      </c>
      <c r="N1662" s="1">
        <v>0</v>
      </c>
      <c r="O1662" s="1">
        <v>4</v>
      </c>
      <c r="P1662" s="2">
        <v>1</v>
      </c>
      <c r="Q1662" s="68">
        <v>12</v>
      </c>
    </row>
    <row r="1663" spans="1:17" x14ac:dyDescent="0.25">
      <c r="A1663" s="10">
        <v>4</v>
      </c>
      <c r="B1663" s="10">
        <v>1</v>
      </c>
      <c r="C1663" s="10">
        <v>1</v>
      </c>
      <c r="D1663" s="10">
        <v>3</v>
      </c>
      <c r="E1663" s="10">
        <v>1</v>
      </c>
      <c r="F1663" s="10">
        <v>1</v>
      </c>
      <c r="L1663" s="1">
        <v>197</v>
      </c>
      <c r="M1663" s="1">
        <v>21</v>
      </c>
      <c r="N1663" s="1">
        <v>0</v>
      </c>
      <c r="O1663" s="1">
        <v>4</v>
      </c>
      <c r="P1663" s="2">
        <v>1</v>
      </c>
      <c r="Q1663" s="67">
        <v>8</v>
      </c>
    </row>
    <row r="1664" spans="1:17" x14ac:dyDescent="0.25">
      <c r="A1664" s="10">
        <v>4</v>
      </c>
      <c r="B1664" s="10">
        <v>1</v>
      </c>
      <c r="C1664" s="10">
        <v>1</v>
      </c>
      <c r="D1664" s="10">
        <v>9</v>
      </c>
      <c r="E1664" s="10">
        <v>1</v>
      </c>
      <c r="F1664" s="10">
        <v>1</v>
      </c>
      <c r="L1664" s="1">
        <v>198</v>
      </c>
      <c r="M1664" s="1">
        <v>21</v>
      </c>
      <c r="N1664" s="1">
        <v>0</v>
      </c>
      <c r="O1664" s="1">
        <v>4</v>
      </c>
      <c r="P1664" s="2">
        <v>1</v>
      </c>
      <c r="Q1664" s="68">
        <v>5</v>
      </c>
    </row>
    <row r="1665" spans="1:17" x14ac:dyDescent="0.25">
      <c r="A1665" s="10">
        <v>436</v>
      </c>
      <c r="B1665" s="10">
        <v>47</v>
      </c>
      <c r="C1665" s="10">
        <v>1</v>
      </c>
      <c r="D1665" s="10">
        <v>1</v>
      </c>
      <c r="E1665" s="10">
        <v>28</v>
      </c>
      <c r="F1665" s="10">
        <v>28</v>
      </c>
      <c r="L1665" s="1">
        <v>199</v>
      </c>
      <c r="M1665" s="1">
        <v>22</v>
      </c>
      <c r="N1665" s="1">
        <v>0</v>
      </c>
      <c r="O1665" s="1">
        <v>4</v>
      </c>
      <c r="P1665" s="2">
        <v>1</v>
      </c>
      <c r="Q1665" s="67">
        <v>1</v>
      </c>
    </row>
    <row r="1666" spans="1:17" x14ac:dyDescent="0.25">
      <c r="A1666" s="10">
        <v>436</v>
      </c>
      <c r="B1666" s="10">
        <v>47</v>
      </c>
      <c r="C1666" s="10">
        <v>1</v>
      </c>
      <c r="D1666" s="10">
        <v>2</v>
      </c>
      <c r="E1666" s="10">
        <v>15</v>
      </c>
      <c r="F1666" s="10">
        <v>15</v>
      </c>
      <c r="L1666" s="1">
        <v>200</v>
      </c>
      <c r="M1666" s="1">
        <v>22</v>
      </c>
      <c r="N1666" s="1">
        <v>0</v>
      </c>
      <c r="O1666" s="1">
        <v>4</v>
      </c>
      <c r="P1666" s="2">
        <v>1</v>
      </c>
      <c r="Q1666" s="68">
        <v>6</v>
      </c>
    </row>
    <row r="1667" spans="1:17" x14ac:dyDescent="0.25">
      <c r="A1667" s="10">
        <v>436</v>
      </c>
      <c r="B1667" s="10">
        <v>47</v>
      </c>
      <c r="C1667" s="10">
        <v>1</v>
      </c>
      <c r="D1667" s="10">
        <v>3</v>
      </c>
      <c r="E1667" s="10">
        <v>7</v>
      </c>
      <c r="F1667" s="10">
        <v>7</v>
      </c>
      <c r="L1667" s="1">
        <v>201</v>
      </c>
      <c r="M1667" s="1">
        <v>22</v>
      </c>
      <c r="N1667" s="1">
        <v>0</v>
      </c>
      <c r="O1667" s="1">
        <v>4</v>
      </c>
      <c r="P1667" s="2">
        <v>1</v>
      </c>
      <c r="Q1667" s="67">
        <v>8</v>
      </c>
    </row>
    <row r="1668" spans="1:17" x14ac:dyDescent="0.25">
      <c r="A1668" s="10">
        <v>318</v>
      </c>
      <c r="B1668" s="10">
        <v>34</v>
      </c>
      <c r="C1668" s="10">
        <v>1</v>
      </c>
      <c r="D1668" s="10">
        <v>1</v>
      </c>
      <c r="E1668" s="10">
        <v>11</v>
      </c>
      <c r="F1668" s="10">
        <v>11</v>
      </c>
      <c r="L1668" s="1">
        <v>202</v>
      </c>
      <c r="M1668" s="1">
        <v>22</v>
      </c>
      <c r="N1668" s="1">
        <v>0</v>
      </c>
      <c r="O1668" s="1">
        <v>4</v>
      </c>
      <c r="P1668" s="2">
        <v>1</v>
      </c>
      <c r="Q1668" s="68">
        <v>22</v>
      </c>
    </row>
    <row r="1669" spans="1:17" x14ac:dyDescent="0.25">
      <c r="A1669" s="10">
        <v>318</v>
      </c>
      <c r="B1669" s="10">
        <v>34</v>
      </c>
      <c r="C1669" s="10">
        <v>1</v>
      </c>
      <c r="D1669" s="10">
        <v>2</v>
      </c>
      <c r="E1669" s="10">
        <v>9</v>
      </c>
      <c r="F1669" s="10">
        <v>9</v>
      </c>
      <c r="L1669" s="1">
        <v>203</v>
      </c>
      <c r="M1669" s="1">
        <v>22</v>
      </c>
      <c r="N1669" s="1">
        <v>0</v>
      </c>
      <c r="O1669" s="1">
        <v>4</v>
      </c>
      <c r="P1669" s="2">
        <v>1</v>
      </c>
      <c r="Q1669" s="67">
        <v>14</v>
      </c>
    </row>
    <row r="1670" spans="1:17" x14ac:dyDescent="0.25">
      <c r="A1670" s="10">
        <v>318</v>
      </c>
      <c r="B1670" s="10">
        <v>34</v>
      </c>
      <c r="C1670" s="10">
        <v>1</v>
      </c>
      <c r="D1670" s="10">
        <v>3</v>
      </c>
      <c r="E1670" s="10">
        <v>6</v>
      </c>
      <c r="F1670" s="10">
        <v>6</v>
      </c>
      <c r="L1670" s="1">
        <v>204</v>
      </c>
      <c r="M1670" s="1">
        <v>22</v>
      </c>
      <c r="N1670" s="1">
        <v>0</v>
      </c>
      <c r="O1670" s="1">
        <v>4</v>
      </c>
      <c r="P1670" s="2">
        <v>1</v>
      </c>
      <c r="Q1670" s="68">
        <v>11</v>
      </c>
    </row>
    <row r="1671" spans="1:17" x14ac:dyDescent="0.25">
      <c r="A1671" s="10">
        <v>318</v>
      </c>
      <c r="B1671" s="10">
        <v>34</v>
      </c>
      <c r="C1671" s="10">
        <v>1</v>
      </c>
      <c r="D1671" s="10">
        <v>4</v>
      </c>
      <c r="E1671" s="10">
        <v>2</v>
      </c>
      <c r="F1671" s="10">
        <v>2</v>
      </c>
      <c r="L1671" s="1">
        <v>205</v>
      </c>
      <c r="M1671" s="1">
        <v>22</v>
      </c>
      <c r="N1671" s="1">
        <v>0</v>
      </c>
      <c r="O1671" s="1">
        <v>4</v>
      </c>
      <c r="P1671" s="2">
        <v>1</v>
      </c>
      <c r="Q1671" s="67">
        <v>1</v>
      </c>
    </row>
    <row r="1672" spans="1:17" x14ac:dyDescent="0.25">
      <c r="A1672" s="10">
        <v>419</v>
      </c>
      <c r="B1672" s="10">
        <v>45</v>
      </c>
      <c r="C1672" s="10">
        <v>1</v>
      </c>
      <c r="D1672" s="10">
        <v>1</v>
      </c>
      <c r="E1672" s="10">
        <v>20</v>
      </c>
      <c r="F1672" s="10">
        <v>20</v>
      </c>
      <c r="L1672" s="1">
        <v>206</v>
      </c>
      <c r="M1672" s="1">
        <v>22</v>
      </c>
      <c r="N1672" s="1">
        <v>0</v>
      </c>
      <c r="O1672" s="1">
        <v>4</v>
      </c>
      <c r="P1672" s="2">
        <v>1</v>
      </c>
      <c r="Q1672" s="68">
        <v>8</v>
      </c>
    </row>
    <row r="1673" spans="1:17" x14ac:dyDescent="0.25">
      <c r="A1673" s="10">
        <v>419</v>
      </c>
      <c r="B1673" s="10">
        <v>45</v>
      </c>
      <c r="C1673" s="10">
        <v>1</v>
      </c>
      <c r="D1673" s="10">
        <v>2</v>
      </c>
      <c r="E1673" s="10">
        <v>3</v>
      </c>
      <c r="F1673" s="10">
        <v>3</v>
      </c>
      <c r="L1673" s="1">
        <v>207</v>
      </c>
      <c r="M1673" s="1">
        <v>22</v>
      </c>
      <c r="N1673" s="1">
        <v>0</v>
      </c>
      <c r="O1673" s="1">
        <v>4</v>
      </c>
      <c r="P1673" s="2">
        <v>1</v>
      </c>
      <c r="Q1673" s="67">
        <v>11</v>
      </c>
    </row>
    <row r="1674" spans="1:17" x14ac:dyDescent="0.25">
      <c r="A1674" s="10">
        <v>433</v>
      </c>
      <c r="B1674" s="10">
        <v>47</v>
      </c>
      <c r="C1674" s="10">
        <v>1</v>
      </c>
      <c r="D1674" s="10">
        <v>2</v>
      </c>
      <c r="E1674" s="10">
        <v>2</v>
      </c>
      <c r="F1674" s="10">
        <v>2</v>
      </c>
      <c r="L1674" s="1">
        <v>208</v>
      </c>
      <c r="M1674" s="1">
        <v>22</v>
      </c>
      <c r="N1674" s="1">
        <v>0</v>
      </c>
      <c r="O1674" s="1">
        <v>4</v>
      </c>
      <c r="P1674" s="2">
        <v>1</v>
      </c>
      <c r="Q1674" s="68">
        <v>3</v>
      </c>
    </row>
    <row r="1675" spans="1:17" x14ac:dyDescent="0.25">
      <c r="A1675" s="10">
        <v>433</v>
      </c>
      <c r="B1675" s="10">
        <v>47</v>
      </c>
      <c r="C1675" s="10">
        <v>1</v>
      </c>
      <c r="D1675" s="10">
        <v>4</v>
      </c>
      <c r="E1675" s="10">
        <v>1</v>
      </c>
      <c r="F1675" s="10">
        <v>1</v>
      </c>
      <c r="L1675" s="1">
        <v>209</v>
      </c>
      <c r="M1675" s="1">
        <v>23</v>
      </c>
      <c r="N1675" s="1">
        <v>0</v>
      </c>
      <c r="O1675" s="1">
        <v>4</v>
      </c>
      <c r="P1675" s="2">
        <v>1</v>
      </c>
      <c r="Q1675" s="67">
        <v>6</v>
      </c>
    </row>
    <row r="1676" spans="1:17" x14ac:dyDescent="0.25">
      <c r="A1676" s="10">
        <v>433</v>
      </c>
      <c r="B1676" s="10">
        <v>47</v>
      </c>
      <c r="C1676" s="10">
        <v>1</v>
      </c>
      <c r="D1676" s="10">
        <v>6</v>
      </c>
      <c r="E1676" s="10">
        <v>0</v>
      </c>
      <c r="F1676" s="10">
        <v>0</v>
      </c>
      <c r="L1676" s="1">
        <v>210</v>
      </c>
      <c r="M1676" s="1">
        <v>23</v>
      </c>
      <c r="N1676" s="1">
        <v>0</v>
      </c>
      <c r="O1676" s="1">
        <v>4</v>
      </c>
      <c r="P1676" s="2">
        <v>1</v>
      </c>
      <c r="Q1676" s="68">
        <v>7</v>
      </c>
    </row>
    <row r="1677" spans="1:17" x14ac:dyDescent="0.25">
      <c r="A1677" s="10">
        <v>205</v>
      </c>
      <c r="B1677" s="10">
        <v>22</v>
      </c>
      <c r="C1677" s="10">
        <v>1</v>
      </c>
      <c r="D1677" s="10">
        <v>2</v>
      </c>
      <c r="E1677" s="10">
        <v>25</v>
      </c>
      <c r="F1677" s="10">
        <v>25</v>
      </c>
      <c r="L1677" s="1">
        <v>211</v>
      </c>
      <c r="M1677" s="1">
        <v>23</v>
      </c>
      <c r="N1677" s="1">
        <v>0</v>
      </c>
      <c r="O1677" s="1">
        <v>4</v>
      </c>
      <c r="P1677" s="2">
        <v>1</v>
      </c>
      <c r="Q1677" s="67">
        <v>2</v>
      </c>
    </row>
    <row r="1678" spans="1:17" x14ac:dyDescent="0.25">
      <c r="A1678" s="10">
        <v>439</v>
      </c>
      <c r="B1678" s="10">
        <v>47</v>
      </c>
      <c r="C1678" s="10">
        <v>1</v>
      </c>
      <c r="D1678" s="10">
        <v>4</v>
      </c>
      <c r="E1678" s="10">
        <v>4</v>
      </c>
      <c r="F1678" s="10">
        <v>4</v>
      </c>
      <c r="L1678" s="1">
        <v>212</v>
      </c>
      <c r="M1678" s="1">
        <v>23</v>
      </c>
      <c r="N1678" s="1">
        <v>0</v>
      </c>
      <c r="O1678" s="1">
        <v>4</v>
      </c>
      <c r="P1678" s="2">
        <v>1</v>
      </c>
      <c r="Q1678" s="68">
        <v>10</v>
      </c>
    </row>
    <row r="1679" spans="1:17" x14ac:dyDescent="0.25">
      <c r="A1679" s="10">
        <v>1</v>
      </c>
      <c r="B1679" s="10">
        <v>1</v>
      </c>
      <c r="C1679" s="10">
        <v>1</v>
      </c>
      <c r="D1679" s="10">
        <v>1</v>
      </c>
      <c r="E1679" s="10">
        <v>453</v>
      </c>
      <c r="F1679" s="10">
        <v>453</v>
      </c>
      <c r="L1679" s="1">
        <v>213</v>
      </c>
      <c r="M1679" s="1">
        <v>23</v>
      </c>
      <c r="N1679" s="1">
        <v>0</v>
      </c>
      <c r="O1679" s="1">
        <v>4</v>
      </c>
      <c r="P1679" s="2">
        <v>1</v>
      </c>
      <c r="Q1679" s="67">
        <v>8</v>
      </c>
    </row>
    <row r="1680" spans="1:17" x14ac:dyDescent="0.25">
      <c r="A1680" s="10">
        <v>131</v>
      </c>
      <c r="B1680" s="10">
        <v>14</v>
      </c>
      <c r="C1680" s="10">
        <v>1</v>
      </c>
      <c r="D1680" s="10">
        <v>2</v>
      </c>
      <c r="E1680" s="10">
        <v>37</v>
      </c>
      <c r="F1680" s="10">
        <v>37</v>
      </c>
      <c r="L1680" s="1">
        <v>214</v>
      </c>
      <c r="M1680" s="1">
        <v>23</v>
      </c>
      <c r="N1680" s="1">
        <v>0</v>
      </c>
      <c r="O1680" s="1">
        <v>4</v>
      </c>
      <c r="P1680" s="2">
        <v>1</v>
      </c>
      <c r="Q1680" s="68">
        <v>6</v>
      </c>
    </row>
    <row r="1681" spans="1:17" x14ac:dyDescent="0.25">
      <c r="A1681" s="10">
        <v>438</v>
      </c>
      <c r="B1681" s="10">
        <v>47</v>
      </c>
      <c r="C1681" s="10">
        <v>1</v>
      </c>
      <c r="D1681" s="10">
        <v>1</v>
      </c>
      <c r="E1681" s="10">
        <v>25</v>
      </c>
      <c r="F1681" s="10">
        <v>25</v>
      </c>
      <c r="L1681" s="1">
        <v>215</v>
      </c>
      <c r="M1681" s="1">
        <v>23</v>
      </c>
      <c r="N1681" s="1">
        <v>0</v>
      </c>
      <c r="O1681" s="1">
        <v>4</v>
      </c>
      <c r="P1681" s="2">
        <v>1</v>
      </c>
      <c r="Q1681" s="67">
        <v>4</v>
      </c>
    </row>
    <row r="1682" spans="1:17" x14ac:dyDescent="0.25">
      <c r="A1682" s="10">
        <v>433</v>
      </c>
      <c r="B1682" s="10">
        <v>47</v>
      </c>
      <c r="C1682" s="10">
        <v>1</v>
      </c>
      <c r="D1682" s="10">
        <v>1</v>
      </c>
      <c r="E1682" s="10">
        <v>18</v>
      </c>
      <c r="F1682" s="10">
        <v>18</v>
      </c>
      <c r="L1682" s="1">
        <v>216</v>
      </c>
      <c r="M1682" s="1">
        <v>23</v>
      </c>
      <c r="N1682" s="1">
        <v>0</v>
      </c>
      <c r="O1682" s="1">
        <v>4</v>
      </c>
      <c r="P1682" s="2">
        <v>1</v>
      </c>
      <c r="Q1682" s="68">
        <v>8</v>
      </c>
    </row>
    <row r="1683" spans="1:17" x14ac:dyDescent="0.25">
      <c r="A1683" s="10">
        <v>38</v>
      </c>
      <c r="B1683" s="10">
        <v>5</v>
      </c>
      <c r="C1683" s="10">
        <v>1</v>
      </c>
      <c r="D1683" s="10">
        <v>1</v>
      </c>
      <c r="E1683" s="10">
        <v>13</v>
      </c>
      <c r="F1683" s="10">
        <v>13</v>
      </c>
      <c r="L1683" s="1">
        <v>217</v>
      </c>
      <c r="M1683" s="1">
        <v>23</v>
      </c>
      <c r="N1683" s="1">
        <v>0</v>
      </c>
      <c r="O1683" s="1">
        <v>4</v>
      </c>
      <c r="P1683" s="2">
        <v>1</v>
      </c>
      <c r="Q1683" s="67">
        <v>2</v>
      </c>
    </row>
    <row r="1684" spans="1:17" x14ac:dyDescent="0.25">
      <c r="A1684" s="10">
        <v>32</v>
      </c>
      <c r="B1684" s="10">
        <v>4</v>
      </c>
      <c r="C1684" s="10">
        <v>1</v>
      </c>
      <c r="D1684" s="10">
        <v>1</v>
      </c>
      <c r="E1684" s="10">
        <v>25</v>
      </c>
      <c r="F1684" s="10">
        <v>25</v>
      </c>
      <c r="L1684" s="1">
        <v>218</v>
      </c>
      <c r="M1684" s="1">
        <v>23</v>
      </c>
      <c r="N1684" s="1">
        <v>0</v>
      </c>
      <c r="O1684" s="1">
        <v>4</v>
      </c>
      <c r="P1684" s="2">
        <v>1</v>
      </c>
      <c r="Q1684" s="68">
        <v>1</v>
      </c>
    </row>
    <row r="1685" spans="1:17" x14ac:dyDescent="0.25">
      <c r="A1685" s="10">
        <v>32</v>
      </c>
      <c r="B1685" s="10">
        <v>4</v>
      </c>
      <c r="C1685" s="10">
        <v>1</v>
      </c>
      <c r="D1685" s="10">
        <v>2</v>
      </c>
      <c r="E1685" s="10">
        <v>35</v>
      </c>
      <c r="F1685" s="10">
        <v>35</v>
      </c>
      <c r="L1685" s="1">
        <v>219</v>
      </c>
      <c r="M1685" s="1">
        <v>24</v>
      </c>
      <c r="N1685" s="1">
        <v>0</v>
      </c>
      <c r="O1685" s="1">
        <v>4</v>
      </c>
      <c r="P1685" s="2">
        <v>1</v>
      </c>
      <c r="Q1685" s="67">
        <v>2</v>
      </c>
    </row>
    <row r="1686" spans="1:17" x14ac:dyDescent="0.25">
      <c r="A1686" s="10">
        <v>116</v>
      </c>
      <c r="B1686" s="10">
        <v>13</v>
      </c>
      <c r="C1686" s="10">
        <v>1</v>
      </c>
      <c r="D1686" s="10">
        <v>7</v>
      </c>
      <c r="E1686" s="10">
        <v>2</v>
      </c>
      <c r="F1686" s="10">
        <v>2</v>
      </c>
      <c r="L1686" s="1">
        <v>220</v>
      </c>
      <c r="M1686" s="1">
        <v>24</v>
      </c>
      <c r="N1686" s="1">
        <v>0</v>
      </c>
      <c r="O1686" s="1">
        <v>4</v>
      </c>
      <c r="P1686" s="2">
        <v>1</v>
      </c>
      <c r="Q1686" s="68">
        <v>2</v>
      </c>
    </row>
    <row r="1687" spans="1:17" x14ac:dyDescent="0.25">
      <c r="A1687" s="10">
        <v>7</v>
      </c>
      <c r="B1687" s="10">
        <v>1</v>
      </c>
      <c r="C1687" s="10">
        <v>1</v>
      </c>
      <c r="D1687" s="10">
        <v>2</v>
      </c>
      <c r="E1687" s="10">
        <v>542</v>
      </c>
      <c r="F1687" s="10">
        <v>542</v>
      </c>
      <c r="L1687" s="1">
        <v>221</v>
      </c>
      <c r="M1687" s="1">
        <v>24</v>
      </c>
      <c r="N1687" s="1">
        <v>0</v>
      </c>
      <c r="O1687" s="1">
        <v>4</v>
      </c>
      <c r="P1687" s="2">
        <v>1</v>
      </c>
      <c r="Q1687" s="67">
        <v>2</v>
      </c>
    </row>
    <row r="1688" spans="1:17" x14ac:dyDescent="0.25">
      <c r="A1688" s="10">
        <v>280</v>
      </c>
      <c r="B1688" s="10">
        <v>30</v>
      </c>
      <c r="C1688" s="10">
        <v>2</v>
      </c>
      <c r="D1688" s="10">
        <v>4</v>
      </c>
      <c r="E1688" s="10">
        <v>1</v>
      </c>
      <c r="F1688" s="10">
        <v>1</v>
      </c>
      <c r="L1688" s="1">
        <v>222</v>
      </c>
      <c r="M1688" s="1">
        <v>24</v>
      </c>
      <c r="N1688" s="1">
        <v>0</v>
      </c>
      <c r="O1688" s="1">
        <v>4</v>
      </c>
      <c r="P1688" s="2">
        <v>1</v>
      </c>
      <c r="Q1688" s="68">
        <v>9</v>
      </c>
    </row>
    <row r="1689" spans="1:17" x14ac:dyDescent="0.25">
      <c r="A1689" s="10">
        <v>43</v>
      </c>
      <c r="B1689" s="10">
        <v>5</v>
      </c>
      <c r="C1689" s="10">
        <v>2</v>
      </c>
      <c r="D1689" s="10">
        <v>2</v>
      </c>
      <c r="E1689" s="10">
        <v>6</v>
      </c>
      <c r="F1689" s="10">
        <v>6</v>
      </c>
      <c r="L1689" s="1">
        <v>223</v>
      </c>
      <c r="M1689" s="1">
        <v>24</v>
      </c>
      <c r="N1689" s="1">
        <v>0</v>
      </c>
      <c r="O1689" s="1">
        <v>4</v>
      </c>
      <c r="P1689" s="2">
        <v>1</v>
      </c>
      <c r="Q1689" s="67">
        <v>10</v>
      </c>
    </row>
    <row r="1690" spans="1:17" x14ac:dyDescent="0.25">
      <c r="A1690" s="10">
        <v>43</v>
      </c>
      <c r="B1690" s="10">
        <v>5</v>
      </c>
      <c r="C1690" s="10">
        <v>2</v>
      </c>
      <c r="D1690" s="10">
        <v>6</v>
      </c>
      <c r="E1690" s="10">
        <v>1</v>
      </c>
      <c r="F1690" s="10">
        <v>1</v>
      </c>
      <c r="L1690" s="1">
        <v>224</v>
      </c>
      <c r="M1690" s="1">
        <v>24</v>
      </c>
      <c r="N1690" s="1">
        <v>0</v>
      </c>
      <c r="O1690" s="1">
        <v>4</v>
      </c>
      <c r="P1690" s="2">
        <v>1</v>
      </c>
      <c r="Q1690" s="68">
        <v>13</v>
      </c>
    </row>
    <row r="1691" spans="1:17" x14ac:dyDescent="0.25">
      <c r="A1691" s="10">
        <v>127</v>
      </c>
      <c r="B1691" s="10">
        <v>14</v>
      </c>
      <c r="C1691" s="10">
        <v>2</v>
      </c>
      <c r="D1691" s="10">
        <v>2</v>
      </c>
      <c r="E1691" s="10">
        <v>51</v>
      </c>
      <c r="F1691" s="10">
        <v>51</v>
      </c>
      <c r="L1691" s="1">
        <v>225</v>
      </c>
      <c r="M1691" s="1">
        <v>24</v>
      </c>
      <c r="N1691" s="1">
        <v>0</v>
      </c>
      <c r="O1691" s="1">
        <v>4</v>
      </c>
      <c r="P1691" s="2">
        <v>1</v>
      </c>
      <c r="Q1691" s="67">
        <v>8</v>
      </c>
    </row>
    <row r="1692" spans="1:17" x14ac:dyDescent="0.25">
      <c r="A1692" s="10">
        <v>343</v>
      </c>
      <c r="B1692" s="10">
        <v>37</v>
      </c>
      <c r="C1692" s="10">
        <v>2</v>
      </c>
      <c r="D1692" s="10">
        <v>1</v>
      </c>
      <c r="E1692" s="10">
        <v>6</v>
      </c>
      <c r="F1692" s="10">
        <v>6</v>
      </c>
      <c r="L1692" s="1">
        <v>226</v>
      </c>
      <c r="M1692" s="1">
        <v>24</v>
      </c>
      <c r="N1692" s="1">
        <v>0</v>
      </c>
      <c r="O1692" s="1">
        <v>4</v>
      </c>
      <c r="P1692" s="2">
        <v>1</v>
      </c>
      <c r="Q1692" s="68">
        <v>9</v>
      </c>
    </row>
    <row r="1693" spans="1:17" x14ac:dyDescent="0.25">
      <c r="A1693" s="10">
        <v>4</v>
      </c>
      <c r="B1693" s="10">
        <v>1</v>
      </c>
      <c r="C1693" s="10">
        <v>2</v>
      </c>
      <c r="D1693" s="10">
        <v>2</v>
      </c>
      <c r="E1693" s="10">
        <v>17</v>
      </c>
      <c r="F1693" s="10">
        <v>17</v>
      </c>
      <c r="L1693" s="1">
        <v>227</v>
      </c>
      <c r="M1693" s="1">
        <v>24</v>
      </c>
      <c r="N1693" s="1">
        <v>0</v>
      </c>
      <c r="O1693" s="1">
        <v>4</v>
      </c>
      <c r="P1693" s="2">
        <v>1</v>
      </c>
      <c r="Q1693" s="67">
        <v>7</v>
      </c>
    </row>
    <row r="1694" spans="1:17" x14ac:dyDescent="0.25">
      <c r="A1694" s="10">
        <v>205</v>
      </c>
      <c r="B1694" s="10">
        <v>22</v>
      </c>
      <c r="C1694" s="10">
        <v>2</v>
      </c>
      <c r="D1694" s="10">
        <v>2</v>
      </c>
      <c r="E1694" s="10">
        <v>52</v>
      </c>
      <c r="F1694" s="10">
        <v>52</v>
      </c>
      <c r="L1694" s="1">
        <v>228</v>
      </c>
      <c r="M1694" s="1">
        <v>24</v>
      </c>
      <c r="N1694" s="1">
        <v>0</v>
      </c>
      <c r="O1694" s="1">
        <v>4</v>
      </c>
      <c r="P1694" s="2">
        <v>1</v>
      </c>
      <c r="Q1694" s="68">
        <v>12</v>
      </c>
    </row>
    <row r="1695" spans="1:17" x14ac:dyDescent="0.25">
      <c r="A1695" s="10">
        <v>205</v>
      </c>
      <c r="B1695" s="10">
        <v>22</v>
      </c>
      <c r="C1695" s="10">
        <v>2</v>
      </c>
      <c r="D1695" s="10">
        <v>3</v>
      </c>
      <c r="E1695" s="10">
        <v>8</v>
      </c>
      <c r="F1695" s="10">
        <v>8</v>
      </c>
      <c r="L1695" s="1">
        <v>229</v>
      </c>
      <c r="M1695" s="1">
        <v>25</v>
      </c>
      <c r="N1695" s="1">
        <v>0</v>
      </c>
      <c r="O1695" s="1">
        <v>4</v>
      </c>
      <c r="P1695" s="2">
        <v>1</v>
      </c>
      <c r="Q1695" s="67">
        <v>6</v>
      </c>
    </row>
    <row r="1696" spans="1:17" x14ac:dyDescent="0.25">
      <c r="A1696" s="10">
        <v>201</v>
      </c>
      <c r="B1696" s="10">
        <v>22</v>
      </c>
      <c r="C1696" s="10">
        <v>2</v>
      </c>
      <c r="D1696" s="10">
        <v>2</v>
      </c>
      <c r="E1696" s="10">
        <v>1</v>
      </c>
      <c r="F1696" s="10">
        <v>1</v>
      </c>
      <c r="L1696" s="1">
        <v>230</v>
      </c>
      <c r="M1696" s="1">
        <v>25</v>
      </c>
      <c r="N1696" s="1">
        <v>0</v>
      </c>
      <c r="O1696" s="1">
        <v>4</v>
      </c>
      <c r="P1696" s="2">
        <v>1</v>
      </c>
      <c r="Q1696" s="68">
        <v>6</v>
      </c>
    </row>
    <row r="1697" spans="1:17" x14ac:dyDescent="0.25">
      <c r="A1697" s="10">
        <v>247</v>
      </c>
      <c r="B1697" s="10">
        <v>27</v>
      </c>
      <c r="C1697" s="10">
        <v>2</v>
      </c>
      <c r="D1697" s="10">
        <v>1</v>
      </c>
      <c r="E1697" s="10">
        <v>15</v>
      </c>
      <c r="F1697" s="10">
        <v>15</v>
      </c>
      <c r="L1697" s="1">
        <v>231</v>
      </c>
      <c r="M1697" s="1">
        <v>25</v>
      </c>
      <c r="N1697" s="1">
        <v>0</v>
      </c>
      <c r="O1697" s="1">
        <v>4</v>
      </c>
      <c r="P1697" s="2">
        <v>1</v>
      </c>
      <c r="Q1697" s="67">
        <v>3</v>
      </c>
    </row>
    <row r="1698" spans="1:17" x14ac:dyDescent="0.25">
      <c r="A1698" s="10">
        <v>221</v>
      </c>
      <c r="B1698" s="10">
        <v>24</v>
      </c>
      <c r="C1698" s="10">
        <v>2</v>
      </c>
      <c r="D1698" s="10">
        <v>2</v>
      </c>
      <c r="E1698" s="10">
        <v>0</v>
      </c>
      <c r="F1698" s="10">
        <v>0</v>
      </c>
      <c r="L1698" s="1">
        <v>232</v>
      </c>
      <c r="M1698" s="1">
        <v>25</v>
      </c>
      <c r="N1698" s="1">
        <v>0</v>
      </c>
      <c r="O1698" s="1">
        <v>4</v>
      </c>
      <c r="P1698" s="2">
        <v>1</v>
      </c>
      <c r="Q1698" s="68">
        <v>1</v>
      </c>
    </row>
    <row r="1699" spans="1:17" x14ac:dyDescent="0.25">
      <c r="A1699" s="10">
        <v>221</v>
      </c>
      <c r="B1699" s="10">
        <v>24</v>
      </c>
      <c r="C1699" s="10">
        <v>2</v>
      </c>
      <c r="D1699" s="10">
        <v>6</v>
      </c>
      <c r="E1699" s="10">
        <v>2</v>
      </c>
      <c r="F1699" s="10">
        <v>2</v>
      </c>
      <c r="L1699" s="1">
        <v>233</v>
      </c>
      <c r="M1699" s="1">
        <v>25</v>
      </c>
      <c r="N1699" s="1">
        <v>0</v>
      </c>
      <c r="O1699" s="1">
        <v>4</v>
      </c>
      <c r="P1699" s="2">
        <v>1</v>
      </c>
      <c r="Q1699" s="67">
        <v>11</v>
      </c>
    </row>
    <row r="1700" spans="1:17" x14ac:dyDescent="0.25">
      <c r="A1700" s="10">
        <v>46</v>
      </c>
      <c r="B1700" s="10">
        <v>5</v>
      </c>
      <c r="C1700" s="10">
        <v>2</v>
      </c>
      <c r="D1700" s="10">
        <v>1</v>
      </c>
      <c r="E1700" s="10">
        <v>24</v>
      </c>
      <c r="F1700" s="10">
        <v>24</v>
      </c>
      <c r="L1700" s="1">
        <v>234</v>
      </c>
      <c r="M1700" s="1">
        <v>25</v>
      </c>
      <c r="N1700" s="1">
        <v>0</v>
      </c>
      <c r="O1700" s="1">
        <v>4</v>
      </c>
      <c r="P1700" s="2">
        <v>1</v>
      </c>
      <c r="Q1700" s="68">
        <v>11</v>
      </c>
    </row>
    <row r="1701" spans="1:17" x14ac:dyDescent="0.25">
      <c r="A1701" s="10">
        <v>318</v>
      </c>
      <c r="B1701" s="10">
        <v>34</v>
      </c>
      <c r="C1701" s="10">
        <v>2</v>
      </c>
      <c r="D1701" s="10">
        <v>1</v>
      </c>
      <c r="E1701" s="10">
        <v>11</v>
      </c>
      <c r="F1701" s="10">
        <v>11</v>
      </c>
      <c r="L1701" s="1">
        <v>235</v>
      </c>
      <c r="M1701" s="1">
        <v>25</v>
      </c>
      <c r="N1701" s="1">
        <v>0</v>
      </c>
      <c r="O1701" s="1">
        <v>4</v>
      </c>
      <c r="P1701" s="2">
        <v>1</v>
      </c>
      <c r="Q1701" s="67">
        <v>13</v>
      </c>
    </row>
    <row r="1702" spans="1:17" x14ac:dyDescent="0.25">
      <c r="A1702" s="10">
        <v>272</v>
      </c>
      <c r="B1702" s="10">
        <v>30</v>
      </c>
      <c r="C1702" s="10">
        <v>2</v>
      </c>
      <c r="D1702" s="10">
        <v>3</v>
      </c>
      <c r="E1702" s="10">
        <v>0</v>
      </c>
      <c r="F1702" s="10">
        <v>0</v>
      </c>
      <c r="L1702" s="1">
        <v>236</v>
      </c>
      <c r="M1702" s="1">
        <v>25</v>
      </c>
      <c r="N1702" s="1">
        <v>0</v>
      </c>
      <c r="O1702" s="1">
        <v>4</v>
      </c>
      <c r="P1702" s="2">
        <v>1</v>
      </c>
      <c r="Q1702" s="68">
        <v>4</v>
      </c>
    </row>
    <row r="1703" spans="1:17" x14ac:dyDescent="0.25">
      <c r="A1703" s="10">
        <v>44</v>
      </c>
      <c r="B1703" s="10">
        <v>5</v>
      </c>
      <c r="C1703" s="10">
        <v>2</v>
      </c>
      <c r="D1703" s="10">
        <v>2</v>
      </c>
      <c r="E1703" s="10">
        <v>18</v>
      </c>
      <c r="F1703" s="10">
        <v>18</v>
      </c>
      <c r="L1703" s="1">
        <v>237</v>
      </c>
      <c r="M1703" s="1">
        <v>26</v>
      </c>
      <c r="N1703" s="1">
        <v>0</v>
      </c>
      <c r="O1703" s="1">
        <v>4</v>
      </c>
      <c r="P1703" s="2">
        <v>1</v>
      </c>
      <c r="Q1703" s="67">
        <v>9</v>
      </c>
    </row>
    <row r="1704" spans="1:17" x14ac:dyDescent="0.25">
      <c r="A1704" s="10">
        <v>16</v>
      </c>
      <c r="B1704" s="10">
        <v>2</v>
      </c>
      <c r="C1704" s="10">
        <v>2</v>
      </c>
      <c r="D1704" s="10">
        <v>7</v>
      </c>
      <c r="E1704" s="10">
        <v>9</v>
      </c>
      <c r="F1704" s="10">
        <v>9</v>
      </c>
      <c r="L1704" s="1">
        <v>238</v>
      </c>
      <c r="M1704" s="1">
        <v>26</v>
      </c>
      <c r="N1704" s="1">
        <v>0</v>
      </c>
      <c r="O1704" s="1">
        <v>4</v>
      </c>
      <c r="P1704" s="2">
        <v>1</v>
      </c>
      <c r="Q1704" s="68">
        <v>5</v>
      </c>
    </row>
    <row r="1705" spans="1:17" x14ac:dyDescent="0.25">
      <c r="A1705" s="10">
        <v>275</v>
      </c>
      <c r="B1705" s="10">
        <v>30</v>
      </c>
      <c r="C1705" s="10">
        <v>2</v>
      </c>
      <c r="D1705" s="10">
        <v>1</v>
      </c>
      <c r="E1705" s="10">
        <v>10</v>
      </c>
      <c r="F1705" s="10">
        <v>10</v>
      </c>
      <c r="L1705" s="1">
        <v>239</v>
      </c>
      <c r="M1705" s="1">
        <v>26</v>
      </c>
      <c r="N1705" s="1">
        <v>0</v>
      </c>
      <c r="O1705" s="1">
        <v>4</v>
      </c>
      <c r="P1705" s="2">
        <v>1</v>
      </c>
      <c r="Q1705" s="67">
        <v>11</v>
      </c>
    </row>
    <row r="1706" spans="1:17" x14ac:dyDescent="0.25">
      <c r="A1706" s="10">
        <v>42</v>
      </c>
      <c r="B1706" s="10">
        <v>5</v>
      </c>
      <c r="C1706" s="10">
        <v>1</v>
      </c>
      <c r="D1706" s="10">
        <v>3</v>
      </c>
      <c r="E1706" s="10">
        <v>1</v>
      </c>
      <c r="F1706" s="10">
        <v>1</v>
      </c>
      <c r="L1706" s="1">
        <v>240</v>
      </c>
      <c r="M1706" s="1">
        <v>26</v>
      </c>
      <c r="N1706" s="1">
        <v>0</v>
      </c>
      <c r="O1706" s="1">
        <v>4</v>
      </c>
      <c r="P1706" s="2">
        <v>1</v>
      </c>
      <c r="Q1706" s="68">
        <v>6</v>
      </c>
    </row>
    <row r="1707" spans="1:17" x14ac:dyDescent="0.25">
      <c r="A1707" s="10">
        <v>264</v>
      </c>
      <c r="B1707" s="10">
        <v>29</v>
      </c>
      <c r="C1707" s="10">
        <v>1</v>
      </c>
      <c r="D1707" s="10">
        <v>5</v>
      </c>
      <c r="E1707" s="10">
        <v>2</v>
      </c>
      <c r="F1707" s="10">
        <v>2</v>
      </c>
      <c r="L1707" s="1">
        <v>241</v>
      </c>
      <c r="M1707" s="1">
        <v>26</v>
      </c>
      <c r="N1707" s="1">
        <v>0</v>
      </c>
      <c r="O1707" s="1">
        <v>4</v>
      </c>
      <c r="P1707" s="2">
        <v>1</v>
      </c>
      <c r="Q1707" s="67">
        <v>7</v>
      </c>
    </row>
    <row r="1708" spans="1:17" x14ac:dyDescent="0.25">
      <c r="A1708" s="10">
        <v>271</v>
      </c>
      <c r="B1708" s="10">
        <v>30</v>
      </c>
      <c r="C1708" s="10">
        <v>1</v>
      </c>
      <c r="D1708" s="10">
        <v>1</v>
      </c>
      <c r="E1708" s="10">
        <v>17</v>
      </c>
      <c r="F1708" s="10">
        <v>17</v>
      </c>
      <c r="L1708" s="1">
        <v>242</v>
      </c>
      <c r="M1708" s="1">
        <v>26</v>
      </c>
      <c r="N1708" s="1">
        <v>0</v>
      </c>
      <c r="O1708" s="1">
        <v>4</v>
      </c>
      <c r="P1708" s="2">
        <v>1</v>
      </c>
      <c r="Q1708" s="68">
        <v>8</v>
      </c>
    </row>
    <row r="1709" spans="1:17" x14ac:dyDescent="0.25">
      <c r="A1709" s="10">
        <v>277</v>
      </c>
      <c r="B1709" s="10">
        <v>30</v>
      </c>
      <c r="C1709" s="10">
        <v>1</v>
      </c>
      <c r="D1709" s="10">
        <v>3</v>
      </c>
      <c r="E1709" s="10">
        <v>9</v>
      </c>
      <c r="F1709" s="10">
        <v>9</v>
      </c>
      <c r="L1709" s="1">
        <v>243</v>
      </c>
      <c r="M1709" s="1">
        <v>26</v>
      </c>
      <c r="N1709" s="1">
        <v>0</v>
      </c>
      <c r="O1709" s="1">
        <v>4</v>
      </c>
      <c r="P1709" s="2">
        <v>1</v>
      </c>
      <c r="Q1709" s="67">
        <v>12</v>
      </c>
    </row>
    <row r="1710" spans="1:17" x14ac:dyDescent="0.25">
      <c r="A1710" s="10">
        <v>9</v>
      </c>
      <c r="B1710" s="10">
        <v>1</v>
      </c>
      <c r="C1710" s="10">
        <v>2</v>
      </c>
      <c r="D1710" s="10">
        <v>1</v>
      </c>
      <c r="E1710" s="10">
        <v>2</v>
      </c>
      <c r="F1710" s="10">
        <v>2</v>
      </c>
      <c r="L1710" s="1">
        <v>244</v>
      </c>
      <c r="M1710" s="1">
        <v>26</v>
      </c>
      <c r="N1710" s="1">
        <v>0</v>
      </c>
      <c r="O1710" s="1">
        <v>4</v>
      </c>
      <c r="P1710" s="2">
        <v>1</v>
      </c>
      <c r="Q1710" s="68">
        <v>18</v>
      </c>
    </row>
    <row r="1711" spans="1:17" x14ac:dyDescent="0.25">
      <c r="A1711" s="10">
        <v>202</v>
      </c>
      <c r="B1711" s="10">
        <v>22</v>
      </c>
      <c r="C1711" s="10">
        <v>2</v>
      </c>
      <c r="D1711" s="10">
        <v>1</v>
      </c>
      <c r="E1711" s="10">
        <v>22</v>
      </c>
      <c r="F1711" s="10">
        <v>22</v>
      </c>
      <c r="L1711" s="1">
        <v>245</v>
      </c>
      <c r="M1711" s="1">
        <v>26</v>
      </c>
      <c r="N1711" s="1">
        <v>0</v>
      </c>
      <c r="O1711" s="1">
        <v>4</v>
      </c>
      <c r="P1711" s="2">
        <v>1</v>
      </c>
      <c r="Q1711" s="67">
        <v>17</v>
      </c>
    </row>
    <row r="1712" spans="1:17" x14ac:dyDescent="0.25">
      <c r="A1712" s="10">
        <v>202</v>
      </c>
      <c r="B1712" s="10">
        <v>22</v>
      </c>
      <c r="C1712" s="10">
        <v>2</v>
      </c>
      <c r="D1712" s="10">
        <v>4</v>
      </c>
      <c r="E1712" s="10">
        <v>2</v>
      </c>
      <c r="F1712" s="10">
        <v>2</v>
      </c>
      <c r="L1712" s="1">
        <v>246</v>
      </c>
      <c r="M1712" s="1">
        <v>26</v>
      </c>
      <c r="N1712" s="1">
        <v>0</v>
      </c>
      <c r="O1712" s="1">
        <v>4</v>
      </c>
      <c r="P1712" s="2">
        <v>1</v>
      </c>
      <c r="Q1712" s="68">
        <v>12</v>
      </c>
    </row>
    <row r="1713" spans="1:17" x14ac:dyDescent="0.25">
      <c r="A1713" s="10">
        <v>202</v>
      </c>
      <c r="B1713" s="10">
        <v>22</v>
      </c>
      <c r="C1713" s="10">
        <v>2</v>
      </c>
      <c r="D1713" s="10">
        <v>5</v>
      </c>
      <c r="E1713" s="10">
        <v>4</v>
      </c>
      <c r="F1713" s="10">
        <v>4</v>
      </c>
      <c r="L1713" s="1">
        <v>247</v>
      </c>
      <c r="M1713" s="1">
        <v>27</v>
      </c>
      <c r="N1713" s="1">
        <v>0</v>
      </c>
      <c r="O1713" s="1">
        <v>4</v>
      </c>
      <c r="P1713" s="2">
        <v>1</v>
      </c>
      <c r="Q1713" s="67">
        <v>19</v>
      </c>
    </row>
    <row r="1714" spans="1:17" x14ac:dyDescent="0.25">
      <c r="A1714" s="10">
        <v>273</v>
      </c>
      <c r="B1714" s="10">
        <v>30</v>
      </c>
      <c r="C1714" s="10">
        <v>3</v>
      </c>
      <c r="D1714" s="10">
        <v>1</v>
      </c>
      <c r="E1714" s="10">
        <v>22</v>
      </c>
      <c r="F1714" s="10">
        <v>22</v>
      </c>
      <c r="L1714" s="1">
        <v>248</v>
      </c>
      <c r="M1714" s="1">
        <v>27</v>
      </c>
      <c r="N1714" s="1">
        <v>0</v>
      </c>
      <c r="O1714" s="1">
        <v>4</v>
      </c>
      <c r="P1714" s="2">
        <v>1</v>
      </c>
      <c r="Q1714" s="68">
        <v>15</v>
      </c>
    </row>
    <row r="1715" spans="1:17" x14ac:dyDescent="0.25">
      <c r="A1715" s="10">
        <v>273</v>
      </c>
      <c r="B1715" s="10">
        <v>30</v>
      </c>
      <c r="C1715" s="10">
        <v>3</v>
      </c>
      <c r="D1715" s="10">
        <v>2</v>
      </c>
      <c r="E1715" s="10">
        <v>15</v>
      </c>
      <c r="F1715" s="10">
        <v>15</v>
      </c>
      <c r="L1715" s="1">
        <v>249</v>
      </c>
      <c r="M1715" s="1">
        <v>27</v>
      </c>
      <c r="N1715" s="1">
        <v>0</v>
      </c>
      <c r="O1715" s="1">
        <v>4</v>
      </c>
      <c r="P1715" s="2">
        <v>1</v>
      </c>
      <c r="Q1715" s="67">
        <v>16</v>
      </c>
    </row>
    <row r="1716" spans="1:17" x14ac:dyDescent="0.25">
      <c r="A1716" s="10">
        <v>273</v>
      </c>
      <c r="B1716" s="10">
        <v>30</v>
      </c>
      <c r="C1716" s="10">
        <v>2</v>
      </c>
      <c r="D1716" s="10">
        <v>1</v>
      </c>
      <c r="E1716" s="10">
        <v>11</v>
      </c>
      <c r="F1716" s="10">
        <v>11</v>
      </c>
      <c r="L1716" s="1">
        <v>250</v>
      </c>
      <c r="M1716" s="1">
        <v>27</v>
      </c>
      <c r="N1716" s="1">
        <v>0</v>
      </c>
      <c r="O1716" s="1">
        <v>4</v>
      </c>
      <c r="P1716" s="2">
        <v>1</v>
      </c>
      <c r="Q1716" s="68">
        <v>15</v>
      </c>
    </row>
    <row r="1717" spans="1:17" x14ac:dyDescent="0.25">
      <c r="A1717" s="10">
        <v>273</v>
      </c>
      <c r="B1717" s="10">
        <v>30</v>
      </c>
      <c r="C1717" s="10">
        <v>1</v>
      </c>
      <c r="D1717" s="10">
        <v>1</v>
      </c>
      <c r="E1717" s="10">
        <v>18</v>
      </c>
      <c r="F1717" s="10">
        <v>18</v>
      </c>
      <c r="L1717" s="1">
        <v>251</v>
      </c>
      <c r="M1717" s="1">
        <v>27</v>
      </c>
      <c r="N1717" s="1">
        <v>0</v>
      </c>
      <c r="O1717" s="1">
        <v>4</v>
      </c>
      <c r="P1717" s="2">
        <v>1</v>
      </c>
      <c r="Q1717" s="67">
        <v>18</v>
      </c>
    </row>
    <row r="1718" spans="1:17" x14ac:dyDescent="0.25">
      <c r="A1718" s="10">
        <v>273</v>
      </c>
      <c r="B1718" s="10">
        <v>30</v>
      </c>
      <c r="C1718" s="10">
        <v>1</v>
      </c>
      <c r="D1718" s="10">
        <v>2</v>
      </c>
      <c r="E1718" s="10">
        <v>14</v>
      </c>
      <c r="F1718" s="10">
        <v>14</v>
      </c>
      <c r="L1718" s="1">
        <v>252</v>
      </c>
      <c r="M1718" s="1">
        <v>27</v>
      </c>
      <c r="N1718" s="1">
        <v>0</v>
      </c>
      <c r="O1718" s="1">
        <v>4</v>
      </c>
      <c r="P1718" s="2">
        <v>1</v>
      </c>
      <c r="Q1718" s="68">
        <v>3</v>
      </c>
    </row>
    <row r="1719" spans="1:17" x14ac:dyDescent="0.25">
      <c r="A1719" s="10">
        <v>273</v>
      </c>
      <c r="B1719" s="10">
        <v>30</v>
      </c>
      <c r="C1719" s="10">
        <v>1</v>
      </c>
      <c r="D1719" s="10">
        <v>3</v>
      </c>
      <c r="E1719" s="10">
        <v>4</v>
      </c>
      <c r="F1719" s="10">
        <v>4</v>
      </c>
      <c r="L1719" s="1">
        <v>253</v>
      </c>
      <c r="M1719" s="1">
        <v>27</v>
      </c>
      <c r="N1719" s="1">
        <v>0</v>
      </c>
      <c r="O1719" s="1">
        <v>4</v>
      </c>
      <c r="P1719" s="2">
        <v>1</v>
      </c>
      <c r="Q1719" s="67">
        <v>22</v>
      </c>
    </row>
    <row r="1720" spans="1:17" x14ac:dyDescent="0.25">
      <c r="A1720" s="10">
        <v>273</v>
      </c>
      <c r="B1720" s="10">
        <v>30</v>
      </c>
      <c r="C1720" s="10">
        <v>2</v>
      </c>
      <c r="D1720" s="10">
        <v>2</v>
      </c>
      <c r="E1720" s="10">
        <v>13</v>
      </c>
      <c r="F1720" s="10">
        <v>13</v>
      </c>
      <c r="L1720" s="1">
        <v>254</v>
      </c>
      <c r="M1720" s="1">
        <v>27</v>
      </c>
      <c r="N1720" s="1">
        <v>0</v>
      </c>
      <c r="O1720" s="1">
        <v>4</v>
      </c>
      <c r="P1720" s="2">
        <v>1</v>
      </c>
      <c r="Q1720" s="68">
        <v>7</v>
      </c>
    </row>
    <row r="1721" spans="1:17" x14ac:dyDescent="0.25">
      <c r="A1721" s="10">
        <v>273</v>
      </c>
      <c r="B1721" s="10">
        <v>30</v>
      </c>
      <c r="C1721" s="10">
        <v>1</v>
      </c>
      <c r="D1721" s="10">
        <v>4</v>
      </c>
      <c r="E1721" s="10">
        <v>1</v>
      </c>
      <c r="F1721" s="10">
        <v>1</v>
      </c>
      <c r="L1721" s="1">
        <v>255</v>
      </c>
      <c r="M1721" s="1">
        <v>28</v>
      </c>
      <c r="N1721" s="1">
        <v>0</v>
      </c>
      <c r="O1721" s="1">
        <v>4</v>
      </c>
      <c r="P1721" s="2">
        <v>1</v>
      </c>
      <c r="Q1721" s="67">
        <v>2</v>
      </c>
    </row>
    <row r="1722" spans="1:17" x14ac:dyDescent="0.25">
      <c r="A1722" s="10">
        <v>273</v>
      </c>
      <c r="B1722" s="10">
        <v>30</v>
      </c>
      <c r="C1722" s="10">
        <v>2</v>
      </c>
      <c r="D1722" s="10">
        <v>3</v>
      </c>
      <c r="E1722" s="10">
        <v>3</v>
      </c>
      <c r="F1722" s="10">
        <v>3</v>
      </c>
      <c r="L1722" s="1">
        <v>256</v>
      </c>
      <c r="M1722" s="1">
        <v>28</v>
      </c>
      <c r="N1722" s="1">
        <v>0</v>
      </c>
      <c r="O1722" s="1">
        <v>4</v>
      </c>
      <c r="P1722" s="2">
        <v>1</v>
      </c>
      <c r="Q1722" s="68">
        <v>7</v>
      </c>
    </row>
    <row r="1723" spans="1:17" x14ac:dyDescent="0.25">
      <c r="A1723" s="10">
        <v>312</v>
      </c>
      <c r="B1723" s="10">
        <v>34</v>
      </c>
      <c r="C1723" s="10">
        <v>2</v>
      </c>
      <c r="D1723" s="10">
        <v>1</v>
      </c>
      <c r="E1723" s="10">
        <v>5</v>
      </c>
      <c r="F1723" s="10">
        <v>5</v>
      </c>
      <c r="L1723" s="1">
        <v>257</v>
      </c>
      <c r="M1723" s="1">
        <v>28</v>
      </c>
      <c r="N1723" s="1">
        <v>0</v>
      </c>
      <c r="O1723" s="1">
        <v>4</v>
      </c>
      <c r="P1723" s="2">
        <v>1</v>
      </c>
      <c r="Q1723" s="67">
        <v>15</v>
      </c>
    </row>
    <row r="1724" spans="1:17" x14ac:dyDescent="0.25">
      <c r="A1724" s="10">
        <v>312</v>
      </c>
      <c r="B1724" s="10">
        <v>34</v>
      </c>
      <c r="C1724" s="10">
        <v>2</v>
      </c>
      <c r="D1724" s="10">
        <v>2</v>
      </c>
      <c r="E1724" s="10">
        <v>3</v>
      </c>
      <c r="F1724" s="10">
        <v>3</v>
      </c>
      <c r="L1724" s="1">
        <v>258</v>
      </c>
      <c r="M1724" s="1">
        <v>28</v>
      </c>
      <c r="N1724" s="1">
        <v>0</v>
      </c>
      <c r="O1724" s="1">
        <v>4</v>
      </c>
      <c r="P1724" s="2">
        <v>1</v>
      </c>
      <c r="Q1724" s="68">
        <v>10</v>
      </c>
    </row>
    <row r="1725" spans="1:17" x14ac:dyDescent="0.25">
      <c r="A1725" s="10">
        <v>312</v>
      </c>
      <c r="B1725" s="10">
        <v>34</v>
      </c>
      <c r="C1725" s="10">
        <v>2</v>
      </c>
      <c r="D1725" s="10">
        <v>3</v>
      </c>
      <c r="E1725" s="10">
        <v>2</v>
      </c>
      <c r="F1725" s="10">
        <v>2</v>
      </c>
      <c r="L1725" s="1">
        <v>259</v>
      </c>
      <c r="M1725" s="1">
        <v>28</v>
      </c>
      <c r="N1725" s="1">
        <v>0</v>
      </c>
      <c r="O1725" s="1">
        <v>4</v>
      </c>
      <c r="P1725" s="2">
        <v>1</v>
      </c>
      <c r="Q1725" s="67">
        <v>16</v>
      </c>
    </row>
    <row r="1726" spans="1:17" x14ac:dyDescent="0.25">
      <c r="A1726" s="10">
        <v>312</v>
      </c>
      <c r="B1726" s="10">
        <v>34</v>
      </c>
      <c r="C1726" s="10">
        <v>2</v>
      </c>
      <c r="D1726" s="10">
        <v>4</v>
      </c>
      <c r="E1726" s="10">
        <v>2</v>
      </c>
      <c r="F1726" s="10">
        <v>2</v>
      </c>
      <c r="L1726" s="1">
        <v>260</v>
      </c>
      <c r="M1726" s="1">
        <v>28</v>
      </c>
      <c r="N1726" s="1">
        <v>0</v>
      </c>
      <c r="O1726" s="1">
        <v>4</v>
      </c>
      <c r="P1726" s="2">
        <v>1</v>
      </c>
      <c r="Q1726" s="68">
        <v>9</v>
      </c>
    </row>
    <row r="1727" spans="1:17" x14ac:dyDescent="0.25">
      <c r="A1727" s="10">
        <v>312</v>
      </c>
      <c r="B1727" s="10">
        <v>34</v>
      </c>
      <c r="C1727" s="10">
        <v>2</v>
      </c>
      <c r="D1727" s="10">
        <v>5</v>
      </c>
      <c r="E1727" s="10">
        <v>1</v>
      </c>
      <c r="F1727" s="10">
        <v>1</v>
      </c>
      <c r="L1727" s="1">
        <v>261</v>
      </c>
      <c r="M1727" s="1">
        <v>28</v>
      </c>
      <c r="N1727" s="1">
        <v>0</v>
      </c>
      <c r="O1727" s="1">
        <v>4</v>
      </c>
      <c r="P1727" s="2">
        <v>1</v>
      </c>
      <c r="Q1727" s="67">
        <v>18</v>
      </c>
    </row>
    <row r="1728" spans="1:17" x14ac:dyDescent="0.25">
      <c r="A1728" s="10">
        <v>312</v>
      </c>
      <c r="B1728" s="10">
        <v>34</v>
      </c>
      <c r="C1728" s="10">
        <v>2</v>
      </c>
      <c r="D1728" s="10">
        <v>6</v>
      </c>
      <c r="E1728" s="10">
        <v>2</v>
      </c>
      <c r="F1728" s="10">
        <v>2</v>
      </c>
      <c r="L1728" s="1">
        <v>262</v>
      </c>
      <c r="M1728" s="1">
        <v>28</v>
      </c>
      <c r="N1728" s="1">
        <v>0</v>
      </c>
      <c r="O1728" s="1">
        <v>4</v>
      </c>
      <c r="P1728" s="2">
        <v>1</v>
      </c>
      <c r="Q1728" s="68">
        <v>18</v>
      </c>
    </row>
    <row r="1729" spans="1:17" x14ac:dyDescent="0.25">
      <c r="A1729" s="10">
        <v>312</v>
      </c>
      <c r="B1729" s="10">
        <v>34</v>
      </c>
      <c r="C1729" s="10">
        <v>2</v>
      </c>
      <c r="D1729" s="10">
        <v>7</v>
      </c>
      <c r="E1729" s="10">
        <v>1</v>
      </c>
      <c r="F1729" s="10">
        <v>1</v>
      </c>
      <c r="L1729" s="1">
        <v>263</v>
      </c>
      <c r="M1729" s="1">
        <v>29</v>
      </c>
      <c r="N1729" s="1">
        <v>0</v>
      </c>
      <c r="O1729" s="1">
        <v>4</v>
      </c>
      <c r="P1729" s="2">
        <v>1</v>
      </c>
      <c r="Q1729" s="67">
        <v>16</v>
      </c>
    </row>
    <row r="1730" spans="1:17" x14ac:dyDescent="0.25">
      <c r="A1730" s="10">
        <v>312</v>
      </c>
      <c r="B1730" s="10">
        <v>34</v>
      </c>
      <c r="C1730" s="10">
        <v>2</v>
      </c>
      <c r="D1730" s="10">
        <v>8</v>
      </c>
      <c r="E1730" s="10">
        <v>4</v>
      </c>
      <c r="F1730" s="10">
        <v>4</v>
      </c>
      <c r="L1730" s="1">
        <v>264</v>
      </c>
      <c r="M1730" s="1">
        <v>29</v>
      </c>
      <c r="N1730" s="1">
        <v>0</v>
      </c>
      <c r="O1730" s="1">
        <v>4</v>
      </c>
      <c r="P1730" s="2">
        <v>1</v>
      </c>
      <c r="Q1730" s="68">
        <v>14</v>
      </c>
    </row>
    <row r="1731" spans="1:17" x14ac:dyDescent="0.25">
      <c r="A1731" s="10">
        <v>312</v>
      </c>
      <c r="B1731" s="10">
        <v>34</v>
      </c>
      <c r="C1731" s="10">
        <v>2</v>
      </c>
      <c r="D1731" s="10">
        <v>9</v>
      </c>
      <c r="E1731" s="10">
        <v>6</v>
      </c>
      <c r="F1731" s="10">
        <v>6</v>
      </c>
      <c r="L1731" s="1">
        <v>265</v>
      </c>
      <c r="M1731" s="1">
        <v>29</v>
      </c>
      <c r="N1731" s="1">
        <v>0</v>
      </c>
      <c r="O1731" s="1">
        <v>4</v>
      </c>
      <c r="P1731" s="2">
        <v>1</v>
      </c>
      <c r="Q1731" s="67">
        <v>16</v>
      </c>
    </row>
    <row r="1732" spans="1:17" x14ac:dyDescent="0.25">
      <c r="A1732" s="10">
        <v>13</v>
      </c>
      <c r="B1732" s="10">
        <v>2</v>
      </c>
      <c r="C1732" s="10">
        <v>1</v>
      </c>
      <c r="D1732" s="10">
        <v>1</v>
      </c>
      <c r="E1732" s="10">
        <v>463</v>
      </c>
      <c r="F1732" s="10">
        <v>463</v>
      </c>
      <c r="L1732" s="1">
        <v>266</v>
      </c>
      <c r="M1732" s="1">
        <v>29</v>
      </c>
      <c r="N1732" s="1">
        <v>0</v>
      </c>
      <c r="O1732" s="1">
        <v>4</v>
      </c>
      <c r="P1732" s="2">
        <v>1</v>
      </c>
      <c r="Q1732" s="68">
        <v>16</v>
      </c>
    </row>
    <row r="1733" spans="1:17" x14ac:dyDescent="0.25">
      <c r="A1733" s="10">
        <v>13</v>
      </c>
      <c r="B1733" s="10">
        <v>2</v>
      </c>
      <c r="C1733" s="10">
        <v>1</v>
      </c>
      <c r="D1733" s="10">
        <v>2</v>
      </c>
      <c r="E1733" s="10">
        <v>535</v>
      </c>
      <c r="F1733" s="10">
        <v>535</v>
      </c>
      <c r="L1733" s="1">
        <v>267</v>
      </c>
      <c r="M1733" s="1">
        <v>29</v>
      </c>
      <c r="N1733" s="1">
        <v>0</v>
      </c>
      <c r="O1733" s="1">
        <v>4</v>
      </c>
      <c r="P1733" s="2">
        <v>1</v>
      </c>
      <c r="Q1733" s="67">
        <v>13</v>
      </c>
    </row>
    <row r="1734" spans="1:17" x14ac:dyDescent="0.25">
      <c r="A1734" s="10">
        <v>13</v>
      </c>
      <c r="B1734" s="10">
        <v>2</v>
      </c>
      <c r="C1734" s="10">
        <v>1</v>
      </c>
      <c r="D1734" s="10">
        <v>3</v>
      </c>
      <c r="E1734" s="10">
        <v>5</v>
      </c>
      <c r="F1734" s="10">
        <v>5</v>
      </c>
      <c r="L1734" s="1">
        <v>268</v>
      </c>
      <c r="M1734" s="1">
        <v>29</v>
      </c>
      <c r="N1734" s="1">
        <v>0</v>
      </c>
      <c r="O1734" s="1">
        <v>4</v>
      </c>
      <c r="P1734" s="2">
        <v>1</v>
      </c>
      <c r="Q1734" s="68">
        <v>15</v>
      </c>
    </row>
    <row r="1735" spans="1:17" x14ac:dyDescent="0.25">
      <c r="A1735" s="10">
        <v>27</v>
      </c>
      <c r="B1735" s="10">
        <v>4</v>
      </c>
      <c r="C1735" s="10">
        <v>3</v>
      </c>
      <c r="D1735" s="10">
        <v>1</v>
      </c>
      <c r="E1735" s="10">
        <v>630</v>
      </c>
      <c r="F1735" s="10">
        <v>630</v>
      </c>
      <c r="L1735" s="1">
        <v>269</v>
      </c>
      <c r="M1735" s="1">
        <v>29</v>
      </c>
      <c r="N1735" s="1">
        <v>0</v>
      </c>
      <c r="O1735" s="1">
        <v>4</v>
      </c>
      <c r="P1735" s="2">
        <v>1</v>
      </c>
      <c r="Q1735" s="67">
        <v>17</v>
      </c>
    </row>
    <row r="1736" spans="1:17" x14ac:dyDescent="0.25">
      <c r="A1736" s="10">
        <v>37</v>
      </c>
      <c r="B1736" s="10">
        <v>5</v>
      </c>
      <c r="C1736" s="10">
        <v>3</v>
      </c>
      <c r="D1736" s="10">
        <v>1</v>
      </c>
      <c r="E1736" s="10">
        <v>6</v>
      </c>
      <c r="F1736" s="10">
        <v>6</v>
      </c>
      <c r="L1736" s="1">
        <v>270</v>
      </c>
      <c r="M1736" s="1">
        <v>29</v>
      </c>
      <c r="N1736" s="1">
        <v>0</v>
      </c>
      <c r="O1736" s="1">
        <v>4</v>
      </c>
      <c r="P1736" s="2">
        <v>1</v>
      </c>
      <c r="Q1736" s="68">
        <v>16</v>
      </c>
    </row>
    <row r="1737" spans="1:17" x14ac:dyDescent="0.25">
      <c r="A1737" s="10">
        <v>27</v>
      </c>
      <c r="B1737" s="10">
        <v>4</v>
      </c>
      <c r="C1737" s="10">
        <v>3</v>
      </c>
      <c r="D1737" s="10">
        <v>2</v>
      </c>
      <c r="E1737" s="10">
        <v>367</v>
      </c>
      <c r="F1737" s="10">
        <v>367</v>
      </c>
      <c r="L1737" s="1">
        <v>271</v>
      </c>
      <c r="M1737" s="1">
        <v>30</v>
      </c>
      <c r="N1737" s="1">
        <v>0</v>
      </c>
      <c r="O1737" s="1">
        <v>4</v>
      </c>
      <c r="P1737" s="2">
        <v>1</v>
      </c>
      <c r="Q1737" s="67">
        <v>11</v>
      </c>
    </row>
    <row r="1738" spans="1:17" x14ac:dyDescent="0.25">
      <c r="A1738" s="10">
        <v>335</v>
      </c>
      <c r="B1738" s="10">
        <v>36</v>
      </c>
      <c r="C1738" s="10">
        <v>2</v>
      </c>
      <c r="D1738" s="10">
        <v>2</v>
      </c>
      <c r="E1738" s="10">
        <v>15</v>
      </c>
      <c r="F1738" s="10">
        <v>15</v>
      </c>
      <c r="L1738" s="1">
        <v>272</v>
      </c>
      <c r="M1738" s="1">
        <v>30</v>
      </c>
      <c r="N1738" s="1">
        <v>0</v>
      </c>
      <c r="O1738" s="1">
        <v>4</v>
      </c>
      <c r="P1738" s="2">
        <v>1</v>
      </c>
      <c r="Q1738" s="68">
        <v>7</v>
      </c>
    </row>
    <row r="1739" spans="1:17" x14ac:dyDescent="0.25">
      <c r="A1739" s="10">
        <v>37</v>
      </c>
      <c r="B1739" s="10">
        <v>5</v>
      </c>
      <c r="C1739" s="10">
        <v>3</v>
      </c>
      <c r="D1739" s="10">
        <v>2</v>
      </c>
      <c r="E1739" s="10">
        <v>5</v>
      </c>
      <c r="F1739" s="10">
        <v>5</v>
      </c>
      <c r="L1739" s="1">
        <v>273</v>
      </c>
      <c r="M1739" s="1">
        <v>30</v>
      </c>
      <c r="N1739" s="1">
        <v>0</v>
      </c>
      <c r="O1739" s="1">
        <v>4</v>
      </c>
      <c r="P1739" s="2">
        <v>1</v>
      </c>
      <c r="Q1739" s="67">
        <v>9</v>
      </c>
    </row>
    <row r="1740" spans="1:17" x14ac:dyDescent="0.25">
      <c r="A1740" s="10">
        <v>17</v>
      </c>
      <c r="B1740" s="10">
        <v>2</v>
      </c>
      <c r="C1740" s="10">
        <v>3</v>
      </c>
      <c r="D1740" s="10">
        <v>10</v>
      </c>
      <c r="E1740" s="10">
        <v>7</v>
      </c>
      <c r="F1740" s="10">
        <v>7</v>
      </c>
      <c r="L1740" s="1">
        <v>274</v>
      </c>
      <c r="M1740" s="1">
        <v>30</v>
      </c>
      <c r="N1740" s="1">
        <v>0</v>
      </c>
      <c r="O1740" s="1">
        <v>4</v>
      </c>
      <c r="P1740" s="2">
        <v>1</v>
      </c>
      <c r="Q1740" s="68">
        <v>22</v>
      </c>
    </row>
    <row r="1741" spans="1:17" x14ac:dyDescent="0.25">
      <c r="A1741" s="10">
        <v>39</v>
      </c>
      <c r="B1741" s="10">
        <v>5</v>
      </c>
      <c r="C1741" s="10">
        <v>3</v>
      </c>
      <c r="D1741" s="10">
        <v>1</v>
      </c>
      <c r="E1741" s="10">
        <v>15</v>
      </c>
      <c r="F1741" s="10">
        <v>15</v>
      </c>
      <c r="L1741" s="1">
        <v>275</v>
      </c>
      <c r="M1741" s="1">
        <v>30</v>
      </c>
      <c r="N1741" s="1">
        <v>0</v>
      </c>
      <c r="O1741" s="1">
        <v>4</v>
      </c>
      <c r="P1741" s="2">
        <v>1</v>
      </c>
      <c r="Q1741" s="67">
        <v>15</v>
      </c>
    </row>
    <row r="1742" spans="1:17" x14ac:dyDescent="0.25">
      <c r="A1742" s="10">
        <v>39</v>
      </c>
      <c r="B1742" s="10">
        <v>5</v>
      </c>
      <c r="C1742" s="10">
        <v>3</v>
      </c>
      <c r="D1742" s="10">
        <v>2</v>
      </c>
      <c r="E1742" s="10">
        <v>6</v>
      </c>
      <c r="F1742" s="10">
        <v>6</v>
      </c>
      <c r="L1742" s="1">
        <v>276</v>
      </c>
      <c r="M1742" s="1">
        <v>30</v>
      </c>
      <c r="N1742" s="1">
        <v>0</v>
      </c>
      <c r="O1742" s="1">
        <v>4</v>
      </c>
      <c r="P1742" s="2">
        <v>1</v>
      </c>
      <c r="Q1742" s="68">
        <v>18</v>
      </c>
    </row>
    <row r="1743" spans="1:17" x14ac:dyDescent="0.25">
      <c r="A1743" s="10">
        <v>13</v>
      </c>
      <c r="B1743" s="10">
        <v>2</v>
      </c>
      <c r="C1743" s="10">
        <v>1</v>
      </c>
      <c r="D1743" s="10">
        <v>10</v>
      </c>
      <c r="E1743" s="10">
        <v>3</v>
      </c>
      <c r="F1743" s="10">
        <v>3</v>
      </c>
      <c r="L1743" s="1">
        <v>277</v>
      </c>
      <c r="M1743" s="1">
        <v>30</v>
      </c>
      <c r="N1743" s="1">
        <v>0</v>
      </c>
      <c r="O1743" s="1">
        <v>4</v>
      </c>
      <c r="P1743" s="2">
        <v>1</v>
      </c>
      <c r="Q1743" s="67">
        <v>18</v>
      </c>
    </row>
    <row r="1744" spans="1:17" x14ac:dyDescent="0.25">
      <c r="A1744" s="10">
        <v>332</v>
      </c>
      <c r="B1744" s="10">
        <v>36</v>
      </c>
      <c r="C1744" s="10">
        <v>2</v>
      </c>
      <c r="D1744" s="10">
        <v>1</v>
      </c>
      <c r="E1744" s="10">
        <v>6</v>
      </c>
      <c r="F1744" s="10">
        <v>6</v>
      </c>
      <c r="L1744" s="1">
        <v>278</v>
      </c>
      <c r="M1744" s="1">
        <v>30</v>
      </c>
      <c r="N1744" s="1">
        <v>0</v>
      </c>
      <c r="O1744" s="1">
        <v>4</v>
      </c>
      <c r="P1744" s="2">
        <v>1</v>
      </c>
      <c r="Q1744" s="68">
        <v>11</v>
      </c>
    </row>
    <row r="1745" spans="1:17" x14ac:dyDescent="0.25">
      <c r="A1745" s="10">
        <v>332</v>
      </c>
      <c r="B1745" s="10">
        <v>36</v>
      </c>
      <c r="C1745" s="10">
        <v>2</v>
      </c>
      <c r="D1745" s="10">
        <v>2</v>
      </c>
      <c r="E1745" s="10">
        <v>3</v>
      </c>
      <c r="F1745" s="10">
        <v>3</v>
      </c>
      <c r="L1745" s="1">
        <v>279</v>
      </c>
      <c r="M1745" s="1">
        <v>30</v>
      </c>
      <c r="N1745" s="1">
        <v>0</v>
      </c>
      <c r="O1745" s="1">
        <v>4</v>
      </c>
      <c r="P1745" s="2">
        <v>1</v>
      </c>
      <c r="Q1745" s="67">
        <v>8</v>
      </c>
    </row>
    <row r="1746" spans="1:17" x14ac:dyDescent="0.25">
      <c r="A1746" s="10">
        <v>13</v>
      </c>
      <c r="B1746" s="10">
        <v>2</v>
      </c>
      <c r="C1746" s="10">
        <v>2</v>
      </c>
      <c r="D1746" s="10">
        <v>1</v>
      </c>
      <c r="E1746" s="10">
        <v>463</v>
      </c>
      <c r="F1746" s="10">
        <v>463</v>
      </c>
      <c r="L1746" s="1">
        <v>280</v>
      </c>
      <c r="M1746" s="1">
        <v>30</v>
      </c>
      <c r="N1746" s="1">
        <v>0</v>
      </c>
      <c r="O1746" s="1">
        <v>4</v>
      </c>
      <c r="P1746" s="2">
        <v>1</v>
      </c>
      <c r="Q1746" s="68">
        <v>12</v>
      </c>
    </row>
    <row r="1747" spans="1:17" x14ac:dyDescent="0.25">
      <c r="A1747" s="10">
        <v>13</v>
      </c>
      <c r="B1747" s="10">
        <v>2</v>
      </c>
      <c r="C1747" s="10">
        <v>2</v>
      </c>
      <c r="D1747" s="10">
        <v>2</v>
      </c>
      <c r="E1747" s="10">
        <v>535</v>
      </c>
      <c r="F1747" s="10">
        <v>535</v>
      </c>
      <c r="L1747" s="1">
        <v>281</v>
      </c>
      <c r="M1747" s="1">
        <v>31</v>
      </c>
      <c r="N1747" s="1">
        <v>0</v>
      </c>
      <c r="O1747" s="1">
        <v>4</v>
      </c>
      <c r="P1747" s="2">
        <v>1</v>
      </c>
      <c r="Q1747" s="67">
        <v>19</v>
      </c>
    </row>
    <row r="1748" spans="1:17" x14ac:dyDescent="0.25">
      <c r="A1748" s="10">
        <v>13</v>
      </c>
      <c r="B1748" s="10">
        <v>2</v>
      </c>
      <c r="C1748" s="10">
        <v>2</v>
      </c>
      <c r="D1748" s="10">
        <v>10</v>
      </c>
      <c r="E1748" s="10">
        <v>4</v>
      </c>
      <c r="F1748" s="10">
        <v>4</v>
      </c>
      <c r="L1748" s="1">
        <v>282</v>
      </c>
      <c r="M1748" s="1">
        <v>31</v>
      </c>
      <c r="N1748" s="1">
        <v>0</v>
      </c>
      <c r="O1748" s="1">
        <v>4</v>
      </c>
      <c r="P1748" s="2">
        <v>1</v>
      </c>
      <c r="Q1748" s="68">
        <v>5</v>
      </c>
    </row>
    <row r="1749" spans="1:17" x14ac:dyDescent="0.25">
      <c r="A1749" s="10">
        <v>29</v>
      </c>
      <c r="B1749" s="10">
        <v>4</v>
      </c>
      <c r="C1749" s="10">
        <v>3</v>
      </c>
      <c r="D1749" s="10">
        <v>1</v>
      </c>
      <c r="E1749" s="10">
        <v>26</v>
      </c>
      <c r="F1749" s="10">
        <v>26</v>
      </c>
      <c r="L1749" s="1">
        <v>283</v>
      </c>
      <c r="M1749" s="1">
        <v>31</v>
      </c>
      <c r="N1749" s="1">
        <v>0</v>
      </c>
      <c r="O1749" s="1">
        <v>4</v>
      </c>
      <c r="P1749" s="2">
        <v>1</v>
      </c>
      <c r="Q1749" s="67">
        <v>9</v>
      </c>
    </row>
    <row r="1750" spans="1:17" x14ac:dyDescent="0.25">
      <c r="A1750" s="10">
        <v>29</v>
      </c>
      <c r="B1750" s="10">
        <v>4</v>
      </c>
      <c r="C1750" s="10">
        <v>3</v>
      </c>
      <c r="D1750" s="10">
        <v>2</v>
      </c>
      <c r="E1750" s="10">
        <v>23</v>
      </c>
      <c r="F1750" s="10">
        <v>23</v>
      </c>
      <c r="L1750" s="1">
        <v>284</v>
      </c>
      <c r="M1750" s="1">
        <v>31</v>
      </c>
      <c r="N1750" s="1">
        <v>0</v>
      </c>
      <c r="O1750" s="1">
        <v>4</v>
      </c>
      <c r="P1750" s="2">
        <v>1</v>
      </c>
      <c r="Q1750" s="68">
        <v>5</v>
      </c>
    </row>
    <row r="1751" spans="1:17" x14ac:dyDescent="0.25">
      <c r="A1751" s="10">
        <v>29</v>
      </c>
      <c r="B1751" s="10">
        <v>4</v>
      </c>
      <c r="C1751" s="10">
        <v>3</v>
      </c>
      <c r="D1751" s="10">
        <v>4</v>
      </c>
      <c r="E1751" s="10">
        <v>1</v>
      </c>
      <c r="F1751" s="10">
        <v>1</v>
      </c>
      <c r="L1751" s="1">
        <v>285</v>
      </c>
      <c r="M1751" s="1">
        <v>31</v>
      </c>
      <c r="N1751" s="1">
        <v>0</v>
      </c>
      <c r="O1751" s="1">
        <v>4</v>
      </c>
      <c r="P1751" s="2">
        <v>1</v>
      </c>
      <c r="Q1751" s="67">
        <v>8</v>
      </c>
    </row>
    <row r="1752" spans="1:17" x14ac:dyDescent="0.25">
      <c r="A1752" s="10">
        <v>331</v>
      </c>
      <c r="B1752" s="10">
        <v>36</v>
      </c>
      <c r="C1752" s="10">
        <v>3</v>
      </c>
      <c r="D1752" s="10">
        <v>1</v>
      </c>
      <c r="E1752" s="10">
        <v>5</v>
      </c>
      <c r="F1752" s="10">
        <v>5</v>
      </c>
      <c r="L1752" s="1">
        <v>286</v>
      </c>
      <c r="M1752" s="1">
        <v>31</v>
      </c>
      <c r="N1752" s="1">
        <v>0</v>
      </c>
      <c r="O1752" s="1">
        <v>4</v>
      </c>
      <c r="P1752" s="2">
        <v>1</v>
      </c>
      <c r="Q1752" s="68">
        <v>9</v>
      </c>
    </row>
    <row r="1753" spans="1:17" x14ac:dyDescent="0.25">
      <c r="A1753" s="10">
        <v>331</v>
      </c>
      <c r="B1753" s="10">
        <v>36</v>
      </c>
      <c r="C1753" s="10">
        <v>3</v>
      </c>
      <c r="D1753" s="10">
        <v>2</v>
      </c>
      <c r="E1753" s="10">
        <v>7</v>
      </c>
      <c r="F1753" s="10">
        <v>7</v>
      </c>
      <c r="L1753" s="1">
        <v>287</v>
      </c>
      <c r="M1753" s="1">
        <v>31</v>
      </c>
      <c r="N1753" s="1">
        <v>0</v>
      </c>
      <c r="O1753" s="1">
        <v>4</v>
      </c>
      <c r="P1753" s="2">
        <v>1</v>
      </c>
      <c r="Q1753" s="67">
        <v>14</v>
      </c>
    </row>
    <row r="1754" spans="1:17" x14ac:dyDescent="0.25">
      <c r="A1754" s="10">
        <v>3</v>
      </c>
      <c r="B1754" s="10">
        <v>1</v>
      </c>
      <c r="C1754" s="10">
        <v>2</v>
      </c>
      <c r="D1754" s="10">
        <v>2</v>
      </c>
      <c r="E1754" s="10">
        <v>7</v>
      </c>
      <c r="F1754" s="10">
        <v>7</v>
      </c>
      <c r="L1754" s="1">
        <v>288</v>
      </c>
      <c r="M1754" s="1">
        <v>31</v>
      </c>
      <c r="N1754" s="1">
        <v>0</v>
      </c>
      <c r="O1754" s="1">
        <v>4</v>
      </c>
      <c r="P1754" s="2">
        <v>1</v>
      </c>
      <c r="Q1754" s="68">
        <v>6</v>
      </c>
    </row>
    <row r="1755" spans="1:17" x14ac:dyDescent="0.25">
      <c r="A1755" s="10">
        <v>3</v>
      </c>
      <c r="B1755" s="10">
        <v>1</v>
      </c>
      <c r="C1755" s="10">
        <v>2</v>
      </c>
      <c r="D1755" s="10">
        <v>7</v>
      </c>
      <c r="E1755" s="10">
        <v>2</v>
      </c>
      <c r="F1755" s="10">
        <v>2</v>
      </c>
      <c r="L1755" s="1">
        <v>289</v>
      </c>
      <c r="M1755" s="1">
        <v>31</v>
      </c>
      <c r="N1755" s="1">
        <v>0</v>
      </c>
      <c r="O1755" s="1">
        <v>4</v>
      </c>
      <c r="P1755" s="2">
        <v>1</v>
      </c>
      <c r="Q1755" s="67">
        <v>2</v>
      </c>
    </row>
    <row r="1756" spans="1:17" x14ac:dyDescent="0.25">
      <c r="A1756" s="10">
        <v>3</v>
      </c>
      <c r="B1756" s="10">
        <v>1</v>
      </c>
      <c r="C1756" s="10">
        <v>1</v>
      </c>
      <c r="D1756" s="10">
        <v>1</v>
      </c>
      <c r="E1756" s="10">
        <v>15</v>
      </c>
      <c r="F1756" s="10">
        <v>15</v>
      </c>
      <c r="L1756" s="1">
        <v>290</v>
      </c>
      <c r="M1756" s="1">
        <v>31</v>
      </c>
      <c r="N1756" s="1">
        <v>0</v>
      </c>
      <c r="O1756" s="1">
        <v>4</v>
      </c>
      <c r="P1756" s="2">
        <v>1</v>
      </c>
      <c r="Q1756" s="68">
        <v>6</v>
      </c>
    </row>
    <row r="1757" spans="1:17" x14ac:dyDescent="0.25">
      <c r="A1757" s="10">
        <v>3</v>
      </c>
      <c r="B1757" s="10">
        <v>1</v>
      </c>
      <c r="C1757" s="10">
        <v>1</v>
      </c>
      <c r="D1757" s="10">
        <v>2</v>
      </c>
      <c r="E1757" s="10">
        <v>10</v>
      </c>
      <c r="F1757" s="10">
        <v>10</v>
      </c>
      <c r="L1757" s="1">
        <v>291</v>
      </c>
      <c r="M1757" s="1">
        <v>32</v>
      </c>
      <c r="N1757" s="1">
        <v>0</v>
      </c>
      <c r="O1757" s="1">
        <v>4</v>
      </c>
      <c r="P1757" s="2">
        <v>1</v>
      </c>
      <c r="Q1757" s="67">
        <v>7</v>
      </c>
    </row>
    <row r="1758" spans="1:17" x14ac:dyDescent="0.25">
      <c r="A1758" s="10">
        <v>3</v>
      </c>
      <c r="B1758" s="10">
        <v>1</v>
      </c>
      <c r="C1758" s="10">
        <v>1</v>
      </c>
      <c r="D1758" s="10">
        <v>7</v>
      </c>
      <c r="E1758" s="10">
        <v>3</v>
      </c>
      <c r="F1758" s="10">
        <v>3</v>
      </c>
      <c r="L1758" s="1">
        <v>292</v>
      </c>
      <c r="M1758" s="1">
        <v>32</v>
      </c>
      <c r="N1758" s="1">
        <v>0</v>
      </c>
      <c r="O1758" s="1">
        <v>4</v>
      </c>
      <c r="P1758" s="2">
        <v>1</v>
      </c>
      <c r="Q1758" s="68">
        <v>8</v>
      </c>
    </row>
    <row r="1759" spans="1:17" x14ac:dyDescent="0.25">
      <c r="A1759" s="10">
        <v>151</v>
      </c>
      <c r="B1759" s="10">
        <v>16</v>
      </c>
      <c r="C1759" s="10">
        <v>1</v>
      </c>
      <c r="D1759" s="10">
        <v>1</v>
      </c>
      <c r="E1759" s="10">
        <v>20</v>
      </c>
      <c r="F1759" s="10">
        <v>20</v>
      </c>
      <c r="L1759" s="1">
        <v>293</v>
      </c>
      <c r="M1759" s="1">
        <v>32</v>
      </c>
      <c r="N1759" s="1">
        <v>0</v>
      </c>
      <c r="O1759" s="1">
        <v>4</v>
      </c>
      <c r="P1759" s="2">
        <v>1</v>
      </c>
      <c r="Q1759" s="67">
        <v>12</v>
      </c>
    </row>
    <row r="1760" spans="1:17" x14ac:dyDescent="0.25">
      <c r="A1760" s="10">
        <v>151</v>
      </c>
      <c r="B1760" s="10">
        <v>16</v>
      </c>
      <c r="C1760" s="10">
        <v>1</v>
      </c>
      <c r="D1760" s="10">
        <v>2</v>
      </c>
      <c r="E1760" s="10">
        <v>13</v>
      </c>
      <c r="F1760" s="10">
        <v>13</v>
      </c>
      <c r="L1760" s="1">
        <v>294</v>
      </c>
      <c r="M1760" s="1">
        <v>32</v>
      </c>
      <c r="N1760" s="1">
        <v>0</v>
      </c>
      <c r="O1760" s="1">
        <v>4</v>
      </c>
      <c r="P1760" s="2">
        <v>1</v>
      </c>
      <c r="Q1760" s="68">
        <v>4</v>
      </c>
    </row>
    <row r="1761" spans="1:17" x14ac:dyDescent="0.25">
      <c r="A1761" s="10">
        <v>151</v>
      </c>
      <c r="B1761" s="10">
        <v>16</v>
      </c>
      <c r="C1761" s="10">
        <v>1</v>
      </c>
      <c r="D1761" s="10">
        <v>3</v>
      </c>
      <c r="E1761" s="10">
        <v>4</v>
      </c>
      <c r="F1761" s="10">
        <v>4</v>
      </c>
      <c r="L1761" s="1">
        <v>295</v>
      </c>
      <c r="M1761" s="1">
        <v>32</v>
      </c>
      <c r="N1761" s="1">
        <v>0</v>
      </c>
      <c r="O1761" s="1">
        <v>4</v>
      </c>
      <c r="P1761" s="2">
        <v>1</v>
      </c>
      <c r="Q1761" s="67">
        <v>3</v>
      </c>
    </row>
    <row r="1762" spans="1:17" x14ac:dyDescent="0.25">
      <c r="A1762" s="10">
        <v>151</v>
      </c>
      <c r="B1762" s="10">
        <v>16</v>
      </c>
      <c r="C1762" s="10">
        <v>1</v>
      </c>
      <c r="D1762" s="10">
        <v>4</v>
      </c>
      <c r="E1762" s="10">
        <v>7</v>
      </c>
      <c r="F1762" s="10">
        <v>7</v>
      </c>
      <c r="L1762" s="1">
        <v>296</v>
      </c>
      <c r="M1762" s="1">
        <v>32</v>
      </c>
      <c r="N1762" s="1">
        <v>0</v>
      </c>
      <c r="O1762" s="1">
        <v>4</v>
      </c>
      <c r="P1762" s="2">
        <v>1</v>
      </c>
      <c r="Q1762" s="68">
        <v>6</v>
      </c>
    </row>
    <row r="1763" spans="1:17" x14ac:dyDescent="0.25">
      <c r="A1763" s="10">
        <v>151</v>
      </c>
      <c r="B1763" s="10">
        <v>16</v>
      </c>
      <c r="C1763" s="10">
        <v>1</v>
      </c>
      <c r="D1763" s="10">
        <v>5</v>
      </c>
      <c r="E1763" s="10">
        <v>6</v>
      </c>
      <c r="F1763" s="10">
        <v>6</v>
      </c>
      <c r="L1763" s="1">
        <v>297</v>
      </c>
      <c r="M1763" s="1">
        <v>32</v>
      </c>
      <c r="N1763" s="1">
        <v>0</v>
      </c>
      <c r="O1763" s="1">
        <v>4</v>
      </c>
      <c r="P1763" s="2">
        <v>1</v>
      </c>
      <c r="Q1763" s="67">
        <v>8</v>
      </c>
    </row>
    <row r="1764" spans="1:17" x14ac:dyDescent="0.25">
      <c r="A1764" s="10">
        <v>266</v>
      </c>
      <c r="B1764" s="10">
        <v>29</v>
      </c>
      <c r="C1764" s="10">
        <v>1</v>
      </c>
      <c r="D1764" s="10">
        <v>1</v>
      </c>
      <c r="E1764" s="10">
        <v>26</v>
      </c>
      <c r="F1764" s="10">
        <v>26</v>
      </c>
      <c r="L1764" s="1">
        <v>298</v>
      </c>
      <c r="M1764" s="1">
        <v>32</v>
      </c>
      <c r="N1764" s="1">
        <v>0</v>
      </c>
      <c r="O1764" s="1">
        <v>4</v>
      </c>
      <c r="P1764" s="2">
        <v>1</v>
      </c>
      <c r="Q1764" s="68">
        <v>3</v>
      </c>
    </row>
    <row r="1765" spans="1:17" x14ac:dyDescent="0.25">
      <c r="A1765" s="10">
        <v>266</v>
      </c>
      <c r="B1765" s="10">
        <v>29</v>
      </c>
      <c r="C1765" s="10">
        <v>1</v>
      </c>
      <c r="D1765" s="10">
        <v>2</v>
      </c>
      <c r="E1765" s="10">
        <v>14</v>
      </c>
      <c r="F1765" s="10">
        <v>14</v>
      </c>
      <c r="L1765" s="1">
        <v>299</v>
      </c>
      <c r="M1765" s="1">
        <v>32</v>
      </c>
      <c r="N1765" s="1">
        <v>0</v>
      </c>
      <c r="O1765" s="1">
        <v>4</v>
      </c>
      <c r="P1765" s="2">
        <v>1</v>
      </c>
      <c r="Q1765" s="67">
        <v>8</v>
      </c>
    </row>
    <row r="1766" spans="1:17" x14ac:dyDescent="0.25">
      <c r="A1766" s="10">
        <v>266</v>
      </c>
      <c r="B1766" s="10">
        <v>29</v>
      </c>
      <c r="C1766" s="10">
        <v>1</v>
      </c>
      <c r="D1766" s="10">
        <v>3</v>
      </c>
      <c r="E1766" s="10">
        <v>10</v>
      </c>
      <c r="F1766" s="10">
        <v>10</v>
      </c>
      <c r="L1766" s="1">
        <v>300</v>
      </c>
      <c r="M1766" s="1">
        <v>32</v>
      </c>
      <c r="N1766" s="1">
        <v>0</v>
      </c>
      <c r="O1766" s="1">
        <v>4</v>
      </c>
      <c r="P1766" s="2">
        <v>1</v>
      </c>
      <c r="Q1766" s="68">
        <v>5</v>
      </c>
    </row>
    <row r="1767" spans="1:17" x14ac:dyDescent="0.25">
      <c r="A1767" s="10">
        <v>266</v>
      </c>
      <c r="B1767" s="10">
        <v>29</v>
      </c>
      <c r="C1767" s="10">
        <v>1</v>
      </c>
      <c r="D1767" s="10">
        <v>4</v>
      </c>
      <c r="E1767" s="10">
        <v>4</v>
      </c>
      <c r="F1767" s="10">
        <v>4</v>
      </c>
      <c r="L1767" s="1">
        <v>301</v>
      </c>
      <c r="M1767" s="1">
        <v>33</v>
      </c>
      <c r="N1767" s="1">
        <v>0</v>
      </c>
      <c r="O1767" s="1">
        <v>4</v>
      </c>
      <c r="P1767" s="2">
        <v>1</v>
      </c>
      <c r="Q1767" s="67">
        <v>4</v>
      </c>
    </row>
    <row r="1768" spans="1:17" x14ac:dyDescent="0.25">
      <c r="A1768" s="10">
        <v>153</v>
      </c>
      <c r="B1768" s="10">
        <v>17</v>
      </c>
      <c r="C1768" s="10">
        <v>2</v>
      </c>
      <c r="D1768" s="10">
        <v>1</v>
      </c>
      <c r="E1768" s="10">
        <v>20</v>
      </c>
      <c r="F1768" s="10">
        <v>20</v>
      </c>
      <c r="L1768" s="1">
        <v>302</v>
      </c>
      <c r="M1768" s="1">
        <v>33</v>
      </c>
      <c r="N1768" s="1">
        <v>0</v>
      </c>
      <c r="O1768" s="1">
        <v>4</v>
      </c>
      <c r="P1768" s="2">
        <v>1</v>
      </c>
      <c r="Q1768" s="68">
        <v>6</v>
      </c>
    </row>
    <row r="1769" spans="1:17" x14ac:dyDescent="0.25">
      <c r="A1769" s="10">
        <v>153</v>
      </c>
      <c r="B1769" s="10">
        <v>17</v>
      </c>
      <c r="C1769" s="10">
        <v>2</v>
      </c>
      <c r="D1769" s="10">
        <v>2</v>
      </c>
      <c r="E1769" s="10">
        <v>15</v>
      </c>
      <c r="F1769" s="10">
        <v>15</v>
      </c>
      <c r="L1769" s="1">
        <v>303</v>
      </c>
      <c r="M1769" s="1">
        <v>33</v>
      </c>
      <c r="N1769" s="1">
        <v>0</v>
      </c>
      <c r="O1769" s="1">
        <v>4</v>
      </c>
      <c r="P1769" s="2">
        <v>1</v>
      </c>
      <c r="Q1769" s="67">
        <v>3</v>
      </c>
    </row>
    <row r="1770" spans="1:17" x14ac:dyDescent="0.25">
      <c r="A1770" s="10">
        <v>153</v>
      </c>
      <c r="B1770" s="10">
        <v>17</v>
      </c>
      <c r="C1770" s="10">
        <v>2</v>
      </c>
      <c r="D1770" s="10">
        <v>3</v>
      </c>
      <c r="E1770" s="10">
        <v>5</v>
      </c>
      <c r="F1770" s="10">
        <v>5</v>
      </c>
      <c r="L1770" s="1">
        <v>304</v>
      </c>
      <c r="M1770" s="1">
        <v>33</v>
      </c>
      <c r="N1770" s="1">
        <v>0</v>
      </c>
      <c r="O1770" s="1">
        <v>4</v>
      </c>
      <c r="P1770" s="2">
        <v>1</v>
      </c>
      <c r="Q1770" s="68">
        <v>4</v>
      </c>
    </row>
    <row r="1771" spans="1:17" x14ac:dyDescent="0.25">
      <c r="A1771" s="10">
        <v>32</v>
      </c>
      <c r="B1771" s="10">
        <v>4</v>
      </c>
      <c r="C1771" s="10">
        <v>3</v>
      </c>
      <c r="D1771" s="10">
        <v>1</v>
      </c>
      <c r="E1771" s="10">
        <v>86</v>
      </c>
      <c r="F1771" s="10">
        <v>86</v>
      </c>
      <c r="L1771" s="1">
        <v>305</v>
      </c>
      <c r="M1771" s="1">
        <v>33</v>
      </c>
      <c r="N1771" s="1">
        <v>0</v>
      </c>
      <c r="O1771" s="1">
        <v>4</v>
      </c>
      <c r="P1771" s="2">
        <v>1</v>
      </c>
      <c r="Q1771" s="67">
        <v>5</v>
      </c>
    </row>
    <row r="1772" spans="1:17" x14ac:dyDescent="0.25">
      <c r="A1772" s="10">
        <v>32</v>
      </c>
      <c r="B1772" s="10">
        <v>4</v>
      </c>
      <c r="C1772" s="10">
        <v>3</v>
      </c>
      <c r="D1772" s="10">
        <v>2</v>
      </c>
      <c r="E1772" s="10">
        <v>5</v>
      </c>
      <c r="F1772" s="10">
        <v>5</v>
      </c>
      <c r="L1772" s="1">
        <v>306</v>
      </c>
      <c r="M1772" s="1">
        <v>33</v>
      </c>
      <c r="N1772" s="1">
        <v>0</v>
      </c>
      <c r="O1772" s="1">
        <v>4</v>
      </c>
      <c r="P1772" s="2">
        <v>1</v>
      </c>
      <c r="Q1772" s="68">
        <v>5</v>
      </c>
    </row>
    <row r="1773" spans="1:17" x14ac:dyDescent="0.25">
      <c r="A1773" s="10">
        <v>251</v>
      </c>
      <c r="B1773" s="10">
        <v>27</v>
      </c>
      <c r="C1773" s="10">
        <v>3</v>
      </c>
      <c r="D1773" s="10">
        <v>4</v>
      </c>
      <c r="E1773" s="10">
        <v>3</v>
      </c>
      <c r="F1773" s="10">
        <v>3</v>
      </c>
      <c r="L1773" s="1">
        <v>307</v>
      </c>
      <c r="M1773" s="1">
        <v>33</v>
      </c>
      <c r="N1773" s="1">
        <v>0</v>
      </c>
      <c r="O1773" s="1">
        <v>4</v>
      </c>
      <c r="P1773" s="2">
        <v>1</v>
      </c>
      <c r="Q1773" s="67">
        <v>5</v>
      </c>
    </row>
    <row r="1774" spans="1:17" x14ac:dyDescent="0.25">
      <c r="A1774" s="10">
        <v>435</v>
      </c>
      <c r="B1774" s="10">
        <v>47</v>
      </c>
      <c r="C1774" s="10">
        <v>3</v>
      </c>
      <c r="D1774" s="10">
        <v>1</v>
      </c>
      <c r="E1774" s="10">
        <v>9</v>
      </c>
      <c r="F1774" s="10">
        <v>9</v>
      </c>
      <c r="L1774" s="1">
        <v>308</v>
      </c>
      <c r="M1774" s="1">
        <v>33</v>
      </c>
      <c r="N1774" s="1">
        <v>0</v>
      </c>
      <c r="O1774" s="1">
        <v>4</v>
      </c>
      <c r="P1774" s="2">
        <v>1</v>
      </c>
      <c r="Q1774" s="68">
        <v>5</v>
      </c>
    </row>
    <row r="1775" spans="1:17" x14ac:dyDescent="0.25">
      <c r="A1775" s="10">
        <v>435</v>
      </c>
      <c r="B1775" s="10">
        <v>47</v>
      </c>
      <c r="C1775" s="10">
        <v>3</v>
      </c>
      <c r="D1775" s="10">
        <v>2</v>
      </c>
      <c r="E1775" s="10">
        <v>4</v>
      </c>
      <c r="F1775" s="10">
        <v>4</v>
      </c>
      <c r="L1775" s="1">
        <v>309</v>
      </c>
      <c r="M1775" s="1">
        <v>33</v>
      </c>
      <c r="N1775" s="1">
        <v>0</v>
      </c>
      <c r="O1775" s="1">
        <v>4</v>
      </c>
      <c r="P1775" s="2">
        <v>1</v>
      </c>
      <c r="Q1775" s="67">
        <v>4</v>
      </c>
    </row>
    <row r="1776" spans="1:17" x14ac:dyDescent="0.25">
      <c r="A1776" s="10">
        <v>153</v>
      </c>
      <c r="B1776" s="10">
        <v>17</v>
      </c>
      <c r="C1776" s="10">
        <v>3</v>
      </c>
      <c r="D1776" s="10">
        <v>1</v>
      </c>
      <c r="E1776" s="10">
        <v>74</v>
      </c>
      <c r="F1776" s="10">
        <v>74</v>
      </c>
      <c r="L1776" s="1">
        <v>310</v>
      </c>
      <c r="M1776" s="1">
        <v>33</v>
      </c>
      <c r="N1776" s="1">
        <v>0</v>
      </c>
      <c r="O1776" s="1">
        <v>4</v>
      </c>
      <c r="P1776" s="2">
        <v>1</v>
      </c>
      <c r="Q1776" s="68">
        <v>8</v>
      </c>
    </row>
    <row r="1777" spans="1:17" x14ac:dyDescent="0.25">
      <c r="A1777" s="10">
        <v>153</v>
      </c>
      <c r="B1777" s="10">
        <v>17</v>
      </c>
      <c r="C1777" s="10">
        <v>3</v>
      </c>
      <c r="D1777" s="10">
        <v>2</v>
      </c>
      <c r="E1777" s="10">
        <v>58</v>
      </c>
      <c r="F1777" s="10">
        <v>58</v>
      </c>
      <c r="L1777" s="1">
        <v>311</v>
      </c>
      <c r="M1777" s="1">
        <v>34</v>
      </c>
      <c r="N1777" s="1">
        <v>0</v>
      </c>
      <c r="O1777" s="1">
        <v>4</v>
      </c>
      <c r="P1777" s="2">
        <v>1</v>
      </c>
      <c r="Q1777" s="67">
        <v>7</v>
      </c>
    </row>
    <row r="1778" spans="1:17" x14ac:dyDescent="0.25">
      <c r="A1778" s="10">
        <v>249</v>
      </c>
      <c r="B1778" s="10">
        <v>27</v>
      </c>
      <c r="C1778" s="10">
        <v>3</v>
      </c>
      <c r="D1778" s="10">
        <v>1</v>
      </c>
      <c r="E1778" s="10">
        <v>21</v>
      </c>
      <c r="F1778" s="10">
        <v>21</v>
      </c>
      <c r="L1778" s="1">
        <v>312</v>
      </c>
      <c r="M1778" s="1">
        <v>34</v>
      </c>
      <c r="N1778" s="1">
        <v>0</v>
      </c>
      <c r="O1778" s="1">
        <v>4</v>
      </c>
      <c r="P1778" s="2">
        <v>1</v>
      </c>
      <c r="Q1778" s="68">
        <v>6</v>
      </c>
    </row>
    <row r="1779" spans="1:17" x14ac:dyDescent="0.25">
      <c r="A1779" s="10">
        <v>153</v>
      </c>
      <c r="B1779" s="10">
        <v>17</v>
      </c>
      <c r="C1779" s="10">
        <v>3</v>
      </c>
      <c r="D1779" s="10">
        <v>3</v>
      </c>
      <c r="E1779" s="10">
        <v>17</v>
      </c>
      <c r="F1779" s="10">
        <v>17</v>
      </c>
      <c r="L1779" s="1">
        <v>313</v>
      </c>
      <c r="M1779" s="1">
        <v>34</v>
      </c>
      <c r="N1779" s="1">
        <v>0</v>
      </c>
      <c r="O1779" s="1">
        <v>4</v>
      </c>
      <c r="P1779" s="2">
        <v>1</v>
      </c>
      <c r="Q1779" s="67">
        <v>9</v>
      </c>
    </row>
    <row r="1780" spans="1:17" x14ac:dyDescent="0.25">
      <c r="A1780" s="10">
        <v>249</v>
      </c>
      <c r="B1780" s="10">
        <v>27</v>
      </c>
      <c r="C1780" s="10">
        <v>3</v>
      </c>
      <c r="D1780" s="10">
        <v>2</v>
      </c>
      <c r="E1780" s="10">
        <v>8</v>
      </c>
      <c r="F1780" s="10">
        <v>8</v>
      </c>
      <c r="L1780" s="1">
        <v>314</v>
      </c>
      <c r="M1780" s="1">
        <v>34</v>
      </c>
      <c r="N1780" s="1">
        <v>0</v>
      </c>
      <c r="O1780" s="1">
        <v>4</v>
      </c>
      <c r="P1780" s="2">
        <v>1</v>
      </c>
      <c r="Q1780" s="68">
        <v>4</v>
      </c>
    </row>
    <row r="1781" spans="1:17" x14ac:dyDescent="0.25">
      <c r="A1781" s="10">
        <v>249</v>
      </c>
      <c r="B1781" s="10">
        <v>27</v>
      </c>
      <c r="C1781" s="10">
        <v>3</v>
      </c>
      <c r="D1781" s="10">
        <v>6</v>
      </c>
      <c r="E1781" s="10">
        <v>1</v>
      </c>
      <c r="F1781" s="10">
        <v>1</v>
      </c>
      <c r="L1781" s="1">
        <v>315</v>
      </c>
      <c r="M1781" s="1">
        <v>34</v>
      </c>
      <c r="N1781" s="1">
        <v>0</v>
      </c>
      <c r="O1781" s="1">
        <v>4</v>
      </c>
      <c r="P1781" s="2">
        <v>1</v>
      </c>
      <c r="Q1781" s="67">
        <v>6</v>
      </c>
    </row>
    <row r="1782" spans="1:17" x14ac:dyDescent="0.25">
      <c r="A1782" s="10">
        <v>433</v>
      </c>
      <c r="B1782" s="10">
        <v>47</v>
      </c>
      <c r="C1782" s="10">
        <v>3</v>
      </c>
      <c r="D1782" s="10">
        <v>1</v>
      </c>
      <c r="E1782" s="10">
        <v>9</v>
      </c>
      <c r="F1782" s="10">
        <v>9</v>
      </c>
      <c r="L1782" s="1">
        <v>316</v>
      </c>
      <c r="M1782" s="1">
        <v>34</v>
      </c>
      <c r="N1782" s="1">
        <v>0</v>
      </c>
      <c r="O1782" s="1">
        <v>4</v>
      </c>
      <c r="P1782" s="2">
        <v>1</v>
      </c>
      <c r="Q1782" s="68">
        <v>6</v>
      </c>
    </row>
    <row r="1783" spans="1:17" x14ac:dyDescent="0.25">
      <c r="A1783" s="10">
        <v>153</v>
      </c>
      <c r="B1783" s="10">
        <v>17</v>
      </c>
      <c r="C1783" s="10">
        <v>1</v>
      </c>
      <c r="D1783" s="10">
        <v>1</v>
      </c>
      <c r="E1783" s="10">
        <v>74</v>
      </c>
      <c r="F1783" s="10">
        <v>74</v>
      </c>
      <c r="L1783" s="1">
        <v>317</v>
      </c>
      <c r="M1783" s="1">
        <v>34</v>
      </c>
      <c r="N1783" s="1">
        <v>0</v>
      </c>
      <c r="O1783" s="1">
        <v>4</v>
      </c>
      <c r="P1783" s="2">
        <v>1</v>
      </c>
      <c r="Q1783" s="67">
        <v>17</v>
      </c>
    </row>
    <row r="1784" spans="1:17" x14ac:dyDescent="0.25">
      <c r="A1784" s="10">
        <v>201</v>
      </c>
      <c r="B1784" s="10">
        <v>22</v>
      </c>
      <c r="C1784" s="10">
        <v>3</v>
      </c>
      <c r="D1784" s="10">
        <v>2</v>
      </c>
      <c r="E1784" s="10">
        <v>1</v>
      </c>
      <c r="F1784" s="10">
        <v>1</v>
      </c>
      <c r="L1784" s="1">
        <v>318</v>
      </c>
      <c r="M1784" s="1">
        <v>34</v>
      </c>
      <c r="N1784" s="1">
        <v>0</v>
      </c>
      <c r="O1784" s="1">
        <v>4</v>
      </c>
      <c r="P1784" s="2">
        <v>1</v>
      </c>
      <c r="Q1784" s="68">
        <v>8</v>
      </c>
    </row>
    <row r="1785" spans="1:17" x14ac:dyDescent="0.25">
      <c r="A1785" s="10">
        <v>247</v>
      </c>
      <c r="B1785" s="10">
        <v>27</v>
      </c>
      <c r="C1785" s="10">
        <v>3</v>
      </c>
      <c r="D1785" s="10">
        <v>6</v>
      </c>
      <c r="E1785" s="10">
        <v>4</v>
      </c>
      <c r="F1785" s="10">
        <v>4</v>
      </c>
      <c r="L1785" s="1">
        <v>319</v>
      </c>
      <c r="M1785" s="1">
        <v>34</v>
      </c>
      <c r="N1785" s="1">
        <v>0</v>
      </c>
      <c r="O1785" s="1">
        <v>4</v>
      </c>
      <c r="P1785" s="2">
        <v>1</v>
      </c>
      <c r="Q1785" s="67">
        <v>12</v>
      </c>
    </row>
    <row r="1786" spans="1:17" x14ac:dyDescent="0.25">
      <c r="A1786" s="10">
        <v>153</v>
      </c>
      <c r="B1786" s="10">
        <v>17</v>
      </c>
      <c r="C1786" s="10">
        <v>1</v>
      </c>
      <c r="D1786" s="10">
        <v>2</v>
      </c>
      <c r="E1786" s="10">
        <v>59</v>
      </c>
      <c r="F1786" s="10">
        <v>59</v>
      </c>
      <c r="L1786" s="1">
        <v>320</v>
      </c>
      <c r="M1786" s="1">
        <v>34</v>
      </c>
      <c r="N1786" s="1">
        <v>0</v>
      </c>
      <c r="O1786" s="1">
        <v>4</v>
      </c>
      <c r="P1786" s="2">
        <v>1</v>
      </c>
      <c r="Q1786" s="68">
        <v>4</v>
      </c>
    </row>
    <row r="1787" spans="1:17" x14ac:dyDescent="0.25">
      <c r="A1787" s="10">
        <v>153</v>
      </c>
      <c r="B1787" s="10">
        <v>17</v>
      </c>
      <c r="C1787" s="10">
        <v>1</v>
      </c>
      <c r="D1787" s="10">
        <v>3</v>
      </c>
      <c r="E1787" s="10">
        <v>18</v>
      </c>
      <c r="F1787" s="10">
        <v>18</v>
      </c>
      <c r="L1787" s="1">
        <v>321</v>
      </c>
      <c r="M1787" s="1">
        <v>35</v>
      </c>
      <c r="N1787" s="1">
        <v>0</v>
      </c>
      <c r="O1787" s="1">
        <v>4</v>
      </c>
      <c r="P1787" s="2">
        <v>1</v>
      </c>
      <c r="Q1787" s="67">
        <v>5</v>
      </c>
    </row>
    <row r="1788" spans="1:17" x14ac:dyDescent="0.25">
      <c r="A1788" s="10">
        <v>127</v>
      </c>
      <c r="B1788" s="10">
        <v>14</v>
      </c>
      <c r="C1788" s="10">
        <v>3</v>
      </c>
      <c r="D1788" s="10">
        <v>1</v>
      </c>
      <c r="E1788" s="10">
        <v>61</v>
      </c>
      <c r="F1788" s="10">
        <v>61</v>
      </c>
      <c r="L1788" s="1">
        <v>322</v>
      </c>
      <c r="M1788" s="1">
        <v>35</v>
      </c>
      <c r="N1788" s="1">
        <v>0</v>
      </c>
      <c r="O1788" s="1">
        <v>4</v>
      </c>
      <c r="P1788" s="2">
        <v>1</v>
      </c>
      <c r="Q1788" s="68">
        <v>5</v>
      </c>
    </row>
    <row r="1789" spans="1:17" x14ac:dyDescent="0.25">
      <c r="A1789" s="10">
        <v>65</v>
      </c>
      <c r="B1789" s="10">
        <v>7</v>
      </c>
      <c r="C1789" s="10">
        <v>3</v>
      </c>
      <c r="D1789" s="10">
        <v>1</v>
      </c>
      <c r="E1789" s="10">
        <v>8</v>
      </c>
      <c r="F1789" s="10">
        <v>8</v>
      </c>
      <c r="L1789" s="1">
        <v>323</v>
      </c>
      <c r="M1789" s="1">
        <v>35</v>
      </c>
      <c r="N1789" s="1">
        <v>0</v>
      </c>
      <c r="O1789" s="1">
        <v>4</v>
      </c>
      <c r="P1789" s="2">
        <v>1</v>
      </c>
      <c r="Q1789" s="67">
        <v>6</v>
      </c>
    </row>
    <row r="1790" spans="1:17" x14ac:dyDescent="0.25">
      <c r="A1790" s="10">
        <v>437</v>
      </c>
      <c r="B1790" s="10">
        <v>47</v>
      </c>
      <c r="C1790" s="10">
        <v>3</v>
      </c>
      <c r="D1790" s="10">
        <v>2</v>
      </c>
      <c r="E1790" s="10">
        <v>32</v>
      </c>
      <c r="F1790" s="10">
        <v>32</v>
      </c>
      <c r="L1790" s="1">
        <v>324</v>
      </c>
      <c r="M1790" s="1">
        <v>35</v>
      </c>
      <c r="N1790" s="1">
        <v>0</v>
      </c>
      <c r="O1790" s="1">
        <v>4</v>
      </c>
      <c r="P1790" s="2">
        <v>1</v>
      </c>
      <c r="Q1790" s="68">
        <v>4</v>
      </c>
    </row>
    <row r="1791" spans="1:17" x14ac:dyDescent="0.25">
      <c r="A1791" s="10">
        <v>65</v>
      </c>
      <c r="B1791" s="10">
        <v>7</v>
      </c>
      <c r="C1791" s="10">
        <v>2</v>
      </c>
      <c r="D1791" s="10">
        <v>1</v>
      </c>
      <c r="E1791" s="10">
        <v>10</v>
      </c>
      <c r="F1791" s="10">
        <v>10</v>
      </c>
      <c r="L1791" s="1">
        <v>325</v>
      </c>
      <c r="M1791" s="1">
        <v>35</v>
      </c>
      <c r="N1791" s="1">
        <v>0</v>
      </c>
      <c r="O1791" s="1">
        <v>4</v>
      </c>
      <c r="P1791" s="2">
        <v>1</v>
      </c>
      <c r="Q1791" s="67">
        <v>3</v>
      </c>
    </row>
    <row r="1792" spans="1:17" x14ac:dyDescent="0.25">
      <c r="A1792" s="10">
        <v>65</v>
      </c>
      <c r="B1792" s="10">
        <v>7</v>
      </c>
      <c r="C1792" s="10">
        <v>3</v>
      </c>
      <c r="D1792" s="10">
        <v>2</v>
      </c>
      <c r="E1792" s="10">
        <v>7</v>
      </c>
      <c r="F1792" s="10">
        <v>7</v>
      </c>
      <c r="L1792" s="1">
        <v>326</v>
      </c>
      <c r="M1792" s="1">
        <v>35</v>
      </c>
      <c r="N1792" s="1">
        <v>0</v>
      </c>
      <c r="O1792" s="1">
        <v>4</v>
      </c>
      <c r="P1792" s="2">
        <v>1</v>
      </c>
      <c r="Q1792" s="68">
        <v>3</v>
      </c>
    </row>
    <row r="1793" spans="1:17" x14ac:dyDescent="0.25">
      <c r="A1793" s="10">
        <v>65</v>
      </c>
      <c r="B1793" s="10">
        <v>7</v>
      </c>
      <c r="C1793" s="10">
        <v>2</v>
      </c>
      <c r="D1793" s="10">
        <v>2</v>
      </c>
      <c r="E1793" s="10">
        <v>5</v>
      </c>
      <c r="F1793" s="10">
        <v>5</v>
      </c>
      <c r="L1793" s="1">
        <v>327</v>
      </c>
      <c r="M1793" s="1">
        <v>35</v>
      </c>
      <c r="N1793" s="1">
        <v>0</v>
      </c>
      <c r="O1793" s="1">
        <v>4</v>
      </c>
      <c r="P1793" s="2">
        <v>1</v>
      </c>
      <c r="Q1793" s="67">
        <v>3</v>
      </c>
    </row>
    <row r="1794" spans="1:17" x14ac:dyDescent="0.25">
      <c r="A1794" s="10">
        <v>65</v>
      </c>
      <c r="B1794" s="10">
        <v>7</v>
      </c>
      <c r="C1794" s="10">
        <v>2</v>
      </c>
      <c r="D1794" s="10">
        <v>3</v>
      </c>
      <c r="E1794" s="10">
        <v>1</v>
      </c>
      <c r="F1794" s="10">
        <v>1</v>
      </c>
      <c r="L1794" s="1">
        <v>328</v>
      </c>
      <c r="M1794" s="1">
        <v>35</v>
      </c>
      <c r="N1794" s="1">
        <v>0</v>
      </c>
      <c r="O1794" s="1">
        <v>4</v>
      </c>
      <c r="P1794" s="2">
        <v>1</v>
      </c>
      <c r="Q1794" s="68">
        <v>2</v>
      </c>
    </row>
    <row r="1795" spans="1:17" x14ac:dyDescent="0.25">
      <c r="A1795" s="10">
        <v>65</v>
      </c>
      <c r="B1795" s="10">
        <v>7</v>
      </c>
      <c r="C1795" s="10">
        <v>2</v>
      </c>
      <c r="D1795" s="10">
        <v>4</v>
      </c>
      <c r="E1795" s="10">
        <v>2</v>
      </c>
      <c r="F1795" s="10">
        <v>2</v>
      </c>
      <c r="L1795" s="1">
        <v>329</v>
      </c>
      <c r="M1795" s="1">
        <v>35</v>
      </c>
      <c r="N1795" s="1">
        <v>0</v>
      </c>
      <c r="O1795" s="1">
        <v>4</v>
      </c>
      <c r="P1795" s="2">
        <v>1</v>
      </c>
      <c r="Q1795" s="67">
        <v>9</v>
      </c>
    </row>
    <row r="1796" spans="1:17" x14ac:dyDescent="0.25">
      <c r="A1796" s="10">
        <v>65</v>
      </c>
      <c r="B1796" s="10">
        <v>7</v>
      </c>
      <c r="C1796" s="10">
        <v>3</v>
      </c>
      <c r="D1796" s="10">
        <v>6</v>
      </c>
      <c r="E1796" s="10">
        <v>1</v>
      </c>
      <c r="F1796" s="10">
        <v>1</v>
      </c>
      <c r="L1796" s="1">
        <v>330</v>
      </c>
      <c r="M1796" s="1">
        <v>35</v>
      </c>
      <c r="N1796" s="1">
        <v>0</v>
      </c>
      <c r="O1796" s="1">
        <v>4</v>
      </c>
      <c r="P1796" s="2">
        <v>1</v>
      </c>
      <c r="Q1796" s="68">
        <v>8</v>
      </c>
    </row>
    <row r="1797" spans="1:17" x14ac:dyDescent="0.25">
      <c r="A1797" s="10">
        <v>179</v>
      </c>
      <c r="B1797" s="10">
        <v>19</v>
      </c>
      <c r="C1797" s="10">
        <v>2</v>
      </c>
      <c r="D1797" s="10">
        <v>1</v>
      </c>
      <c r="E1797" s="10">
        <v>13</v>
      </c>
      <c r="F1797" s="10">
        <v>13</v>
      </c>
      <c r="L1797" s="1">
        <v>331</v>
      </c>
      <c r="M1797" s="1">
        <v>36</v>
      </c>
      <c r="N1797" s="1">
        <v>0</v>
      </c>
      <c r="O1797" s="1">
        <v>4</v>
      </c>
      <c r="P1797" s="2">
        <v>1</v>
      </c>
      <c r="Q1797" s="67">
        <v>7</v>
      </c>
    </row>
    <row r="1798" spans="1:17" x14ac:dyDescent="0.25">
      <c r="A1798" s="10">
        <v>343</v>
      </c>
      <c r="B1798" s="10">
        <v>37</v>
      </c>
      <c r="C1798" s="10">
        <v>3</v>
      </c>
      <c r="D1798" s="10">
        <v>1</v>
      </c>
      <c r="E1798" s="10">
        <v>7</v>
      </c>
      <c r="F1798" s="10">
        <v>7</v>
      </c>
      <c r="L1798" s="1">
        <v>332</v>
      </c>
      <c r="M1798" s="1">
        <v>36</v>
      </c>
      <c r="N1798" s="1">
        <v>0</v>
      </c>
      <c r="O1798" s="1">
        <v>4</v>
      </c>
      <c r="P1798" s="2">
        <v>1</v>
      </c>
      <c r="Q1798" s="68">
        <v>9</v>
      </c>
    </row>
    <row r="1799" spans="1:17" x14ac:dyDescent="0.25">
      <c r="A1799" s="10">
        <v>179</v>
      </c>
      <c r="B1799" s="10">
        <v>19</v>
      </c>
      <c r="C1799" s="10">
        <v>2</v>
      </c>
      <c r="D1799" s="10">
        <v>2</v>
      </c>
      <c r="E1799" s="10">
        <v>20</v>
      </c>
      <c r="F1799" s="10">
        <v>20</v>
      </c>
      <c r="L1799" s="1">
        <v>333</v>
      </c>
      <c r="M1799" s="1">
        <v>36</v>
      </c>
      <c r="N1799" s="1">
        <v>0</v>
      </c>
      <c r="O1799" s="1">
        <v>4</v>
      </c>
      <c r="P1799" s="2">
        <v>1</v>
      </c>
      <c r="Q1799" s="67">
        <v>7</v>
      </c>
    </row>
    <row r="1800" spans="1:17" x14ac:dyDescent="0.25">
      <c r="A1800" s="10">
        <v>343</v>
      </c>
      <c r="B1800" s="10">
        <v>37</v>
      </c>
      <c r="C1800" s="10">
        <v>3</v>
      </c>
      <c r="D1800" s="10">
        <v>8</v>
      </c>
      <c r="E1800" s="10">
        <v>1</v>
      </c>
      <c r="F1800" s="10">
        <v>1</v>
      </c>
      <c r="L1800" s="1">
        <v>334</v>
      </c>
      <c r="M1800" s="1">
        <v>36</v>
      </c>
      <c r="N1800" s="1">
        <v>0</v>
      </c>
      <c r="O1800" s="1">
        <v>4</v>
      </c>
      <c r="P1800" s="2">
        <v>1</v>
      </c>
      <c r="Q1800" s="68">
        <v>5</v>
      </c>
    </row>
    <row r="1801" spans="1:17" x14ac:dyDescent="0.25">
      <c r="A1801" s="10">
        <v>179</v>
      </c>
      <c r="B1801" s="10">
        <v>19</v>
      </c>
      <c r="C1801" s="10">
        <v>2</v>
      </c>
      <c r="D1801" s="10">
        <v>3</v>
      </c>
      <c r="E1801" s="10">
        <v>17</v>
      </c>
      <c r="F1801" s="10">
        <v>17</v>
      </c>
      <c r="L1801" s="1">
        <v>335</v>
      </c>
      <c r="M1801" s="1">
        <v>36</v>
      </c>
      <c r="N1801" s="1">
        <v>0</v>
      </c>
      <c r="O1801" s="1">
        <v>4</v>
      </c>
      <c r="P1801" s="2">
        <v>1</v>
      </c>
      <c r="Q1801" s="67">
        <v>3</v>
      </c>
    </row>
    <row r="1802" spans="1:17" x14ac:dyDescent="0.25">
      <c r="A1802" s="10">
        <v>65</v>
      </c>
      <c r="B1802" s="10">
        <v>7</v>
      </c>
      <c r="C1802" s="10">
        <v>1</v>
      </c>
      <c r="D1802" s="10">
        <v>1</v>
      </c>
      <c r="E1802" s="10">
        <v>3</v>
      </c>
      <c r="F1802" s="10">
        <v>3</v>
      </c>
      <c r="L1802" s="1">
        <v>336</v>
      </c>
      <c r="M1802" s="1">
        <v>36</v>
      </c>
      <c r="N1802" s="1">
        <v>0</v>
      </c>
      <c r="O1802" s="1">
        <v>4</v>
      </c>
      <c r="P1802" s="2">
        <v>1</v>
      </c>
      <c r="Q1802" s="68">
        <v>1</v>
      </c>
    </row>
    <row r="1803" spans="1:17" x14ac:dyDescent="0.25">
      <c r="A1803" s="10">
        <v>417</v>
      </c>
      <c r="B1803" s="10">
        <v>45</v>
      </c>
      <c r="C1803" s="10">
        <v>3</v>
      </c>
      <c r="D1803" s="10">
        <v>1</v>
      </c>
      <c r="E1803" s="10">
        <v>20</v>
      </c>
      <c r="F1803" s="10">
        <v>20</v>
      </c>
      <c r="L1803" s="1">
        <v>337</v>
      </c>
      <c r="M1803" s="1">
        <v>36</v>
      </c>
      <c r="N1803" s="1">
        <v>0</v>
      </c>
      <c r="O1803" s="1">
        <v>4</v>
      </c>
      <c r="P1803" s="2">
        <v>1</v>
      </c>
      <c r="Q1803" s="67">
        <v>5</v>
      </c>
    </row>
    <row r="1804" spans="1:17" x14ac:dyDescent="0.25">
      <c r="A1804" s="10">
        <v>65</v>
      </c>
      <c r="B1804" s="10">
        <v>7</v>
      </c>
      <c r="C1804" s="10">
        <v>1</v>
      </c>
      <c r="D1804" s="10">
        <v>2</v>
      </c>
      <c r="E1804" s="10">
        <v>5</v>
      </c>
      <c r="F1804" s="10">
        <v>5</v>
      </c>
      <c r="L1804" s="1">
        <v>338</v>
      </c>
      <c r="M1804" s="1">
        <v>36</v>
      </c>
      <c r="N1804" s="1">
        <v>0</v>
      </c>
      <c r="O1804" s="1">
        <v>4</v>
      </c>
      <c r="P1804" s="2">
        <v>1</v>
      </c>
      <c r="Q1804" s="68">
        <v>7</v>
      </c>
    </row>
    <row r="1805" spans="1:17" x14ac:dyDescent="0.25">
      <c r="A1805" s="10">
        <v>272</v>
      </c>
      <c r="B1805" s="10">
        <v>30</v>
      </c>
      <c r="C1805" s="10">
        <v>3</v>
      </c>
      <c r="D1805" s="10">
        <v>1</v>
      </c>
      <c r="E1805" s="10">
        <v>7</v>
      </c>
      <c r="F1805" s="10">
        <v>7</v>
      </c>
      <c r="L1805" s="1">
        <v>339</v>
      </c>
      <c r="M1805" s="1">
        <v>37</v>
      </c>
      <c r="N1805" s="1">
        <v>0</v>
      </c>
      <c r="O1805" s="1">
        <v>4</v>
      </c>
      <c r="P1805" s="2">
        <v>1</v>
      </c>
      <c r="Q1805" s="67">
        <v>2</v>
      </c>
    </row>
    <row r="1806" spans="1:17" x14ac:dyDescent="0.25">
      <c r="A1806" s="10">
        <v>65</v>
      </c>
      <c r="B1806" s="10">
        <v>7</v>
      </c>
      <c r="C1806" s="10">
        <v>1</v>
      </c>
      <c r="D1806" s="10">
        <v>3</v>
      </c>
      <c r="E1806" s="10">
        <v>1</v>
      </c>
      <c r="F1806" s="10">
        <v>1</v>
      </c>
      <c r="L1806" s="1">
        <v>340</v>
      </c>
      <c r="M1806" s="1">
        <v>37</v>
      </c>
      <c r="N1806" s="1">
        <v>0</v>
      </c>
      <c r="O1806" s="1">
        <v>4</v>
      </c>
      <c r="P1806" s="2">
        <v>1</v>
      </c>
      <c r="Q1806" s="68">
        <v>1</v>
      </c>
    </row>
    <row r="1807" spans="1:17" x14ac:dyDescent="0.25">
      <c r="A1807" s="10">
        <v>417</v>
      </c>
      <c r="B1807" s="10">
        <v>45</v>
      </c>
      <c r="C1807" s="10">
        <v>3</v>
      </c>
      <c r="D1807" s="10">
        <v>2</v>
      </c>
      <c r="E1807" s="10">
        <v>10</v>
      </c>
      <c r="F1807" s="10">
        <v>10</v>
      </c>
      <c r="L1807" s="1">
        <v>341</v>
      </c>
      <c r="M1807" s="1">
        <v>37</v>
      </c>
      <c r="N1807" s="1">
        <v>0</v>
      </c>
      <c r="O1807" s="1">
        <v>4</v>
      </c>
      <c r="P1807" s="2">
        <v>1</v>
      </c>
      <c r="Q1807" s="67">
        <v>1</v>
      </c>
    </row>
    <row r="1808" spans="1:17" x14ac:dyDescent="0.25">
      <c r="A1808" s="10">
        <v>419</v>
      </c>
      <c r="B1808" s="10">
        <v>45</v>
      </c>
      <c r="C1808" s="10">
        <v>3</v>
      </c>
      <c r="D1808" s="10">
        <v>1</v>
      </c>
      <c r="E1808" s="10">
        <v>10</v>
      </c>
      <c r="F1808" s="10">
        <v>10</v>
      </c>
      <c r="L1808" s="1">
        <v>342</v>
      </c>
      <c r="M1808" s="1">
        <v>37</v>
      </c>
      <c r="N1808" s="1">
        <v>0</v>
      </c>
      <c r="O1808" s="1">
        <v>4</v>
      </c>
      <c r="P1808" s="2">
        <v>1</v>
      </c>
      <c r="Q1808" s="68">
        <v>4</v>
      </c>
    </row>
    <row r="1809" spans="1:17" x14ac:dyDescent="0.25">
      <c r="A1809" s="10">
        <v>413</v>
      </c>
      <c r="B1809" s="10">
        <v>44</v>
      </c>
      <c r="C1809" s="10">
        <v>3</v>
      </c>
      <c r="D1809" s="10">
        <v>1</v>
      </c>
      <c r="E1809" s="10">
        <v>3</v>
      </c>
      <c r="F1809" s="10">
        <v>3</v>
      </c>
      <c r="L1809" s="1">
        <v>343</v>
      </c>
      <c r="M1809" s="1">
        <v>37</v>
      </c>
      <c r="N1809" s="1">
        <v>0</v>
      </c>
      <c r="O1809" s="1">
        <v>4</v>
      </c>
      <c r="P1809" s="2">
        <v>1</v>
      </c>
      <c r="Q1809" s="67">
        <v>2</v>
      </c>
    </row>
    <row r="1810" spans="1:17" x14ac:dyDescent="0.25">
      <c r="A1810" s="10">
        <v>419</v>
      </c>
      <c r="B1810" s="10">
        <v>45</v>
      </c>
      <c r="C1810" s="10">
        <v>3</v>
      </c>
      <c r="D1810" s="10">
        <v>2</v>
      </c>
      <c r="E1810" s="10">
        <v>20</v>
      </c>
      <c r="F1810" s="10">
        <v>20</v>
      </c>
      <c r="L1810" s="1">
        <v>344</v>
      </c>
      <c r="M1810" s="1">
        <v>37</v>
      </c>
      <c r="N1810" s="1">
        <v>0</v>
      </c>
      <c r="O1810" s="1">
        <v>4</v>
      </c>
      <c r="P1810" s="2">
        <v>1</v>
      </c>
      <c r="Q1810" s="68">
        <v>0</v>
      </c>
    </row>
    <row r="1811" spans="1:17" x14ac:dyDescent="0.25">
      <c r="A1811" s="10">
        <v>419</v>
      </c>
      <c r="B1811" s="10">
        <v>45</v>
      </c>
      <c r="C1811" s="10">
        <v>3</v>
      </c>
      <c r="D1811" s="10">
        <v>4</v>
      </c>
      <c r="E1811" s="10">
        <v>4</v>
      </c>
      <c r="F1811" s="10">
        <v>4</v>
      </c>
      <c r="L1811" s="1">
        <v>345</v>
      </c>
      <c r="M1811" s="1">
        <v>37</v>
      </c>
      <c r="N1811" s="1">
        <v>0</v>
      </c>
      <c r="O1811" s="1">
        <v>4</v>
      </c>
      <c r="P1811" s="2">
        <v>1</v>
      </c>
      <c r="Q1811" s="67">
        <v>2</v>
      </c>
    </row>
    <row r="1812" spans="1:17" x14ac:dyDescent="0.25">
      <c r="A1812" s="10">
        <v>388</v>
      </c>
      <c r="B1812" s="10">
        <v>42</v>
      </c>
      <c r="C1812" s="10">
        <v>3</v>
      </c>
      <c r="D1812" s="10">
        <v>1</v>
      </c>
      <c r="E1812" s="10">
        <v>18</v>
      </c>
      <c r="F1812" s="10">
        <v>18</v>
      </c>
      <c r="L1812" s="1">
        <v>346</v>
      </c>
      <c r="M1812" s="1">
        <v>37</v>
      </c>
      <c r="N1812" s="1">
        <v>0</v>
      </c>
      <c r="O1812" s="1">
        <v>4</v>
      </c>
      <c r="P1812" s="2">
        <v>1</v>
      </c>
      <c r="Q1812" s="68">
        <v>3</v>
      </c>
    </row>
    <row r="1813" spans="1:17" x14ac:dyDescent="0.25">
      <c r="A1813" s="10">
        <v>388</v>
      </c>
      <c r="B1813" s="10">
        <v>42</v>
      </c>
      <c r="C1813" s="10">
        <v>3</v>
      </c>
      <c r="D1813" s="10">
        <v>2</v>
      </c>
      <c r="E1813" s="10">
        <v>19</v>
      </c>
      <c r="F1813" s="10">
        <v>19</v>
      </c>
      <c r="L1813" s="1">
        <v>347</v>
      </c>
      <c r="M1813" s="1">
        <v>38</v>
      </c>
      <c r="N1813" s="1">
        <v>0</v>
      </c>
      <c r="O1813" s="1">
        <v>4</v>
      </c>
      <c r="P1813" s="2">
        <v>1</v>
      </c>
      <c r="Q1813" s="67">
        <v>1</v>
      </c>
    </row>
    <row r="1814" spans="1:17" x14ac:dyDescent="0.25">
      <c r="A1814" s="10">
        <v>411</v>
      </c>
      <c r="B1814" s="10">
        <v>44</v>
      </c>
      <c r="C1814" s="10">
        <v>3</v>
      </c>
      <c r="D1814" s="10">
        <v>1</v>
      </c>
      <c r="E1814" s="10">
        <v>22</v>
      </c>
      <c r="F1814" s="10">
        <v>22</v>
      </c>
      <c r="L1814" s="1">
        <v>348</v>
      </c>
      <c r="M1814" s="1">
        <v>38</v>
      </c>
      <c r="N1814" s="1">
        <v>0</v>
      </c>
      <c r="O1814" s="1">
        <v>4</v>
      </c>
      <c r="P1814" s="2">
        <v>1</v>
      </c>
      <c r="Q1814" s="68">
        <v>2</v>
      </c>
    </row>
    <row r="1815" spans="1:17" x14ac:dyDescent="0.25">
      <c r="A1815" s="10">
        <v>411</v>
      </c>
      <c r="B1815" s="10">
        <v>44</v>
      </c>
      <c r="C1815" s="10">
        <v>3</v>
      </c>
      <c r="D1815" s="10">
        <v>2</v>
      </c>
      <c r="E1815" s="10">
        <v>13</v>
      </c>
      <c r="F1815" s="10">
        <v>13</v>
      </c>
      <c r="L1815" s="1">
        <v>349</v>
      </c>
      <c r="M1815" s="1">
        <v>38</v>
      </c>
      <c r="N1815" s="1">
        <v>0</v>
      </c>
      <c r="O1815" s="1">
        <v>4</v>
      </c>
      <c r="P1815" s="2">
        <v>1</v>
      </c>
      <c r="Q1815" s="67">
        <v>1</v>
      </c>
    </row>
    <row r="1816" spans="1:17" x14ac:dyDescent="0.25">
      <c r="A1816" s="10">
        <v>266</v>
      </c>
      <c r="B1816" s="10">
        <v>29</v>
      </c>
      <c r="C1816" s="10">
        <v>2</v>
      </c>
      <c r="D1816" s="10">
        <v>1</v>
      </c>
      <c r="E1816" s="10">
        <v>27</v>
      </c>
      <c r="F1816" s="10">
        <v>27</v>
      </c>
      <c r="L1816" s="1">
        <v>350</v>
      </c>
      <c r="M1816" s="1">
        <v>38</v>
      </c>
      <c r="N1816" s="1">
        <v>0</v>
      </c>
      <c r="O1816" s="1">
        <v>4</v>
      </c>
      <c r="P1816" s="2">
        <v>1</v>
      </c>
      <c r="Q1816" s="68">
        <v>6</v>
      </c>
    </row>
    <row r="1817" spans="1:17" x14ac:dyDescent="0.25">
      <c r="A1817" s="10">
        <v>266</v>
      </c>
      <c r="B1817" s="10">
        <v>29</v>
      </c>
      <c r="C1817" s="10">
        <v>2</v>
      </c>
      <c r="D1817" s="10">
        <v>2</v>
      </c>
      <c r="E1817" s="10">
        <v>36</v>
      </c>
      <c r="F1817" s="10">
        <v>36</v>
      </c>
      <c r="L1817" s="1">
        <v>351</v>
      </c>
      <c r="M1817" s="1">
        <v>38</v>
      </c>
      <c r="N1817" s="1">
        <v>0</v>
      </c>
      <c r="O1817" s="1">
        <v>4</v>
      </c>
      <c r="P1817" s="2">
        <v>1</v>
      </c>
      <c r="Q1817" s="67">
        <v>0</v>
      </c>
    </row>
    <row r="1818" spans="1:17" x14ac:dyDescent="0.25">
      <c r="A1818" s="10">
        <v>266</v>
      </c>
      <c r="B1818" s="10">
        <v>29</v>
      </c>
      <c r="C1818" s="10">
        <v>2</v>
      </c>
      <c r="D1818" s="10">
        <v>3</v>
      </c>
      <c r="E1818" s="10">
        <v>0</v>
      </c>
      <c r="F1818" s="10">
        <v>0</v>
      </c>
      <c r="L1818" s="1">
        <v>352</v>
      </c>
      <c r="M1818" s="1">
        <v>38</v>
      </c>
      <c r="N1818" s="1">
        <v>0</v>
      </c>
      <c r="O1818" s="1">
        <v>4</v>
      </c>
      <c r="P1818" s="2">
        <v>1</v>
      </c>
      <c r="Q1818" s="68">
        <v>0</v>
      </c>
    </row>
    <row r="1819" spans="1:17" x14ac:dyDescent="0.25">
      <c r="A1819" s="10">
        <v>266</v>
      </c>
      <c r="B1819" s="10">
        <v>29</v>
      </c>
      <c r="C1819" s="10">
        <v>2</v>
      </c>
      <c r="D1819" s="10">
        <v>4</v>
      </c>
      <c r="E1819" s="10">
        <v>11</v>
      </c>
      <c r="F1819" s="10">
        <v>11</v>
      </c>
      <c r="L1819" s="1">
        <v>353</v>
      </c>
      <c r="M1819" s="1">
        <v>38</v>
      </c>
      <c r="N1819" s="1">
        <v>0</v>
      </c>
      <c r="O1819" s="1">
        <v>4</v>
      </c>
      <c r="P1819" s="2">
        <v>1</v>
      </c>
      <c r="Q1819" s="67">
        <v>6</v>
      </c>
    </row>
    <row r="1820" spans="1:17" x14ac:dyDescent="0.25">
      <c r="A1820" s="10">
        <v>266</v>
      </c>
      <c r="B1820" s="10">
        <v>29</v>
      </c>
      <c r="C1820" s="10">
        <v>2</v>
      </c>
      <c r="D1820" s="10">
        <v>5</v>
      </c>
      <c r="E1820" s="10">
        <v>23</v>
      </c>
      <c r="F1820" s="10">
        <v>23</v>
      </c>
      <c r="L1820" s="1">
        <v>354</v>
      </c>
      <c r="M1820" s="1">
        <v>38</v>
      </c>
      <c r="N1820" s="1">
        <v>0</v>
      </c>
      <c r="O1820" s="1">
        <v>4</v>
      </c>
      <c r="P1820" s="2">
        <v>1</v>
      </c>
      <c r="Q1820" s="68">
        <v>4</v>
      </c>
    </row>
    <row r="1821" spans="1:17" x14ac:dyDescent="0.25">
      <c r="A1821" s="10">
        <v>264</v>
      </c>
      <c r="B1821" s="10">
        <v>29</v>
      </c>
      <c r="C1821" s="10">
        <v>2</v>
      </c>
      <c r="D1821" s="10">
        <v>5</v>
      </c>
      <c r="E1821" s="10">
        <v>2</v>
      </c>
      <c r="F1821" s="10">
        <v>2</v>
      </c>
      <c r="L1821" s="1">
        <v>355</v>
      </c>
      <c r="M1821" s="1">
        <v>38</v>
      </c>
      <c r="N1821" s="1">
        <v>0</v>
      </c>
      <c r="O1821" s="1">
        <v>4</v>
      </c>
      <c r="P1821" s="2">
        <v>1</v>
      </c>
      <c r="Q1821" s="67">
        <v>3</v>
      </c>
    </row>
    <row r="1822" spans="1:17" x14ac:dyDescent="0.25">
      <c r="A1822" s="10">
        <v>264</v>
      </c>
      <c r="B1822" s="10">
        <v>29</v>
      </c>
      <c r="C1822" s="10">
        <v>2</v>
      </c>
      <c r="D1822" s="10">
        <v>1</v>
      </c>
      <c r="E1822" s="10">
        <v>3</v>
      </c>
      <c r="F1822" s="10">
        <v>3</v>
      </c>
      <c r="L1822" s="1">
        <v>356</v>
      </c>
      <c r="M1822" s="1">
        <v>38</v>
      </c>
      <c r="N1822" s="1">
        <v>0</v>
      </c>
      <c r="O1822" s="1">
        <v>4</v>
      </c>
      <c r="P1822" s="2">
        <v>1</v>
      </c>
      <c r="Q1822" s="68">
        <v>4</v>
      </c>
    </row>
    <row r="1823" spans="1:17" x14ac:dyDescent="0.25">
      <c r="A1823" s="10">
        <v>264</v>
      </c>
      <c r="B1823" s="10">
        <v>29</v>
      </c>
      <c r="C1823" s="10">
        <v>2</v>
      </c>
      <c r="D1823" s="10">
        <v>2</v>
      </c>
      <c r="E1823" s="10">
        <v>1</v>
      </c>
      <c r="F1823" s="10">
        <v>1</v>
      </c>
      <c r="L1823" s="1">
        <v>357</v>
      </c>
      <c r="M1823" s="1">
        <v>39</v>
      </c>
      <c r="N1823" s="1">
        <v>0</v>
      </c>
      <c r="O1823" s="1">
        <v>4</v>
      </c>
      <c r="P1823" s="2">
        <v>1</v>
      </c>
      <c r="Q1823" s="67">
        <v>1</v>
      </c>
    </row>
    <row r="1824" spans="1:17" x14ac:dyDescent="0.25">
      <c r="A1824" s="10">
        <v>274</v>
      </c>
      <c r="B1824" s="10">
        <v>30</v>
      </c>
      <c r="C1824" s="10">
        <v>2</v>
      </c>
      <c r="D1824" s="10">
        <v>1</v>
      </c>
      <c r="E1824" s="10">
        <v>5</v>
      </c>
      <c r="F1824" s="10">
        <v>5</v>
      </c>
      <c r="L1824" s="1">
        <v>358</v>
      </c>
      <c r="M1824" s="1">
        <v>39</v>
      </c>
      <c r="N1824" s="1">
        <v>0</v>
      </c>
      <c r="O1824" s="1">
        <v>4</v>
      </c>
      <c r="P1824" s="2">
        <v>1</v>
      </c>
      <c r="Q1824" s="68">
        <v>2</v>
      </c>
    </row>
    <row r="1825" spans="1:17" x14ac:dyDescent="0.25">
      <c r="A1825" s="10">
        <v>274</v>
      </c>
      <c r="B1825" s="10">
        <v>30</v>
      </c>
      <c r="C1825" s="10">
        <v>2</v>
      </c>
      <c r="D1825" s="10">
        <v>2</v>
      </c>
      <c r="E1825" s="10">
        <v>9</v>
      </c>
      <c r="F1825" s="10">
        <v>9</v>
      </c>
      <c r="L1825" s="1">
        <v>359</v>
      </c>
      <c r="M1825" s="1">
        <v>39</v>
      </c>
      <c r="N1825" s="1">
        <v>0</v>
      </c>
      <c r="O1825" s="1">
        <v>4</v>
      </c>
      <c r="P1825" s="2">
        <v>1</v>
      </c>
      <c r="Q1825" s="67">
        <v>1</v>
      </c>
    </row>
    <row r="1826" spans="1:17" x14ac:dyDescent="0.25">
      <c r="A1826" s="10">
        <v>274</v>
      </c>
      <c r="B1826" s="10">
        <v>30</v>
      </c>
      <c r="C1826" s="10">
        <v>2</v>
      </c>
      <c r="D1826" s="10">
        <v>3</v>
      </c>
      <c r="E1826" s="10">
        <v>0</v>
      </c>
      <c r="F1826" s="10">
        <v>0</v>
      </c>
      <c r="L1826" s="1">
        <v>360</v>
      </c>
      <c r="M1826" s="1">
        <v>39</v>
      </c>
      <c r="N1826" s="1">
        <v>0</v>
      </c>
      <c r="O1826" s="1">
        <v>4</v>
      </c>
      <c r="P1826" s="2">
        <v>1</v>
      </c>
      <c r="Q1826" s="68">
        <v>2</v>
      </c>
    </row>
    <row r="1827" spans="1:17" x14ac:dyDescent="0.25">
      <c r="A1827" s="10">
        <v>274</v>
      </c>
      <c r="B1827" s="10">
        <v>30</v>
      </c>
      <c r="C1827" s="10">
        <v>3</v>
      </c>
      <c r="D1827" s="10">
        <v>1</v>
      </c>
      <c r="E1827" s="10">
        <v>4</v>
      </c>
      <c r="F1827" s="10">
        <v>4</v>
      </c>
      <c r="L1827" s="1">
        <v>361</v>
      </c>
      <c r="M1827" s="1">
        <v>39</v>
      </c>
      <c r="N1827" s="1">
        <v>0</v>
      </c>
      <c r="O1827" s="1">
        <v>4</v>
      </c>
      <c r="P1827" s="2">
        <v>1</v>
      </c>
      <c r="Q1827" s="67">
        <v>3</v>
      </c>
    </row>
    <row r="1828" spans="1:17" x14ac:dyDescent="0.25">
      <c r="A1828" s="10">
        <v>274</v>
      </c>
      <c r="B1828" s="10">
        <v>30</v>
      </c>
      <c r="C1828" s="10">
        <v>3</v>
      </c>
      <c r="D1828" s="10">
        <v>2</v>
      </c>
      <c r="E1828" s="10">
        <v>2</v>
      </c>
      <c r="F1828" s="10">
        <v>2</v>
      </c>
      <c r="L1828" s="1">
        <v>362</v>
      </c>
      <c r="M1828" s="1">
        <v>39</v>
      </c>
      <c r="N1828" s="1">
        <v>0</v>
      </c>
      <c r="O1828" s="1">
        <v>4</v>
      </c>
      <c r="P1828" s="2">
        <v>1</v>
      </c>
      <c r="Q1828" s="68">
        <v>6</v>
      </c>
    </row>
    <row r="1829" spans="1:17" x14ac:dyDescent="0.25">
      <c r="A1829" s="10">
        <v>336</v>
      </c>
      <c r="B1829" s="10">
        <v>36</v>
      </c>
      <c r="C1829" s="10">
        <v>2</v>
      </c>
      <c r="D1829" s="10">
        <v>1</v>
      </c>
      <c r="E1829" s="10">
        <v>42</v>
      </c>
      <c r="F1829" s="10">
        <v>42</v>
      </c>
      <c r="L1829" s="1">
        <v>363</v>
      </c>
      <c r="M1829" s="1">
        <v>39</v>
      </c>
      <c r="N1829" s="1">
        <v>0</v>
      </c>
      <c r="O1829" s="1">
        <v>4</v>
      </c>
      <c r="P1829" s="2">
        <v>1</v>
      </c>
      <c r="Q1829" s="67">
        <v>2</v>
      </c>
    </row>
    <row r="1830" spans="1:17" x14ac:dyDescent="0.25">
      <c r="A1830" s="10">
        <v>336</v>
      </c>
      <c r="B1830" s="10">
        <v>36</v>
      </c>
      <c r="C1830" s="10">
        <v>2</v>
      </c>
      <c r="D1830" s="10">
        <v>2</v>
      </c>
      <c r="E1830" s="10">
        <v>7</v>
      </c>
      <c r="F1830" s="10">
        <v>7</v>
      </c>
      <c r="L1830" s="1">
        <v>364</v>
      </c>
      <c r="M1830" s="1">
        <v>39</v>
      </c>
      <c r="N1830" s="1">
        <v>0</v>
      </c>
      <c r="O1830" s="1">
        <v>4</v>
      </c>
      <c r="P1830" s="2">
        <v>1</v>
      </c>
      <c r="Q1830" s="68">
        <v>2</v>
      </c>
    </row>
    <row r="1831" spans="1:17" x14ac:dyDescent="0.25">
      <c r="A1831" s="10">
        <v>274</v>
      </c>
      <c r="B1831" s="10">
        <v>30</v>
      </c>
      <c r="C1831" s="10">
        <v>1</v>
      </c>
      <c r="D1831" s="10">
        <v>1</v>
      </c>
      <c r="E1831" s="10">
        <v>10</v>
      </c>
      <c r="F1831" s="10">
        <v>10</v>
      </c>
      <c r="L1831" s="1">
        <v>365</v>
      </c>
      <c r="M1831" s="1">
        <v>39</v>
      </c>
      <c r="N1831" s="1">
        <v>0</v>
      </c>
      <c r="O1831" s="1">
        <v>4</v>
      </c>
      <c r="P1831" s="2">
        <v>1</v>
      </c>
      <c r="Q1831" s="67">
        <v>5</v>
      </c>
    </row>
    <row r="1832" spans="1:17" x14ac:dyDescent="0.25">
      <c r="A1832" s="10">
        <v>390</v>
      </c>
      <c r="B1832" s="10">
        <v>42</v>
      </c>
      <c r="C1832" s="10">
        <v>3</v>
      </c>
      <c r="D1832" s="10">
        <v>1</v>
      </c>
      <c r="E1832" s="10">
        <v>36</v>
      </c>
      <c r="F1832" s="10">
        <v>36</v>
      </c>
      <c r="L1832" s="1">
        <v>366</v>
      </c>
      <c r="M1832" s="1">
        <v>39</v>
      </c>
      <c r="N1832" s="1">
        <v>0</v>
      </c>
      <c r="O1832" s="1">
        <v>4</v>
      </c>
      <c r="P1832" s="2">
        <v>1</v>
      </c>
      <c r="Q1832" s="68">
        <v>0</v>
      </c>
    </row>
    <row r="1833" spans="1:17" x14ac:dyDescent="0.25">
      <c r="A1833" s="10">
        <v>390</v>
      </c>
      <c r="B1833" s="10">
        <v>42</v>
      </c>
      <c r="C1833" s="10">
        <v>3</v>
      </c>
      <c r="D1833" s="10">
        <v>2</v>
      </c>
      <c r="E1833" s="10">
        <v>11</v>
      </c>
      <c r="F1833" s="10">
        <v>11</v>
      </c>
      <c r="L1833" s="1">
        <v>367</v>
      </c>
      <c r="M1833" s="1">
        <v>40</v>
      </c>
      <c r="N1833" s="1">
        <v>0</v>
      </c>
      <c r="O1833" s="1">
        <v>4</v>
      </c>
      <c r="P1833" s="2">
        <v>1</v>
      </c>
      <c r="Q1833" s="67">
        <v>2</v>
      </c>
    </row>
    <row r="1834" spans="1:17" x14ac:dyDescent="0.25">
      <c r="A1834" s="10">
        <v>274</v>
      </c>
      <c r="B1834" s="10">
        <v>30</v>
      </c>
      <c r="C1834" s="10">
        <v>1</v>
      </c>
      <c r="D1834" s="10">
        <v>2</v>
      </c>
      <c r="E1834" s="10">
        <v>12</v>
      </c>
      <c r="F1834" s="10">
        <v>12</v>
      </c>
      <c r="L1834" s="1">
        <v>368</v>
      </c>
      <c r="M1834" s="1">
        <v>40</v>
      </c>
      <c r="N1834" s="1">
        <v>0</v>
      </c>
      <c r="O1834" s="1">
        <v>4</v>
      </c>
      <c r="P1834" s="2">
        <v>1</v>
      </c>
      <c r="Q1834" s="68">
        <v>3</v>
      </c>
    </row>
    <row r="1835" spans="1:17" x14ac:dyDescent="0.25">
      <c r="A1835" s="10">
        <v>390</v>
      </c>
      <c r="B1835" s="10">
        <v>42</v>
      </c>
      <c r="C1835" s="10">
        <v>3</v>
      </c>
      <c r="D1835" s="10">
        <v>4</v>
      </c>
      <c r="E1835" s="10">
        <v>1</v>
      </c>
      <c r="F1835" s="10">
        <v>1</v>
      </c>
      <c r="L1835" s="1">
        <v>369</v>
      </c>
      <c r="M1835" s="1">
        <v>40</v>
      </c>
      <c r="N1835" s="1">
        <v>0</v>
      </c>
      <c r="O1835" s="1">
        <v>4</v>
      </c>
      <c r="P1835" s="2">
        <v>1</v>
      </c>
      <c r="Q1835" s="67">
        <v>5</v>
      </c>
    </row>
    <row r="1836" spans="1:17" x14ac:dyDescent="0.25">
      <c r="A1836" s="10">
        <v>45</v>
      </c>
      <c r="B1836" s="10">
        <v>5</v>
      </c>
      <c r="C1836" s="10">
        <v>3</v>
      </c>
      <c r="D1836" s="10">
        <v>2</v>
      </c>
      <c r="E1836" s="10">
        <v>3</v>
      </c>
      <c r="F1836" s="10">
        <v>3</v>
      </c>
      <c r="L1836" s="1">
        <v>370</v>
      </c>
      <c r="M1836" s="1">
        <v>40</v>
      </c>
      <c r="N1836" s="1">
        <v>0</v>
      </c>
      <c r="O1836" s="1">
        <v>4</v>
      </c>
      <c r="P1836" s="2">
        <v>1</v>
      </c>
      <c r="Q1836" s="68">
        <v>1</v>
      </c>
    </row>
    <row r="1837" spans="1:17" x14ac:dyDescent="0.25">
      <c r="A1837" s="10">
        <v>118</v>
      </c>
      <c r="B1837" s="10">
        <v>13</v>
      </c>
      <c r="C1837" s="10">
        <v>2</v>
      </c>
      <c r="D1837" s="10">
        <v>1</v>
      </c>
      <c r="E1837" s="10">
        <v>7</v>
      </c>
      <c r="F1837" s="10">
        <v>7</v>
      </c>
      <c r="L1837" s="1">
        <v>371</v>
      </c>
      <c r="M1837" s="1">
        <v>40</v>
      </c>
      <c r="N1837" s="1">
        <v>0</v>
      </c>
      <c r="O1837" s="1">
        <v>4</v>
      </c>
      <c r="P1837" s="2">
        <v>1</v>
      </c>
      <c r="Q1837" s="67">
        <v>2</v>
      </c>
    </row>
    <row r="1838" spans="1:17" x14ac:dyDescent="0.25">
      <c r="A1838" s="10">
        <v>118</v>
      </c>
      <c r="B1838" s="10">
        <v>13</v>
      </c>
      <c r="C1838" s="10">
        <v>2</v>
      </c>
      <c r="D1838" s="10">
        <v>2</v>
      </c>
      <c r="E1838" s="10">
        <v>5</v>
      </c>
      <c r="F1838" s="10">
        <v>5</v>
      </c>
      <c r="L1838" s="1">
        <v>372</v>
      </c>
      <c r="M1838" s="1">
        <v>40</v>
      </c>
      <c r="N1838" s="1">
        <v>0</v>
      </c>
      <c r="O1838" s="1">
        <v>4</v>
      </c>
      <c r="P1838" s="2">
        <v>1</v>
      </c>
      <c r="Q1838" s="68">
        <v>4</v>
      </c>
    </row>
    <row r="1839" spans="1:17" x14ac:dyDescent="0.25">
      <c r="A1839" s="10">
        <v>118</v>
      </c>
      <c r="B1839" s="10">
        <v>13</v>
      </c>
      <c r="C1839" s="10">
        <v>1</v>
      </c>
      <c r="D1839" s="10">
        <v>1</v>
      </c>
      <c r="E1839" s="10">
        <v>10</v>
      </c>
      <c r="F1839" s="10">
        <v>10</v>
      </c>
      <c r="L1839" s="1">
        <v>373</v>
      </c>
      <c r="M1839" s="1">
        <v>40</v>
      </c>
      <c r="N1839" s="1">
        <v>0</v>
      </c>
      <c r="O1839" s="1">
        <v>4</v>
      </c>
      <c r="P1839" s="2">
        <v>1</v>
      </c>
      <c r="Q1839" s="67">
        <v>3</v>
      </c>
    </row>
    <row r="1840" spans="1:17" x14ac:dyDescent="0.25">
      <c r="A1840" s="10">
        <v>118</v>
      </c>
      <c r="B1840" s="10">
        <v>13</v>
      </c>
      <c r="C1840" s="10">
        <v>1</v>
      </c>
      <c r="D1840" s="10">
        <v>2</v>
      </c>
      <c r="E1840" s="10">
        <v>7</v>
      </c>
      <c r="F1840" s="10">
        <v>7</v>
      </c>
      <c r="L1840" s="1">
        <v>374</v>
      </c>
      <c r="M1840" s="1">
        <v>40</v>
      </c>
      <c r="N1840" s="1">
        <v>0</v>
      </c>
      <c r="O1840" s="1">
        <v>4</v>
      </c>
      <c r="P1840" s="2">
        <v>1</v>
      </c>
      <c r="Q1840" s="68">
        <v>4</v>
      </c>
    </row>
    <row r="1841" spans="1:17" x14ac:dyDescent="0.25">
      <c r="A1841" s="10">
        <v>41</v>
      </c>
      <c r="B1841" s="10">
        <v>5</v>
      </c>
      <c r="C1841" s="10">
        <v>3</v>
      </c>
      <c r="D1841" s="10">
        <v>1</v>
      </c>
      <c r="E1841" s="10">
        <v>2</v>
      </c>
      <c r="F1841" s="10">
        <v>2</v>
      </c>
      <c r="L1841" s="1">
        <v>375</v>
      </c>
      <c r="M1841" s="1">
        <v>41</v>
      </c>
      <c r="N1841" s="1">
        <v>0</v>
      </c>
      <c r="O1841" s="1">
        <v>4</v>
      </c>
      <c r="P1841" s="2">
        <v>1</v>
      </c>
      <c r="Q1841" s="67">
        <v>2</v>
      </c>
    </row>
    <row r="1842" spans="1:17" x14ac:dyDescent="0.25">
      <c r="A1842" s="10">
        <v>41</v>
      </c>
      <c r="B1842" s="10">
        <v>5</v>
      </c>
      <c r="C1842" s="10">
        <v>3</v>
      </c>
      <c r="D1842" s="10">
        <v>2</v>
      </c>
      <c r="E1842" s="10">
        <v>14</v>
      </c>
      <c r="F1842" s="10">
        <v>14</v>
      </c>
      <c r="L1842" s="1">
        <v>376</v>
      </c>
      <c r="M1842" s="1">
        <v>41</v>
      </c>
      <c r="N1842" s="1">
        <v>0</v>
      </c>
      <c r="O1842" s="1">
        <v>4</v>
      </c>
      <c r="P1842" s="2">
        <v>1</v>
      </c>
      <c r="Q1842" s="68">
        <v>3</v>
      </c>
    </row>
    <row r="1843" spans="1:17" x14ac:dyDescent="0.25">
      <c r="A1843" s="10">
        <v>41</v>
      </c>
      <c r="B1843" s="10">
        <v>5</v>
      </c>
      <c r="C1843" s="10">
        <v>3</v>
      </c>
      <c r="D1843" s="10">
        <v>3</v>
      </c>
      <c r="E1843" s="10">
        <v>2</v>
      </c>
      <c r="F1843" s="10">
        <v>2</v>
      </c>
      <c r="L1843" s="1">
        <v>377</v>
      </c>
      <c r="M1843" s="1">
        <v>41</v>
      </c>
      <c r="N1843" s="1">
        <v>0</v>
      </c>
      <c r="O1843" s="1">
        <v>4</v>
      </c>
      <c r="P1843" s="2">
        <v>1</v>
      </c>
      <c r="Q1843" s="67">
        <v>1</v>
      </c>
    </row>
    <row r="1844" spans="1:17" x14ac:dyDescent="0.25">
      <c r="A1844" s="10">
        <v>131</v>
      </c>
      <c r="B1844" s="10">
        <v>14</v>
      </c>
      <c r="C1844" s="10">
        <v>3</v>
      </c>
      <c r="D1844" s="10">
        <v>1</v>
      </c>
      <c r="E1844" s="10">
        <v>15</v>
      </c>
      <c r="F1844" s="10">
        <v>15</v>
      </c>
      <c r="L1844" s="1">
        <v>378</v>
      </c>
      <c r="M1844" s="1">
        <v>41</v>
      </c>
      <c r="N1844" s="1">
        <v>0</v>
      </c>
      <c r="O1844" s="1">
        <v>4</v>
      </c>
      <c r="P1844" s="2">
        <v>1</v>
      </c>
      <c r="Q1844" s="68">
        <v>1</v>
      </c>
    </row>
    <row r="1845" spans="1:17" x14ac:dyDescent="0.25">
      <c r="A1845" s="10">
        <v>131</v>
      </c>
      <c r="B1845" s="10">
        <v>14</v>
      </c>
      <c r="C1845" s="10">
        <v>3</v>
      </c>
      <c r="D1845" s="10">
        <v>2</v>
      </c>
      <c r="E1845" s="10">
        <v>16</v>
      </c>
      <c r="F1845" s="10">
        <v>16</v>
      </c>
      <c r="L1845" s="1">
        <v>379</v>
      </c>
      <c r="M1845" s="1">
        <v>41</v>
      </c>
      <c r="N1845" s="1">
        <v>0</v>
      </c>
      <c r="O1845" s="1">
        <v>4</v>
      </c>
      <c r="P1845" s="2">
        <v>1</v>
      </c>
      <c r="Q1845" s="67">
        <v>3</v>
      </c>
    </row>
    <row r="1846" spans="1:17" x14ac:dyDescent="0.25">
      <c r="A1846" s="10">
        <v>131</v>
      </c>
      <c r="B1846" s="10">
        <v>14</v>
      </c>
      <c r="C1846" s="10">
        <v>3</v>
      </c>
      <c r="D1846" s="10">
        <v>7</v>
      </c>
      <c r="E1846" s="10">
        <v>14</v>
      </c>
      <c r="F1846" s="10">
        <v>14</v>
      </c>
      <c r="L1846" s="1">
        <v>380</v>
      </c>
      <c r="M1846" s="1">
        <v>41</v>
      </c>
      <c r="N1846" s="1">
        <v>0</v>
      </c>
      <c r="O1846" s="1">
        <v>4</v>
      </c>
      <c r="P1846" s="2">
        <v>1</v>
      </c>
      <c r="Q1846" s="68">
        <v>8</v>
      </c>
    </row>
    <row r="1847" spans="1:17" x14ac:dyDescent="0.25">
      <c r="A1847" s="10">
        <v>131</v>
      </c>
      <c r="B1847" s="10">
        <v>14</v>
      </c>
      <c r="C1847" s="10">
        <v>3</v>
      </c>
      <c r="D1847" s="10">
        <v>11</v>
      </c>
      <c r="E1847" s="10">
        <v>5</v>
      </c>
      <c r="F1847" s="10">
        <v>5</v>
      </c>
      <c r="L1847" s="1">
        <v>381</v>
      </c>
      <c r="M1847" s="1">
        <v>41</v>
      </c>
      <c r="N1847" s="1">
        <v>0</v>
      </c>
      <c r="O1847" s="1">
        <v>4</v>
      </c>
      <c r="P1847" s="2">
        <v>1</v>
      </c>
      <c r="Q1847" s="67">
        <v>0</v>
      </c>
    </row>
    <row r="1848" spans="1:17" x14ac:dyDescent="0.25">
      <c r="A1848" s="10">
        <v>392</v>
      </c>
      <c r="B1848" s="10">
        <v>42</v>
      </c>
      <c r="C1848" s="10">
        <v>3</v>
      </c>
      <c r="D1848" s="10">
        <v>2</v>
      </c>
      <c r="E1848" s="10">
        <v>16</v>
      </c>
      <c r="F1848" s="10">
        <v>16</v>
      </c>
      <c r="L1848" s="1">
        <v>382</v>
      </c>
      <c r="M1848" s="1">
        <v>41</v>
      </c>
      <c r="N1848" s="1">
        <v>0</v>
      </c>
      <c r="O1848" s="1">
        <v>4</v>
      </c>
      <c r="P1848" s="2">
        <v>1</v>
      </c>
      <c r="Q1848" s="68">
        <v>13</v>
      </c>
    </row>
    <row r="1849" spans="1:17" x14ac:dyDescent="0.25">
      <c r="A1849" s="10">
        <v>278</v>
      </c>
      <c r="B1849" s="10">
        <v>30</v>
      </c>
      <c r="C1849" s="10">
        <v>3</v>
      </c>
      <c r="D1849" s="10">
        <v>1</v>
      </c>
      <c r="E1849" s="10">
        <v>12</v>
      </c>
      <c r="F1849" s="10">
        <v>12</v>
      </c>
      <c r="L1849" s="1">
        <v>383</v>
      </c>
      <c r="M1849" s="1">
        <v>41</v>
      </c>
      <c r="N1849" s="1">
        <v>0</v>
      </c>
      <c r="O1849" s="1">
        <v>4</v>
      </c>
      <c r="P1849" s="2">
        <v>1</v>
      </c>
      <c r="Q1849" s="67">
        <v>0</v>
      </c>
    </row>
    <row r="1850" spans="1:17" x14ac:dyDescent="0.25">
      <c r="A1850" s="10">
        <v>278</v>
      </c>
      <c r="B1850" s="10">
        <v>30</v>
      </c>
      <c r="C1850" s="10">
        <v>3</v>
      </c>
      <c r="D1850" s="10">
        <v>2</v>
      </c>
      <c r="E1850" s="10">
        <v>30</v>
      </c>
      <c r="F1850" s="10">
        <v>30</v>
      </c>
      <c r="L1850" s="1">
        <v>384</v>
      </c>
      <c r="M1850" s="1">
        <v>41</v>
      </c>
      <c r="N1850" s="1">
        <v>0</v>
      </c>
      <c r="O1850" s="1">
        <v>4</v>
      </c>
      <c r="P1850" s="2">
        <v>1</v>
      </c>
      <c r="Q1850" s="68">
        <v>2</v>
      </c>
    </row>
    <row r="1851" spans="1:17" x14ac:dyDescent="0.25">
      <c r="A1851" s="10">
        <v>252</v>
      </c>
      <c r="B1851" s="10">
        <v>27</v>
      </c>
      <c r="C1851" s="10">
        <v>3</v>
      </c>
      <c r="D1851" s="10">
        <v>1</v>
      </c>
      <c r="E1851" s="10">
        <v>21</v>
      </c>
      <c r="F1851" s="10">
        <v>21</v>
      </c>
      <c r="L1851" s="1">
        <v>385</v>
      </c>
      <c r="M1851" s="1">
        <v>42</v>
      </c>
      <c r="N1851" s="1">
        <v>0</v>
      </c>
      <c r="O1851" s="1">
        <v>4</v>
      </c>
      <c r="P1851" s="2">
        <v>1</v>
      </c>
      <c r="Q1851" s="67">
        <v>6</v>
      </c>
    </row>
    <row r="1852" spans="1:17" x14ac:dyDescent="0.25">
      <c r="A1852" s="10">
        <v>252</v>
      </c>
      <c r="B1852" s="10">
        <v>27</v>
      </c>
      <c r="C1852" s="10">
        <v>3</v>
      </c>
      <c r="D1852" s="10">
        <v>2</v>
      </c>
      <c r="E1852" s="10">
        <v>13</v>
      </c>
      <c r="F1852" s="10">
        <v>13</v>
      </c>
      <c r="L1852" s="1">
        <v>386</v>
      </c>
      <c r="M1852" s="1">
        <v>42</v>
      </c>
      <c r="N1852" s="1">
        <v>0</v>
      </c>
      <c r="O1852" s="1">
        <v>4</v>
      </c>
      <c r="P1852" s="2">
        <v>1</v>
      </c>
      <c r="Q1852" s="68">
        <v>3</v>
      </c>
    </row>
    <row r="1853" spans="1:17" x14ac:dyDescent="0.25">
      <c r="A1853" s="10">
        <v>46</v>
      </c>
      <c r="B1853" s="10">
        <v>5</v>
      </c>
      <c r="C1853" s="10">
        <v>3</v>
      </c>
      <c r="D1853" s="10">
        <v>1</v>
      </c>
      <c r="E1853" s="10">
        <v>9</v>
      </c>
      <c r="F1853" s="10">
        <v>9</v>
      </c>
      <c r="L1853" s="1">
        <v>387</v>
      </c>
      <c r="M1853" s="1">
        <v>42</v>
      </c>
      <c r="N1853" s="1">
        <v>0</v>
      </c>
      <c r="O1853" s="1">
        <v>4</v>
      </c>
      <c r="P1853" s="2">
        <v>1</v>
      </c>
      <c r="Q1853" s="67">
        <v>2</v>
      </c>
    </row>
    <row r="1854" spans="1:17" x14ac:dyDescent="0.25">
      <c r="A1854" s="10">
        <v>46</v>
      </c>
      <c r="B1854" s="10">
        <v>5</v>
      </c>
      <c r="C1854" s="10">
        <v>3</v>
      </c>
      <c r="D1854" s="10">
        <v>2</v>
      </c>
      <c r="E1854" s="10">
        <v>7</v>
      </c>
      <c r="F1854" s="10">
        <v>7</v>
      </c>
      <c r="L1854" s="1">
        <v>388</v>
      </c>
      <c r="M1854" s="1">
        <v>42</v>
      </c>
      <c r="N1854" s="1">
        <v>0</v>
      </c>
      <c r="O1854" s="1">
        <v>4</v>
      </c>
      <c r="P1854" s="2">
        <v>1</v>
      </c>
      <c r="Q1854" s="68">
        <v>7</v>
      </c>
    </row>
    <row r="1855" spans="1:17" x14ac:dyDescent="0.25">
      <c r="A1855" s="10">
        <v>439</v>
      </c>
      <c r="B1855" s="10">
        <v>47</v>
      </c>
      <c r="C1855" s="10">
        <v>3</v>
      </c>
      <c r="D1855" s="10">
        <v>1</v>
      </c>
      <c r="E1855" s="10">
        <v>17</v>
      </c>
      <c r="F1855" s="10">
        <v>17</v>
      </c>
      <c r="L1855" s="1">
        <v>389</v>
      </c>
      <c r="M1855" s="1">
        <v>42</v>
      </c>
      <c r="N1855" s="1">
        <v>0</v>
      </c>
      <c r="O1855" s="1">
        <v>4</v>
      </c>
      <c r="P1855" s="2">
        <v>1</v>
      </c>
      <c r="Q1855" s="67">
        <v>10</v>
      </c>
    </row>
    <row r="1856" spans="1:17" x14ac:dyDescent="0.25">
      <c r="A1856" s="10">
        <v>439</v>
      </c>
      <c r="B1856" s="10">
        <v>47</v>
      </c>
      <c r="C1856" s="10">
        <v>3</v>
      </c>
      <c r="D1856" s="10">
        <v>2</v>
      </c>
      <c r="E1856" s="10">
        <v>7</v>
      </c>
      <c r="F1856" s="10">
        <v>7</v>
      </c>
      <c r="L1856" s="1">
        <v>390</v>
      </c>
      <c r="M1856" s="1">
        <v>42</v>
      </c>
      <c r="N1856" s="1">
        <v>0</v>
      </c>
      <c r="O1856" s="1">
        <v>4</v>
      </c>
      <c r="P1856" s="2">
        <v>1</v>
      </c>
      <c r="Q1856" s="68">
        <v>10</v>
      </c>
    </row>
    <row r="1857" spans="1:17" x14ac:dyDescent="0.25">
      <c r="A1857" s="10">
        <v>439</v>
      </c>
      <c r="B1857" s="10">
        <v>47</v>
      </c>
      <c r="C1857" s="10">
        <v>3</v>
      </c>
      <c r="D1857" s="10">
        <v>3</v>
      </c>
      <c r="E1857" s="10">
        <v>5</v>
      </c>
      <c r="F1857" s="10">
        <v>5</v>
      </c>
      <c r="L1857" s="1">
        <v>391</v>
      </c>
      <c r="M1857" s="1">
        <v>42</v>
      </c>
      <c r="N1857" s="1">
        <v>0</v>
      </c>
      <c r="O1857" s="1">
        <v>4</v>
      </c>
      <c r="P1857" s="2">
        <v>1</v>
      </c>
      <c r="Q1857" s="67">
        <v>13</v>
      </c>
    </row>
    <row r="1858" spans="1:17" x14ac:dyDescent="0.25">
      <c r="A1858" s="10">
        <v>276</v>
      </c>
      <c r="B1858" s="10">
        <v>30</v>
      </c>
      <c r="C1858" s="10">
        <v>3</v>
      </c>
      <c r="D1858" s="10">
        <v>1</v>
      </c>
      <c r="E1858" s="10">
        <v>9</v>
      </c>
      <c r="F1858" s="10">
        <v>9</v>
      </c>
      <c r="L1858" s="1">
        <v>392</v>
      </c>
      <c r="M1858" s="1">
        <v>42</v>
      </c>
      <c r="N1858" s="1">
        <v>0</v>
      </c>
      <c r="O1858" s="1">
        <v>4</v>
      </c>
      <c r="P1858" s="2">
        <v>1</v>
      </c>
      <c r="Q1858" s="68">
        <v>13</v>
      </c>
    </row>
    <row r="1859" spans="1:17" x14ac:dyDescent="0.25">
      <c r="A1859" s="10">
        <v>276</v>
      </c>
      <c r="B1859" s="10">
        <v>30</v>
      </c>
      <c r="C1859" s="10">
        <v>3</v>
      </c>
      <c r="D1859" s="10">
        <v>2</v>
      </c>
      <c r="E1859" s="10">
        <v>11</v>
      </c>
      <c r="F1859" s="10">
        <v>11</v>
      </c>
      <c r="L1859" s="1">
        <v>393</v>
      </c>
      <c r="M1859" s="1">
        <v>42</v>
      </c>
      <c r="N1859" s="1">
        <v>0</v>
      </c>
      <c r="O1859" s="1">
        <v>4</v>
      </c>
      <c r="P1859" s="2">
        <v>1</v>
      </c>
      <c r="Q1859" s="67">
        <v>12</v>
      </c>
    </row>
    <row r="1860" spans="1:17" x14ac:dyDescent="0.25">
      <c r="A1860" s="10">
        <v>276</v>
      </c>
      <c r="B1860" s="10">
        <v>30</v>
      </c>
      <c r="C1860" s="10">
        <v>3</v>
      </c>
      <c r="D1860" s="10">
        <v>3</v>
      </c>
      <c r="E1860" s="10">
        <v>2</v>
      </c>
      <c r="F1860" s="10">
        <v>2</v>
      </c>
      <c r="L1860" s="1">
        <v>394</v>
      </c>
      <c r="M1860" s="1">
        <v>42</v>
      </c>
      <c r="N1860" s="1">
        <v>0</v>
      </c>
      <c r="O1860" s="1">
        <v>4</v>
      </c>
      <c r="P1860" s="2">
        <v>1</v>
      </c>
      <c r="Q1860" s="68">
        <v>14</v>
      </c>
    </row>
    <row r="1861" spans="1:17" x14ac:dyDescent="0.25">
      <c r="A1861" s="10">
        <v>280</v>
      </c>
      <c r="B1861" s="10">
        <v>30</v>
      </c>
      <c r="C1861" s="10">
        <v>3</v>
      </c>
      <c r="D1861" s="10">
        <v>1</v>
      </c>
      <c r="E1861" s="10">
        <v>14</v>
      </c>
      <c r="F1861" s="10">
        <v>14</v>
      </c>
      <c r="L1861" s="1">
        <v>395</v>
      </c>
      <c r="M1861" s="1">
        <v>43</v>
      </c>
      <c r="N1861" s="1">
        <v>0</v>
      </c>
      <c r="O1861" s="1">
        <v>4</v>
      </c>
      <c r="P1861" s="2">
        <v>1</v>
      </c>
      <c r="Q1861" s="67">
        <v>11</v>
      </c>
    </row>
    <row r="1862" spans="1:17" x14ac:dyDescent="0.25">
      <c r="A1862" s="10">
        <v>280</v>
      </c>
      <c r="B1862" s="10">
        <v>30</v>
      </c>
      <c r="C1862" s="10">
        <v>3</v>
      </c>
      <c r="D1862" s="10">
        <v>2</v>
      </c>
      <c r="E1862" s="10">
        <v>16</v>
      </c>
      <c r="F1862" s="10">
        <v>16</v>
      </c>
      <c r="L1862" s="1">
        <v>396</v>
      </c>
      <c r="M1862" s="1">
        <v>43</v>
      </c>
      <c r="N1862" s="1">
        <v>0</v>
      </c>
      <c r="O1862" s="1">
        <v>4</v>
      </c>
      <c r="P1862" s="2">
        <v>1</v>
      </c>
      <c r="Q1862" s="68">
        <v>12</v>
      </c>
    </row>
    <row r="1863" spans="1:17" x14ac:dyDescent="0.25">
      <c r="A1863" s="10">
        <v>280</v>
      </c>
      <c r="B1863" s="10">
        <v>30</v>
      </c>
      <c r="C1863" s="10">
        <v>3</v>
      </c>
      <c r="D1863" s="10">
        <v>3</v>
      </c>
      <c r="E1863" s="10">
        <v>2</v>
      </c>
      <c r="F1863" s="10">
        <v>2</v>
      </c>
      <c r="L1863" s="1">
        <v>397</v>
      </c>
      <c r="M1863" s="1">
        <v>43</v>
      </c>
      <c r="N1863" s="1">
        <v>0</v>
      </c>
      <c r="O1863" s="1">
        <v>4</v>
      </c>
      <c r="P1863" s="2">
        <v>1</v>
      </c>
      <c r="Q1863" s="67">
        <v>8</v>
      </c>
    </row>
    <row r="1864" spans="1:17" x14ac:dyDescent="0.25">
      <c r="A1864" s="10">
        <v>394</v>
      </c>
      <c r="B1864" s="10">
        <v>42</v>
      </c>
      <c r="C1864" s="10">
        <v>3</v>
      </c>
      <c r="D1864" s="10">
        <v>1</v>
      </c>
      <c r="E1864" s="10">
        <v>6</v>
      </c>
      <c r="F1864" s="10">
        <v>6</v>
      </c>
      <c r="L1864" s="1">
        <v>398</v>
      </c>
      <c r="M1864" s="1">
        <v>43</v>
      </c>
      <c r="N1864" s="1">
        <v>0</v>
      </c>
      <c r="O1864" s="1">
        <v>4</v>
      </c>
      <c r="P1864" s="2">
        <v>1</v>
      </c>
      <c r="Q1864" s="68">
        <v>18</v>
      </c>
    </row>
    <row r="1865" spans="1:17" x14ac:dyDescent="0.25">
      <c r="A1865" s="10">
        <v>394</v>
      </c>
      <c r="B1865" s="10">
        <v>42</v>
      </c>
      <c r="C1865" s="10">
        <v>3</v>
      </c>
      <c r="D1865" s="10">
        <v>2</v>
      </c>
      <c r="E1865" s="10">
        <v>5</v>
      </c>
      <c r="F1865" s="10">
        <v>5</v>
      </c>
      <c r="L1865" s="1">
        <v>399</v>
      </c>
      <c r="M1865" s="1">
        <v>43</v>
      </c>
      <c r="N1865" s="1">
        <v>0</v>
      </c>
      <c r="O1865" s="1">
        <v>4</v>
      </c>
      <c r="P1865" s="2">
        <v>1</v>
      </c>
      <c r="Q1865" s="67">
        <v>10</v>
      </c>
    </row>
    <row r="1866" spans="1:17" x14ac:dyDescent="0.25">
      <c r="A1866" s="10">
        <v>394</v>
      </c>
      <c r="B1866" s="10">
        <v>42</v>
      </c>
      <c r="C1866" s="10">
        <v>3</v>
      </c>
      <c r="D1866" s="10">
        <v>3</v>
      </c>
      <c r="E1866" s="10">
        <v>1</v>
      </c>
      <c r="F1866" s="10">
        <v>1</v>
      </c>
      <c r="L1866" s="1">
        <v>400</v>
      </c>
      <c r="M1866" s="1">
        <v>43</v>
      </c>
      <c r="N1866" s="1">
        <v>0</v>
      </c>
      <c r="O1866" s="1">
        <v>4</v>
      </c>
      <c r="P1866" s="2">
        <v>1</v>
      </c>
      <c r="Q1866" s="68">
        <v>5</v>
      </c>
    </row>
    <row r="1867" spans="1:17" x14ac:dyDescent="0.25">
      <c r="A1867" s="10">
        <v>394</v>
      </c>
      <c r="B1867" s="10">
        <v>42</v>
      </c>
      <c r="C1867" s="10">
        <v>3</v>
      </c>
      <c r="D1867" s="10">
        <v>4</v>
      </c>
      <c r="E1867" s="10">
        <v>1</v>
      </c>
      <c r="F1867" s="10">
        <v>1</v>
      </c>
      <c r="L1867" s="1">
        <v>401</v>
      </c>
      <c r="M1867" s="1">
        <v>43</v>
      </c>
      <c r="N1867" s="1">
        <v>0</v>
      </c>
      <c r="O1867" s="1">
        <v>4</v>
      </c>
      <c r="P1867" s="2">
        <v>1</v>
      </c>
      <c r="Q1867" s="67">
        <v>10</v>
      </c>
    </row>
    <row r="1868" spans="1:17" x14ac:dyDescent="0.25">
      <c r="A1868" s="10">
        <v>394</v>
      </c>
      <c r="B1868" s="10">
        <v>42</v>
      </c>
      <c r="C1868" s="10">
        <v>3</v>
      </c>
      <c r="D1868" s="10">
        <v>8</v>
      </c>
      <c r="E1868" s="10">
        <v>2</v>
      </c>
      <c r="F1868" s="10">
        <v>2</v>
      </c>
      <c r="L1868" s="1">
        <v>402</v>
      </c>
      <c r="M1868" s="1">
        <v>43</v>
      </c>
      <c r="N1868" s="1">
        <v>0</v>
      </c>
      <c r="O1868" s="1">
        <v>4</v>
      </c>
      <c r="P1868" s="2">
        <v>1</v>
      </c>
      <c r="Q1868" s="68">
        <v>12</v>
      </c>
    </row>
    <row r="1869" spans="1:17" x14ac:dyDescent="0.25">
      <c r="A1869" s="10">
        <v>420</v>
      </c>
      <c r="B1869" s="10">
        <v>45</v>
      </c>
      <c r="C1869" s="10">
        <v>3</v>
      </c>
      <c r="D1869" s="10">
        <v>1</v>
      </c>
      <c r="E1869" s="10">
        <v>20</v>
      </c>
      <c r="F1869" s="10">
        <v>20</v>
      </c>
      <c r="L1869" s="1">
        <v>403</v>
      </c>
      <c r="M1869" s="1">
        <v>43</v>
      </c>
      <c r="N1869" s="1">
        <v>0</v>
      </c>
      <c r="O1869" s="1">
        <v>4</v>
      </c>
      <c r="P1869" s="2">
        <v>1</v>
      </c>
      <c r="Q1869" s="67">
        <v>9</v>
      </c>
    </row>
    <row r="1870" spans="1:17" x14ac:dyDescent="0.25">
      <c r="A1870" s="10">
        <v>2</v>
      </c>
      <c r="B1870" s="10">
        <v>1</v>
      </c>
      <c r="C1870" s="10">
        <v>3</v>
      </c>
      <c r="D1870" s="10">
        <v>1</v>
      </c>
      <c r="E1870" s="10">
        <v>513</v>
      </c>
      <c r="F1870" s="10">
        <v>513</v>
      </c>
      <c r="L1870" s="1">
        <v>404</v>
      </c>
      <c r="M1870" s="1">
        <v>43</v>
      </c>
      <c r="N1870" s="1">
        <v>0</v>
      </c>
      <c r="O1870" s="1">
        <v>4</v>
      </c>
      <c r="P1870" s="2">
        <v>1</v>
      </c>
      <c r="Q1870" s="68">
        <v>10</v>
      </c>
    </row>
    <row r="1871" spans="1:17" x14ac:dyDescent="0.25">
      <c r="A1871" s="10">
        <v>2</v>
      </c>
      <c r="B1871" s="10">
        <v>1</v>
      </c>
      <c r="C1871" s="10">
        <v>3</v>
      </c>
      <c r="D1871" s="10">
        <v>2</v>
      </c>
      <c r="E1871" s="10">
        <v>481</v>
      </c>
      <c r="F1871" s="10">
        <v>481</v>
      </c>
      <c r="L1871" s="1">
        <v>405</v>
      </c>
      <c r="M1871" s="1">
        <v>44</v>
      </c>
      <c r="N1871" s="1">
        <v>0</v>
      </c>
      <c r="O1871" s="1">
        <v>4</v>
      </c>
      <c r="P1871" s="2">
        <v>1</v>
      </c>
      <c r="Q1871" s="67">
        <v>5</v>
      </c>
    </row>
    <row r="1872" spans="1:17" x14ac:dyDescent="0.25">
      <c r="A1872" s="10">
        <v>420</v>
      </c>
      <c r="B1872" s="10">
        <v>45</v>
      </c>
      <c r="C1872" s="10">
        <v>3</v>
      </c>
      <c r="D1872" s="10">
        <v>3</v>
      </c>
      <c r="E1872" s="10">
        <v>7</v>
      </c>
      <c r="F1872" s="10">
        <v>7</v>
      </c>
      <c r="L1872" s="1">
        <v>406</v>
      </c>
      <c r="M1872" s="1">
        <v>44</v>
      </c>
      <c r="N1872" s="1">
        <v>0</v>
      </c>
      <c r="O1872" s="1">
        <v>4</v>
      </c>
      <c r="P1872" s="2">
        <v>1</v>
      </c>
      <c r="Q1872" s="68">
        <v>2</v>
      </c>
    </row>
    <row r="1873" spans="1:17" x14ac:dyDescent="0.25">
      <c r="A1873" s="10">
        <v>420</v>
      </c>
      <c r="B1873" s="10">
        <v>45</v>
      </c>
      <c r="C1873" s="10">
        <v>3</v>
      </c>
      <c r="D1873" s="10">
        <v>4</v>
      </c>
      <c r="E1873" s="10">
        <v>3</v>
      </c>
      <c r="F1873" s="10">
        <v>3</v>
      </c>
      <c r="L1873" s="1">
        <v>407</v>
      </c>
      <c r="M1873" s="1">
        <v>44</v>
      </c>
      <c r="N1873" s="1">
        <v>0</v>
      </c>
      <c r="O1873" s="1">
        <v>4</v>
      </c>
      <c r="P1873" s="2">
        <v>1</v>
      </c>
      <c r="Q1873" s="67">
        <v>5</v>
      </c>
    </row>
    <row r="1874" spans="1:17" x14ac:dyDescent="0.25">
      <c r="A1874" s="10">
        <v>242</v>
      </c>
      <c r="B1874" s="10">
        <v>26</v>
      </c>
      <c r="C1874" s="10">
        <v>3</v>
      </c>
      <c r="D1874" s="10">
        <v>1</v>
      </c>
      <c r="E1874" s="10">
        <v>5</v>
      </c>
      <c r="F1874" s="10">
        <v>5</v>
      </c>
      <c r="L1874" s="1">
        <v>408</v>
      </c>
      <c r="M1874" s="1">
        <v>44</v>
      </c>
      <c r="N1874" s="1">
        <v>0</v>
      </c>
      <c r="O1874" s="1">
        <v>4</v>
      </c>
      <c r="P1874" s="2">
        <v>1</v>
      </c>
      <c r="Q1874" s="68">
        <v>3</v>
      </c>
    </row>
    <row r="1875" spans="1:17" x14ac:dyDescent="0.25">
      <c r="A1875" s="10">
        <v>242</v>
      </c>
      <c r="B1875" s="10">
        <v>26</v>
      </c>
      <c r="C1875" s="10">
        <v>3</v>
      </c>
      <c r="D1875" s="10">
        <v>2</v>
      </c>
      <c r="E1875" s="10">
        <v>6</v>
      </c>
      <c r="F1875" s="10">
        <v>6</v>
      </c>
      <c r="L1875" s="1">
        <v>409</v>
      </c>
      <c r="M1875" s="1">
        <v>44</v>
      </c>
      <c r="N1875" s="1">
        <v>0</v>
      </c>
      <c r="O1875" s="1">
        <v>4</v>
      </c>
      <c r="P1875" s="2">
        <v>1</v>
      </c>
      <c r="Q1875" s="67">
        <v>5</v>
      </c>
    </row>
    <row r="1876" spans="1:17" x14ac:dyDescent="0.25">
      <c r="A1876" s="10">
        <v>242</v>
      </c>
      <c r="B1876" s="10">
        <v>26</v>
      </c>
      <c r="C1876" s="10">
        <v>3</v>
      </c>
      <c r="D1876" s="10">
        <v>3</v>
      </c>
      <c r="E1876" s="10">
        <v>10</v>
      </c>
      <c r="F1876" s="10">
        <v>10</v>
      </c>
      <c r="L1876" s="1">
        <v>410</v>
      </c>
      <c r="M1876" s="1">
        <v>44</v>
      </c>
      <c r="N1876" s="1">
        <v>0</v>
      </c>
      <c r="O1876" s="1">
        <v>4</v>
      </c>
      <c r="P1876" s="2">
        <v>1</v>
      </c>
      <c r="Q1876" s="68">
        <v>5</v>
      </c>
    </row>
    <row r="1877" spans="1:17" x14ac:dyDescent="0.25">
      <c r="A1877" s="10">
        <v>242</v>
      </c>
      <c r="B1877" s="10">
        <v>26</v>
      </c>
      <c r="C1877" s="10">
        <v>3</v>
      </c>
      <c r="D1877" s="10">
        <v>4</v>
      </c>
      <c r="E1877" s="10">
        <v>3</v>
      </c>
      <c r="F1877" s="10">
        <v>3</v>
      </c>
      <c r="L1877" s="1">
        <v>411</v>
      </c>
      <c r="M1877" s="1">
        <v>44</v>
      </c>
      <c r="N1877" s="1">
        <v>0</v>
      </c>
      <c r="O1877" s="1">
        <v>4</v>
      </c>
      <c r="P1877" s="2">
        <v>1</v>
      </c>
      <c r="Q1877" s="67">
        <v>4</v>
      </c>
    </row>
    <row r="1878" spans="1:17" x14ac:dyDescent="0.25">
      <c r="A1878" s="10">
        <v>334</v>
      </c>
      <c r="B1878" s="10">
        <v>36</v>
      </c>
      <c r="C1878" s="10">
        <v>3</v>
      </c>
      <c r="D1878" s="10">
        <v>1</v>
      </c>
      <c r="E1878" s="10">
        <v>0</v>
      </c>
      <c r="F1878" s="10">
        <v>0</v>
      </c>
      <c r="L1878" s="1">
        <v>412</v>
      </c>
      <c r="M1878" s="1">
        <v>44</v>
      </c>
      <c r="N1878" s="1">
        <v>0</v>
      </c>
      <c r="O1878" s="1">
        <v>4</v>
      </c>
      <c r="P1878" s="2">
        <v>1</v>
      </c>
      <c r="Q1878" s="68">
        <v>1</v>
      </c>
    </row>
    <row r="1879" spans="1:17" x14ac:dyDescent="0.25">
      <c r="A1879" s="10">
        <v>6</v>
      </c>
      <c r="B1879" s="10">
        <v>1</v>
      </c>
      <c r="C1879" s="10">
        <v>8</v>
      </c>
      <c r="D1879" s="10">
        <v>1</v>
      </c>
      <c r="E1879" s="10">
        <v>19</v>
      </c>
      <c r="F1879" s="10">
        <v>19</v>
      </c>
      <c r="L1879" s="1">
        <v>413</v>
      </c>
      <c r="M1879" s="1">
        <v>44</v>
      </c>
      <c r="N1879" s="1">
        <v>0</v>
      </c>
      <c r="O1879" s="1">
        <v>4</v>
      </c>
      <c r="P1879" s="2">
        <v>1</v>
      </c>
      <c r="Q1879" s="67">
        <v>4</v>
      </c>
    </row>
    <row r="1880" spans="1:17" x14ac:dyDescent="0.25">
      <c r="A1880" s="10">
        <v>334</v>
      </c>
      <c r="B1880" s="10">
        <v>36</v>
      </c>
      <c r="C1880" s="10">
        <v>3</v>
      </c>
      <c r="D1880" s="10">
        <v>2</v>
      </c>
      <c r="E1880" s="10">
        <v>8</v>
      </c>
      <c r="F1880" s="10">
        <v>8</v>
      </c>
      <c r="L1880" s="1">
        <v>414</v>
      </c>
      <c r="M1880" s="1">
        <v>44</v>
      </c>
      <c r="N1880" s="1">
        <v>0</v>
      </c>
      <c r="O1880" s="1">
        <v>4</v>
      </c>
      <c r="P1880" s="2">
        <v>1</v>
      </c>
      <c r="Q1880" s="68">
        <v>4</v>
      </c>
    </row>
    <row r="1881" spans="1:17" x14ac:dyDescent="0.25">
      <c r="A1881" s="10">
        <v>6</v>
      </c>
      <c r="B1881" s="10">
        <v>1</v>
      </c>
      <c r="C1881" s="10">
        <v>8</v>
      </c>
      <c r="D1881" s="10">
        <v>2</v>
      </c>
      <c r="E1881" s="10">
        <v>18</v>
      </c>
      <c r="F1881" s="10">
        <v>18</v>
      </c>
      <c r="L1881" s="1">
        <v>415</v>
      </c>
      <c r="M1881" s="1">
        <v>45</v>
      </c>
      <c r="N1881" s="1">
        <v>0</v>
      </c>
      <c r="O1881" s="1">
        <v>4</v>
      </c>
      <c r="P1881" s="2">
        <v>1</v>
      </c>
      <c r="Q1881" s="67">
        <v>1</v>
      </c>
    </row>
    <row r="1882" spans="1:17" x14ac:dyDescent="0.25">
      <c r="A1882" s="10">
        <v>335</v>
      </c>
      <c r="B1882" s="10">
        <v>36</v>
      </c>
      <c r="C1882" s="10">
        <v>3</v>
      </c>
      <c r="D1882" s="10">
        <v>2</v>
      </c>
      <c r="E1882" s="10">
        <v>42</v>
      </c>
      <c r="F1882" s="10">
        <v>42</v>
      </c>
      <c r="L1882" s="1">
        <v>416</v>
      </c>
      <c r="M1882" s="1">
        <v>45</v>
      </c>
      <c r="N1882" s="1">
        <v>0</v>
      </c>
      <c r="O1882" s="1">
        <v>4</v>
      </c>
      <c r="P1882" s="2">
        <v>1</v>
      </c>
      <c r="Q1882" s="68">
        <v>3</v>
      </c>
    </row>
    <row r="1883" spans="1:17" x14ac:dyDescent="0.25">
      <c r="A1883" s="10">
        <v>418</v>
      </c>
      <c r="B1883" s="10">
        <v>45</v>
      </c>
      <c r="C1883" s="10">
        <v>3</v>
      </c>
      <c r="D1883" s="10">
        <v>1</v>
      </c>
      <c r="E1883" s="10">
        <v>4</v>
      </c>
      <c r="F1883" s="10">
        <v>4</v>
      </c>
      <c r="L1883" s="1">
        <v>417</v>
      </c>
      <c r="M1883" s="1">
        <v>45</v>
      </c>
      <c r="N1883" s="1">
        <v>0</v>
      </c>
      <c r="O1883" s="1">
        <v>4</v>
      </c>
      <c r="P1883" s="2">
        <v>1</v>
      </c>
      <c r="Q1883" s="67">
        <v>3</v>
      </c>
    </row>
    <row r="1884" spans="1:17" x14ac:dyDescent="0.25">
      <c r="A1884" s="10">
        <v>418</v>
      </c>
      <c r="B1884" s="10">
        <v>45</v>
      </c>
      <c r="C1884" s="10">
        <v>3</v>
      </c>
      <c r="D1884" s="10">
        <v>2</v>
      </c>
      <c r="E1884" s="10">
        <v>1</v>
      </c>
      <c r="F1884" s="10">
        <v>1</v>
      </c>
      <c r="L1884" s="1">
        <v>418</v>
      </c>
      <c r="M1884" s="1">
        <v>45</v>
      </c>
      <c r="N1884" s="1">
        <v>0</v>
      </c>
      <c r="O1884" s="1">
        <v>4</v>
      </c>
      <c r="P1884" s="2">
        <v>1</v>
      </c>
      <c r="Q1884" s="68">
        <v>1</v>
      </c>
    </row>
    <row r="1885" spans="1:17" x14ac:dyDescent="0.25">
      <c r="A1885" s="10">
        <v>16</v>
      </c>
      <c r="B1885" s="10">
        <v>2</v>
      </c>
      <c r="C1885" s="10">
        <v>3</v>
      </c>
      <c r="D1885" s="10">
        <v>1</v>
      </c>
      <c r="E1885" s="10">
        <v>501</v>
      </c>
      <c r="F1885" s="10">
        <v>501</v>
      </c>
      <c r="L1885" s="1">
        <v>419</v>
      </c>
      <c r="M1885" s="1">
        <v>45</v>
      </c>
      <c r="N1885" s="1">
        <v>0</v>
      </c>
      <c r="O1885" s="1">
        <v>4</v>
      </c>
      <c r="P1885" s="2">
        <v>1</v>
      </c>
      <c r="Q1885" s="67">
        <v>2</v>
      </c>
    </row>
    <row r="1886" spans="1:17" x14ac:dyDescent="0.25">
      <c r="A1886" s="10">
        <v>16</v>
      </c>
      <c r="B1886" s="10">
        <v>2</v>
      </c>
      <c r="C1886" s="10">
        <v>3</v>
      </c>
      <c r="D1886" s="10">
        <v>2</v>
      </c>
      <c r="E1886" s="10">
        <v>496</v>
      </c>
      <c r="F1886" s="10">
        <v>496</v>
      </c>
      <c r="L1886" s="1">
        <v>420</v>
      </c>
      <c r="M1886" s="1">
        <v>45</v>
      </c>
      <c r="N1886" s="1">
        <v>0</v>
      </c>
      <c r="O1886" s="1">
        <v>4</v>
      </c>
      <c r="P1886" s="2">
        <v>1</v>
      </c>
      <c r="Q1886" s="68">
        <v>0</v>
      </c>
    </row>
    <row r="1887" spans="1:17" x14ac:dyDescent="0.25">
      <c r="A1887" s="10">
        <v>16</v>
      </c>
      <c r="B1887" s="10">
        <v>2</v>
      </c>
      <c r="C1887" s="10">
        <v>3</v>
      </c>
      <c r="D1887" s="10">
        <v>9</v>
      </c>
      <c r="E1887" s="10">
        <v>1</v>
      </c>
      <c r="F1887" s="10">
        <v>1</v>
      </c>
      <c r="L1887" s="1">
        <v>421</v>
      </c>
      <c r="M1887" s="1">
        <v>45</v>
      </c>
      <c r="N1887" s="1">
        <v>0</v>
      </c>
      <c r="O1887" s="1">
        <v>4</v>
      </c>
      <c r="P1887" s="2">
        <v>1</v>
      </c>
      <c r="Q1887" s="67">
        <v>0</v>
      </c>
    </row>
    <row r="1888" spans="1:17" x14ac:dyDescent="0.25">
      <c r="A1888" s="10">
        <v>332</v>
      </c>
      <c r="B1888" s="10">
        <v>36</v>
      </c>
      <c r="C1888" s="10">
        <v>3</v>
      </c>
      <c r="D1888" s="10">
        <v>1</v>
      </c>
      <c r="E1888" s="10">
        <v>3</v>
      </c>
      <c r="F1888" s="10">
        <v>3</v>
      </c>
      <c r="L1888" s="1">
        <v>422</v>
      </c>
      <c r="M1888" s="1">
        <v>45</v>
      </c>
      <c r="N1888" s="1">
        <v>0</v>
      </c>
      <c r="O1888" s="1">
        <v>4</v>
      </c>
      <c r="P1888" s="2">
        <v>1</v>
      </c>
      <c r="Q1888" s="68">
        <v>2</v>
      </c>
    </row>
    <row r="1889" spans="1:17" x14ac:dyDescent="0.25">
      <c r="A1889" s="10">
        <v>332</v>
      </c>
      <c r="B1889" s="10">
        <v>36</v>
      </c>
      <c r="C1889" s="10">
        <v>3</v>
      </c>
      <c r="D1889" s="10">
        <v>2</v>
      </c>
      <c r="E1889" s="10">
        <v>6</v>
      </c>
      <c r="F1889" s="10">
        <v>6</v>
      </c>
      <c r="L1889" s="1">
        <v>423</v>
      </c>
      <c r="M1889" s="1">
        <v>46</v>
      </c>
      <c r="N1889" s="1">
        <v>0</v>
      </c>
      <c r="O1889" s="1">
        <v>4</v>
      </c>
      <c r="P1889" s="2">
        <v>1</v>
      </c>
      <c r="Q1889" s="67">
        <v>1</v>
      </c>
    </row>
    <row r="1890" spans="1:17" x14ac:dyDescent="0.25">
      <c r="A1890" s="10">
        <v>28</v>
      </c>
      <c r="B1890" s="10">
        <v>4</v>
      </c>
      <c r="C1890" s="10">
        <v>3</v>
      </c>
      <c r="D1890" s="10">
        <v>1</v>
      </c>
      <c r="E1890" s="10">
        <v>37</v>
      </c>
      <c r="F1890" s="10">
        <v>37</v>
      </c>
      <c r="L1890" s="1">
        <v>424</v>
      </c>
      <c r="M1890" s="1">
        <v>46</v>
      </c>
      <c r="N1890" s="1">
        <v>0</v>
      </c>
      <c r="O1890" s="1">
        <v>4</v>
      </c>
      <c r="P1890" s="2">
        <v>1</v>
      </c>
      <c r="Q1890" s="68">
        <v>1</v>
      </c>
    </row>
    <row r="1891" spans="1:17" x14ac:dyDescent="0.25">
      <c r="A1891" s="10">
        <v>28</v>
      </c>
      <c r="B1891" s="10">
        <v>4</v>
      </c>
      <c r="C1891" s="10">
        <v>3</v>
      </c>
      <c r="D1891" s="10">
        <v>2</v>
      </c>
      <c r="E1891" s="10">
        <v>12</v>
      </c>
      <c r="F1891" s="10">
        <v>12</v>
      </c>
      <c r="L1891" s="1">
        <v>425</v>
      </c>
      <c r="M1891" s="1">
        <v>46</v>
      </c>
      <c r="N1891" s="1">
        <v>0</v>
      </c>
      <c r="O1891" s="1">
        <v>4</v>
      </c>
      <c r="P1891" s="2">
        <v>1</v>
      </c>
      <c r="Q1891" s="67">
        <v>0</v>
      </c>
    </row>
    <row r="1892" spans="1:17" x14ac:dyDescent="0.25">
      <c r="A1892" s="10">
        <v>28</v>
      </c>
      <c r="B1892" s="10">
        <v>4</v>
      </c>
      <c r="C1892" s="10">
        <v>3</v>
      </c>
      <c r="D1892" s="10">
        <v>4</v>
      </c>
      <c r="E1892" s="10">
        <v>1</v>
      </c>
      <c r="F1892" s="10">
        <v>1</v>
      </c>
      <c r="L1892" s="1">
        <v>426</v>
      </c>
      <c r="M1892" s="1">
        <v>46</v>
      </c>
      <c r="N1892" s="1">
        <v>0</v>
      </c>
      <c r="O1892" s="1">
        <v>4</v>
      </c>
      <c r="P1892" s="2">
        <v>1</v>
      </c>
      <c r="Q1892" s="68">
        <v>6</v>
      </c>
    </row>
    <row r="1893" spans="1:17" x14ac:dyDescent="0.25">
      <c r="A1893" s="10">
        <v>205</v>
      </c>
      <c r="B1893" s="10">
        <v>22</v>
      </c>
      <c r="C1893" s="10">
        <v>5</v>
      </c>
      <c r="D1893" s="10">
        <v>3</v>
      </c>
      <c r="E1893" s="10">
        <v>7</v>
      </c>
      <c r="F1893" s="10">
        <v>7</v>
      </c>
      <c r="L1893" s="1">
        <v>427</v>
      </c>
      <c r="M1893" s="1">
        <v>46</v>
      </c>
      <c r="N1893" s="1">
        <v>0</v>
      </c>
      <c r="O1893" s="1">
        <v>4</v>
      </c>
      <c r="P1893" s="2">
        <v>1</v>
      </c>
      <c r="Q1893" s="67">
        <v>4</v>
      </c>
    </row>
    <row r="1894" spans="1:17" x14ac:dyDescent="0.25">
      <c r="A1894" s="10">
        <v>205</v>
      </c>
      <c r="B1894" s="10">
        <v>22</v>
      </c>
      <c r="C1894" s="10">
        <v>5</v>
      </c>
      <c r="D1894" s="10">
        <v>4</v>
      </c>
      <c r="E1894" s="10">
        <v>3</v>
      </c>
      <c r="F1894" s="10">
        <v>3</v>
      </c>
      <c r="L1894" s="1">
        <v>428</v>
      </c>
      <c r="M1894" s="1">
        <v>46</v>
      </c>
      <c r="N1894" s="1">
        <v>0</v>
      </c>
      <c r="O1894" s="1">
        <v>4</v>
      </c>
      <c r="P1894" s="2">
        <v>1</v>
      </c>
      <c r="Q1894" s="68">
        <v>3</v>
      </c>
    </row>
    <row r="1895" spans="1:17" x14ac:dyDescent="0.25">
      <c r="A1895" s="10">
        <v>201</v>
      </c>
      <c r="B1895" s="10">
        <v>22</v>
      </c>
      <c r="C1895" s="10">
        <v>5</v>
      </c>
      <c r="D1895" s="10">
        <v>2</v>
      </c>
      <c r="E1895" s="10">
        <v>4</v>
      </c>
      <c r="F1895" s="10">
        <v>4</v>
      </c>
      <c r="L1895" s="1">
        <v>429</v>
      </c>
      <c r="M1895" s="1">
        <v>46</v>
      </c>
      <c r="N1895" s="1">
        <v>0</v>
      </c>
      <c r="O1895" s="1">
        <v>4</v>
      </c>
      <c r="P1895" s="2">
        <v>1</v>
      </c>
      <c r="Q1895" s="67">
        <v>0</v>
      </c>
    </row>
    <row r="1896" spans="1:17" x14ac:dyDescent="0.25">
      <c r="A1896" s="10">
        <v>45</v>
      </c>
      <c r="B1896" s="10">
        <v>5</v>
      </c>
      <c r="C1896" s="10">
        <v>5</v>
      </c>
      <c r="D1896" s="10">
        <v>1</v>
      </c>
      <c r="E1896" s="10">
        <v>2</v>
      </c>
      <c r="F1896" s="10">
        <v>2</v>
      </c>
      <c r="L1896" s="1">
        <v>430</v>
      </c>
      <c r="M1896" s="1">
        <v>46</v>
      </c>
      <c r="N1896" s="1">
        <v>0</v>
      </c>
      <c r="O1896" s="1">
        <v>4</v>
      </c>
      <c r="P1896" s="2">
        <v>1</v>
      </c>
      <c r="Q1896" s="68">
        <v>2</v>
      </c>
    </row>
    <row r="1897" spans="1:17" x14ac:dyDescent="0.25">
      <c r="A1897" s="10">
        <v>45</v>
      </c>
      <c r="B1897" s="10">
        <v>5</v>
      </c>
      <c r="C1897" s="10">
        <v>5</v>
      </c>
      <c r="D1897" s="10">
        <v>2</v>
      </c>
      <c r="E1897" s="10">
        <v>1</v>
      </c>
      <c r="F1897" s="10">
        <v>1</v>
      </c>
      <c r="L1897" s="1">
        <v>431</v>
      </c>
      <c r="M1897" s="1">
        <v>46</v>
      </c>
      <c r="N1897" s="1">
        <v>0</v>
      </c>
      <c r="O1897" s="1">
        <v>4</v>
      </c>
      <c r="P1897" s="2">
        <v>1</v>
      </c>
      <c r="Q1897" s="67">
        <v>4</v>
      </c>
    </row>
    <row r="1898" spans="1:17" x14ac:dyDescent="0.25">
      <c r="A1898" s="10">
        <v>218</v>
      </c>
      <c r="B1898" s="10">
        <v>23</v>
      </c>
      <c r="C1898" s="10">
        <v>2</v>
      </c>
      <c r="D1898" s="10">
        <v>1</v>
      </c>
      <c r="E1898" s="10">
        <v>5</v>
      </c>
      <c r="F1898" s="10">
        <v>5</v>
      </c>
      <c r="L1898" s="1">
        <v>432</v>
      </c>
      <c r="M1898" s="1">
        <v>46</v>
      </c>
      <c r="N1898" s="1">
        <v>0</v>
      </c>
      <c r="O1898" s="1">
        <v>4</v>
      </c>
      <c r="P1898" s="2">
        <v>1</v>
      </c>
      <c r="Q1898" s="68">
        <v>4</v>
      </c>
    </row>
    <row r="1899" spans="1:17" x14ac:dyDescent="0.25">
      <c r="A1899" s="10">
        <v>218</v>
      </c>
      <c r="B1899" s="10">
        <v>23</v>
      </c>
      <c r="C1899" s="10">
        <v>2</v>
      </c>
      <c r="D1899" s="10">
        <v>2</v>
      </c>
      <c r="E1899" s="10">
        <v>6</v>
      </c>
      <c r="F1899" s="10">
        <v>6</v>
      </c>
      <c r="L1899" s="1">
        <v>433</v>
      </c>
      <c r="M1899" s="1">
        <v>47</v>
      </c>
      <c r="N1899" s="1">
        <v>0</v>
      </c>
      <c r="O1899" s="1">
        <v>4</v>
      </c>
      <c r="P1899" s="2">
        <v>1</v>
      </c>
      <c r="Q1899" s="67">
        <v>3</v>
      </c>
    </row>
    <row r="1900" spans="1:17" x14ac:dyDescent="0.25">
      <c r="A1900" s="10">
        <v>218</v>
      </c>
      <c r="B1900" s="10">
        <v>23</v>
      </c>
      <c r="C1900" s="10">
        <v>2</v>
      </c>
      <c r="D1900" s="10">
        <v>3</v>
      </c>
      <c r="E1900" s="10">
        <v>5</v>
      </c>
      <c r="F1900" s="10">
        <v>5</v>
      </c>
      <c r="L1900" s="1">
        <v>434</v>
      </c>
      <c r="M1900" s="1">
        <v>47</v>
      </c>
      <c r="N1900" s="1">
        <v>0</v>
      </c>
      <c r="O1900" s="1">
        <v>4</v>
      </c>
      <c r="P1900" s="2">
        <v>1</v>
      </c>
      <c r="Q1900" s="68">
        <v>9</v>
      </c>
    </row>
    <row r="1901" spans="1:17" x14ac:dyDescent="0.25">
      <c r="A1901" s="10">
        <v>264</v>
      </c>
      <c r="B1901" s="10">
        <v>29</v>
      </c>
      <c r="C1901" s="10">
        <v>4</v>
      </c>
      <c r="D1901" s="10">
        <v>1</v>
      </c>
      <c r="E1901" s="10">
        <v>5</v>
      </c>
      <c r="F1901" s="10">
        <v>5</v>
      </c>
      <c r="L1901" s="1">
        <v>435</v>
      </c>
      <c r="M1901" s="1">
        <v>47</v>
      </c>
      <c r="N1901" s="1">
        <v>0</v>
      </c>
      <c r="O1901" s="1">
        <v>4</v>
      </c>
      <c r="P1901" s="2">
        <v>1</v>
      </c>
      <c r="Q1901" s="67">
        <v>4</v>
      </c>
    </row>
    <row r="1902" spans="1:17" x14ac:dyDescent="0.25">
      <c r="A1902" s="10">
        <v>218</v>
      </c>
      <c r="B1902" s="10">
        <v>23</v>
      </c>
      <c r="C1902" s="10">
        <v>2</v>
      </c>
      <c r="D1902" s="10">
        <v>4</v>
      </c>
      <c r="E1902" s="10">
        <v>5</v>
      </c>
      <c r="F1902" s="10">
        <v>5</v>
      </c>
      <c r="L1902" s="1">
        <v>436</v>
      </c>
      <c r="M1902" s="1">
        <v>47</v>
      </c>
      <c r="N1902" s="1">
        <v>0</v>
      </c>
      <c r="O1902" s="1">
        <v>4</v>
      </c>
      <c r="P1902" s="2">
        <v>1</v>
      </c>
      <c r="Q1902" s="68">
        <v>10</v>
      </c>
    </row>
    <row r="1903" spans="1:17" x14ac:dyDescent="0.25">
      <c r="A1903" s="10">
        <v>205</v>
      </c>
      <c r="B1903" s="10">
        <v>22</v>
      </c>
      <c r="C1903" s="10">
        <v>4</v>
      </c>
      <c r="D1903" s="10">
        <v>1</v>
      </c>
      <c r="E1903" s="10">
        <v>20</v>
      </c>
      <c r="F1903" s="10">
        <v>20</v>
      </c>
      <c r="L1903" s="1">
        <v>437</v>
      </c>
      <c r="M1903" s="1">
        <v>47</v>
      </c>
      <c r="N1903" s="1">
        <v>0</v>
      </c>
      <c r="O1903" s="1">
        <v>4</v>
      </c>
      <c r="P1903" s="2">
        <v>1</v>
      </c>
      <c r="Q1903" s="67">
        <v>12</v>
      </c>
    </row>
    <row r="1904" spans="1:17" x14ac:dyDescent="0.25">
      <c r="A1904" s="10">
        <v>131</v>
      </c>
      <c r="B1904" s="10">
        <v>14</v>
      </c>
      <c r="C1904" s="10">
        <v>5</v>
      </c>
      <c r="D1904" s="10">
        <v>1</v>
      </c>
      <c r="E1904" s="10">
        <v>12</v>
      </c>
      <c r="F1904" s="10">
        <v>12</v>
      </c>
      <c r="L1904" s="1">
        <v>438</v>
      </c>
      <c r="M1904" s="1">
        <v>47</v>
      </c>
      <c r="N1904" s="1">
        <v>0</v>
      </c>
      <c r="O1904" s="1">
        <v>4</v>
      </c>
      <c r="P1904" s="2">
        <v>1</v>
      </c>
      <c r="Q1904" s="68">
        <v>12</v>
      </c>
    </row>
    <row r="1905" spans="1:17" x14ac:dyDescent="0.25">
      <c r="A1905" s="10">
        <v>264</v>
      </c>
      <c r="B1905" s="10">
        <v>29</v>
      </c>
      <c r="C1905" s="10">
        <v>4</v>
      </c>
      <c r="D1905" s="10">
        <v>2</v>
      </c>
      <c r="E1905" s="10">
        <v>3</v>
      </c>
      <c r="F1905" s="10">
        <v>3</v>
      </c>
      <c r="L1905" s="1">
        <v>439</v>
      </c>
      <c r="M1905" s="1">
        <v>47</v>
      </c>
      <c r="N1905" s="1">
        <v>0</v>
      </c>
      <c r="O1905" s="1">
        <v>4</v>
      </c>
      <c r="P1905" s="2">
        <v>1</v>
      </c>
      <c r="Q1905" s="67">
        <v>11</v>
      </c>
    </row>
    <row r="1906" spans="1:17" x14ac:dyDescent="0.25">
      <c r="A1906" s="10">
        <v>131</v>
      </c>
      <c r="B1906" s="10">
        <v>14</v>
      </c>
      <c r="C1906" s="10">
        <v>5</v>
      </c>
      <c r="D1906" s="10">
        <v>2</v>
      </c>
      <c r="E1906" s="10">
        <v>7</v>
      </c>
      <c r="F1906" s="10">
        <v>7</v>
      </c>
      <c r="L1906" s="1">
        <v>440</v>
      </c>
      <c r="M1906" s="1">
        <v>47</v>
      </c>
      <c r="N1906" s="1">
        <v>0</v>
      </c>
      <c r="O1906" s="1">
        <v>4</v>
      </c>
      <c r="P1906" s="2">
        <v>1</v>
      </c>
      <c r="Q1906" s="68">
        <v>10</v>
      </c>
    </row>
    <row r="1907" spans="1:17" x14ac:dyDescent="0.25">
      <c r="A1907" s="10">
        <v>264</v>
      </c>
      <c r="B1907" s="10">
        <v>29</v>
      </c>
      <c r="C1907" s="10">
        <v>4</v>
      </c>
      <c r="D1907" s="10">
        <v>5</v>
      </c>
      <c r="E1907" s="10">
        <v>7</v>
      </c>
      <c r="F1907" s="10">
        <v>7</v>
      </c>
      <c r="L1907" s="1">
        <v>441</v>
      </c>
      <c r="M1907" s="1">
        <v>47</v>
      </c>
      <c r="N1907" s="1">
        <v>0</v>
      </c>
      <c r="O1907" s="1">
        <v>4</v>
      </c>
      <c r="P1907" s="2">
        <v>1</v>
      </c>
      <c r="Q1907" s="67">
        <v>11</v>
      </c>
    </row>
    <row r="1908" spans="1:17" x14ac:dyDescent="0.25">
      <c r="A1908" s="10">
        <v>205</v>
      </c>
      <c r="B1908" s="10">
        <v>22</v>
      </c>
      <c r="C1908" s="10">
        <v>4</v>
      </c>
      <c r="D1908" s="10">
        <v>3</v>
      </c>
      <c r="E1908" s="10">
        <v>8</v>
      </c>
      <c r="F1908" s="10">
        <v>8</v>
      </c>
      <c r="L1908" s="1">
        <v>442</v>
      </c>
      <c r="M1908" s="1">
        <v>47</v>
      </c>
      <c r="N1908" s="1">
        <v>0</v>
      </c>
      <c r="O1908" s="1">
        <v>4</v>
      </c>
      <c r="P1908" s="2">
        <v>1</v>
      </c>
      <c r="Q1908" s="68">
        <v>7</v>
      </c>
    </row>
    <row r="1909" spans="1:17" x14ac:dyDescent="0.25">
      <c r="A1909" s="10">
        <v>205</v>
      </c>
      <c r="B1909" s="10">
        <v>22</v>
      </c>
      <c r="C1909" s="10">
        <v>4</v>
      </c>
      <c r="D1909" s="10">
        <v>4</v>
      </c>
      <c r="E1909" s="10">
        <v>2</v>
      </c>
      <c r="F1909" s="10">
        <v>2</v>
      </c>
      <c r="L1909" s="1">
        <v>443</v>
      </c>
      <c r="M1909" s="1">
        <v>48</v>
      </c>
      <c r="N1909" s="1">
        <v>0</v>
      </c>
      <c r="O1909" s="1">
        <v>4</v>
      </c>
      <c r="P1909" s="2">
        <v>1</v>
      </c>
      <c r="Q1909" s="67">
        <v>12</v>
      </c>
    </row>
    <row r="1910" spans="1:17" x14ac:dyDescent="0.25">
      <c r="A1910" s="10">
        <v>202</v>
      </c>
      <c r="B1910" s="10">
        <v>22</v>
      </c>
      <c r="C1910" s="10">
        <v>4</v>
      </c>
      <c r="D1910" s="10">
        <v>2</v>
      </c>
      <c r="E1910" s="10">
        <v>11</v>
      </c>
      <c r="F1910" s="10">
        <v>11</v>
      </c>
      <c r="L1910" s="1">
        <v>444</v>
      </c>
      <c r="M1910" s="1">
        <v>48</v>
      </c>
      <c r="N1910" s="1">
        <v>0</v>
      </c>
      <c r="O1910" s="1">
        <v>4</v>
      </c>
      <c r="P1910" s="2">
        <v>1</v>
      </c>
      <c r="Q1910" s="68">
        <v>12</v>
      </c>
    </row>
    <row r="1911" spans="1:17" x14ac:dyDescent="0.25">
      <c r="A1911" s="10">
        <v>44</v>
      </c>
      <c r="B1911" s="10">
        <v>5</v>
      </c>
      <c r="C1911" s="10">
        <v>4</v>
      </c>
      <c r="D1911" s="10">
        <v>1</v>
      </c>
      <c r="E1911" s="10">
        <v>20</v>
      </c>
      <c r="F1911" s="10">
        <v>20</v>
      </c>
      <c r="L1911" s="1">
        <v>445</v>
      </c>
      <c r="M1911" s="1">
        <v>48</v>
      </c>
      <c r="N1911" s="1">
        <v>0</v>
      </c>
      <c r="O1911" s="1">
        <v>4</v>
      </c>
      <c r="P1911" s="2">
        <v>1</v>
      </c>
      <c r="Q1911" s="67">
        <v>7</v>
      </c>
    </row>
    <row r="1912" spans="1:17" x14ac:dyDescent="0.25">
      <c r="A1912" s="10">
        <v>202</v>
      </c>
      <c r="B1912" s="10">
        <v>22</v>
      </c>
      <c r="C1912" s="10">
        <v>4</v>
      </c>
      <c r="D1912" s="10">
        <v>3</v>
      </c>
      <c r="E1912" s="10">
        <v>1</v>
      </c>
      <c r="F1912" s="10">
        <v>1</v>
      </c>
      <c r="L1912" s="1">
        <v>446</v>
      </c>
      <c r="M1912" s="1">
        <v>48</v>
      </c>
      <c r="N1912" s="1">
        <v>0</v>
      </c>
      <c r="O1912" s="1">
        <v>4</v>
      </c>
      <c r="P1912" s="2">
        <v>1</v>
      </c>
      <c r="Q1912" s="68">
        <v>11</v>
      </c>
    </row>
    <row r="1913" spans="1:17" x14ac:dyDescent="0.25">
      <c r="A1913" s="10">
        <v>44</v>
      </c>
      <c r="B1913" s="10">
        <v>5</v>
      </c>
      <c r="C1913" s="10">
        <v>4</v>
      </c>
      <c r="D1913" s="10">
        <v>2</v>
      </c>
      <c r="E1913" s="10">
        <v>13</v>
      </c>
      <c r="F1913" s="10">
        <v>13</v>
      </c>
      <c r="L1913" s="1">
        <v>447</v>
      </c>
      <c r="M1913" s="1">
        <v>48</v>
      </c>
      <c r="N1913" s="1">
        <v>0</v>
      </c>
      <c r="O1913" s="1">
        <v>4</v>
      </c>
      <c r="P1913" s="2">
        <v>1</v>
      </c>
      <c r="Q1913" s="67">
        <v>13</v>
      </c>
    </row>
    <row r="1914" spans="1:17" x14ac:dyDescent="0.25">
      <c r="A1914" s="10">
        <v>202</v>
      </c>
      <c r="B1914" s="10">
        <v>22</v>
      </c>
      <c r="C1914" s="10">
        <v>4</v>
      </c>
      <c r="D1914" s="10">
        <v>5</v>
      </c>
      <c r="E1914" s="10">
        <v>2</v>
      </c>
      <c r="F1914" s="10">
        <v>2</v>
      </c>
      <c r="L1914" s="1">
        <v>448</v>
      </c>
      <c r="M1914" s="1">
        <v>48</v>
      </c>
      <c r="N1914" s="1">
        <v>0</v>
      </c>
      <c r="O1914" s="1">
        <v>4</v>
      </c>
      <c r="P1914" s="2">
        <v>1</v>
      </c>
      <c r="Q1914" s="68">
        <v>5</v>
      </c>
    </row>
    <row r="1915" spans="1:17" x14ac:dyDescent="0.25">
      <c r="A1915" s="10">
        <v>247</v>
      </c>
      <c r="B1915" s="10">
        <v>27</v>
      </c>
      <c r="C1915" s="10">
        <v>5</v>
      </c>
      <c r="D1915" s="10">
        <v>1</v>
      </c>
      <c r="E1915" s="10">
        <v>9</v>
      </c>
      <c r="F1915" s="10">
        <v>9</v>
      </c>
      <c r="L1915" s="1">
        <v>449</v>
      </c>
      <c r="M1915" s="1">
        <v>48</v>
      </c>
      <c r="N1915" s="1">
        <v>0</v>
      </c>
      <c r="O1915" s="1">
        <v>4</v>
      </c>
      <c r="P1915" s="2">
        <v>1</v>
      </c>
      <c r="Q1915" s="67">
        <v>12</v>
      </c>
    </row>
    <row r="1916" spans="1:17" x14ac:dyDescent="0.25">
      <c r="A1916" s="10">
        <v>247</v>
      </c>
      <c r="B1916" s="10">
        <v>27</v>
      </c>
      <c r="C1916" s="10">
        <v>5</v>
      </c>
      <c r="D1916" s="10">
        <v>4</v>
      </c>
      <c r="E1916" s="10">
        <v>17</v>
      </c>
      <c r="F1916" s="10">
        <v>17</v>
      </c>
      <c r="L1916" s="1">
        <v>450</v>
      </c>
      <c r="M1916" s="1">
        <v>48</v>
      </c>
      <c r="N1916" s="1">
        <v>0</v>
      </c>
      <c r="O1916" s="1">
        <v>4</v>
      </c>
      <c r="P1916" s="2">
        <v>1</v>
      </c>
      <c r="Q1916" s="68">
        <v>13</v>
      </c>
    </row>
    <row r="1917" spans="1:17" x14ac:dyDescent="0.25">
      <c r="A1917" s="10">
        <v>266</v>
      </c>
      <c r="B1917" s="10">
        <v>29</v>
      </c>
      <c r="C1917" s="10">
        <v>4</v>
      </c>
      <c r="D1917" s="10">
        <v>2</v>
      </c>
      <c r="E1917" s="10">
        <v>43</v>
      </c>
      <c r="F1917" s="10">
        <v>43</v>
      </c>
      <c r="L1917" s="1">
        <v>451</v>
      </c>
      <c r="M1917" s="1">
        <v>48</v>
      </c>
      <c r="N1917" s="1">
        <v>0</v>
      </c>
      <c r="O1917" s="1">
        <v>4</v>
      </c>
      <c r="P1917" s="2">
        <v>1</v>
      </c>
      <c r="Q1917" s="67">
        <v>13</v>
      </c>
    </row>
    <row r="1918" spans="1:17" x14ac:dyDescent="0.25">
      <c r="A1918" s="10">
        <v>247</v>
      </c>
      <c r="B1918" s="10">
        <v>27</v>
      </c>
      <c r="C1918" s="10">
        <v>5</v>
      </c>
      <c r="D1918" s="10">
        <v>6</v>
      </c>
      <c r="E1918" s="10">
        <v>19</v>
      </c>
      <c r="F1918" s="10">
        <v>19</v>
      </c>
      <c r="L1918" s="1">
        <v>452</v>
      </c>
      <c r="M1918" s="1">
        <v>48</v>
      </c>
      <c r="N1918" s="1">
        <v>0</v>
      </c>
      <c r="O1918" s="1">
        <v>4</v>
      </c>
      <c r="P1918" s="2">
        <v>1</v>
      </c>
      <c r="Q1918" s="68">
        <v>10</v>
      </c>
    </row>
    <row r="1919" spans="1:17" x14ac:dyDescent="0.25">
      <c r="A1919" s="10">
        <v>266</v>
      </c>
      <c r="B1919" s="10">
        <v>29</v>
      </c>
      <c r="C1919" s="10">
        <v>4</v>
      </c>
      <c r="D1919" s="10">
        <v>3</v>
      </c>
      <c r="E1919" s="10">
        <v>0</v>
      </c>
      <c r="F1919" s="10">
        <v>0</v>
      </c>
      <c r="L1919" s="1">
        <v>453</v>
      </c>
      <c r="M1919" s="1">
        <v>49</v>
      </c>
      <c r="N1919" s="1">
        <v>0</v>
      </c>
      <c r="O1919" s="1">
        <v>4</v>
      </c>
      <c r="P1919" s="2">
        <v>1</v>
      </c>
      <c r="Q1919" s="67">
        <v>14</v>
      </c>
    </row>
    <row r="1920" spans="1:17" x14ac:dyDescent="0.25">
      <c r="A1920" s="10">
        <v>266</v>
      </c>
      <c r="B1920" s="10">
        <v>29</v>
      </c>
      <c r="C1920" s="10">
        <v>4</v>
      </c>
      <c r="D1920" s="10">
        <v>4</v>
      </c>
      <c r="E1920" s="10">
        <v>11</v>
      </c>
      <c r="F1920" s="10">
        <v>11</v>
      </c>
      <c r="L1920" s="1">
        <v>454</v>
      </c>
      <c r="M1920" s="1">
        <v>49</v>
      </c>
      <c r="N1920" s="1">
        <v>0</v>
      </c>
      <c r="O1920" s="1">
        <v>4</v>
      </c>
      <c r="P1920" s="2">
        <v>1</v>
      </c>
      <c r="Q1920" s="68">
        <v>7</v>
      </c>
    </row>
    <row r="1921" spans="1:17" x14ac:dyDescent="0.25">
      <c r="A1921" s="10">
        <v>266</v>
      </c>
      <c r="B1921" s="10">
        <v>29</v>
      </c>
      <c r="C1921" s="10">
        <v>4</v>
      </c>
      <c r="D1921" s="10">
        <v>5</v>
      </c>
      <c r="E1921" s="10">
        <v>29</v>
      </c>
      <c r="F1921" s="10">
        <v>29</v>
      </c>
      <c r="L1921" s="1">
        <v>455</v>
      </c>
      <c r="M1921" s="1">
        <v>49</v>
      </c>
      <c r="N1921" s="1">
        <v>0</v>
      </c>
      <c r="O1921" s="1">
        <v>4</v>
      </c>
      <c r="P1921" s="2">
        <v>1</v>
      </c>
      <c r="Q1921" s="67">
        <v>2</v>
      </c>
    </row>
    <row r="1922" spans="1:17" x14ac:dyDescent="0.25">
      <c r="A1922" s="10">
        <v>3</v>
      </c>
      <c r="B1922" s="10">
        <v>1</v>
      </c>
      <c r="C1922" s="10">
        <v>4</v>
      </c>
      <c r="D1922" s="10">
        <v>1</v>
      </c>
      <c r="E1922" s="10">
        <v>25</v>
      </c>
      <c r="F1922" s="10">
        <v>25</v>
      </c>
      <c r="L1922" s="1">
        <v>456</v>
      </c>
      <c r="M1922" s="1">
        <v>49</v>
      </c>
      <c r="N1922" s="1">
        <v>0</v>
      </c>
      <c r="O1922" s="1">
        <v>4</v>
      </c>
      <c r="P1922" s="2">
        <v>1</v>
      </c>
      <c r="Q1922" s="68">
        <v>10</v>
      </c>
    </row>
    <row r="1923" spans="1:17" x14ac:dyDescent="0.25">
      <c r="A1923" s="10">
        <v>3</v>
      </c>
      <c r="B1923" s="10">
        <v>1</v>
      </c>
      <c r="C1923" s="10">
        <v>4</v>
      </c>
      <c r="D1923" s="10">
        <v>2</v>
      </c>
      <c r="E1923" s="10">
        <v>19</v>
      </c>
      <c r="F1923" s="10">
        <v>19</v>
      </c>
      <c r="L1923" s="1">
        <v>457</v>
      </c>
      <c r="M1923" s="1">
        <v>49</v>
      </c>
      <c r="N1923" s="1">
        <v>0</v>
      </c>
      <c r="O1923" s="1">
        <v>4</v>
      </c>
      <c r="P1923" s="2">
        <v>1</v>
      </c>
      <c r="Q1923" s="67">
        <v>7</v>
      </c>
    </row>
    <row r="1924" spans="1:17" x14ac:dyDescent="0.25">
      <c r="A1924" s="10">
        <v>1</v>
      </c>
      <c r="B1924" s="10">
        <v>1</v>
      </c>
      <c r="C1924" s="10">
        <v>4</v>
      </c>
      <c r="D1924" s="10">
        <v>1</v>
      </c>
      <c r="E1924" s="10">
        <v>453</v>
      </c>
      <c r="F1924" s="10">
        <v>453</v>
      </c>
      <c r="L1924" s="1">
        <v>458</v>
      </c>
      <c r="M1924" s="1">
        <v>49</v>
      </c>
      <c r="N1924" s="1">
        <v>0</v>
      </c>
      <c r="O1924" s="1">
        <v>4</v>
      </c>
      <c r="P1924" s="2">
        <v>1</v>
      </c>
      <c r="Q1924" s="68">
        <v>8</v>
      </c>
    </row>
    <row r="1925" spans="1:17" x14ac:dyDescent="0.25">
      <c r="A1925" s="10">
        <v>3</v>
      </c>
      <c r="B1925" s="10">
        <v>1</v>
      </c>
      <c r="C1925" s="10">
        <v>4</v>
      </c>
      <c r="D1925" s="10">
        <v>7</v>
      </c>
      <c r="E1925" s="10">
        <v>2</v>
      </c>
      <c r="F1925" s="10">
        <v>2</v>
      </c>
      <c r="L1925" s="1">
        <v>459</v>
      </c>
      <c r="M1925" s="1">
        <v>49</v>
      </c>
      <c r="N1925" s="1">
        <v>0</v>
      </c>
      <c r="O1925" s="1">
        <v>4</v>
      </c>
      <c r="P1925" s="2">
        <v>1</v>
      </c>
      <c r="Q1925" s="67">
        <v>12</v>
      </c>
    </row>
    <row r="1926" spans="1:17" x14ac:dyDescent="0.25">
      <c r="A1926" s="10">
        <v>1</v>
      </c>
      <c r="B1926" s="10">
        <v>1</v>
      </c>
      <c r="C1926" s="10">
        <v>4</v>
      </c>
      <c r="D1926" s="10">
        <v>2</v>
      </c>
      <c r="E1926" s="10">
        <v>544</v>
      </c>
      <c r="F1926" s="10">
        <v>544</v>
      </c>
      <c r="L1926" s="1">
        <v>460</v>
      </c>
      <c r="M1926" s="1">
        <v>49</v>
      </c>
      <c r="N1926" s="1">
        <v>0</v>
      </c>
      <c r="O1926" s="1">
        <v>4</v>
      </c>
      <c r="P1926" s="2">
        <v>1</v>
      </c>
      <c r="Q1926" s="68">
        <v>20</v>
      </c>
    </row>
    <row r="1927" spans="1:17" x14ac:dyDescent="0.25">
      <c r="A1927" s="10">
        <v>1</v>
      </c>
      <c r="B1927" s="10">
        <v>1</v>
      </c>
      <c r="C1927" s="10">
        <v>4</v>
      </c>
      <c r="D1927" s="10">
        <v>8</v>
      </c>
      <c r="E1927" s="10">
        <v>3</v>
      </c>
      <c r="F1927" s="10">
        <v>3</v>
      </c>
      <c r="L1927" s="1">
        <v>461</v>
      </c>
      <c r="M1927" s="1">
        <v>49</v>
      </c>
      <c r="N1927" s="1">
        <v>0</v>
      </c>
      <c r="O1927" s="1">
        <v>4</v>
      </c>
      <c r="P1927" s="2">
        <v>1</v>
      </c>
      <c r="Q1927" s="67">
        <v>14</v>
      </c>
    </row>
    <row r="1928" spans="1:17" x14ac:dyDescent="0.25">
      <c r="A1928" s="10">
        <v>13</v>
      </c>
      <c r="B1928" s="10">
        <v>2</v>
      </c>
      <c r="C1928" s="10">
        <v>4</v>
      </c>
      <c r="D1928" s="10">
        <v>1</v>
      </c>
      <c r="E1928" s="10">
        <v>463</v>
      </c>
      <c r="F1928" s="10">
        <v>463</v>
      </c>
      <c r="L1928" s="1">
        <v>462</v>
      </c>
      <c r="M1928" s="1">
        <v>49</v>
      </c>
      <c r="N1928" s="1">
        <v>0</v>
      </c>
      <c r="O1928" s="1">
        <v>4</v>
      </c>
      <c r="P1928" s="2">
        <v>1</v>
      </c>
      <c r="Q1928" s="68">
        <v>16</v>
      </c>
    </row>
    <row r="1929" spans="1:17" x14ac:dyDescent="0.25">
      <c r="A1929" s="10">
        <v>13</v>
      </c>
      <c r="B1929" s="10">
        <v>2</v>
      </c>
      <c r="C1929" s="10">
        <v>4</v>
      </c>
      <c r="D1929" s="10">
        <v>2</v>
      </c>
      <c r="E1929" s="10">
        <v>535</v>
      </c>
      <c r="F1929" s="10">
        <v>535</v>
      </c>
      <c r="L1929" s="1">
        <v>463</v>
      </c>
      <c r="M1929" s="1">
        <v>50</v>
      </c>
      <c r="N1929" s="1">
        <v>0</v>
      </c>
      <c r="O1929" s="1">
        <v>4</v>
      </c>
      <c r="P1929" s="2">
        <v>1</v>
      </c>
      <c r="Q1929" s="67">
        <v>14</v>
      </c>
    </row>
    <row r="1930" spans="1:17" x14ac:dyDescent="0.25">
      <c r="A1930" s="10">
        <v>13</v>
      </c>
      <c r="B1930" s="10">
        <v>2</v>
      </c>
      <c r="C1930" s="10">
        <v>4</v>
      </c>
      <c r="D1930" s="10">
        <v>10</v>
      </c>
      <c r="E1930" s="10">
        <v>3</v>
      </c>
      <c r="F1930" s="10">
        <v>3</v>
      </c>
      <c r="L1930" s="1">
        <v>464</v>
      </c>
      <c r="M1930" s="1">
        <v>50</v>
      </c>
      <c r="N1930" s="1">
        <v>0</v>
      </c>
      <c r="O1930" s="1">
        <v>4</v>
      </c>
      <c r="P1930" s="2">
        <v>1</v>
      </c>
      <c r="Q1930" s="68">
        <v>8</v>
      </c>
    </row>
    <row r="1931" spans="1:17" x14ac:dyDescent="0.25">
      <c r="A1931" s="10">
        <v>343</v>
      </c>
      <c r="B1931" s="10">
        <v>37</v>
      </c>
      <c r="C1931" s="10">
        <v>5</v>
      </c>
      <c r="D1931" s="10">
        <v>1</v>
      </c>
      <c r="E1931" s="10">
        <v>10</v>
      </c>
      <c r="F1931" s="10">
        <v>10</v>
      </c>
      <c r="L1931" s="1">
        <v>465</v>
      </c>
      <c r="M1931" s="1">
        <v>50</v>
      </c>
      <c r="N1931" s="1">
        <v>0</v>
      </c>
      <c r="O1931" s="1">
        <v>4</v>
      </c>
      <c r="P1931" s="2">
        <v>1</v>
      </c>
      <c r="Q1931" s="67">
        <v>13</v>
      </c>
    </row>
    <row r="1932" spans="1:17" x14ac:dyDescent="0.25">
      <c r="A1932" s="10">
        <v>343</v>
      </c>
      <c r="B1932" s="10">
        <v>37</v>
      </c>
      <c r="C1932" s="10">
        <v>5</v>
      </c>
      <c r="D1932" s="10">
        <v>2</v>
      </c>
      <c r="E1932" s="10">
        <v>3</v>
      </c>
      <c r="F1932" s="10">
        <v>3</v>
      </c>
      <c r="L1932" s="1">
        <v>466</v>
      </c>
      <c r="M1932" s="1">
        <v>50</v>
      </c>
      <c r="N1932" s="1">
        <v>0</v>
      </c>
      <c r="O1932" s="1">
        <v>4</v>
      </c>
      <c r="P1932" s="2">
        <v>1</v>
      </c>
      <c r="Q1932" s="68">
        <v>17</v>
      </c>
    </row>
    <row r="1933" spans="1:17" x14ac:dyDescent="0.25">
      <c r="A1933" s="10">
        <v>343</v>
      </c>
      <c r="B1933" s="10">
        <v>37</v>
      </c>
      <c r="C1933" s="10">
        <v>5</v>
      </c>
      <c r="D1933" s="10">
        <v>5</v>
      </c>
      <c r="E1933" s="10">
        <v>7</v>
      </c>
      <c r="F1933" s="10">
        <v>7</v>
      </c>
      <c r="L1933" s="1">
        <v>467</v>
      </c>
      <c r="M1933" s="1">
        <v>50</v>
      </c>
      <c r="N1933" s="1">
        <v>0</v>
      </c>
      <c r="O1933" s="1">
        <v>4</v>
      </c>
      <c r="P1933" s="2">
        <v>1</v>
      </c>
      <c r="Q1933" s="67">
        <v>7</v>
      </c>
    </row>
    <row r="1934" spans="1:17" x14ac:dyDescent="0.25">
      <c r="A1934" s="10">
        <v>341</v>
      </c>
      <c r="B1934" s="10">
        <v>37</v>
      </c>
      <c r="C1934" s="10">
        <v>5</v>
      </c>
      <c r="D1934" s="10">
        <v>1</v>
      </c>
      <c r="E1934" s="10">
        <v>3</v>
      </c>
      <c r="F1934" s="10">
        <v>3</v>
      </c>
      <c r="L1934" s="1">
        <v>468</v>
      </c>
      <c r="M1934" s="1">
        <v>50</v>
      </c>
      <c r="N1934" s="1">
        <v>0</v>
      </c>
      <c r="O1934" s="1">
        <v>4</v>
      </c>
      <c r="P1934" s="2">
        <v>1</v>
      </c>
      <c r="Q1934" s="68">
        <v>5</v>
      </c>
    </row>
    <row r="1935" spans="1:17" x14ac:dyDescent="0.25">
      <c r="A1935" s="10">
        <v>341</v>
      </c>
      <c r="B1935" s="10">
        <v>37</v>
      </c>
      <c r="C1935" s="10">
        <v>5</v>
      </c>
      <c r="D1935" s="10">
        <v>5</v>
      </c>
      <c r="E1935" s="10">
        <v>3</v>
      </c>
      <c r="F1935" s="10">
        <v>3</v>
      </c>
      <c r="L1935" s="1">
        <v>469</v>
      </c>
      <c r="M1935" s="1">
        <v>50</v>
      </c>
      <c r="N1935" s="1">
        <v>0</v>
      </c>
      <c r="O1935" s="1">
        <v>4</v>
      </c>
      <c r="P1935" s="2">
        <v>1</v>
      </c>
      <c r="Q1935" s="67">
        <v>7</v>
      </c>
    </row>
    <row r="1936" spans="1:17" x14ac:dyDescent="0.25">
      <c r="A1936" s="10">
        <v>341</v>
      </c>
      <c r="B1936" s="10">
        <v>37</v>
      </c>
      <c r="C1936" s="10">
        <v>5</v>
      </c>
      <c r="D1936" s="10">
        <v>3</v>
      </c>
      <c r="E1936" s="10">
        <v>1</v>
      </c>
      <c r="F1936" s="10">
        <v>1</v>
      </c>
      <c r="L1936" s="1">
        <v>470</v>
      </c>
      <c r="M1936" s="1">
        <v>50</v>
      </c>
      <c r="N1936" s="1">
        <v>0</v>
      </c>
      <c r="O1936" s="1">
        <v>4</v>
      </c>
      <c r="P1936" s="2">
        <v>1</v>
      </c>
      <c r="Q1936" s="68">
        <v>9</v>
      </c>
    </row>
    <row r="1937" spans="1:17" x14ac:dyDescent="0.25">
      <c r="A1937" s="10">
        <v>273</v>
      </c>
      <c r="B1937" s="10">
        <v>30</v>
      </c>
      <c r="C1937" s="10">
        <v>5</v>
      </c>
      <c r="D1937" s="10">
        <v>1</v>
      </c>
      <c r="E1937" s="10">
        <v>22</v>
      </c>
      <c r="F1937" s="10">
        <v>22</v>
      </c>
      <c r="L1937" s="1">
        <v>471</v>
      </c>
      <c r="M1937" s="1">
        <v>50</v>
      </c>
      <c r="N1937" s="1">
        <v>0</v>
      </c>
      <c r="O1937" s="1">
        <v>4</v>
      </c>
      <c r="P1937" s="2">
        <v>1</v>
      </c>
      <c r="Q1937" s="67">
        <v>6</v>
      </c>
    </row>
    <row r="1938" spans="1:17" x14ac:dyDescent="0.25">
      <c r="A1938" s="10">
        <v>273</v>
      </c>
      <c r="B1938" s="10">
        <v>30</v>
      </c>
      <c r="C1938" s="10">
        <v>5</v>
      </c>
      <c r="D1938" s="10">
        <v>2</v>
      </c>
      <c r="E1938" s="10">
        <v>26</v>
      </c>
      <c r="F1938" s="10">
        <v>26</v>
      </c>
      <c r="L1938" s="1">
        <v>472</v>
      </c>
      <c r="M1938" s="1">
        <v>50</v>
      </c>
      <c r="N1938" s="1">
        <v>0</v>
      </c>
      <c r="O1938" s="1">
        <v>4</v>
      </c>
      <c r="P1938" s="2">
        <v>1</v>
      </c>
      <c r="Q1938" s="68">
        <v>8</v>
      </c>
    </row>
    <row r="1939" spans="1:17" x14ac:dyDescent="0.25">
      <c r="A1939" s="10">
        <v>273</v>
      </c>
      <c r="B1939" s="10">
        <v>30</v>
      </c>
      <c r="C1939" s="10">
        <v>5</v>
      </c>
      <c r="D1939" s="10">
        <v>3</v>
      </c>
      <c r="E1939" s="10">
        <v>2</v>
      </c>
      <c r="F1939" s="10">
        <v>2</v>
      </c>
      <c r="L1939" s="1">
        <v>473</v>
      </c>
      <c r="M1939" s="1">
        <v>51</v>
      </c>
      <c r="N1939" s="1">
        <v>0</v>
      </c>
      <c r="O1939" s="1">
        <v>4</v>
      </c>
      <c r="P1939" s="2">
        <v>1</v>
      </c>
      <c r="Q1939" s="67">
        <v>9</v>
      </c>
    </row>
    <row r="1940" spans="1:17" x14ac:dyDescent="0.25">
      <c r="A1940" s="10">
        <v>271</v>
      </c>
      <c r="B1940" s="10">
        <v>30</v>
      </c>
      <c r="C1940" s="10">
        <v>5</v>
      </c>
      <c r="D1940" s="10">
        <v>1</v>
      </c>
      <c r="E1940" s="10">
        <v>27</v>
      </c>
      <c r="F1940" s="10">
        <v>27</v>
      </c>
      <c r="L1940" s="1">
        <v>474</v>
      </c>
      <c r="M1940" s="1">
        <v>51</v>
      </c>
      <c r="N1940" s="1">
        <v>0</v>
      </c>
      <c r="O1940" s="1">
        <v>4</v>
      </c>
      <c r="P1940" s="2">
        <v>1</v>
      </c>
      <c r="Q1940" s="68">
        <v>9</v>
      </c>
    </row>
    <row r="1941" spans="1:17" x14ac:dyDescent="0.25">
      <c r="A1941" s="10">
        <v>271</v>
      </c>
      <c r="B1941" s="10">
        <v>30</v>
      </c>
      <c r="C1941" s="10">
        <v>5</v>
      </c>
      <c r="D1941" s="10">
        <v>2</v>
      </c>
      <c r="E1941" s="10">
        <v>32</v>
      </c>
      <c r="F1941" s="10">
        <v>32</v>
      </c>
      <c r="L1941" s="1">
        <v>475</v>
      </c>
      <c r="M1941" s="1">
        <v>51</v>
      </c>
      <c r="N1941" s="1">
        <v>0</v>
      </c>
      <c r="O1941" s="1">
        <v>4</v>
      </c>
      <c r="P1941" s="2">
        <v>1</v>
      </c>
      <c r="Q1941" s="67">
        <v>4</v>
      </c>
    </row>
    <row r="1942" spans="1:17" x14ac:dyDescent="0.25">
      <c r="A1942" s="10">
        <v>277</v>
      </c>
      <c r="B1942" s="10">
        <v>30</v>
      </c>
      <c r="C1942" s="10">
        <v>5</v>
      </c>
      <c r="D1942" s="10">
        <v>1</v>
      </c>
      <c r="E1942" s="10">
        <v>10</v>
      </c>
      <c r="F1942" s="10">
        <v>10</v>
      </c>
      <c r="L1942" s="1">
        <v>476</v>
      </c>
      <c r="M1942" s="1">
        <v>51</v>
      </c>
      <c r="N1942" s="1">
        <v>0</v>
      </c>
      <c r="O1942" s="1">
        <v>4</v>
      </c>
      <c r="P1942" s="2">
        <v>1</v>
      </c>
      <c r="Q1942" s="68">
        <v>9</v>
      </c>
    </row>
    <row r="1943" spans="1:17" x14ac:dyDescent="0.25">
      <c r="A1943" s="10">
        <v>277</v>
      </c>
      <c r="B1943" s="10">
        <v>30</v>
      </c>
      <c r="C1943" s="10">
        <v>5</v>
      </c>
      <c r="D1943" s="10">
        <v>2</v>
      </c>
      <c r="E1943" s="10">
        <v>12</v>
      </c>
      <c r="F1943" s="10">
        <v>12</v>
      </c>
      <c r="L1943" s="1">
        <v>477</v>
      </c>
      <c r="M1943" s="1">
        <v>51</v>
      </c>
      <c r="N1943" s="1">
        <v>0</v>
      </c>
      <c r="O1943" s="1">
        <v>4</v>
      </c>
      <c r="P1943" s="2">
        <v>1</v>
      </c>
      <c r="Q1943" s="67">
        <v>8</v>
      </c>
    </row>
    <row r="1944" spans="1:17" x14ac:dyDescent="0.25">
      <c r="A1944" s="10">
        <v>279</v>
      </c>
      <c r="B1944" s="10">
        <v>30</v>
      </c>
      <c r="C1944" s="10">
        <v>5</v>
      </c>
      <c r="D1944" s="10">
        <v>1</v>
      </c>
      <c r="E1944" s="10">
        <v>8</v>
      </c>
      <c r="F1944" s="10">
        <v>8</v>
      </c>
      <c r="L1944" s="1">
        <v>478</v>
      </c>
      <c r="M1944" s="1">
        <v>51</v>
      </c>
      <c r="N1944" s="1">
        <v>0</v>
      </c>
      <c r="O1944" s="1">
        <v>4</v>
      </c>
      <c r="P1944" s="2">
        <v>1</v>
      </c>
      <c r="Q1944" s="68">
        <v>1</v>
      </c>
    </row>
    <row r="1945" spans="1:17" x14ac:dyDescent="0.25">
      <c r="A1945" s="10">
        <v>279</v>
      </c>
      <c r="B1945" s="10">
        <v>30</v>
      </c>
      <c r="C1945" s="10">
        <v>5</v>
      </c>
      <c r="D1945" s="10">
        <v>2</v>
      </c>
      <c r="E1945" s="10">
        <v>12</v>
      </c>
      <c r="F1945" s="10">
        <v>12</v>
      </c>
      <c r="L1945" s="1">
        <v>479</v>
      </c>
      <c r="M1945" s="1">
        <v>51</v>
      </c>
      <c r="N1945" s="1">
        <v>0</v>
      </c>
      <c r="O1945" s="1">
        <v>4</v>
      </c>
      <c r="P1945" s="2">
        <v>1</v>
      </c>
      <c r="Q1945" s="67">
        <v>3</v>
      </c>
    </row>
    <row r="1946" spans="1:17" x14ac:dyDescent="0.25">
      <c r="A1946" s="10">
        <v>242</v>
      </c>
      <c r="B1946" s="10">
        <v>26</v>
      </c>
      <c r="C1946" s="10">
        <v>5</v>
      </c>
      <c r="D1946" s="10">
        <v>1</v>
      </c>
      <c r="E1946" s="10">
        <v>6</v>
      </c>
      <c r="F1946" s="10">
        <v>6</v>
      </c>
      <c r="L1946" s="1">
        <v>480</v>
      </c>
      <c r="M1946" s="1">
        <v>51</v>
      </c>
      <c r="N1946" s="1">
        <v>0</v>
      </c>
      <c r="O1946" s="1">
        <v>4</v>
      </c>
      <c r="P1946" s="2">
        <v>1</v>
      </c>
      <c r="Q1946" s="68">
        <v>1</v>
      </c>
    </row>
    <row r="1947" spans="1:17" x14ac:dyDescent="0.25">
      <c r="A1947" s="10">
        <v>242</v>
      </c>
      <c r="B1947" s="10">
        <v>26</v>
      </c>
      <c r="C1947" s="10">
        <v>5</v>
      </c>
      <c r="D1947" s="10">
        <v>2</v>
      </c>
      <c r="E1947" s="10">
        <v>3</v>
      </c>
      <c r="F1947" s="10">
        <v>3</v>
      </c>
      <c r="L1947" s="1">
        <v>481</v>
      </c>
      <c r="M1947" s="1">
        <v>51</v>
      </c>
      <c r="N1947" s="1">
        <v>0</v>
      </c>
      <c r="O1947" s="1">
        <v>4</v>
      </c>
      <c r="P1947" s="2">
        <v>1</v>
      </c>
      <c r="Q1947" s="67">
        <v>4</v>
      </c>
    </row>
    <row r="1948" spans="1:17" x14ac:dyDescent="0.25">
      <c r="A1948" s="10">
        <v>242</v>
      </c>
      <c r="B1948" s="10">
        <v>26</v>
      </c>
      <c r="C1948" s="10">
        <v>5</v>
      </c>
      <c r="D1948" s="10">
        <v>3</v>
      </c>
      <c r="E1948" s="10">
        <v>2</v>
      </c>
      <c r="F1948" s="10">
        <v>2</v>
      </c>
      <c r="L1948" s="1">
        <v>482</v>
      </c>
      <c r="M1948" s="1">
        <v>51</v>
      </c>
      <c r="N1948" s="1">
        <v>0</v>
      </c>
      <c r="O1948" s="1">
        <v>4</v>
      </c>
      <c r="P1948" s="2">
        <v>1</v>
      </c>
      <c r="Q1948" s="68">
        <v>0</v>
      </c>
    </row>
    <row r="1949" spans="1:17" x14ac:dyDescent="0.25">
      <c r="A1949" s="10">
        <v>264</v>
      </c>
      <c r="B1949" s="10">
        <v>29</v>
      </c>
      <c r="C1949" s="10">
        <v>5</v>
      </c>
      <c r="D1949" s="10">
        <v>1</v>
      </c>
      <c r="E1949" s="10">
        <v>3</v>
      </c>
      <c r="F1949" s="10">
        <v>3</v>
      </c>
      <c r="L1949" s="1">
        <v>483</v>
      </c>
      <c r="M1949" s="1">
        <v>52</v>
      </c>
      <c r="N1949" s="1">
        <v>0</v>
      </c>
      <c r="O1949" s="1">
        <v>4</v>
      </c>
      <c r="P1949" s="2">
        <v>1</v>
      </c>
      <c r="Q1949" s="67">
        <v>1</v>
      </c>
    </row>
    <row r="1950" spans="1:17" x14ac:dyDescent="0.25">
      <c r="A1950" s="10">
        <v>264</v>
      </c>
      <c r="B1950" s="10">
        <v>29</v>
      </c>
      <c r="C1950" s="10">
        <v>5</v>
      </c>
      <c r="D1950" s="10">
        <v>2</v>
      </c>
      <c r="E1950" s="10">
        <v>0</v>
      </c>
      <c r="F1950" s="10">
        <v>0</v>
      </c>
      <c r="L1950" s="1">
        <v>484</v>
      </c>
      <c r="M1950" s="1">
        <v>52</v>
      </c>
      <c r="N1950" s="1">
        <v>0</v>
      </c>
      <c r="O1950" s="1">
        <v>4</v>
      </c>
      <c r="P1950" s="2">
        <v>1</v>
      </c>
      <c r="Q1950" s="68">
        <v>1</v>
      </c>
    </row>
    <row r="1951" spans="1:17" x14ac:dyDescent="0.25">
      <c r="A1951" s="10">
        <v>264</v>
      </c>
      <c r="B1951" s="10">
        <v>29</v>
      </c>
      <c r="C1951" s="10">
        <v>5</v>
      </c>
      <c r="D1951" s="10">
        <v>5</v>
      </c>
      <c r="E1951" s="10">
        <v>6</v>
      </c>
      <c r="F1951" s="10">
        <v>6</v>
      </c>
      <c r="L1951" s="1">
        <v>485</v>
      </c>
      <c r="M1951" s="1">
        <v>52</v>
      </c>
      <c r="N1951" s="1">
        <v>0</v>
      </c>
      <c r="O1951" s="1">
        <v>4</v>
      </c>
      <c r="P1951" s="2">
        <v>1</v>
      </c>
      <c r="Q1951" s="67">
        <v>0</v>
      </c>
    </row>
    <row r="1952" spans="1:17" x14ac:dyDescent="0.25">
      <c r="A1952" s="10">
        <v>202</v>
      </c>
      <c r="B1952" s="10">
        <v>22</v>
      </c>
      <c r="C1952" s="10">
        <v>5</v>
      </c>
      <c r="D1952" s="10">
        <v>1</v>
      </c>
      <c r="E1952" s="10">
        <v>7</v>
      </c>
      <c r="F1952" s="10">
        <v>7</v>
      </c>
      <c r="L1952" s="1">
        <v>486</v>
      </c>
      <c r="M1952" s="1">
        <v>52</v>
      </c>
      <c r="N1952" s="1">
        <v>0</v>
      </c>
      <c r="O1952" s="1">
        <v>4</v>
      </c>
      <c r="P1952" s="2">
        <v>1</v>
      </c>
      <c r="Q1952" s="68">
        <v>10</v>
      </c>
    </row>
    <row r="1953" spans="1:17" x14ac:dyDescent="0.25">
      <c r="A1953" s="10">
        <v>202</v>
      </c>
      <c r="B1953" s="10">
        <v>22</v>
      </c>
      <c r="C1953" s="10">
        <v>5</v>
      </c>
      <c r="D1953" s="10">
        <v>2</v>
      </c>
      <c r="E1953" s="10">
        <v>8</v>
      </c>
      <c r="F1953" s="10">
        <v>8</v>
      </c>
      <c r="L1953" s="1">
        <v>487</v>
      </c>
      <c r="M1953" s="1">
        <v>52</v>
      </c>
      <c r="N1953" s="1">
        <v>0</v>
      </c>
      <c r="O1953" s="1">
        <v>4</v>
      </c>
      <c r="P1953" s="2">
        <v>1</v>
      </c>
      <c r="Q1953" s="67">
        <v>7</v>
      </c>
    </row>
    <row r="1954" spans="1:17" x14ac:dyDescent="0.25">
      <c r="A1954" s="10">
        <v>202</v>
      </c>
      <c r="B1954" s="10">
        <v>22</v>
      </c>
      <c r="C1954" s="10">
        <v>5</v>
      </c>
      <c r="D1954" s="10">
        <v>3</v>
      </c>
      <c r="E1954" s="10">
        <v>1</v>
      </c>
      <c r="F1954" s="10">
        <v>1</v>
      </c>
      <c r="L1954" s="1">
        <v>488</v>
      </c>
      <c r="M1954" s="1">
        <v>52</v>
      </c>
      <c r="N1954" s="1">
        <v>0</v>
      </c>
      <c r="O1954" s="1">
        <v>4</v>
      </c>
      <c r="P1954" s="2">
        <v>1</v>
      </c>
      <c r="Q1954" s="68">
        <v>13</v>
      </c>
    </row>
    <row r="1955" spans="1:17" x14ac:dyDescent="0.25">
      <c r="A1955" s="10">
        <v>5</v>
      </c>
      <c r="B1955" s="10">
        <v>1</v>
      </c>
      <c r="C1955" s="10">
        <v>5</v>
      </c>
      <c r="D1955" s="10">
        <v>1</v>
      </c>
      <c r="E1955" s="10">
        <v>542</v>
      </c>
      <c r="F1955" s="10">
        <v>542</v>
      </c>
      <c r="L1955" s="4">
        <v>1</v>
      </c>
      <c r="M1955" s="4">
        <v>1</v>
      </c>
      <c r="N1955" s="4">
        <v>1</v>
      </c>
      <c r="O1955" s="4">
        <v>1</v>
      </c>
      <c r="P1955" s="5">
        <v>1</v>
      </c>
      <c r="Q1955" s="67">
        <v>12</v>
      </c>
    </row>
    <row r="1956" spans="1:17" x14ac:dyDescent="0.25">
      <c r="A1956" s="10">
        <v>202</v>
      </c>
      <c r="B1956" s="10">
        <v>22</v>
      </c>
      <c r="C1956" s="10">
        <v>5</v>
      </c>
      <c r="D1956" s="10">
        <v>4</v>
      </c>
      <c r="E1956" s="10">
        <v>0</v>
      </c>
      <c r="F1956" s="10">
        <v>0</v>
      </c>
      <c r="L1956" s="1">
        <v>2</v>
      </c>
      <c r="M1956" s="4">
        <v>1</v>
      </c>
      <c r="N1956" s="4">
        <v>1</v>
      </c>
      <c r="O1956" s="1">
        <v>1</v>
      </c>
      <c r="P1956" s="2">
        <v>1</v>
      </c>
      <c r="Q1956" s="68">
        <v>6</v>
      </c>
    </row>
    <row r="1957" spans="1:17" x14ac:dyDescent="0.25">
      <c r="A1957" s="10">
        <v>202</v>
      </c>
      <c r="B1957" s="10">
        <v>22</v>
      </c>
      <c r="C1957" s="10">
        <v>5</v>
      </c>
      <c r="D1957" s="10">
        <v>5</v>
      </c>
      <c r="E1957" s="10">
        <v>0</v>
      </c>
      <c r="F1957" s="10">
        <v>0</v>
      </c>
      <c r="L1957" s="4">
        <v>3</v>
      </c>
      <c r="M1957" s="4">
        <v>1</v>
      </c>
      <c r="N1957" s="4">
        <v>1</v>
      </c>
      <c r="O1957" s="4">
        <v>1</v>
      </c>
      <c r="P1957" s="5">
        <v>1</v>
      </c>
      <c r="Q1957" s="67">
        <v>4</v>
      </c>
    </row>
    <row r="1958" spans="1:17" x14ac:dyDescent="0.25">
      <c r="A1958" s="10">
        <v>252</v>
      </c>
      <c r="B1958" s="10">
        <v>27</v>
      </c>
      <c r="C1958" s="10">
        <v>5</v>
      </c>
      <c r="D1958" s="10">
        <v>1</v>
      </c>
      <c r="E1958" s="10">
        <v>14</v>
      </c>
      <c r="F1958" s="10">
        <v>14</v>
      </c>
      <c r="L1958" s="1">
        <v>4</v>
      </c>
      <c r="M1958" s="4">
        <v>1</v>
      </c>
      <c r="N1958" s="4">
        <v>1</v>
      </c>
      <c r="O1958" s="1">
        <v>1</v>
      </c>
      <c r="P1958" s="2">
        <v>1</v>
      </c>
      <c r="Q1958" s="68">
        <v>1</v>
      </c>
    </row>
    <row r="1959" spans="1:17" x14ac:dyDescent="0.25">
      <c r="A1959" s="10">
        <v>252</v>
      </c>
      <c r="B1959" s="10">
        <v>27</v>
      </c>
      <c r="C1959" s="10">
        <v>5</v>
      </c>
      <c r="D1959" s="10">
        <v>2</v>
      </c>
      <c r="E1959" s="10">
        <v>17</v>
      </c>
      <c r="F1959" s="10">
        <v>17</v>
      </c>
      <c r="L1959" s="4">
        <v>5</v>
      </c>
      <c r="M1959" s="4">
        <v>1</v>
      </c>
      <c r="N1959" s="4">
        <v>1</v>
      </c>
      <c r="O1959" s="4">
        <v>1</v>
      </c>
      <c r="P1959" s="5">
        <v>1</v>
      </c>
      <c r="Q1959" s="67">
        <v>7</v>
      </c>
    </row>
    <row r="1960" spans="1:17" x14ac:dyDescent="0.25">
      <c r="A1960" s="10">
        <v>206</v>
      </c>
      <c r="B1960" s="10">
        <v>22</v>
      </c>
      <c r="C1960" s="10">
        <v>5</v>
      </c>
      <c r="D1960" s="10">
        <v>1</v>
      </c>
      <c r="E1960" s="10">
        <v>12</v>
      </c>
      <c r="F1960" s="10">
        <v>12</v>
      </c>
      <c r="L1960" s="1">
        <v>6</v>
      </c>
      <c r="M1960" s="4">
        <v>1</v>
      </c>
      <c r="N1960" s="4">
        <v>1</v>
      </c>
      <c r="O1960" s="1">
        <v>1</v>
      </c>
      <c r="P1960" s="2">
        <v>1</v>
      </c>
      <c r="Q1960" s="68">
        <v>2</v>
      </c>
    </row>
    <row r="1961" spans="1:17" x14ac:dyDescent="0.25">
      <c r="A1961" s="10">
        <v>206</v>
      </c>
      <c r="B1961" s="10">
        <v>22</v>
      </c>
      <c r="C1961" s="10">
        <v>5</v>
      </c>
      <c r="D1961" s="10">
        <v>2</v>
      </c>
      <c r="E1961" s="10">
        <v>8</v>
      </c>
      <c r="F1961" s="10">
        <v>8</v>
      </c>
      <c r="L1961" s="4">
        <v>7</v>
      </c>
      <c r="M1961" s="4">
        <v>1</v>
      </c>
      <c r="N1961" s="4">
        <v>1</v>
      </c>
      <c r="O1961" s="4">
        <v>1</v>
      </c>
      <c r="P1961" s="5">
        <v>1</v>
      </c>
      <c r="Q1961" s="67">
        <v>0</v>
      </c>
    </row>
    <row r="1962" spans="1:17" x14ac:dyDescent="0.25">
      <c r="A1962" s="10">
        <v>206</v>
      </c>
      <c r="B1962" s="10">
        <v>22</v>
      </c>
      <c r="C1962" s="10">
        <v>5</v>
      </c>
      <c r="D1962" s="10">
        <v>3</v>
      </c>
      <c r="E1962" s="10">
        <v>3</v>
      </c>
      <c r="F1962" s="10">
        <v>3</v>
      </c>
      <c r="L1962" s="1">
        <v>8</v>
      </c>
      <c r="M1962" s="4">
        <v>1</v>
      </c>
      <c r="N1962" s="4">
        <v>1</v>
      </c>
      <c r="O1962" s="1">
        <v>1</v>
      </c>
      <c r="P1962" s="2">
        <v>1</v>
      </c>
      <c r="Q1962" s="68">
        <v>7</v>
      </c>
    </row>
    <row r="1963" spans="1:17" x14ac:dyDescent="0.25">
      <c r="A1963" s="10">
        <v>182</v>
      </c>
      <c r="B1963" s="10">
        <v>19</v>
      </c>
      <c r="C1963" s="10">
        <v>5</v>
      </c>
      <c r="D1963" s="10">
        <v>1</v>
      </c>
      <c r="E1963" s="10">
        <v>40</v>
      </c>
      <c r="F1963" s="10">
        <v>40</v>
      </c>
      <c r="L1963" s="4">
        <v>9</v>
      </c>
      <c r="M1963" s="4">
        <v>1</v>
      </c>
      <c r="N1963" s="4">
        <v>1</v>
      </c>
      <c r="O1963" s="4">
        <v>1</v>
      </c>
      <c r="P1963" s="2">
        <v>1</v>
      </c>
      <c r="Q1963" s="67">
        <v>3</v>
      </c>
    </row>
    <row r="1964" spans="1:17" x14ac:dyDescent="0.25">
      <c r="A1964" s="10">
        <v>182</v>
      </c>
      <c r="B1964" s="10">
        <v>19</v>
      </c>
      <c r="C1964" s="10">
        <v>5</v>
      </c>
      <c r="D1964" s="10">
        <v>2</v>
      </c>
      <c r="E1964" s="10">
        <v>34</v>
      </c>
      <c r="F1964" s="10">
        <v>34</v>
      </c>
      <c r="L1964" s="1">
        <v>10</v>
      </c>
      <c r="M1964" s="4">
        <v>1</v>
      </c>
      <c r="N1964" s="4">
        <v>1</v>
      </c>
      <c r="O1964" s="1">
        <v>1</v>
      </c>
      <c r="P1964" s="2">
        <v>1</v>
      </c>
      <c r="Q1964" s="68">
        <v>2</v>
      </c>
    </row>
    <row r="1965" spans="1:17" x14ac:dyDescent="0.25">
      <c r="A1965" s="10">
        <v>9</v>
      </c>
      <c r="B1965" s="10">
        <v>1</v>
      </c>
      <c r="C1965" s="10">
        <v>4</v>
      </c>
      <c r="D1965" s="10">
        <v>1</v>
      </c>
      <c r="E1965" s="10">
        <v>0</v>
      </c>
      <c r="F1965" s="10">
        <v>0</v>
      </c>
      <c r="L1965" s="4">
        <v>11</v>
      </c>
      <c r="M1965" s="4">
        <v>2</v>
      </c>
      <c r="N1965" s="4">
        <v>1</v>
      </c>
      <c r="O1965" s="4">
        <v>1</v>
      </c>
      <c r="P1965" s="2">
        <v>1</v>
      </c>
      <c r="Q1965" s="67">
        <v>2</v>
      </c>
    </row>
    <row r="1966" spans="1:17" x14ac:dyDescent="0.25">
      <c r="A1966" s="10">
        <v>44</v>
      </c>
      <c r="B1966" s="10">
        <v>5</v>
      </c>
      <c r="C1966" s="10">
        <v>5</v>
      </c>
      <c r="D1966" s="10">
        <v>1</v>
      </c>
      <c r="E1966" s="10">
        <v>27</v>
      </c>
      <c r="F1966" s="10">
        <v>27</v>
      </c>
      <c r="L1966" s="1">
        <v>12</v>
      </c>
      <c r="M1966" s="4">
        <v>2</v>
      </c>
      <c r="N1966" s="4">
        <v>1</v>
      </c>
      <c r="O1966" s="1">
        <v>1</v>
      </c>
      <c r="P1966" s="2">
        <v>1</v>
      </c>
      <c r="Q1966" s="68">
        <v>7</v>
      </c>
    </row>
    <row r="1967" spans="1:17" x14ac:dyDescent="0.25">
      <c r="A1967" s="10">
        <v>11</v>
      </c>
      <c r="B1967" s="10">
        <v>2</v>
      </c>
      <c r="C1967" s="10">
        <v>5</v>
      </c>
      <c r="D1967" s="10">
        <v>1</v>
      </c>
      <c r="E1967" s="10">
        <v>15</v>
      </c>
      <c r="F1967" s="10">
        <v>15</v>
      </c>
      <c r="L1967" s="4">
        <v>13</v>
      </c>
      <c r="M1967" s="4">
        <v>2</v>
      </c>
      <c r="N1967" s="4">
        <v>1</v>
      </c>
      <c r="O1967" s="4">
        <v>1</v>
      </c>
      <c r="P1967" s="5">
        <v>1</v>
      </c>
      <c r="Q1967" s="67">
        <v>8</v>
      </c>
    </row>
    <row r="1968" spans="1:17" x14ac:dyDescent="0.25">
      <c r="A1968" s="10">
        <v>46</v>
      </c>
      <c r="B1968" s="10">
        <v>5</v>
      </c>
      <c r="C1968" s="10">
        <v>5</v>
      </c>
      <c r="D1968" s="10">
        <v>1</v>
      </c>
      <c r="E1968" s="10">
        <v>11</v>
      </c>
      <c r="F1968" s="10">
        <v>11</v>
      </c>
      <c r="L1968" s="1">
        <v>14</v>
      </c>
      <c r="M1968" s="4">
        <v>2</v>
      </c>
      <c r="N1968" s="4">
        <v>1</v>
      </c>
      <c r="O1968" s="1">
        <v>1</v>
      </c>
      <c r="P1968" s="2">
        <v>1</v>
      </c>
      <c r="Q1968" s="68">
        <v>4</v>
      </c>
    </row>
    <row r="1969" spans="1:17" x14ac:dyDescent="0.25">
      <c r="A1969" s="10">
        <v>11</v>
      </c>
      <c r="B1969" s="10">
        <v>2</v>
      </c>
      <c r="C1969" s="10">
        <v>5</v>
      </c>
      <c r="D1969" s="10">
        <v>2</v>
      </c>
      <c r="E1969" s="10">
        <v>13</v>
      </c>
      <c r="F1969" s="10">
        <v>13</v>
      </c>
      <c r="L1969" s="4">
        <v>15</v>
      </c>
      <c r="M1969" s="4">
        <v>2</v>
      </c>
      <c r="N1969" s="4">
        <v>1</v>
      </c>
      <c r="O1969" s="4">
        <v>1</v>
      </c>
      <c r="P1969" s="2">
        <v>1</v>
      </c>
      <c r="Q1969" s="67">
        <v>7</v>
      </c>
    </row>
    <row r="1970" spans="1:17" x14ac:dyDescent="0.25">
      <c r="A1970" s="10">
        <v>11</v>
      </c>
      <c r="B1970" s="10">
        <v>2</v>
      </c>
      <c r="C1970" s="10">
        <v>5</v>
      </c>
      <c r="D1970" s="10">
        <v>3</v>
      </c>
      <c r="E1970" s="10">
        <v>2</v>
      </c>
      <c r="F1970" s="10">
        <v>2</v>
      </c>
      <c r="L1970" s="1">
        <v>16</v>
      </c>
      <c r="M1970" s="4">
        <v>2</v>
      </c>
      <c r="N1970" s="4">
        <v>1</v>
      </c>
      <c r="O1970" s="4">
        <v>1</v>
      </c>
      <c r="P1970" s="2">
        <v>1</v>
      </c>
      <c r="Q1970" s="68">
        <v>1</v>
      </c>
    </row>
    <row r="1971" spans="1:17" x14ac:dyDescent="0.25">
      <c r="A1971" s="10">
        <v>44</v>
      </c>
      <c r="B1971" s="10">
        <v>5</v>
      </c>
      <c r="C1971" s="10">
        <v>5</v>
      </c>
      <c r="D1971" s="10">
        <v>2</v>
      </c>
      <c r="E1971" s="10">
        <v>19</v>
      </c>
      <c r="F1971" s="10">
        <v>19</v>
      </c>
      <c r="L1971" s="4">
        <v>17</v>
      </c>
      <c r="M1971" s="4">
        <v>2</v>
      </c>
      <c r="N1971" s="4">
        <v>1</v>
      </c>
      <c r="O1971" s="1">
        <v>1</v>
      </c>
      <c r="P1971" s="2">
        <v>1</v>
      </c>
      <c r="Q1971" s="67">
        <v>3</v>
      </c>
    </row>
    <row r="1972" spans="1:17" x14ac:dyDescent="0.25">
      <c r="A1972" s="10">
        <v>46</v>
      </c>
      <c r="B1972" s="10">
        <v>5</v>
      </c>
      <c r="C1972" s="10">
        <v>5</v>
      </c>
      <c r="D1972" s="10">
        <v>2</v>
      </c>
      <c r="E1972" s="10">
        <v>6</v>
      </c>
      <c r="F1972" s="10">
        <v>6</v>
      </c>
      <c r="L1972" s="1">
        <v>18</v>
      </c>
      <c r="M1972" s="4">
        <v>2</v>
      </c>
      <c r="N1972" s="4">
        <v>1</v>
      </c>
      <c r="O1972" s="4">
        <v>1</v>
      </c>
      <c r="P1972" s="2">
        <v>1</v>
      </c>
      <c r="Q1972" s="68">
        <v>5</v>
      </c>
    </row>
    <row r="1973" spans="1:17" x14ac:dyDescent="0.25">
      <c r="A1973" s="10">
        <v>44</v>
      </c>
      <c r="B1973" s="10">
        <v>5</v>
      </c>
      <c r="C1973" s="10">
        <v>5</v>
      </c>
      <c r="D1973" s="10">
        <v>3</v>
      </c>
      <c r="E1973" s="10">
        <v>6</v>
      </c>
      <c r="F1973" s="10">
        <v>6</v>
      </c>
      <c r="L1973" s="4">
        <v>19</v>
      </c>
      <c r="M1973" s="4">
        <v>2</v>
      </c>
      <c r="N1973" s="4">
        <v>1</v>
      </c>
      <c r="O1973" s="1">
        <v>1</v>
      </c>
      <c r="P1973" s="5">
        <v>1</v>
      </c>
      <c r="Q1973" s="67">
        <v>6</v>
      </c>
    </row>
    <row r="1974" spans="1:17" x14ac:dyDescent="0.25">
      <c r="A1974" s="10">
        <v>42</v>
      </c>
      <c r="B1974" s="10">
        <v>5</v>
      </c>
      <c r="C1974" s="10">
        <v>5</v>
      </c>
      <c r="D1974" s="10">
        <v>1</v>
      </c>
      <c r="E1974" s="10">
        <v>11</v>
      </c>
      <c r="F1974" s="10">
        <v>11</v>
      </c>
      <c r="L1974" s="1">
        <v>20</v>
      </c>
      <c r="M1974" s="4">
        <v>2</v>
      </c>
      <c r="N1974" s="4">
        <v>1</v>
      </c>
      <c r="O1974" s="4">
        <v>1</v>
      </c>
      <c r="P1974" s="2">
        <v>1</v>
      </c>
      <c r="Q1974" s="68">
        <v>8</v>
      </c>
    </row>
    <row r="1975" spans="1:17" x14ac:dyDescent="0.25">
      <c r="A1975" s="10">
        <v>42</v>
      </c>
      <c r="B1975" s="10">
        <v>5</v>
      </c>
      <c r="C1975" s="10">
        <v>5</v>
      </c>
      <c r="D1975" s="10">
        <v>2</v>
      </c>
      <c r="E1975" s="10">
        <v>9</v>
      </c>
      <c r="F1975" s="10">
        <v>9</v>
      </c>
      <c r="L1975" s="4">
        <v>21</v>
      </c>
      <c r="M1975" s="4">
        <v>3</v>
      </c>
      <c r="N1975" s="4">
        <v>1</v>
      </c>
      <c r="O1975" s="1">
        <v>1</v>
      </c>
      <c r="P1975" s="2">
        <v>1</v>
      </c>
      <c r="Q1975" s="67">
        <v>6</v>
      </c>
    </row>
    <row r="1976" spans="1:17" x14ac:dyDescent="0.25">
      <c r="A1976" s="10">
        <v>15</v>
      </c>
      <c r="B1976" s="10">
        <v>2</v>
      </c>
      <c r="C1976" s="10">
        <v>5</v>
      </c>
      <c r="D1976" s="10">
        <v>1</v>
      </c>
      <c r="E1976" s="10">
        <v>20</v>
      </c>
      <c r="F1976" s="10">
        <v>20</v>
      </c>
      <c r="L1976" s="4">
        <v>22</v>
      </c>
      <c r="M1976" s="4">
        <v>3</v>
      </c>
      <c r="N1976" s="4">
        <v>1</v>
      </c>
      <c r="O1976" s="4">
        <v>1</v>
      </c>
      <c r="P1976" s="2">
        <v>1</v>
      </c>
      <c r="Q1976" s="68">
        <v>13</v>
      </c>
    </row>
    <row r="1977" spans="1:17" x14ac:dyDescent="0.25">
      <c r="A1977" s="10">
        <v>15</v>
      </c>
      <c r="B1977" s="10">
        <v>2</v>
      </c>
      <c r="C1977" s="10">
        <v>5</v>
      </c>
      <c r="D1977" s="10">
        <v>2</v>
      </c>
      <c r="E1977" s="10">
        <v>18</v>
      </c>
      <c r="F1977" s="10">
        <v>18</v>
      </c>
      <c r="L1977" s="1">
        <v>23</v>
      </c>
      <c r="M1977" s="4">
        <v>3</v>
      </c>
      <c r="N1977" s="4">
        <v>1</v>
      </c>
      <c r="O1977" s="1">
        <v>1</v>
      </c>
      <c r="P1977" s="2">
        <v>1</v>
      </c>
      <c r="Q1977" s="67">
        <v>13</v>
      </c>
    </row>
    <row r="1978" spans="1:17" x14ac:dyDescent="0.25">
      <c r="A1978" s="10">
        <v>36</v>
      </c>
      <c r="B1978" s="10">
        <v>4</v>
      </c>
      <c r="C1978" s="10">
        <v>5</v>
      </c>
      <c r="D1978" s="10">
        <v>1</v>
      </c>
      <c r="E1978" s="10">
        <v>22</v>
      </c>
      <c r="F1978" s="10">
        <v>22</v>
      </c>
      <c r="L1978" s="4">
        <v>24</v>
      </c>
      <c r="M1978" s="4">
        <v>3</v>
      </c>
      <c r="N1978" s="4">
        <v>1</v>
      </c>
      <c r="O1978" s="4">
        <v>1</v>
      </c>
      <c r="P1978" s="2">
        <v>1</v>
      </c>
      <c r="Q1978" s="68">
        <v>10</v>
      </c>
    </row>
    <row r="1979" spans="1:17" x14ac:dyDescent="0.25">
      <c r="A1979" s="10">
        <v>15</v>
      </c>
      <c r="B1979" s="10">
        <v>2</v>
      </c>
      <c r="C1979" s="10">
        <v>5</v>
      </c>
      <c r="D1979" s="10">
        <v>3</v>
      </c>
      <c r="E1979" s="10">
        <v>3</v>
      </c>
      <c r="F1979" s="10">
        <v>3</v>
      </c>
      <c r="L1979" s="1">
        <v>25</v>
      </c>
      <c r="M1979" s="4">
        <v>3</v>
      </c>
      <c r="N1979" s="4">
        <v>1</v>
      </c>
      <c r="O1979" s="1">
        <v>1</v>
      </c>
      <c r="P1979" s="5">
        <v>1</v>
      </c>
      <c r="Q1979" s="67">
        <v>6</v>
      </c>
    </row>
    <row r="1980" spans="1:17" x14ac:dyDescent="0.25">
      <c r="A1980" s="10">
        <v>38</v>
      </c>
      <c r="B1980" s="10">
        <v>5</v>
      </c>
      <c r="C1980" s="10">
        <v>5</v>
      </c>
      <c r="D1980" s="10">
        <v>1</v>
      </c>
      <c r="E1980" s="10">
        <v>7</v>
      </c>
      <c r="F1980" s="10">
        <v>7</v>
      </c>
      <c r="L1980" s="4">
        <v>26</v>
      </c>
      <c r="M1980" s="4">
        <v>3</v>
      </c>
      <c r="N1980" s="4">
        <v>1</v>
      </c>
      <c r="O1980" s="4">
        <v>1</v>
      </c>
      <c r="P1980" s="2">
        <v>1</v>
      </c>
      <c r="Q1980" s="68">
        <v>8</v>
      </c>
    </row>
    <row r="1981" spans="1:17" x14ac:dyDescent="0.25">
      <c r="A1981" s="10">
        <v>1</v>
      </c>
      <c r="B1981" s="10">
        <v>1</v>
      </c>
      <c r="C1981" s="10">
        <v>5</v>
      </c>
      <c r="D1981" s="10">
        <v>1</v>
      </c>
      <c r="E1981" s="10">
        <v>453</v>
      </c>
      <c r="F1981" s="10">
        <v>453</v>
      </c>
      <c r="L1981" s="1">
        <v>27</v>
      </c>
      <c r="M1981" s="4">
        <v>4</v>
      </c>
      <c r="N1981" s="4">
        <v>1</v>
      </c>
      <c r="O1981" s="1">
        <v>1</v>
      </c>
      <c r="P1981" s="2">
        <v>1</v>
      </c>
      <c r="Q1981" s="67">
        <v>9</v>
      </c>
    </row>
    <row r="1982" spans="1:17" x14ac:dyDescent="0.25">
      <c r="A1982" s="10">
        <v>1</v>
      </c>
      <c r="B1982" s="10">
        <v>1</v>
      </c>
      <c r="C1982" s="10">
        <v>5</v>
      </c>
      <c r="D1982" s="10">
        <v>2</v>
      </c>
      <c r="E1982" s="10">
        <v>544</v>
      </c>
      <c r="F1982" s="10">
        <v>544</v>
      </c>
      <c r="L1982" s="4">
        <v>28</v>
      </c>
      <c r="M1982" s="4">
        <v>4</v>
      </c>
      <c r="N1982" s="4">
        <v>1</v>
      </c>
      <c r="O1982" s="4">
        <v>1</v>
      </c>
      <c r="P1982" s="2">
        <v>1</v>
      </c>
      <c r="Q1982" s="68">
        <v>8</v>
      </c>
    </row>
    <row r="1983" spans="1:17" x14ac:dyDescent="0.25">
      <c r="A1983" s="10">
        <v>13</v>
      </c>
      <c r="B1983" s="10">
        <v>2</v>
      </c>
      <c r="C1983" s="10">
        <v>5</v>
      </c>
      <c r="D1983" s="10">
        <v>1</v>
      </c>
      <c r="E1983" s="10">
        <v>463</v>
      </c>
      <c r="F1983" s="10">
        <v>463</v>
      </c>
      <c r="L1983" s="1">
        <v>29</v>
      </c>
      <c r="M1983" s="4">
        <v>4</v>
      </c>
      <c r="N1983" s="4">
        <v>1</v>
      </c>
      <c r="O1983" s="1">
        <v>1</v>
      </c>
      <c r="P1983" s="2">
        <v>1</v>
      </c>
      <c r="Q1983" s="67">
        <v>3</v>
      </c>
    </row>
    <row r="1984" spans="1:17" x14ac:dyDescent="0.25">
      <c r="A1984" s="10">
        <v>13</v>
      </c>
      <c r="B1984" s="10">
        <v>2</v>
      </c>
      <c r="C1984" s="10">
        <v>5</v>
      </c>
      <c r="D1984" s="10">
        <v>2</v>
      </c>
      <c r="E1984" s="10">
        <v>535</v>
      </c>
      <c r="F1984" s="10">
        <v>535</v>
      </c>
      <c r="L1984" s="4">
        <v>30</v>
      </c>
      <c r="M1984" s="4">
        <v>4</v>
      </c>
      <c r="N1984" s="4">
        <v>1</v>
      </c>
      <c r="O1984" s="4">
        <v>1</v>
      </c>
      <c r="P1984" s="2">
        <v>1</v>
      </c>
      <c r="Q1984" s="68">
        <v>2</v>
      </c>
    </row>
    <row r="1985" spans="1:17" x14ac:dyDescent="0.25">
      <c r="A1985" s="10">
        <v>13</v>
      </c>
      <c r="B1985" s="10">
        <v>2</v>
      </c>
      <c r="C1985" s="10">
        <v>5</v>
      </c>
      <c r="D1985" s="10">
        <v>10</v>
      </c>
      <c r="E1985" s="10">
        <v>3</v>
      </c>
      <c r="F1985" s="10">
        <v>3</v>
      </c>
      <c r="L1985" s="1">
        <v>31</v>
      </c>
      <c r="M1985" s="4">
        <v>4</v>
      </c>
      <c r="N1985" s="4">
        <v>1</v>
      </c>
      <c r="O1985" s="4">
        <v>1</v>
      </c>
      <c r="P1985" s="5">
        <v>1</v>
      </c>
      <c r="Q1985" s="67">
        <v>5</v>
      </c>
    </row>
    <row r="1986" spans="1:17" x14ac:dyDescent="0.25">
      <c r="A1986" s="10">
        <v>35</v>
      </c>
      <c r="B1986" s="10">
        <v>4</v>
      </c>
      <c r="C1986" s="10">
        <v>5</v>
      </c>
      <c r="D1986" s="10">
        <v>1</v>
      </c>
      <c r="E1986" s="10">
        <v>25</v>
      </c>
      <c r="F1986" s="10">
        <v>25</v>
      </c>
      <c r="L1986" s="4">
        <v>32</v>
      </c>
      <c r="M1986" s="4">
        <v>4</v>
      </c>
      <c r="N1986" s="4">
        <v>1</v>
      </c>
      <c r="O1986" s="1">
        <v>1</v>
      </c>
      <c r="P1986" s="2">
        <v>1</v>
      </c>
      <c r="Q1986" s="68">
        <v>10</v>
      </c>
    </row>
    <row r="1987" spans="1:17" x14ac:dyDescent="0.25">
      <c r="A1987" s="10">
        <v>29</v>
      </c>
      <c r="B1987" s="10">
        <v>4</v>
      </c>
      <c r="C1987" s="10">
        <v>5</v>
      </c>
      <c r="D1987" s="10">
        <v>1</v>
      </c>
      <c r="E1987" s="10">
        <v>20</v>
      </c>
      <c r="F1987" s="10">
        <v>20</v>
      </c>
      <c r="L1987" s="1">
        <v>33</v>
      </c>
      <c r="M1987" s="4">
        <v>4</v>
      </c>
      <c r="N1987" s="4">
        <v>1</v>
      </c>
      <c r="O1987" s="4">
        <v>1</v>
      </c>
      <c r="P1987" s="2">
        <v>1</v>
      </c>
      <c r="Q1987" s="67">
        <v>7</v>
      </c>
    </row>
    <row r="1988" spans="1:17" x14ac:dyDescent="0.25">
      <c r="A1988" s="10">
        <v>29</v>
      </c>
      <c r="B1988" s="10">
        <v>4</v>
      </c>
      <c r="C1988" s="10">
        <v>5</v>
      </c>
      <c r="D1988" s="10">
        <v>2</v>
      </c>
      <c r="E1988" s="10">
        <v>20</v>
      </c>
      <c r="F1988" s="10">
        <v>20</v>
      </c>
      <c r="L1988" s="4">
        <v>34</v>
      </c>
      <c r="M1988" s="4">
        <v>4</v>
      </c>
      <c r="N1988" s="4">
        <v>1</v>
      </c>
      <c r="O1988" s="1">
        <v>1</v>
      </c>
      <c r="P1988" s="2">
        <v>1</v>
      </c>
      <c r="Q1988" s="68">
        <v>10</v>
      </c>
    </row>
    <row r="1989" spans="1:17" x14ac:dyDescent="0.25">
      <c r="A1989" s="10">
        <v>37</v>
      </c>
      <c r="B1989" s="10">
        <v>5</v>
      </c>
      <c r="C1989" s="10">
        <v>5</v>
      </c>
      <c r="D1989" s="10">
        <v>1</v>
      </c>
      <c r="E1989" s="10">
        <v>15</v>
      </c>
      <c r="F1989" s="10">
        <v>15</v>
      </c>
      <c r="L1989" s="1">
        <v>35</v>
      </c>
      <c r="M1989" s="4">
        <v>4</v>
      </c>
      <c r="N1989" s="4">
        <v>1</v>
      </c>
      <c r="O1989" s="1">
        <v>1</v>
      </c>
      <c r="P1989" s="2">
        <v>1</v>
      </c>
      <c r="Q1989" s="67">
        <v>22</v>
      </c>
    </row>
    <row r="1990" spans="1:17" x14ac:dyDescent="0.25">
      <c r="A1990" s="10">
        <v>37</v>
      </c>
      <c r="B1990" s="10">
        <v>5</v>
      </c>
      <c r="C1990" s="10">
        <v>5</v>
      </c>
      <c r="D1990" s="10">
        <v>2</v>
      </c>
      <c r="E1990" s="10">
        <v>8</v>
      </c>
      <c r="F1990" s="10">
        <v>8</v>
      </c>
      <c r="L1990" s="4">
        <v>36</v>
      </c>
      <c r="M1990" s="4">
        <v>4</v>
      </c>
      <c r="N1990" s="4">
        <v>1</v>
      </c>
      <c r="O1990" s="1">
        <v>1</v>
      </c>
      <c r="P1990" s="2">
        <v>1</v>
      </c>
      <c r="Q1990" s="68">
        <v>5</v>
      </c>
    </row>
    <row r="1991" spans="1:17" x14ac:dyDescent="0.25">
      <c r="A1991" s="10">
        <v>37</v>
      </c>
      <c r="B1991" s="10">
        <v>5</v>
      </c>
      <c r="C1991" s="10">
        <v>5</v>
      </c>
      <c r="D1991" s="10">
        <v>5</v>
      </c>
      <c r="E1991" s="10">
        <v>2</v>
      </c>
      <c r="F1991" s="10">
        <v>2</v>
      </c>
      <c r="L1991" s="1">
        <v>37</v>
      </c>
      <c r="M1991" s="4">
        <v>5</v>
      </c>
      <c r="N1991" s="4">
        <v>1</v>
      </c>
      <c r="O1991" s="1">
        <v>1</v>
      </c>
      <c r="P1991" s="5">
        <v>1</v>
      </c>
      <c r="Q1991" s="67">
        <v>8</v>
      </c>
    </row>
    <row r="1992" spans="1:17" x14ac:dyDescent="0.25">
      <c r="A1992" s="10">
        <v>435</v>
      </c>
      <c r="B1992" s="10">
        <v>47</v>
      </c>
      <c r="C1992" s="10">
        <v>5</v>
      </c>
      <c r="D1992" s="10">
        <v>1</v>
      </c>
      <c r="E1992" s="10">
        <v>13</v>
      </c>
      <c r="F1992" s="10">
        <v>13</v>
      </c>
      <c r="L1992" s="4">
        <v>38</v>
      </c>
      <c r="M1992" s="4">
        <v>5</v>
      </c>
      <c r="N1992" s="4">
        <v>1</v>
      </c>
      <c r="O1992" s="1">
        <v>1</v>
      </c>
      <c r="P1992" s="2">
        <v>1</v>
      </c>
      <c r="Q1992" s="68">
        <v>3</v>
      </c>
    </row>
    <row r="1993" spans="1:17" x14ac:dyDescent="0.25">
      <c r="A1993" s="10">
        <v>435</v>
      </c>
      <c r="B1993" s="10">
        <v>47</v>
      </c>
      <c r="C1993" s="10">
        <v>5</v>
      </c>
      <c r="D1993" s="10">
        <v>2</v>
      </c>
      <c r="E1993" s="10">
        <v>7</v>
      </c>
      <c r="F1993" s="10">
        <v>7</v>
      </c>
      <c r="L1993" s="1">
        <v>39</v>
      </c>
      <c r="M1993" s="4">
        <v>5</v>
      </c>
      <c r="N1993" s="4">
        <v>1</v>
      </c>
      <c r="O1993" s="4">
        <v>1</v>
      </c>
      <c r="P1993" s="2">
        <v>1</v>
      </c>
      <c r="Q1993" s="67">
        <v>15</v>
      </c>
    </row>
    <row r="1994" spans="1:17" x14ac:dyDescent="0.25">
      <c r="A1994" s="10">
        <v>417</v>
      </c>
      <c r="B1994" s="10">
        <v>45</v>
      </c>
      <c r="C1994" s="10">
        <v>5</v>
      </c>
      <c r="D1994" s="10">
        <v>1</v>
      </c>
      <c r="E1994" s="10">
        <v>14</v>
      </c>
      <c r="F1994" s="10">
        <v>14</v>
      </c>
      <c r="L1994" s="4">
        <v>40</v>
      </c>
      <c r="M1994" s="4">
        <v>5</v>
      </c>
      <c r="N1994" s="4">
        <v>1</v>
      </c>
      <c r="O1994" s="1">
        <v>1</v>
      </c>
      <c r="P1994" s="2">
        <v>1</v>
      </c>
      <c r="Q1994" s="68">
        <v>17</v>
      </c>
    </row>
    <row r="1995" spans="1:17" x14ac:dyDescent="0.25">
      <c r="A1995" s="10">
        <v>417</v>
      </c>
      <c r="B1995" s="10">
        <v>45</v>
      </c>
      <c r="C1995" s="10">
        <v>5</v>
      </c>
      <c r="D1995" s="10">
        <v>2</v>
      </c>
      <c r="E1995" s="10">
        <v>4</v>
      </c>
      <c r="F1995" s="10">
        <v>4</v>
      </c>
      <c r="L1995" s="1">
        <v>41</v>
      </c>
      <c r="M1995" s="4">
        <v>5</v>
      </c>
      <c r="N1995" s="1">
        <v>1</v>
      </c>
      <c r="O1995" s="4">
        <v>1</v>
      </c>
      <c r="P1995" s="2">
        <v>1</v>
      </c>
      <c r="Q1995" s="67">
        <v>13</v>
      </c>
    </row>
    <row r="1996" spans="1:17" x14ac:dyDescent="0.25">
      <c r="A1996" s="10">
        <v>115</v>
      </c>
      <c r="B1996" s="10">
        <v>13</v>
      </c>
      <c r="C1996" s="10">
        <v>4</v>
      </c>
      <c r="D1996" s="10">
        <v>1</v>
      </c>
      <c r="E1996" s="10">
        <v>20</v>
      </c>
      <c r="F1996" s="10">
        <v>20</v>
      </c>
      <c r="L1996" s="4">
        <v>42</v>
      </c>
      <c r="M1996" s="4">
        <v>5</v>
      </c>
      <c r="N1996" s="1">
        <v>1</v>
      </c>
      <c r="O1996" s="1">
        <v>1</v>
      </c>
      <c r="P1996" s="2">
        <v>1</v>
      </c>
      <c r="Q1996" s="68">
        <v>18</v>
      </c>
    </row>
    <row r="1997" spans="1:17" x14ac:dyDescent="0.25">
      <c r="A1997" s="10">
        <v>205</v>
      </c>
      <c r="B1997" s="10">
        <v>22</v>
      </c>
      <c r="C1997" s="10">
        <v>6</v>
      </c>
      <c r="D1997" s="10">
        <v>1</v>
      </c>
      <c r="E1997" s="10">
        <v>12</v>
      </c>
      <c r="F1997" s="10">
        <v>12</v>
      </c>
      <c r="L1997" s="4">
        <v>43</v>
      </c>
      <c r="M1997" s="4">
        <v>5</v>
      </c>
      <c r="N1997" s="1">
        <v>1</v>
      </c>
      <c r="O1997" s="1">
        <v>1</v>
      </c>
      <c r="P1997" s="5">
        <v>1</v>
      </c>
      <c r="Q1997" s="67">
        <v>20</v>
      </c>
    </row>
    <row r="1998" spans="1:17" x14ac:dyDescent="0.25">
      <c r="A1998" s="10">
        <v>115</v>
      </c>
      <c r="B1998" s="10">
        <v>13</v>
      </c>
      <c r="C1998" s="10">
        <v>4</v>
      </c>
      <c r="D1998" s="10">
        <v>2</v>
      </c>
      <c r="E1998" s="10">
        <v>18</v>
      </c>
      <c r="F1998" s="10">
        <v>18</v>
      </c>
      <c r="L1998" s="1">
        <v>44</v>
      </c>
      <c r="M1998" s="4">
        <v>5</v>
      </c>
      <c r="N1998" s="1">
        <v>1</v>
      </c>
      <c r="O1998" s="1">
        <v>1</v>
      </c>
      <c r="P1998" s="2">
        <v>1</v>
      </c>
      <c r="Q1998" s="68">
        <v>11</v>
      </c>
    </row>
    <row r="1999" spans="1:17" x14ac:dyDescent="0.25">
      <c r="A1999" s="10">
        <v>205</v>
      </c>
      <c r="B1999" s="10">
        <v>22</v>
      </c>
      <c r="C1999" s="10">
        <v>6</v>
      </c>
      <c r="D1999" s="10">
        <v>2</v>
      </c>
      <c r="E1999" s="10">
        <v>8</v>
      </c>
      <c r="F1999" s="10">
        <v>8</v>
      </c>
      <c r="L1999" s="4">
        <v>45</v>
      </c>
      <c r="M1999" s="4">
        <v>5</v>
      </c>
      <c r="N1999" s="1">
        <v>1</v>
      </c>
      <c r="O1999" s="1">
        <v>1</v>
      </c>
      <c r="P1999" s="2">
        <v>1</v>
      </c>
      <c r="Q1999" s="67">
        <v>12</v>
      </c>
    </row>
    <row r="2000" spans="1:17" x14ac:dyDescent="0.25">
      <c r="A2000" s="10">
        <v>115</v>
      </c>
      <c r="B2000" s="10">
        <v>13</v>
      </c>
      <c r="C2000" s="10">
        <v>4</v>
      </c>
      <c r="D2000" s="10">
        <v>4</v>
      </c>
      <c r="E2000" s="10">
        <v>3</v>
      </c>
      <c r="F2000" s="10">
        <v>3</v>
      </c>
      <c r="L2000" s="1">
        <v>46</v>
      </c>
      <c r="M2000" s="4">
        <v>5</v>
      </c>
      <c r="N2000" s="1">
        <v>1</v>
      </c>
      <c r="O2000" s="1">
        <v>1</v>
      </c>
      <c r="P2000" s="2">
        <v>1</v>
      </c>
      <c r="Q2000" s="68">
        <v>6</v>
      </c>
    </row>
    <row r="2001" spans="1:17" x14ac:dyDescent="0.25">
      <c r="A2001" s="10">
        <v>205</v>
      </c>
      <c r="B2001" s="10">
        <v>22</v>
      </c>
      <c r="C2001" s="10">
        <v>6</v>
      </c>
      <c r="D2001" s="10">
        <v>3</v>
      </c>
      <c r="E2001" s="10">
        <v>2</v>
      </c>
      <c r="F2001" s="10">
        <v>2</v>
      </c>
      <c r="L2001" s="4">
        <v>47</v>
      </c>
      <c r="M2001" s="4">
        <v>6</v>
      </c>
      <c r="N2001" s="1">
        <v>1</v>
      </c>
      <c r="O2001" s="4">
        <v>1</v>
      </c>
      <c r="P2001" s="2">
        <v>1</v>
      </c>
      <c r="Q2001" s="67">
        <v>6</v>
      </c>
    </row>
    <row r="2002" spans="1:17" x14ac:dyDescent="0.25">
      <c r="A2002" s="10">
        <v>115</v>
      </c>
      <c r="B2002" s="10">
        <v>13</v>
      </c>
      <c r="C2002" s="10">
        <v>4</v>
      </c>
      <c r="D2002" s="10">
        <v>7</v>
      </c>
      <c r="E2002" s="10">
        <v>4</v>
      </c>
      <c r="F2002" s="10">
        <v>4</v>
      </c>
      <c r="L2002" s="1">
        <v>48</v>
      </c>
      <c r="M2002" s="4">
        <v>6</v>
      </c>
      <c r="N2002" s="1">
        <v>1</v>
      </c>
      <c r="O2002" s="1">
        <v>1</v>
      </c>
      <c r="P2002" s="2">
        <v>1</v>
      </c>
      <c r="Q2002" s="68">
        <v>9</v>
      </c>
    </row>
    <row r="2003" spans="1:17" x14ac:dyDescent="0.25">
      <c r="A2003" s="10">
        <v>115</v>
      </c>
      <c r="B2003" s="10">
        <v>13</v>
      </c>
      <c r="C2003" s="10">
        <v>3</v>
      </c>
      <c r="D2003" s="10">
        <v>1</v>
      </c>
      <c r="E2003" s="10">
        <v>5</v>
      </c>
      <c r="F2003" s="10">
        <v>5</v>
      </c>
      <c r="L2003" s="4">
        <v>49</v>
      </c>
      <c r="M2003" s="4">
        <v>6</v>
      </c>
      <c r="N2003" s="1">
        <v>1</v>
      </c>
      <c r="O2003" s="4">
        <v>1</v>
      </c>
      <c r="P2003" s="5">
        <v>1</v>
      </c>
      <c r="Q2003" s="67">
        <v>4</v>
      </c>
    </row>
    <row r="2004" spans="1:17" x14ac:dyDescent="0.25">
      <c r="A2004" s="10">
        <v>115</v>
      </c>
      <c r="B2004" s="10">
        <v>13</v>
      </c>
      <c r="C2004" s="10">
        <v>3</v>
      </c>
      <c r="D2004" s="10">
        <v>2</v>
      </c>
      <c r="E2004" s="10">
        <v>25</v>
      </c>
      <c r="F2004" s="10">
        <v>25</v>
      </c>
      <c r="L2004" s="1">
        <v>50</v>
      </c>
      <c r="M2004" s="4">
        <v>6</v>
      </c>
      <c r="N2004" s="1">
        <v>1</v>
      </c>
      <c r="O2004" s="1">
        <v>1</v>
      </c>
      <c r="P2004" s="2">
        <v>1</v>
      </c>
      <c r="Q2004" s="68">
        <v>8</v>
      </c>
    </row>
    <row r="2005" spans="1:17" x14ac:dyDescent="0.25">
      <c r="A2005" s="10">
        <v>115</v>
      </c>
      <c r="B2005" s="10">
        <v>13</v>
      </c>
      <c r="C2005" s="10">
        <v>3</v>
      </c>
      <c r="D2005" s="10">
        <v>5</v>
      </c>
      <c r="E2005" s="10">
        <v>1</v>
      </c>
      <c r="F2005" s="10">
        <v>1</v>
      </c>
      <c r="L2005" s="1">
        <v>51</v>
      </c>
      <c r="M2005" s="4">
        <v>6</v>
      </c>
      <c r="N2005" s="1">
        <v>1</v>
      </c>
      <c r="O2005" s="1">
        <v>1</v>
      </c>
      <c r="P2005" s="2">
        <v>1</v>
      </c>
      <c r="Q2005" s="67">
        <v>11</v>
      </c>
    </row>
    <row r="2006" spans="1:17" x14ac:dyDescent="0.25">
      <c r="A2006" s="10">
        <v>115</v>
      </c>
      <c r="B2006" s="10">
        <v>13</v>
      </c>
      <c r="C2006" s="10">
        <v>5</v>
      </c>
      <c r="D2006" s="10">
        <v>7</v>
      </c>
      <c r="E2006" s="10">
        <v>3</v>
      </c>
      <c r="F2006" s="10">
        <v>3</v>
      </c>
      <c r="L2006" s="1">
        <v>52</v>
      </c>
      <c r="M2006" s="4">
        <v>6</v>
      </c>
      <c r="N2006" s="1">
        <v>1</v>
      </c>
      <c r="O2006" s="1">
        <v>1</v>
      </c>
      <c r="P2006" s="2">
        <v>1</v>
      </c>
      <c r="Q2006" s="68">
        <v>9</v>
      </c>
    </row>
    <row r="2007" spans="1:17" x14ac:dyDescent="0.25">
      <c r="A2007" s="10">
        <v>43</v>
      </c>
      <c r="B2007" s="10">
        <v>5</v>
      </c>
      <c r="C2007" s="10">
        <v>6</v>
      </c>
      <c r="D2007" s="10">
        <v>1</v>
      </c>
      <c r="E2007" s="10">
        <v>5</v>
      </c>
      <c r="F2007" s="10">
        <v>5</v>
      </c>
      <c r="L2007" s="1">
        <v>53</v>
      </c>
      <c r="M2007" s="4">
        <v>6</v>
      </c>
      <c r="N2007" s="1">
        <v>1</v>
      </c>
      <c r="O2007" s="1">
        <v>1</v>
      </c>
      <c r="P2007" s="2">
        <v>1</v>
      </c>
      <c r="Q2007" s="67">
        <v>22</v>
      </c>
    </row>
    <row r="2008" spans="1:17" x14ac:dyDescent="0.25">
      <c r="A2008" s="10">
        <v>205</v>
      </c>
      <c r="B2008" s="10">
        <v>22</v>
      </c>
      <c r="C2008" s="10">
        <v>6</v>
      </c>
      <c r="D2008" s="10">
        <v>4</v>
      </c>
      <c r="E2008" s="10">
        <v>1</v>
      </c>
      <c r="F2008" s="10">
        <v>1</v>
      </c>
      <c r="L2008" s="1">
        <v>54</v>
      </c>
      <c r="M2008" s="4">
        <v>6</v>
      </c>
      <c r="N2008" s="1">
        <v>1</v>
      </c>
      <c r="O2008" s="1">
        <v>1</v>
      </c>
      <c r="P2008" s="2">
        <v>1</v>
      </c>
      <c r="Q2008" s="68">
        <v>21</v>
      </c>
    </row>
    <row r="2009" spans="1:17" x14ac:dyDescent="0.25">
      <c r="A2009" s="10">
        <v>43</v>
      </c>
      <c r="B2009" s="10">
        <v>5</v>
      </c>
      <c r="C2009" s="10">
        <v>6</v>
      </c>
      <c r="D2009" s="10">
        <v>4</v>
      </c>
      <c r="E2009" s="10">
        <v>1</v>
      </c>
      <c r="F2009" s="10">
        <v>1</v>
      </c>
      <c r="L2009" s="1">
        <v>55</v>
      </c>
      <c r="M2009" s="4">
        <v>6</v>
      </c>
      <c r="N2009" s="1">
        <v>1</v>
      </c>
      <c r="O2009" s="1">
        <v>1</v>
      </c>
      <c r="P2009" s="2">
        <v>1</v>
      </c>
      <c r="Q2009" s="67">
        <v>20</v>
      </c>
    </row>
    <row r="2010" spans="1:17" x14ac:dyDescent="0.25">
      <c r="A2010" s="10">
        <v>265</v>
      </c>
      <c r="B2010" s="10">
        <v>29</v>
      </c>
      <c r="C2010" s="10">
        <v>6</v>
      </c>
      <c r="D2010" s="10">
        <v>2</v>
      </c>
      <c r="E2010" s="10">
        <v>3</v>
      </c>
      <c r="F2010" s="10">
        <v>3</v>
      </c>
      <c r="L2010" s="1">
        <v>56</v>
      </c>
      <c r="M2010" s="4">
        <v>6</v>
      </c>
      <c r="N2010" s="1">
        <v>1</v>
      </c>
      <c r="O2010" s="1">
        <v>1</v>
      </c>
      <c r="P2010" s="2">
        <v>1</v>
      </c>
      <c r="Q2010" s="68">
        <v>7</v>
      </c>
    </row>
    <row r="2011" spans="1:17" x14ac:dyDescent="0.25">
      <c r="A2011" s="10">
        <v>265</v>
      </c>
      <c r="B2011" s="10">
        <v>29</v>
      </c>
      <c r="C2011" s="10">
        <v>6</v>
      </c>
      <c r="D2011" s="10">
        <v>4</v>
      </c>
      <c r="E2011" s="10">
        <v>2</v>
      </c>
      <c r="F2011" s="10">
        <v>2</v>
      </c>
      <c r="L2011" s="1">
        <v>57</v>
      </c>
      <c r="M2011" s="4">
        <v>7</v>
      </c>
      <c r="N2011" s="1">
        <v>1</v>
      </c>
      <c r="O2011" s="1">
        <v>1</v>
      </c>
      <c r="P2011" s="2">
        <v>1</v>
      </c>
      <c r="Q2011" s="67">
        <v>5</v>
      </c>
    </row>
    <row r="2012" spans="1:17" x14ac:dyDescent="0.25">
      <c r="A2012" s="10">
        <v>121</v>
      </c>
      <c r="B2012" s="10">
        <v>13</v>
      </c>
      <c r="C2012" s="10">
        <v>6</v>
      </c>
      <c r="D2012" s="10">
        <v>1</v>
      </c>
      <c r="E2012" s="10">
        <v>9</v>
      </c>
      <c r="F2012" s="10">
        <v>9</v>
      </c>
      <c r="L2012" s="1">
        <v>58</v>
      </c>
      <c r="M2012" s="4">
        <v>7</v>
      </c>
      <c r="N2012" s="1">
        <v>1</v>
      </c>
      <c r="O2012" s="1">
        <v>1</v>
      </c>
      <c r="P2012" s="2">
        <v>1</v>
      </c>
      <c r="Q2012" s="68">
        <v>18</v>
      </c>
    </row>
    <row r="2013" spans="1:17" x14ac:dyDescent="0.25">
      <c r="A2013" s="10">
        <v>121</v>
      </c>
      <c r="B2013" s="10">
        <v>13</v>
      </c>
      <c r="C2013" s="10">
        <v>6</v>
      </c>
      <c r="D2013" s="10">
        <v>2</v>
      </c>
      <c r="E2013" s="10">
        <v>6</v>
      </c>
      <c r="F2013" s="10">
        <v>6</v>
      </c>
      <c r="L2013" s="1">
        <v>59</v>
      </c>
      <c r="M2013" s="4">
        <v>7</v>
      </c>
      <c r="N2013" s="1">
        <v>1</v>
      </c>
      <c r="O2013" s="1">
        <v>1</v>
      </c>
      <c r="P2013" s="2">
        <v>1</v>
      </c>
      <c r="Q2013" s="67">
        <v>21</v>
      </c>
    </row>
    <row r="2014" spans="1:17" x14ac:dyDescent="0.25">
      <c r="A2014" s="10">
        <v>121</v>
      </c>
      <c r="B2014" s="10">
        <v>13</v>
      </c>
      <c r="C2014" s="10">
        <v>6</v>
      </c>
      <c r="D2014" s="10">
        <v>3</v>
      </c>
      <c r="E2014" s="10">
        <v>5</v>
      </c>
      <c r="F2014" s="10">
        <v>5</v>
      </c>
      <c r="L2014" s="1">
        <v>60</v>
      </c>
      <c r="M2014" s="4">
        <v>7</v>
      </c>
      <c r="N2014" s="1">
        <v>1</v>
      </c>
      <c r="O2014" s="1">
        <v>1</v>
      </c>
      <c r="P2014" s="2">
        <v>1</v>
      </c>
      <c r="Q2014" s="68">
        <v>23</v>
      </c>
    </row>
    <row r="2015" spans="1:17" x14ac:dyDescent="0.25">
      <c r="A2015" s="10">
        <v>46</v>
      </c>
      <c r="B2015" s="10">
        <v>5</v>
      </c>
      <c r="C2015" s="10">
        <v>6</v>
      </c>
      <c r="D2015" s="10">
        <v>1</v>
      </c>
      <c r="E2015" s="10">
        <v>14</v>
      </c>
      <c r="F2015" s="10">
        <v>14</v>
      </c>
      <c r="L2015" s="4">
        <v>61</v>
      </c>
      <c r="M2015" s="4">
        <v>7</v>
      </c>
      <c r="N2015" s="1">
        <v>1</v>
      </c>
      <c r="O2015" s="1">
        <v>1</v>
      </c>
      <c r="P2015" s="2">
        <v>1</v>
      </c>
      <c r="Q2015" s="67">
        <v>15</v>
      </c>
    </row>
    <row r="2016" spans="1:17" x14ac:dyDescent="0.25">
      <c r="A2016" s="10">
        <v>116</v>
      </c>
      <c r="B2016" s="10">
        <v>13</v>
      </c>
      <c r="C2016" s="10">
        <v>6</v>
      </c>
      <c r="D2016" s="10">
        <v>1</v>
      </c>
      <c r="E2016" s="10">
        <v>9</v>
      </c>
      <c r="F2016" s="10">
        <v>9</v>
      </c>
      <c r="L2016" s="1">
        <v>62</v>
      </c>
      <c r="M2016" s="4">
        <v>7</v>
      </c>
      <c r="N2016" s="1">
        <v>1</v>
      </c>
      <c r="O2016" s="1">
        <v>1</v>
      </c>
      <c r="P2016" s="2">
        <v>1</v>
      </c>
      <c r="Q2016" s="68">
        <v>12</v>
      </c>
    </row>
    <row r="2017" spans="1:17" x14ac:dyDescent="0.25">
      <c r="A2017" s="10">
        <v>116</v>
      </c>
      <c r="B2017" s="10">
        <v>13</v>
      </c>
      <c r="C2017" s="10">
        <v>6</v>
      </c>
      <c r="D2017" s="10">
        <v>2</v>
      </c>
      <c r="E2017" s="10">
        <v>11</v>
      </c>
      <c r="F2017" s="10">
        <v>11</v>
      </c>
      <c r="L2017" s="4">
        <v>63</v>
      </c>
      <c r="M2017" s="4">
        <v>7</v>
      </c>
      <c r="N2017" s="1">
        <v>1</v>
      </c>
      <c r="O2017" s="1">
        <v>1</v>
      </c>
      <c r="P2017" s="2">
        <v>1</v>
      </c>
      <c r="Q2017" s="67">
        <v>5</v>
      </c>
    </row>
    <row r="2018" spans="1:17" x14ac:dyDescent="0.25">
      <c r="A2018" s="10">
        <v>116</v>
      </c>
      <c r="B2018" s="10">
        <v>13</v>
      </c>
      <c r="C2018" s="10">
        <v>6</v>
      </c>
      <c r="D2018" s="10">
        <v>6</v>
      </c>
      <c r="E2018" s="10">
        <v>3</v>
      </c>
      <c r="F2018" s="10">
        <v>3</v>
      </c>
      <c r="L2018" s="1">
        <v>64</v>
      </c>
      <c r="M2018" s="4">
        <v>7</v>
      </c>
      <c r="N2018" s="1">
        <v>1</v>
      </c>
      <c r="O2018" s="1">
        <v>1</v>
      </c>
      <c r="P2018" s="2">
        <v>1</v>
      </c>
      <c r="Q2018" s="68">
        <v>5</v>
      </c>
    </row>
    <row r="2019" spans="1:17" x14ac:dyDescent="0.25">
      <c r="A2019" s="10">
        <v>116</v>
      </c>
      <c r="B2019" s="10">
        <v>13</v>
      </c>
      <c r="C2019" s="10">
        <v>6</v>
      </c>
      <c r="D2019" s="10">
        <v>7</v>
      </c>
      <c r="E2019" s="10">
        <v>4</v>
      </c>
      <c r="F2019" s="10">
        <v>4</v>
      </c>
      <c r="L2019" s="4">
        <v>65</v>
      </c>
      <c r="M2019" s="4">
        <v>7</v>
      </c>
      <c r="N2019" s="1">
        <v>1</v>
      </c>
      <c r="O2019" s="4">
        <v>1</v>
      </c>
      <c r="P2019" s="5">
        <v>1</v>
      </c>
      <c r="Q2019" s="67">
        <v>16</v>
      </c>
    </row>
    <row r="2020" spans="1:17" x14ac:dyDescent="0.25">
      <c r="A2020" s="10">
        <v>46</v>
      </c>
      <c r="B2020" s="10">
        <v>5</v>
      </c>
      <c r="C2020" s="10">
        <v>6</v>
      </c>
      <c r="D2020" s="10">
        <v>7</v>
      </c>
      <c r="E2020" s="10">
        <v>1</v>
      </c>
      <c r="F2020" s="10">
        <v>1</v>
      </c>
      <c r="L2020" s="1">
        <v>66</v>
      </c>
      <c r="M2020" s="4">
        <v>7</v>
      </c>
      <c r="N2020" s="1">
        <v>1</v>
      </c>
      <c r="O2020" s="1">
        <v>1</v>
      </c>
      <c r="P2020" s="2">
        <v>1</v>
      </c>
      <c r="Q2020" s="68">
        <v>15</v>
      </c>
    </row>
    <row r="2021" spans="1:17" x14ac:dyDescent="0.25">
      <c r="A2021" s="10">
        <v>251</v>
      </c>
      <c r="B2021" s="10">
        <v>27</v>
      </c>
      <c r="C2021" s="10">
        <v>6</v>
      </c>
      <c r="D2021" s="10">
        <v>3</v>
      </c>
      <c r="E2021" s="10">
        <v>2</v>
      </c>
      <c r="F2021" s="10">
        <v>2</v>
      </c>
      <c r="L2021" s="4">
        <v>67</v>
      </c>
      <c r="M2021" s="4">
        <v>8</v>
      </c>
      <c r="N2021" s="1">
        <v>1</v>
      </c>
      <c r="O2021" s="1">
        <v>1</v>
      </c>
      <c r="P2021" s="2">
        <v>1</v>
      </c>
      <c r="Q2021" s="67">
        <v>8</v>
      </c>
    </row>
    <row r="2022" spans="1:17" x14ac:dyDescent="0.25">
      <c r="A2022" s="10">
        <v>251</v>
      </c>
      <c r="B2022" s="10">
        <v>27</v>
      </c>
      <c r="C2022" s="10">
        <v>6</v>
      </c>
      <c r="D2022" s="10">
        <v>6</v>
      </c>
      <c r="E2022" s="10">
        <v>5</v>
      </c>
      <c r="F2022" s="10">
        <v>5</v>
      </c>
      <c r="L2022" s="1">
        <v>68</v>
      </c>
      <c r="M2022" s="4">
        <v>8</v>
      </c>
      <c r="N2022" s="1">
        <v>1</v>
      </c>
      <c r="O2022" s="1">
        <v>1</v>
      </c>
      <c r="P2022" s="2">
        <v>1</v>
      </c>
      <c r="Q2022" s="68">
        <v>4</v>
      </c>
    </row>
    <row r="2023" spans="1:17" x14ac:dyDescent="0.25">
      <c r="A2023" s="10">
        <v>251</v>
      </c>
      <c r="B2023" s="10">
        <v>27</v>
      </c>
      <c r="C2023" s="10">
        <v>6</v>
      </c>
      <c r="D2023" s="10">
        <v>8</v>
      </c>
      <c r="E2023" s="10">
        <v>1</v>
      </c>
      <c r="F2023" s="10">
        <v>1</v>
      </c>
      <c r="L2023" s="4">
        <v>69</v>
      </c>
      <c r="M2023" s="4">
        <v>8</v>
      </c>
      <c r="N2023" s="1">
        <v>1</v>
      </c>
      <c r="O2023" s="1">
        <v>1</v>
      </c>
      <c r="P2023" s="2">
        <v>1</v>
      </c>
      <c r="Q2023" s="67">
        <v>6</v>
      </c>
    </row>
    <row r="2024" spans="1:17" x14ac:dyDescent="0.25">
      <c r="A2024" s="10">
        <v>116</v>
      </c>
      <c r="B2024" s="10">
        <v>13</v>
      </c>
      <c r="C2024" s="10">
        <v>5</v>
      </c>
      <c r="D2024" s="10">
        <v>1</v>
      </c>
      <c r="E2024" s="10">
        <v>5</v>
      </c>
      <c r="F2024" s="10">
        <v>5</v>
      </c>
      <c r="L2024" s="1">
        <v>70</v>
      </c>
      <c r="M2024" s="4">
        <v>8</v>
      </c>
      <c r="N2024" s="1">
        <v>1</v>
      </c>
      <c r="O2024" s="1">
        <v>1</v>
      </c>
      <c r="P2024" s="2">
        <v>1</v>
      </c>
      <c r="Q2024" s="68">
        <v>9</v>
      </c>
    </row>
    <row r="2025" spans="1:17" x14ac:dyDescent="0.25">
      <c r="A2025" s="10">
        <v>266</v>
      </c>
      <c r="B2025" s="10">
        <v>29</v>
      </c>
      <c r="C2025" s="10">
        <v>8</v>
      </c>
      <c r="D2025" s="10">
        <v>7</v>
      </c>
      <c r="E2025" s="10">
        <v>3</v>
      </c>
      <c r="F2025" s="10">
        <v>3</v>
      </c>
      <c r="L2025" s="4">
        <v>71</v>
      </c>
      <c r="M2025" s="4">
        <v>8</v>
      </c>
      <c r="N2025" s="4">
        <v>1</v>
      </c>
      <c r="O2025" s="4">
        <v>1</v>
      </c>
      <c r="P2025" s="5">
        <v>1</v>
      </c>
      <c r="Q2025" s="67">
        <v>1</v>
      </c>
    </row>
    <row r="2026" spans="1:17" x14ac:dyDescent="0.25">
      <c r="A2026" s="10">
        <v>33</v>
      </c>
      <c r="B2026" s="10">
        <v>4</v>
      </c>
      <c r="C2026" s="10">
        <v>5</v>
      </c>
      <c r="D2026" s="10">
        <v>2</v>
      </c>
      <c r="E2026" s="10">
        <v>11</v>
      </c>
      <c r="F2026" s="10">
        <v>11</v>
      </c>
      <c r="L2026" s="1">
        <v>72</v>
      </c>
      <c r="M2026" s="4">
        <v>8</v>
      </c>
      <c r="N2026" s="1">
        <v>1</v>
      </c>
      <c r="O2026" s="1">
        <v>1</v>
      </c>
      <c r="P2026" s="2">
        <v>1</v>
      </c>
      <c r="Q2026" s="68">
        <v>7</v>
      </c>
    </row>
    <row r="2027" spans="1:17" x14ac:dyDescent="0.25">
      <c r="A2027" s="10">
        <v>264</v>
      </c>
      <c r="B2027" s="10">
        <v>29</v>
      </c>
      <c r="C2027" s="10">
        <v>8</v>
      </c>
      <c r="D2027" s="10">
        <v>1</v>
      </c>
      <c r="E2027" s="10">
        <v>3</v>
      </c>
      <c r="F2027" s="10">
        <v>3</v>
      </c>
      <c r="L2027" s="1">
        <v>73</v>
      </c>
      <c r="M2027" s="4">
        <v>8</v>
      </c>
      <c r="N2027" s="1">
        <v>1</v>
      </c>
      <c r="O2027" s="1">
        <v>1</v>
      </c>
      <c r="P2027" s="2">
        <v>1</v>
      </c>
      <c r="Q2027" s="67">
        <v>6</v>
      </c>
    </row>
    <row r="2028" spans="1:17" x14ac:dyDescent="0.25">
      <c r="A2028" s="10">
        <v>33</v>
      </c>
      <c r="B2028" s="10">
        <v>4</v>
      </c>
      <c r="C2028" s="10">
        <v>6</v>
      </c>
      <c r="D2028" s="10">
        <v>2</v>
      </c>
      <c r="E2028" s="10">
        <v>8</v>
      </c>
      <c r="F2028" s="10">
        <v>8</v>
      </c>
      <c r="L2028" s="1">
        <v>74</v>
      </c>
      <c r="M2028" s="4">
        <v>8</v>
      </c>
      <c r="N2028" s="1">
        <v>1</v>
      </c>
      <c r="O2028" s="1">
        <v>1</v>
      </c>
      <c r="P2028" s="2">
        <v>1</v>
      </c>
      <c r="Q2028" s="68">
        <v>0</v>
      </c>
    </row>
    <row r="2029" spans="1:17" x14ac:dyDescent="0.25">
      <c r="A2029" s="10">
        <v>264</v>
      </c>
      <c r="B2029" s="10">
        <v>29</v>
      </c>
      <c r="C2029" s="10">
        <v>8</v>
      </c>
      <c r="D2029" s="10">
        <v>5</v>
      </c>
      <c r="E2029" s="10">
        <v>1</v>
      </c>
      <c r="F2029" s="10">
        <v>1</v>
      </c>
      <c r="L2029" s="1">
        <v>75</v>
      </c>
      <c r="M2029" s="4">
        <v>8</v>
      </c>
      <c r="N2029" s="1">
        <v>1</v>
      </c>
      <c r="O2029" s="1">
        <v>1</v>
      </c>
      <c r="P2029" s="2">
        <v>1</v>
      </c>
      <c r="Q2029" s="67">
        <v>3</v>
      </c>
    </row>
    <row r="2030" spans="1:17" x14ac:dyDescent="0.25">
      <c r="A2030" s="10">
        <v>120</v>
      </c>
      <c r="B2030" s="10">
        <v>13</v>
      </c>
      <c r="C2030" s="10">
        <v>6</v>
      </c>
      <c r="D2030" s="10">
        <v>1</v>
      </c>
      <c r="E2030" s="10">
        <v>18</v>
      </c>
      <c r="F2030" s="10">
        <v>18</v>
      </c>
      <c r="L2030" s="1">
        <v>76</v>
      </c>
      <c r="M2030" s="4">
        <v>8</v>
      </c>
      <c r="N2030" s="1">
        <v>1</v>
      </c>
      <c r="O2030" s="1">
        <v>1</v>
      </c>
      <c r="P2030" s="2">
        <v>1</v>
      </c>
      <c r="Q2030" s="68">
        <v>8</v>
      </c>
    </row>
    <row r="2031" spans="1:17" x14ac:dyDescent="0.25">
      <c r="A2031" s="10">
        <v>205</v>
      </c>
      <c r="B2031" s="10">
        <v>22</v>
      </c>
      <c r="C2031" s="10">
        <v>8</v>
      </c>
      <c r="D2031" s="10">
        <v>3</v>
      </c>
      <c r="E2031" s="10">
        <v>4</v>
      </c>
      <c r="F2031" s="10">
        <v>4</v>
      </c>
      <c r="L2031" s="4">
        <v>77</v>
      </c>
      <c r="M2031" s="4">
        <v>9</v>
      </c>
      <c r="N2031" s="4">
        <v>1</v>
      </c>
      <c r="O2031" s="4">
        <v>1</v>
      </c>
      <c r="P2031" s="5">
        <v>1</v>
      </c>
      <c r="Q2031" s="67">
        <v>7</v>
      </c>
    </row>
    <row r="2032" spans="1:17" x14ac:dyDescent="0.25">
      <c r="A2032" s="10">
        <v>115</v>
      </c>
      <c r="B2032" s="10">
        <v>13</v>
      </c>
      <c r="C2032" s="10">
        <v>7</v>
      </c>
      <c r="D2032" s="10">
        <v>2</v>
      </c>
      <c r="E2032" s="10">
        <v>5</v>
      </c>
      <c r="F2032" s="10">
        <v>5</v>
      </c>
      <c r="L2032" s="1">
        <v>78</v>
      </c>
      <c r="M2032" s="4">
        <v>9</v>
      </c>
      <c r="N2032" s="1">
        <v>1</v>
      </c>
      <c r="O2032" s="1">
        <v>1</v>
      </c>
      <c r="P2032" s="2">
        <v>1</v>
      </c>
      <c r="Q2032" s="68">
        <v>0</v>
      </c>
    </row>
    <row r="2033" spans="1:17" x14ac:dyDescent="0.25">
      <c r="A2033" s="10">
        <v>179</v>
      </c>
      <c r="B2033" s="10">
        <v>19</v>
      </c>
      <c r="C2033" s="10">
        <v>7</v>
      </c>
      <c r="D2033" s="10">
        <v>2</v>
      </c>
      <c r="E2033" s="10">
        <v>50</v>
      </c>
      <c r="F2033" s="10">
        <v>50</v>
      </c>
      <c r="L2033" s="1">
        <v>79</v>
      </c>
      <c r="M2033" s="4">
        <v>9</v>
      </c>
      <c r="N2033" s="1">
        <v>1</v>
      </c>
      <c r="O2033" s="1">
        <v>1</v>
      </c>
      <c r="P2033" s="2">
        <v>1</v>
      </c>
      <c r="Q2033" s="67">
        <v>5</v>
      </c>
    </row>
    <row r="2034" spans="1:17" x14ac:dyDescent="0.25">
      <c r="A2034" s="10">
        <v>252</v>
      </c>
      <c r="B2034" s="10">
        <v>27</v>
      </c>
      <c r="C2034" s="10">
        <v>7</v>
      </c>
      <c r="D2034" s="10">
        <v>2</v>
      </c>
      <c r="E2034" s="10">
        <v>14</v>
      </c>
      <c r="F2034" s="10">
        <v>14</v>
      </c>
      <c r="L2034" s="1">
        <v>80</v>
      </c>
      <c r="M2034" s="4">
        <v>9</v>
      </c>
      <c r="N2034" s="1">
        <v>1</v>
      </c>
      <c r="O2034" s="1">
        <v>1</v>
      </c>
      <c r="P2034" s="2">
        <v>1</v>
      </c>
      <c r="Q2034" s="68">
        <v>3</v>
      </c>
    </row>
    <row r="2035" spans="1:17" x14ac:dyDescent="0.25">
      <c r="A2035" s="10">
        <v>251</v>
      </c>
      <c r="B2035" s="10">
        <v>27</v>
      </c>
      <c r="C2035" s="10">
        <v>8</v>
      </c>
      <c r="D2035" s="10">
        <v>1</v>
      </c>
      <c r="E2035" s="10">
        <v>2</v>
      </c>
      <c r="F2035" s="10">
        <v>2</v>
      </c>
      <c r="L2035" s="1">
        <v>81</v>
      </c>
      <c r="M2035" s="4">
        <v>9</v>
      </c>
      <c r="N2035" s="1">
        <v>1</v>
      </c>
      <c r="O2035" s="1">
        <v>1</v>
      </c>
      <c r="P2035" s="2">
        <v>1</v>
      </c>
      <c r="Q2035" s="67">
        <v>25</v>
      </c>
    </row>
    <row r="2036" spans="1:17" x14ac:dyDescent="0.25">
      <c r="A2036" s="10">
        <v>151</v>
      </c>
      <c r="B2036" s="10">
        <v>16</v>
      </c>
      <c r="C2036" s="10">
        <v>7</v>
      </c>
      <c r="D2036" s="10">
        <v>2</v>
      </c>
      <c r="E2036" s="10">
        <v>4</v>
      </c>
      <c r="F2036" s="10">
        <v>4</v>
      </c>
      <c r="L2036" s="1">
        <v>82</v>
      </c>
      <c r="M2036" s="4">
        <v>9</v>
      </c>
      <c r="N2036" s="1">
        <v>1</v>
      </c>
      <c r="O2036" s="1">
        <v>1</v>
      </c>
      <c r="P2036" s="2">
        <v>1</v>
      </c>
      <c r="Q2036" s="68">
        <v>12</v>
      </c>
    </row>
    <row r="2037" spans="1:17" x14ac:dyDescent="0.25">
      <c r="A2037" s="10">
        <v>151</v>
      </c>
      <c r="B2037" s="10">
        <v>16</v>
      </c>
      <c r="C2037" s="10">
        <v>7</v>
      </c>
      <c r="D2037" s="10">
        <v>3</v>
      </c>
      <c r="E2037" s="10">
        <v>1</v>
      </c>
      <c r="F2037" s="10">
        <v>1</v>
      </c>
      <c r="L2037" s="1">
        <v>83</v>
      </c>
      <c r="M2037" s="4">
        <v>9</v>
      </c>
      <c r="N2037" s="1">
        <v>1</v>
      </c>
      <c r="O2037" s="1">
        <v>1</v>
      </c>
      <c r="P2037" s="2">
        <v>1</v>
      </c>
      <c r="Q2037" s="67">
        <v>10</v>
      </c>
    </row>
    <row r="2038" spans="1:17" x14ac:dyDescent="0.25">
      <c r="A2038" s="10">
        <v>199</v>
      </c>
      <c r="B2038" s="10">
        <v>22</v>
      </c>
      <c r="C2038" s="10">
        <v>2</v>
      </c>
      <c r="D2038" s="10">
        <v>1</v>
      </c>
      <c r="E2038" s="10">
        <v>2</v>
      </c>
      <c r="F2038" s="10">
        <v>2</v>
      </c>
      <c r="L2038" s="1">
        <v>84</v>
      </c>
      <c r="M2038" s="4">
        <v>9</v>
      </c>
      <c r="N2038" s="1">
        <v>1</v>
      </c>
      <c r="O2038" s="1">
        <v>1</v>
      </c>
      <c r="P2038" s="2">
        <v>1</v>
      </c>
      <c r="Q2038" s="68">
        <v>15</v>
      </c>
    </row>
    <row r="2039" spans="1:17" x14ac:dyDescent="0.25">
      <c r="A2039" s="10">
        <v>199</v>
      </c>
      <c r="B2039" s="10">
        <v>22</v>
      </c>
      <c r="C2039" s="10">
        <v>2</v>
      </c>
      <c r="D2039" s="10">
        <v>2</v>
      </c>
      <c r="E2039" s="10">
        <v>3</v>
      </c>
      <c r="F2039" s="10">
        <v>3</v>
      </c>
      <c r="L2039" s="1">
        <v>85</v>
      </c>
      <c r="M2039" s="4">
        <v>9</v>
      </c>
      <c r="N2039" s="1">
        <v>1</v>
      </c>
      <c r="O2039" s="1">
        <v>1</v>
      </c>
      <c r="P2039" s="2">
        <v>1</v>
      </c>
      <c r="Q2039" s="67">
        <v>8</v>
      </c>
    </row>
    <row r="2040" spans="1:17" x14ac:dyDescent="0.25">
      <c r="A2040" s="10">
        <v>199</v>
      </c>
      <c r="B2040" s="10">
        <v>22</v>
      </c>
      <c r="C2040" s="10">
        <v>2</v>
      </c>
      <c r="D2040" s="10">
        <v>3</v>
      </c>
      <c r="E2040" s="10">
        <v>3</v>
      </c>
      <c r="F2040" s="10">
        <v>3</v>
      </c>
      <c r="L2040" s="1">
        <v>86</v>
      </c>
      <c r="M2040" s="4">
        <v>9</v>
      </c>
      <c r="N2040" s="1">
        <v>1</v>
      </c>
      <c r="O2040" s="1">
        <v>1</v>
      </c>
      <c r="P2040" s="2">
        <v>1</v>
      </c>
      <c r="Q2040" s="68">
        <v>13</v>
      </c>
    </row>
    <row r="2041" spans="1:17" x14ac:dyDescent="0.25">
      <c r="A2041" s="10">
        <v>266</v>
      </c>
      <c r="B2041" s="10">
        <v>29</v>
      </c>
      <c r="C2041" s="10">
        <v>7</v>
      </c>
      <c r="D2041" s="10">
        <v>5</v>
      </c>
      <c r="E2041" s="10">
        <v>7</v>
      </c>
      <c r="F2041" s="10">
        <v>7</v>
      </c>
      <c r="L2041" s="1">
        <v>87</v>
      </c>
      <c r="M2041" s="1">
        <v>10</v>
      </c>
      <c r="N2041" s="1">
        <v>1</v>
      </c>
      <c r="O2041" s="1">
        <v>1</v>
      </c>
      <c r="P2041" s="2">
        <v>1</v>
      </c>
      <c r="Q2041" s="67">
        <v>16</v>
      </c>
    </row>
    <row r="2042" spans="1:17" x14ac:dyDescent="0.25">
      <c r="A2042" s="10">
        <v>17</v>
      </c>
      <c r="B2042" s="10">
        <v>2</v>
      </c>
      <c r="C2042" s="10">
        <v>7</v>
      </c>
      <c r="D2042" s="10">
        <v>1</v>
      </c>
      <c r="E2042" s="10">
        <v>10</v>
      </c>
      <c r="F2042" s="10">
        <v>10</v>
      </c>
      <c r="L2042" s="1">
        <v>88</v>
      </c>
      <c r="M2042" s="1">
        <v>10</v>
      </c>
      <c r="N2042" s="1">
        <v>1</v>
      </c>
      <c r="O2042" s="1">
        <v>1</v>
      </c>
      <c r="P2042" s="2">
        <v>1</v>
      </c>
      <c r="Q2042" s="68">
        <v>6</v>
      </c>
    </row>
    <row r="2043" spans="1:17" x14ac:dyDescent="0.25">
      <c r="A2043" s="10">
        <v>27</v>
      </c>
      <c r="B2043" s="10">
        <v>4</v>
      </c>
      <c r="C2043" s="10">
        <v>7</v>
      </c>
      <c r="D2043" s="10">
        <v>1</v>
      </c>
      <c r="E2043" s="10">
        <v>14</v>
      </c>
      <c r="F2043" s="10">
        <v>14</v>
      </c>
      <c r="L2043" s="1">
        <v>89</v>
      </c>
      <c r="M2043" s="1">
        <v>10</v>
      </c>
      <c r="N2043" s="1">
        <v>1</v>
      </c>
      <c r="O2043" s="1">
        <v>1</v>
      </c>
      <c r="P2043" s="2">
        <v>1</v>
      </c>
      <c r="Q2043" s="67">
        <v>15</v>
      </c>
    </row>
    <row r="2044" spans="1:17" x14ac:dyDescent="0.25">
      <c r="A2044" s="10">
        <v>27</v>
      </c>
      <c r="B2044" s="10">
        <v>4</v>
      </c>
      <c r="C2044" s="10">
        <v>7</v>
      </c>
      <c r="D2044" s="10">
        <v>2</v>
      </c>
      <c r="E2044" s="10">
        <v>3</v>
      </c>
      <c r="F2044" s="10">
        <v>3</v>
      </c>
      <c r="L2044" s="1">
        <v>90</v>
      </c>
      <c r="M2044" s="1">
        <v>10</v>
      </c>
      <c r="N2044" s="1">
        <v>1</v>
      </c>
      <c r="O2044" s="1">
        <v>1</v>
      </c>
      <c r="P2044" s="2">
        <v>1</v>
      </c>
      <c r="Q2044" s="68">
        <v>7</v>
      </c>
    </row>
    <row r="2045" spans="1:17" x14ac:dyDescent="0.25">
      <c r="A2045" s="10">
        <v>389</v>
      </c>
      <c r="B2045" s="10">
        <v>42</v>
      </c>
      <c r="C2045" s="10">
        <v>7</v>
      </c>
      <c r="D2045" s="10">
        <v>1</v>
      </c>
      <c r="E2045" s="10">
        <v>6</v>
      </c>
      <c r="F2045" s="10">
        <v>6</v>
      </c>
      <c r="L2045" s="1">
        <v>91</v>
      </c>
      <c r="M2045" s="1">
        <v>10</v>
      </c>
      <c r="N2045" s="1">
        <v>1</v>
      </c>
      <c r="O2045" s="1">
        <v>1</v>
      </c>
      <c r="P2045" s="2">
        <v>1</v>
      </c>
      <c r="Q2045" s="67">
        <v>15</v>
      </c>
    </row>
    <row r="2046" spans="1:17" x14ac:dyDescent="0.25">
      <c r="A2046" s="10">
        <v>38</v>
      </c>
      <c r="B2046" s="10">
        <v>5</v>
      </c>
      <c r="C2046" s="10">
        <v>7</v>
      </c>
      <c r="D2046" s="10">
        <v>1</v>
      </c>
      <c r="E2046" s="10">
        <v>4</v>
      </c>
      <c r="F2046" s="10">
        <v>4</v>
      </c>
      <c r="L2046" s="1">
        <v>92</v>
      </c>
      <c r="M2046" s="1">
        <v>10</v>
      </c>
      <c r="N2046" s="1">
        <v>1</v>
      </c>
      <c r="O2046" s="1">
        <v>1</v>
      </c>
      <c r="P2046" s="2">
        <v>1</v>
      </c>
      <c r="Q2046" s="68">
        <v>1</v>
      </c>
    </row>
    <row r="2047" spans="1:17" x14ac:dyDescent="0.25">
      <c r="A2047" s="10">
        <v>199</v>
      </c>
      <c r="B2047" s="10">
        <v>22</v>
      </c>
      <c r="C2047" s="10">
        <v>6</v>
      </c>
      <c r="D2047" s="10">
        <v>1</v>
      </c>
      <c r="E2047" s="10">
        <v>1</v>
      </c>
      <c r="F2047" s="10">
        <v>1</v>
      </c>
      <c r="L2047" s="1">
        <v>93</v>
      </c>
      <c r="M2047" s="1">
        <v>10</v>
      </c>
      <c r="N2047" s="1">
        <v>1</v>
      </c>
      <c r="O2047" s="1">
        <v>1</v>
      </c>
      <c r="P2047" s="2">
        <v>1</v>
      </c>
      <c r="Q2047" s="67">
        <v>4</v>
      </c>
    </row>
    <row r="2048" spans="1:17" x14ac:dyDescent="0.25">
      <c r="A2048" s="10">
        <v>456</v>
      </c>
      <c r="B2048" s="10">
        <v>49</v>
      </c>
      <c r="C2048" s="10">
        <v>7</v>
      </c>
      <c r="D2048" s="10">
        <v>7</v>
      </c>
      <c r="E2048" s="10">
        <v>3</v>
      </c>
      <c r="F2048" s="10">
        <v>3</v>
      </c>
      <c r="L2048" s="1">
        <v>94</v>
      </c>
      <c r="M2048" s="1">
        <v>10</v>
      </c>
      <c r="N2048" s="1">
        <v>1</v>
      </c>
      <c r="O2048" s="1">
        <v>1</v>
      </c>
      <c r="P2048" s="2">
        <v>1</v>
      </c>
      <c r="Q2048" s="68">
        <v>1</v>
      </c>
    </row>
    <row r="2049" spans="1:17" x14ac:dyDescent="0.25">
      <c r="A2049" s="10">
        <v>273</v>
      </c>
      <c r="B2049" s="10">
        <v>30</v>
      </c>
      <c r="C2049" s="10">
        <v>7</v>
      </c>
      <c r="D2049" s="10">
        <v>1</v>
      </c>
      <c r="E2049" s="10">
        <v>25</v>
      </c>
      <c r="F2049" s="10">
        <v>25</v>
      </c>
      <c r="L2049" s="1">
        <v>95</v>
      </c>
      <c r="M2049" s="1">
        <v>10</v>
      </c>
      <c r="N2049" s="1">
        <v>1</v>
      </c>
      <c r="O2049" s="1">
        <v>1</v>
      </c>
      <c r="P2049" s="2">
        <v>1</v>
      </c>
      <c r="Q2049" s="67">
        <v>0</v>
      </c>
    </row>
    <row r="2050" spans="1:17" x14ac:dyDescent="0.25">
      <c r="A2050" s="10">
        <v>42</v>
      </c>
      <c r="B2050" s="10">
        <v>5</v>
      </c>
      <c r="C2050" s="10">
        <v>7</v>
      </c>
      <c r="D2050" s="10">
        <v>2</v>
      </c>
      <c r="E2050" s="10">
        <v>7</v>
      </c>
      <c r="F2050" s="10">
        <v>7</v>
      </c>
      <c r="L2050" s="1">
        <v>96</v>
      </c>
      <c r="M2050" s="1">
        <v>10</v>
      </c>
      <c r="N2050" s="1">
        <v>1</v>
      </c>
      <c r="O2050" s="1">
        <v>1</v>
      </c>
      <c r="P2050" s="2">
        <v>1</v>
      </c>
      <c r="Q2050" s="68">
        <v>2</v>
      </c>
    </row>
    <row r="2051" spans="1:17" x14ac:dyDescent="0.25">
      <c r="A2051" s="10">
        <v>273</v>
      </c>
      <c r="B2051" s="10">
        <v>30</v>
      </c>
      <c r="C2051" s="10">
        <v>7</v>
      </c>
      <c r="D2051" s="10">
        <v>3</v>
      </c>
      <c r="E2051" s="10">
        <v>2</v>
      </c>
      <c r="F2051" s="10">
        <v>2</v>
      </c>
      <c r="L2051" s="1">
        <v>97</v>
      </c>
      <c r="M2051" s="1">
        <v>11</v>
      </c>
      <c r="N2051" s="1">
        <v>1</v>
      </c>
      <c r="O2051" s="1">
        <v>1</v>
      </c>
      <c r="P2051" s="2">
        <v>1</v>
      </c>
      <c r="Q2051" s="67">
        <v>1</v>
      </c>
    </row>
    <row r="2052" spans="1:17" x14ac:dyDescent="0.25">
      <c r="A2052" s="10">
        <v>273</v>
      </c>
      <c r="B2052" s="10">
        <v>30</v>
      </c>
      <c r="C2052" s="10">
        <v>7</v>
      </c>
      <c r="D2052" s="10">
        <v>4</v>
      </c>
      <c r="E2052" s="10">
        <v>1</v>
      </c>
      <c r="F2052" s="10">
        <v>1</v>
      </c>
      <c r="L2052" s="1">
        <v>98</v>
      </c>
      <c r="M2052" s="1">
        <v>11</v>
      </c>
      <c r="N2052" s="1">
        <v>1</v>
      </c>
      <c r="O2052" s="1">
        <v>1</v>
      </c>
      <c r="P2052" s="2">
        <v>1</v>
      </c>
      <c r="Q2052" s="68">
        <v>2</v>
      </c>
    </row>
    <row r="2053" spans="1:17" x14ac:dyDescent="0.25">
      <c r="A2053" s="10">
        <v>117</v>
      </c>
      <c r="B2053" s="10">
        <v>13</v>
      </c>
      <c r="C2053" s="10">
        <v>7</v>
      </c>
      <c r="D2053" s="10">
        <v>5</v>
      </c>
      <c r="E2053" s="10">
        <v>9</v>
      </c>
      <c r="F2053" s="10">
        <v>9</v>
      </c>
      <c r="L2053" s="1">
        <v>99</v>
      </c>
      <c r="M2053" s="1">
        <v>11</v>
      </c>
      <c r="N2053" s="1">
        <v>1</v>
      </c>
      <c r="O2053" s="1">
        <v>1</v>
      </c>
      <c r="P2053" s="2">
        <v>1</v>
      </c>
      <c r="Q2053" s="67">
        <v>4</v>
      </c>
    </row>
    <row r="2054" spans="1:17" x14ac:dyDescent="0.25">
      <c r="A2054" s="10">
        <v>116</v>
      </c>
      <c r="B2054" s="10">
        <v>13</v>
      </c>
      <c r="C2054" s="10">
        <v>7</v>
      </c>
      <c r="D2054" s="10">
        <v>1</v>
      </c>
      <c r="E2054" s="10">
        <v>7</v>
      </c>
      <c r="F2054" s="10">
        <v>7</v>
      </c>
      <c r="L2054" s="1">
        <v>100</v>
      </c>
      <c r="M2054" s="1">
        <v>11</v>
      </c>
      <c r="N2054" s="1">
        <v>1</v>
      </c>
      <c r="O2054" s="1">
        <v>1</v>
      </c>
      <c r="P2054" s="2">
        <v>1</v>
      </c>
      <c r="Q2054" s="68">
        <v>11</v>
      </c>
    </row>
    <row r="2055" spans="1:17" x14ac:dyDescent="0.25">
      <c r="A2055" s="10">
        <v>433</v>
      </c>
      <c r="B2055" s="10">
        <v>47</v>
      </c>
      <c r="C2055" s="10">
        <v>7</v>
      </c>
      <c r="D2055" s="10">
        <v>3</v>
      </c>
      <c r="E2055" s="10">
        <v>1</v>
      </c>
      <c r="F2055" s="10">
        <v>1</v>
      </c>
      <c r="L2055" s="1">
        <v>101</v>
      </c>
      <c r="M2055" s="1">
        <v>11</v>
      </c>
      <c r="N2055" s="1">
        <v>1</v>
      </c>
      <c r="O2055" s="1">
        <v>1</v>
      </c>
      <c r="P2055" s="2">
        <v>1</v>
      </c>
      <c r="Q2055" s="67">
        <v>14</v>
      </c>
    </row>
    <row r="2056" spans="1:17" x14ac:dyDescent="0.25">
      <c r="A2056" s="10">
        <v>118</v>
      </c>
      <c r="B2056" s="10">
        <v>13</v>
      </c>
      <c r="C2056" s="10">
        <v>6</v>
      </c>
      <c r="D2056" s="10">
        <v>1</v>
      </c>
      <c r="E2056" s="10">
        <v>5</v>
      </c>
      <c r="F2056" s="10">
        <v>5</v>
      </c>
      <c r="L2056" s="1">
        <v>102</v>
      </c>
      <c r="M2056" s="1">
        <v>11</v>
      </c>
      <c r="N2056" s="1">
        <v>1</v>
      </c>
      <c r="O2056" s="1">
        <v>1</v>
      </c>
      <c r="P2056" s="2">
        <v>1</v>
      </c>
      <c r="Q2056" s="68">
        <v>12</v>
      </c>
    </row>
    <row r="2057" spans="1:17" x14ac:dyDescent="0.25">
      <c r="A2057" s="10">
        <v>442</v>
      </c>
      <c r="B2057" s="10">
        <v>47</v>
      </c>
      <c r="C2057" s="10">
        <v>7</v>
      </c>
      <c r="D2057" s="10">
        <v>1</v>
      </c>
      <c r="E2057" s="10">
        <v>25</v>
      </c>
      <c r="F2057" s="10">
        <v>25</v>
      </c>
      <c r="L2057" s="1">
        <v>103</v>
      </c>
      <c r="M2057" s="1">
        <v>11</v>
      </c>
      <c r="N2057" s="1">
        <v>1</v>
      </c>
      <c r="O2057" s="1">
        <v>1</v>
      </c>
      <c r="P2057" s="2">
        <v>1</v>
      </c>
      <c r="Q2057" s="67">
        <v>6</v>
      </c>
    </row>
    <row r="2058" spans="1:17" x14ac:dyDescent="0.25">
      <c r="A2058" s="10">
        <v>118</v>
      </c>
      <c r="B2058" s="10">
        <v>13</v>
      </c>
      <c r="C2058" s="10">
        <v>6</v>
      </c>
      <c r="D2058" s="10">
        <v>5</v>
      </c>
      <c r="E2058" s="10">
        <v>3</v>
      </c>
      <c r="F2058" s="10">
        <v>3</v>
      </c>
      <c r="L2058" s="1">
        <v>104</v>
      </c>
      <c r="M2058" s="1">
        <v>11</v>
      </c>
      <c r="N2058" s="1">
        <v>1</v>
      </c>
      <c r="O2058" s="1">
        <v>1</v>
      </c>
      <c r="P2058" s="2">
        <v>1</v>
      </c>
      <c r="Q2058" s="68">
        <v>15</v>
      </c>
    </row>
    <row r="2059" spans="1:17" x14ac:dyDescent="0.25">
      <c r="A2059" s="10">
        <v>156</v>
      </c>
      <c r="B2059" s="10">
        <v>17</v>
      </c>
      <c r="C2059" s="10">
        <v>8</v>
      </c>
      <c r="D2059" s="10">
        <v>5</v>
      </c>
      <c r="E2059" s="10">
        <v>7</v>
      </c>
      <c r="F2059" s="10">
        <v>7</v>
      </c>
      <c r="L2059" s="1">
        <v>105</v>
      </c>
      <c r="M2059" s="1">
        <v>11</v>
      </c>
      <c r="N2059" s="1">
        <v>1</v>
      </c>
      <c r="O2059" s="1">
        <v>1</v>
      </c>
      <c r="P2059" s="2">
        <v>1</v>
      </c>
      <c r="Q2059" s="67">
        <v>11</v>
      </c>
    </row>
    <row r="2060" spans="1:17" x14ac:dyDescent="0.25">
      <c r="A2060" s="10">
        <v>156</v>
      </c>
      <c r="B2060" s="10">
        <v>17</v>
      </c>
      <c r="C2060" s="10">
        <v>8</v>
      </c>
      <c r="D2060" s="10">
        <v>8</v>
      </c>
      <c r="E2060" s="10">
        <v>12</v>
      </c>
      <c r="F2060" s="10">
        <v>12</v>
      </c>
      <c r="L2060" s="1">
        <v>106</v>
      </c>
      <c r="M2060" s="1">
        <v>11</v>
      </c>
      <c r="N2060" s="1">
        <v>1</v>
      </c>
      <c r="O2060" s="1">
        <v>1</v>
      </c>
      <c r="P2060" s="2">
        <v>1</v>
      </c>
      <c r="Q2060" s="68">
        <v>13</v>
      </c>
    </row>
    <row r="2061" spans="1:17" x14ac:dyDescent="0.25">
      <c r="A2061" s="10">
        <v>206</v>
      </c>
      <c r="B2061" s="10">
        <v>22</v>
      </c>
      <c r="C2061" s="10">
        <v>7</v>
      </c>
      <c r="D2061" s="10">
        <v>1</v>
      </c>
      <c r="E2061" s="10">
        <v>18</v>
      </c>
      <c r="F2061" s="10">
        <v>18</v>
      </c>
      <c r="L2061" s="1">
        <v>107</v>
      </c>
      <c r="M2061" s="1">
        <v>12</v>
      </c>
      <c r="N2061" s="1">
        <v>1</v>
      </c>
      <c r="O2061" s="1">
        <v>1</v>
      </c>
      <c r="P2061" s="2">
        <v>1</v>
      </c>
      <c r="Q2061" s="67">
        <v>11</v>
      </c>
    </row>
    <row r="2062" spans="1:17" x14ac:dyDescent="0.25">
      <c r="A2062" s="10">
        <v>116</v>
      </c>
      <c r="B2062" s="10">
        <v>13</v>
      </c>
      <c r="C2062" s="10">
        <v>8</v>
      </c>
      <c r="D2062" s="10">
        <v>7</v>
      </c>
      <c r="E2062" s="10">
        <v>9</v>
      </c>
      <c r="F2062" s="10">
        <v>9</v>
      </c>
      <c r="L2062" s="1">
        <v>108</v>
      </c>
      <c r="M2062" s="1">
        <v>12</v>
      </c>
      <c r="N2062" s="1">
        <v>1</v>
      </c>
      <c r="O2062" s="1">
        <v>1</v>
      </c>
      <c r="P2062" s="2">
        <v>1</v>
      </c>
      <c r="Q2062" s="68">
        <v>14</v>
      </c>
    </row>
    <row r="2063" spans="1:17" x14ac:dyDescent="0.25">
      <c r="A2063" s="10">
        <v>208</v>
      </c>
      <c r="B2063" s="10">
        <v>22</v>
      </c>
      <c r="C2063" s="10">
        <v>7</v>
      </c>
      <c r="D2063" s="10">
        <v>1</v>
      </c>
      <c r="E2063" s="10">
        <v>15</v>
      </c>
      <c r="F2063" s="10">
        <v>15</v>
      </c>
      <c r="L2063" s="1">
        <v>109</v>
      </c>
      <c r="M2063" s="1">
        <v>12</v>
      </c>
      <c r="N2063" s="1">
        <v>1</v>
      </c>
      <c r="O2063" s="1">
        <v>1</v>
      </c>
      <c r="P2063" s="2">
        <v>1</v>
      </c>
      <c r="Q2063" s="67">
        <v>6</v>
      </c>
    </row>
    <row r="2064" spans="1:17" x14ac:dyDescent="0.25">
      <c r="A2064" s="10">
        <v>208</v>
      </c>
      <c r="B2064" s="10">
        <v>22</v>
      </c>
      <c r="C2064" s="10">
        <v>7</v>
      </c>
      <c r="D2064" s="10">
        <v>2</v>
      </c>
      <c r="E2064" s="10">
        <v>11</v>
      </c>
      <c r="F2064" s="10">
        <v>11</v>
      </c>
      <c r="L2064" s="1">
        <v>110</v>
      </c>
      <c r="M2064" s="1">
        <v>12</v>
      </c>
      <c r="N2064" s="1">
        <v>1</v>
      </c>
      <c r="O2064" s="1">
        <v>1</v>
      </c>
      <c r="P2064" s="2">
        <v>1</v>
      </c>
      <c r="Q2064" s="68">
        <v>7</v>
      </c>
    </row>
    <row r="2065" spans="1:17" x14ac:dyDescent="0.25">
      <c r="A2065" s="10">
        <v>208</v>
      </c>
      <c r="B2065" s="10">
        <v>22</v>
      </c>
      <c r="C2065" s="10">
        <v>7</v>
      </c>
      <c r="D2065" s="10">
        <v>3</v>
      </c>
      <c r="E2065" s="10">
        <v>2</v>
      </c>
      <c r="F2065" s="10">
        <v>2</v>
      </c>
      <c r="L2065" s="1">
        <v>111</v>
      </c>
      <c r="M2065" s="1">
        <v>12</v>
      </c>
      <c r="N2065" s="1">
        <v>1</v>
      </c>
      <c r="O2065" s="1">
        <v>1</v>
      </c>
      <c r="P2065" s="2">
        <v>1</v>
      </c>
      <c r="Q2065" s="67">
        <v>8</v>
      </c>
    </row>
    <row r="2066" spans="1:17" x14ac:dyDescent="0.25">
      <c r="A2066" s="10">
        <v>394</v>
      </c>
      <c r="B2066" s="10">
        <v>42</v>
      </c>
      <c r="C2066" s="10">
        <v>7</v>
      </c>
      <c r="D2066" s="10">
        <v>1</v>
      </c>
      <c r="E2066" s="10">
        <v>11</v>
      </c>
      <c r="F2066" s="10">
        <v>11</v>
      </c>
      <c r="L2066" s="1">
        <v>112</v>
      </c>
      <c r="M2066" s="1">
        <v>12</v>
      </c>
      <c r="N2066" s="1">
        <v>1</v>
      </c>
      <c r="O2066" s="1">
        <v>1</v>
      </c>
      <c r="P2066" s="2">
        <v>1</v>
      </c>
      <c r="Q2066" s="68">
        <v>8</v>
      </c>
    </row>
    <row r="2067" spans="1:17" x14ac:dyDescent="0.25">
      <c r="A2067" s="10">
        <v>394</v>
      </c>
      <c r="B2067" s="10">
        <v>42</v>
      </c>
      <c r="C2067" s="10">
        <v>7</v>
      </c>
      <c r="D2067" s="10">
        <v>2</v>
      </c>
      <c r="E2067" s="10">
        <v>12</v>
      </c>
      <c r="F2067" s="10">
        <v>12</v>
      </c>
      <c r="L2067" s="1">
        <v>113</v>
      </c>
      <c r="M2067" s="1">
        <v>12</v>
      </c>
      <c r="N2067" s="1">
        <v>1</v>
      </c>
      <c r="O2067" s="1">
        <v>1</v>
      </c>
      <c r="P2067" s="2">
        <v>1</v>
      </c>
      <c r="Q2067" s="67">
        <v>10</v>
      </c>
    </row>
    <row r="2068" spans="1:17" x14ac:dyDescent="0.25">
      <c r="A2068" s="10">
        <v>242</v>
      </c>
      <c r="B2068" s="10">
        <v>26</v>
      </c>
      <c r="C2068" s="10">
        <v>7</v>
      </c>
      <c r="D2068" s="10">
        <v>3</v>
      </c>
      <c r="E2068" s="10">
        <v>2</v>
      </c>
      <c r="F2068" s="10">
        <v>2</v>
      </c>
      <c r="L2068" s="1">
        <v>114</v>
      </c>
      <c r="M2068" s="1">
        <v>12</v>
      </c>
      <c r="N2068" s="1">
        <v>1</v>
      </c>
      <c r="O2068" s="1">
        <v>1</v>
      </c>
      <c r="P2068" s="2">
        <v>1</v>
      </c>
      <c r="Q2068" s="68">
        <v>12</v>
      </c>
    </row>
    <row r="2069" spans="1:17" x14ac:dyDescent="0.25">
      <c r="A2069" s="10">
        <v>242</v>
      </c>
      <c r="B2069" s="10">
        <v>26</v>
      </c>
      <c r="C2069" s="10">
        <v>7</v>
      </c>
      <c r="D2069" s="10">
        <v>4</v>
      </c>
      <c r="E2069" s="10">
        <v>1</v>
      </c>
      <c r="F2069" s="10">
        <v>1</v>
      </c>
      <c r="L2069" s="1">
        <v>115</v>
      </c>
      <c r="M2069" s="1">
        <v>13</v>
      </c>
      <c r="N2069" s="1">
        <v>1</v>
      </c>
      <c r="O2069" s="1">
        <v>1</v>
      </c>
      <c r="P2069" s="2">
        <v>1</v>
      </c>
      <c r="Q2069" s="67">
        <v>8</v>
      </c>
    </row>
    <row r="2070" spans="1:17" x14ac:dyDescent="0.25">
      <c r="A2070" s="10">
        <v>242</v>
      </c>
      <c r="B2070" s="10">
        <v>26</v>
      </c>
      <c r="C2070" s="10">
        <v>7</v>
      </c>
      <c r="D2070" s="10">
        <v>5</v>
      </c>
      <c r="E2070" s="10">
        <v>1</v>
      </c>
      <c r="F2070" s="10">
        <v>1</v>
      </c>
      <c r="L2070" s="1">
        <v>116</v>
      </c>
      <c r="M2070" s="1">
        <v>13</v>
      </c>
      <c r="N2070" s="1">
        <v>1</v>
      </c>
      <c r="O2070" s="1">
        <v>1</v>
      </c>
      <c r="P2070" s="2">
        <v>1</v>
      </c>
      <c r="Q2070" s="68">
        <v>9</v>
      </c>
    </row>
    <row r="2071" spans="1:17" x14ac:dyDescent="0.25">
      <c r="A2071" s="10">
        <v>247</v>
      </c>
      <c r="B2071" s="10">
        <v>27</v>
      </c>
      <c r="C2071" s="10">
        <v>7</v>
      </c>
      <c r="D2071" s="10">
        <v>6</v>
      </c>
      <c r="E2071" s="10">
        <v>6</v>
      </c>
      <c r="F2071" s="10">
        <v>6</v>
      </c>
      <c r="L2071" s="1">
        <v>117</v>
      </c>
      <c r="M2071" s="1">
        <v>13</v>
      </c>
      <c r="N2071" s="1">
        <v>1</v>
      </c>
      <c r="O2071" s="1">
        <v>1</v>
      </c>
      <c r="P2071" s="2">
        <v>1</v>
      </c>
      <c r="Q2071" s="67">
        <v>9</v>
      </c>
    </row>
    <row r="2072" spans="1:17" x14ac:dyDescent="0.25">
      <c r="A2072" s="10">
        <v>312</v>
      </c>
      <c r="B2072" s="10">
        <v>34</v>
      </c>
      <c r="C2072" s="10">
        <v>7</v>
      </c>
      <c r="D2072" s="10">
        <v>1</v>
      </c>
      <c r="E2072" s="10">
        <v>2</v>
      </c>
      <c r="F2072" s="10">
        <v>2</v>
      </c>
      <c r="L2072" s="1">
        <v>118</v>
      </c>
      <c r="M2072" s="1">
        <v>13</v>
      </c>
      <c r="N2072" s="1">
        <v>1</v>
      </c>
      <c r="O2072" s="1">
        <v>1</v>
      </c>
      <c r="P2072" s="2">
        <v>1</v>
      </c>
      <c r="Q2072" s="68">
        <v>8</v>
      </c>
    </row>
    <row r="2073" spans="1:17" x14ac:dyDescent="0.25">
      <c r="A2073" s="10">
        <v>251</v>
      </c>
      <c r="B2073" s="10">
        <v>27</v>
      </c>
      <c r="C2073" s="10">
        <v>7</v>
      </c>
      <c r="D2073" s="10">
        <v>2</v>
      </c>
      <c r="E2073" s="10">
        <v>1</v>
      </c>
      <c r="F2073" s="10">
        <v>1</v>
      </c>
      <c r="L2073" s="1">
        <v>119</v>
      </c>
      <c r="M2073" s="1">
        <v>13</v>
      </c>
      <c r="N2073" s="1">
        <v>1</v>
      </c>
      <c r="O2073" s="1">
        <v>1</v>
      </c>
      <c r="P2073" s="2">
        <v>1</v>
      </c>
      <c r="Q2073" s="67">
        <v>7</v>
      </c>
    </row>
    <row r="2074" spans="1:17" x14ac:dyDescent="0.25">
      <c r="A2074" s="10">
        <v>312</v>
      </c>
      <c r="B2074" s="10">
        <v>34</v>
      </c>
      <c r="C2074" s="10">
        <v>7</v>
      </c>
      <c r="D2074" s="10">
        <v>2</v>
      </c>
      <c r="E2074" s="10">
        <v>1</v>
      </c>
      <c r="F2074" s="10">
        <v>1</v>
      </c>
      <c r="L2074" s="1">
        <v>120</v>
      </c>
      <c r="M2074" s="1">
        <v>13</v>
      </c>
      <c r="N2074" s="1">
        <v>1</v>
      </c>
      <c r="O2074" s="1">
        <v>1</v>
      </c>
      <c r="P2074" s="2">
        <v>1</v>
      </c>
      <c r="Q2074" s="68">
        <v>7</v>
      </c>
    </row>
    <row r="2075" spans="1:17" x14ac:dyDescent="0.25">
      <c r="A2075" s="10">
        <v>312</v>
      </c>
      <c r="B2075" s="10">
        <v>34</v>
      </c>
      <c r="C2075" s="10">
        <v>7</v>
      </c>
      <c r="D2075" s="10">
        <v>4</v>
      </c>
      <c r="E2075" s="10">
        <v>1</v>
      </c>
      <c r="F2075" s="10">
        <v>1</v>
      </c>
      <c r="L2075" s="1">
        <v>121</v>
      </c>
      <c r="M2075" s="1">
        <v>13</v>
      </c>
      <c r="N2075" s="1">
        <v>1</v>
      </c>
      <c r="O2075" s="1">
        <v>1</v>
      </c>
      <c r="P2075" s="2">
        <v>1</v>
      </c>
      <c r="Q2075" s="67">
        <v>8</v>
      </c>
    </row>
    <row r="2076" spans="1:17" x14ac:dyDescent="0.25">
      <c r="A2076" s="10">
        <v>312</v>
      </c>
      <c r="B2076" s="10">
        <v>34</v>
      </c>
      <c r="C2076" s="10">
        <v>7</v>
      </c>
      <c r="D2076" s="10">
        <v>5</v>
      </c>
      <c r="E2076" s="10">
        <v>7</v>
      </c>
      <c r="F2076" s="10">
        <v>7</v>
      </c>
      <c r="L2076" s="1">
        <v>122</v>
      </c>
      <c r="M2076" s="1">
        <v>13</v>
      </c>
      <c r="N2076" s="1">
        <v>1</v>
      </c>
      <c r="O2076" s="1">
        <v>1</v>
      </c>
      <c r="P2076" s="2">
        <v>1</v>
      </c>
      <c r="Q2076" s="68">
        <v>7</v>
      </c>
    </row>
    <row r="2077" spans="1:17" x14ac:dyDescent="0.25">
      <c r="A2077" s="10">
        <v>251</v>
      </c>
      <c r="B2077" s="10">
        <v>27</v>
      </c>
      <c r="C2077" s="10">
        <v>7</v>
      </c>
      <c r="D2077" s="10">
        <v>4</v>
      </c>
      <c r="E2077" s="10">
        <v>1</v>
      </c>
      <c r="F2077" s="10">
        <v>1</v>
      </c>
      <c r="L2077" s="1">
        <v>123</v>
      </c>
      <c r="M2077" s="1">
        <v>14</v>
      </c>
      <c r="N2077" s="1">
        <v>1</v>
      </c>
      <c r="O2077" s="1">
        <v>1</v>
      </c>
      <c r="P2077" s="2">
        <v>1</v>
      </c>
      <c r="Q2077" s="67">
        <v>15</v>
      </c>
    </row>
    <row r="2078" spans="1:17" x14ac:dyDescent="0.25">
      <c r="A2078" s="10">
        <v>312</v>
      </c>
      <c r="B2078" s="10">
        <v>34</v>
      </c>
      <c r="C2078" s="10">
        <v>7</v>
      </c>
      <c r="D2078" s="10">
        <v>7</v>
      </c>
      <c r="E2078" s="10">
        <v>4</v>
      </c>
      <c r="F2078" s="10">
        <v>4</v>
      </c>
      <c r="L2078" s="1">
        <v>124</v>
      </c>
      <c r="M2078" s="1">
        <v>14</v>
      </c>
      <c r="N2078" s="1">
        <v>1</v>
      </c>
      <c r="O2078" s="1">
        <v>1</v>
      </c>
      <c r="P2078" s="2">
        <v>1</v>
      </c>
      <c r="Q2078" s="68">
        <v>9</v>
      </c>
    </row>
    <row r="2079" spans="1:17" x14ac:dyDescent="0.25">
      <c r="A2079" s="10">
        <v>251</v>
      </c>
      <c r="B2079" s="10">
        <v>27</v>
      </c>
      <c r="C2079" s="10">
        <v>7</v>
      </c>
      <c r="D2079" s="10">
        <v>6</v>
      </c>
      <c r="E2079" s="10">
        <v>2</v>
      </c>
      <c r="F2079" s="10">
        <v>2</v>
      </c>
      <c r="L2079" s="1">
        <v>125</v>
      </c>
      <c r="M2079" s="1">
        <v>14</v>
      </c>
      <c r="N2079" s="1">
        <v>1</v>
      </c>
      <c r="O2079" s="1">
        <v>1</v>
      </c>
      <c r="P2079" s="2">
        <v>1</v>
      </c>
      <c r="Q2079" s="67">
        <v>5</v>
      </c>
    </row>
    <row r="2080" spans="1:17" x14ac:dyDescent="0.25">
      <c r="A2080" s="10">
        <v>205</v>
      </c>
      <c r="B2080" s="10">
        <v>22</v>
      </c>
      <c r="C2080" s="10">
        <v>7</v>
      </c>
      <c r="D2080" s="10">
        <v>1</v>
      </c>
      <c r="E2080" s="10">
        <v>16</v>
      </c>
      <c r="F2080" s="10">
        <v>16</v>
      </c>
      <c r="L2080" s="1">
        <v>126</v>
      </c>
      <c r="M2080" s="1">
        <v>14</v>
      </c>
      <c r="N2080" s="1">
        <v>1</v>
      </c>
      <c r="O2080" s="1">
        <v>1</v>
      </c>
      <c r="P2080" s="2">
        <v>1</v>
      </c>
      <c r="Q2080" s="68">
        <v>4</v>
      </c>
    </row>
    <row r="2081" spans="1:17" x14ac:dyDescent="0.25">
      <c r="A2081" s="10">
        <v>205</v>
      </c>
      <c r="B2081" s="10">
        <v>22</v>
      </c>
      <c r="C2081" s="10">
        <v>7</v>
      </c>
      <c r="D2081" s="10">
        <v>2</v>
      </c>
      <c r="E2081" s="10">
        <v>10</v>
      </c>
      <c r="F2081" s="10">
        <v>10</v>
      </c>
      <c r="L2081" s="1">
        <v>127</v>
      </c>
      <c r="M2081" s="1">
        <v>14</v>
      </c>
      <c r="N2081" s="1">
        <v>1</v>
      </c>
      <c r="O2081" s="1">
        <v>1</v>
      </c>
      <c r="P2081" s="2">
        <v>1</v>
      </c>
      <c r="Q2081" s="67">
        <v>10</v>
      </c>
    </row>
    <row r="2082" spans="1:17" x14ac:dyDescent="0.25">
      <c r="A2082" s="10">
        <v>205</v>
      </c>
      <c r="B2082" s="10">
        <v>22</v>
      </c>
      <c r="C2082" s="10">
        <v>7</v>
      </c>
      <c r="D2082" s="10">
        <v>3</v>
      </c>
      <c r="E2082" s="10">
        <v>8</v>
      </c>
      <c r="F2082" s="10">
        <v>8</v>
      </c>
      <c r="L2082" s="1">
        <v>128</v>
      </c>
      <c r="M2082" s="1">
        <v>14</v>
      </c>
      <c r="N2082" s="1">
        <v>1</v>
      </c>
      <c r="O2082" s="1">
        <v>1</v>
      </c>
      <c r="P2082" s="2">
        <v>1</v>
      </c>
      <c r="Q2082" s="68">
        <v>6</v>
      </c>
    </row>
    <row r="2083" spans="1:17" x14ac:dyDescent="0.25">
      <c r="A2083" s="10">
        <v>264</v>
      </c>
      <c r="B2083" s="10">
        <v>29</v>
      </c>
      <c r="C2083" s="10">
        <v>7</v>
      </c>
      <c r="D2083" s="10">
        <v>2</v>
      </c>
      <c r="E2083" s="10">
        <v>2</v>
      </c>
      <c r="F2083" s="10">
        <v>2</v>
      </c>
      <c r="L2083" s="1">
        <v>129</v>
      </c>
      <c r="M2083" s="1">
        <v>14</v>
      </c>
      <c r="N2083" s="1">
        <v>1</v>
      </c>
      <c r="O2083" s="1">
        <v>1</v>
      </c>
      <c r="P2083" s="2">
        <v>1</v>
      </c>
      <c r="Q2083" s="67">
        <v>12</v>
      </c>
    </row>
    <row r="2084" spans="1:17" x14ac:dyDescent="0.25">
      <c r="A2084" s="10">
        <v>205</v>
      </c>
      <c r="B2084" s="10">
        <v>22</v>
      </c>
      <c r="C2084" s="10">
        <v>7</v>
      </c>
      <c r="D2084" s="10">
        <v>4</v>
      </c>
      <c r="E2084" s="10">
        <v>1</v>
      </c>
      <c r="F2084" s="10">
        <v>1</v>
      </c>
      <c r="L2084" s="1">
        <v>130</v>
      </c>
      <c r="M2084" s="1">
        <v>14</v>
      </c>
      <c r="N2084" s="1">
        <v>1</v>
      </c>
      <c r="O2084" s="1">
        <v>1</v>
      </c>
      <c r="P2084" s="2">
        <v>1</v>
      </c>
      <c r="Q2084" s="68">
        <v>8</v>
      </c>
    </row>
    <row r="2085" spans="1:17" x14ac:dyDescent="0.25">
      <c r="A2085" s="10">
        <v>316</v>
      </c>
      <c r="B2085" s="10">
        <v>34</v>
      </c>
      <c r="C2085" s="10">
        <v>7</v>
      </c>
      <c r="D2085" s="10">
        <v>2</v>
      </c>
      <c r="E2085" s="10">
        <v>30</v>
      </c>
      <c r="F2085" s="10">
        <v>30</v>
      </c>
      <c r="L2085" s="1">
        <v>131</v>
      </c>
      <c r="M2085" s="1">
        <v>14</v>
      </c>
      <c r="N2085" s="1">
        <v>1</v>
      </c>
      <c r="O2085" s="1">
        <v>1</v>
      </c>
      <c r="P2085" s="2">
        <v>1</v>
      </c>
      <c r="Q2085" s="67">
        <v>13</v>
      </c>
    </row>
    <row r="2086" spans="1:17" x14ac:dyDescent="0.25">
      <c r="A2086" s="10">
        <v>205</v>
      </c>
      <c r="B2086" s="10">
        <v>22</v>
      </c>
      <c r="C2086" s="10">
        <v>7</v>
      </c>
      <c r="D2086" s="10">
        <v>5</v>
      </c>
      <c r="E2086" s="10">
        <v>0</v>
      </c>
      <c r="F2086" s="10">
        <v>0</v>
      </c>
      <c r="L2086" s="1">
        <v>132</v>
      </c>
      <c r="M2086" s="1">
        <v>14</v>
      </c>
      <c r="N2086" s="1">
        <v>1</v>
      </c>
      <c r="O2086" s="1">
        <v>1</v>
      </c>
      <c r="P2086" s="2">
        <v>1</v>
      </c>
      <c r="Q2086" s="68">
        <v>8</v>
      </c>
    </row>
    <row r="2087" spans="1:17" x14ac:dyDescent="0.25">
      <c r="A2087" s="10">
        <v>342</v>
      </c>
      <c r="B2087" s="10">
        <v>37</v>
      </c>
      <c r="C2087" s="10">
        <v>7</v>
      </c>
      <c r="D2087" s="10">
        <v>1</v>
      </c>
      <c r="E2087" s="10">
        <v>6</v>
      </c>
      <c r="F2087" s="10">
        <v>6</v>
      </c>
      <c r="L2087" s="1">
        <v>133</v>
      </c>
      <c r="M2087" s="1">
        <v>15</v>
      </c>
      <c r="N2087" s="1">
        <v>1</v>
      </c>
      <c r="O2087" s="1">
        <v>1</v>
      </c>
      <c r="P2087" s="2">
        <v>1</v>
      </c>
      <c r="Q2087" s="67">
        <v>13</v>
      </c>
    </row>
    <row r="2088" spans="1:17" x14ac:dyDescent="0.25">
      <c r="A2088" s="10">
        <v>392</v>
      </c>
      <c r="B2088" s="10">
        <v>42</v>
      </c>
      <c r="C2088" s="10">
        <v>7</v>
      </c>
      <c r="D2088" s="10">
        <v>1</v>
      </c>
      <c r="E2088" s="10">
        <v>5</v>
      </c>
      <c r="F2088" s="10">
        <v>5</v>
      </c>
      <c r="L2088" s="1">
        <v>134</v>
      </c>
      <c r="M2088" s="1">
        <v>15</v>
      </c>
      <c r="N2088" s="1">
        <v>1</v>
      </c>
      <c r="O2088" s="1">
        <v>1</v>
      </c>
      <c r="P2088" s="2">
        <v>1</v>
      </c>
      <c r="Q2088" s="68">
        <v>10</v>
      </c>
    </row>
    <row r="2089" spans="1:17" x14ac:dyDescent="0.25">
      <c r="A2089" s="10">
        <v>44</v>
      </c>
      <c r="B2089" s="10">
        <v>5</v>
      </c>
      <c r="C2089" s="10">
        <v>7</v>
      </c>
      <c r="D2089" s="10">
        <v>1</v>
      </c>
      <c r="E2089" s="10">
        <v>7</v>
      </c>
      <c r="F2089" s="10">
        <v>7</v>
      </c>
      <c r="L2089" s="1">
        <v>135</v>
      </c>
      <c r="M2089" s="1">
        <v>15</v>
      </c>
      <c r="N2089" s="1">
        <v>1</v>
      </c>
      <c r="O2089" s="1">
        <v>1</v>
      </c>
      <c r="P2089" s="2">
        <v>1</v>
      </c>
      <c r="Q2089" s="67">
        <v>14</v>
      </c>
    </row>
    <row r="2090" spans="1:17" x14ac:dyDescent="0.25">
      <c r="A2090" s="10">
        <v>392</v>
      </c>
      <c r="B2090" s="10">
        <v>42</v>
      </c>
      <c r="C2090" s="10">
        <v>7</v>
      </c>
      <c r="D2090" s="10">
        <v>2</v>
      </c>
      <c r="E2090" s="10">
        <v>36</v>
      </c>
      <c r="F2090" s="10">
        <v>36</v>
      </c>
      <c r="L2090" s="1">
        <v>136</v>
      </c>
      <c r="M2090" s="1">
        <v>15</v>
      </c>
      <c r="N2090" s="1">
        <v>1</v>
      </c>
      <c r="O2090" s="1">
        <v>1</v>
      </c>
      <c r="P2090" s="2">
        <v>1</v>
      </c>
      <c r="Q2090" s="68">
        <v>9</v>
      </c>
    </row>
    <row r="2091" spans="1:17" x14ac:dyDescent="0.25">
      <c r="A2091" s="10">
        <v>342</v>
      </c>
      <c r="B2091" s="10">
        <v>37</v>
      </c>
      <c r="C2091" s="10">
        <v>7</v>
      </c>
      <c r="D2091" s="10">
        <v>2</v>
      </c>
      <c r="E2091" s="10">
        <v>3</v>
      </c>
      <c r="F2091" s="10">
        <v>3</v>
      </c>
      <c r="L2091" s="1">
        <v>137</v>
      </c>
      <c r="M2091" s="1">
        <v>15</v>
      </c>
      <c r="N2091" s="1">
        <v>1</v>
      </c>
      <c r="O2091" s="1">
        <v>1</v>
      </c>
      <c r="P2091" s="2">
        <v>1</v>
      </c>
      <c r="Q2091" s="67">
        <v>12</v>
      </c>
    </row>
    <row r="2092" spans="1:17" x14ac:dyDescent="0.25">
      <c r="A2092" s="10">
        <v>314</v>
      </c>
      <c r="B2092" s="10">
        <v>34</v>
      </c>
      <c r="C2092" s="10">
        <v>7</v>
      </c>
      <c r="D2092" s="10">
        <v>9</v>
      </c>
      <c r="E2092" s="10">
        <v>5</v>
      </c>
      <c r="F2092" s="10">
        <v>5</v>
      </c>
      <c r="L2092" s="1">
        <v>138</v>
      </c>
      <c r="M2092" s="1">
        <v>15</v>
      </c>
      <c r="N2092" s="1">
        <v>1</v>
      </c>
      <c r="O2092" s="1">
        <v>1</v>
      </c>
      <c r="P2092" s="2">
        <v>1</v>
      </c>
      <c r="Q2092" s="68">
        <v>7</v>
      </c>
    </row>
    <row r="2093" spans="1:17" x14ac:dyDescent="0.25">
      <c r="A2093" s="10">
        <v>314</v>
      </c>
      <c r="B2093" s="10">
        <v>34</v>
      </c>
      <c r="C2093" s="10">
        <v>7</v>
      </c>
      <c r="D2093" s="10">
        <v>1</v>
      </c>
      <c r="E2093" s="10">
        <v>23</v>
      </c>
      <c r="F2093" s="10">
        <v>23</v>
      </c>
      <c r="L2093" s="1">
        <v>139</v>
      </c>
      <c r="M2093" s="1">
        <v>15</v>
      </c>
      <c r="N2093" s="1">
        <v>1</v>
      </c>
      <c r="O2093" s="1">
        <v>1</v>
      </c>
      <c r="P2093" s="2">
        <v>1</v>
      </c>
      <c r="Q2093" s="67">
        <v>5</v>
      </c>
    </row>
    <row r="2094" spans="1:17" x14ac:dyDescent="0.25">
      <c r="A2094" s="10">
        <v>314</v>
      </c>
      <c r="B2094" s="10">
        <v>34</v>
      </c>
      <c r="C2094" s="10">
        <v>7</v>
      </c>
      <c r="D2094" s="10">
        <v>2</v>
      </c>
      <c r="E2094" s="10">
        <v>20</v>
      </c>
      <c r="F2094" s="10">
        <v>20</v>
      </c>
      <c r="L2094" s="1">
        <v>140</v>
      </c>
      <c r="M2094" s="1">
        <v>15</v>
      </c>
      <c r="N2094" s="1">
        <v>1</v>
      </c>
      <c r="O2094" s="1">
        <v>1</v>
      </c>
      <c r="P2094" s="2">
        <v>1</v>
      </c>
      <c r="Q2094" s="68">
        <v>11</v>
      </c>
    </row>
    <row r="2095" spans="1:17" x14ac:dyDescent="0.25">
      <c r="A2095" s="10">
        <v>314</v>
      </c>
      <c r="B2095" s="10">
        <v>34</v>
      </c>
      <c r="C2095" s="10">
        <v>7</v>
      </c>
      <c r="D2095" s="10">
        <v>6</v>
      </c>
      <c r="E2095" s="10">
        <v>1</v>
      </c>
      <c r="F2095" s="10">
        <v>1</v>
      </c>
      <c r="L2095" s="1">
        <v>141</v>
      </c>
      <c r="M2095" s="1">
        <v>15</v>
      </c>
      <c r="N2095" s="1">
        <v>1</v>
      </c>
      <c r="O2095" s="1">
        <v>1</v>
      </c>
      <c r="P2095" s="2">
        <v>1</v>
      </c>
      <c r="Q2095" s="67">
        <v>7</v>
      </c>
    </row>
    <row r="2096" spans="1:17" x14ac:dyDescent="0.25">
      <c r="A2096" s="10">
        <v>314</v>
      </c>
      <c r="B2096" s="10">
        <v>34</v>
      </c>
      <c r="C2096" s="10">
        <v>7</v>
      </c>
      <c r="D2096" s="10">
        <v>7</v>
      </c>
      <c r="E2096" s="10">
        <v>1</v>
      </c>
      <c r="F2096" s="10">
        <v>1</v>
      </c>
      <c r="L2096" s="1">
        <v>142</v>
      </c>
      <c r="M2096" s="1">
        <v>15</v>
      </c>
      <c r="N2096" s="1">
        <v>1</v>
      </c>
      <c r="O2096" s="1">
        <v>1</v>
      </c>
      <c r="P2096" s="2">
        <v>1</v>
      </c>
      <c r="Q2096" s="68">
        <v>6</v>
      </c>
    </row>
    <row r="2097" spans="1:17" x14ac:dyDescent="0.25">
      <c r="A2097" s="10">
        <v>318</v>
      </c>
      <c r="B2097" s="10">
        <v>34</v>
      </c>
      <c r="C2097" s="10">
        <v>7</v>
      </c>
      <c r="D2097" s="10">
        <v>1</v>
      </c>
      <c r="E2097" s="10">
        <v>13</v>
      </c>
      <c r="F2097" s="10">
        <v>13</v>
      </c>
      <c r="L2097" s="1">
        <v>143</v>
      </c>
      <c r="M2097" s="1">
        <v>16</v>
      </c>
      <c r="N2097" s="1">
        <v>1</v>
      </c>
      <c r="O2097" s="1">
        <v>1</v>
      </c>
      <c r="P2097" s="2">
        <v>1</v>
      </c>
      <c r="Q2097" s="67">
        <v>7</v>
      </c>
    </row>
    <row r="2098" spans="1:17" x14ac:dyDescent="0.25">
      <c r="A2098" s="10">
        <v>318</v>
      </c>
      <c r="B2098" s="10">
        <v>34</v>
      </c>
      <c r="C2098" s="10">
        <v>7</v>
      </c>
      <c r="D2098" s="10">
        <v>2</v>
      </c>
      <c r="E2098" s="10">
        <v>9</v>
      </c>
      <c r="F2098" s="10">
        <v>9</v>
      </c>
      <c r="L2098" s="1">
        <v>144</v>
      </c>
      <c r="M2098" s="1">
        <v>16</v>
      </c>
      <c r="N2098" s="1">
        <v>1</v>
      </c>
      <c r="O2098" s="1">
        <v>1</v>
      </c>
      <c r="P2098" s="2">
        <v>1</v>
      </c>
      <c r="Q2098" s="68">
        <v>11</v>
      </c>
    </row>
    <row r="2099" spans="1:17" x14ac:dyDescent="0.25">
      <c r="A2099" s="10">
        <v>386</v>
      </c>
      <c r="B2099" s="10">
        <v>42</v>
      </c>
      <c r="C2099" s="10">
        <v>7</v>
      </c>
      <c r="D2099" s="10">
        <v>1</v>
      </c>
      <c r="E2099" s="10">
        <v>5</v>
      </c>
      <c r="F2099" s="10">
        <v>5</v>
      </c>
      <c r="L2099" s="1">
        <v>145</v>
      </c>
      <c r="M2099" s="1">
        <v>16</v>
      </c>
      <c r="N2099" s="1">
        <v>1</v>
      </c>
      <c r="O2099" s="1">
        <v>1</v>
      </c>
      <c r="P2099" s="2">
        <v>1</v>
      </c>
      <c r="Q2099" s="67">
        <v>12</v>
      </c>
    </row>
    <row r="2100" spans="1:17" x14ac:dyDescent="0.25">
      <c r="A2100" s="10">
        <v>28</v>
      </c>
      <c r="B2100" s="10">
        <v>4</v>
      </c>
      <c r="C2100" s="10">
        <v>7</v>
      </c>
      <c r="D2100" s="10">
        <v>4</v>
      </c>
      <c r="E2100" s="10">
        <v>2</v>
      </c>
      <c r="F2100" s="10">
        <v>2</v>
      </c>
      <c r="L2100" s="1">
        <v>146</v>
      </c>
      <c r="M2100" s="1">
        <v>16</v>
      </c>
      <c r="N2100" s="1">
        <v>1</v>
      </c>
      <c r="O2100" s="1">
        <v>1</v>
      </c>
      <c r="P2100" s="2">
        <v>1</v>
      </c>
      <c r="Q2100" s="68">
        <v>11</v>
      </c>
    </row>
    <row r="2101" spans="1:17" x14ac:dyDescent="0.25">
      <c r="A2101" s="10">
        <v>335</v>
      </c>
      <c r="B2101" s="10">
        <v>36</v>
      </c>
      <c r="C2101" s="10">
        <v>7</v>
      </c>
      <c r="D2101" s="10">
        <v>1</v>
      </c>
      <c r="E2101" s="10">
        <v>7</v>
      </c>
      <c r="F2101" s="10">
        <v>7</v>
      </c>
      <c r="L2101" s="1">
        <v>147</v>
      </c>
      <c r="M2101" s="1">
        <v>16</v>
      </c>
      <c r="N2101" s="1">
        <v>1</v>
      </c>
      <c r="O2101" s="1">
        <v>1</v>
      </c>
      <c r="P2101" s="2">
        <v>1</v>
      </c>
      <c r="Q2101" s="67">
        <v>11</v>
      </c>
    </row>
    <row r="2102" spans="1:17" x14ac:dyDescent="0.25">
      <c r="A2102" s="10">
        <v>413</v>
      </c>
      <c r="B2102" s="10">
        <v>44</v>
      </c>
      <c r="C2102" s="10">
        <v>7</v>
      </c>
      <c r="D2102" s="10">
        <v>8</v>
      </c>
      <c r="E2102" s="10">
        <v>1</v>
      </c>
      <c r="F2102" s="10">
        <v>1</v>
      </c>
      <c r="L2102" s="1">
        <v>148</v>
      </c>
      <c r="M2102" s="1">
        <v>16</v>
      </c>
      <c r="N2102" s="1">
        <v>1</v>
      </c>
      <c r="O2102" s="1">
        <v>1</v>
      </c>
      <c r="P2102" s="2">
        <v>1</v>
      </c>
      <c r="Q2102" s="68">
        <v>10</v>
      </c>
    </row>
    <row r="2103" spans="1:17" x14ac:dyDescent="0.25">
      <c r="A2103" s="10">
        <v>386</v>
      </c>
      <c r="B2103" s="10">
        <v>42</v>
      </c>
      <c r="C2103" s="10">
        <v>7</v>
      </c>
      <c r="D2103" s="10">
        <v>8</v>
      </c>
      <c r="E2103" s="10">
        <v>3</v>
      </c>
      <c r="F2103" s="10">
        <v>3</v>
      </c>
      <c r="L2103" s="1">
        <v>149</v>
      </c>
      <c r="M2103" s="1">
        <v>16</v>
      </c>
      <c r="N2103" s="1">
        <v>1</v>
      </c>
      <c r="O2103" s="1">
        <v>1</v>
      </c>
      <c r="P2103" s="2">
        <v>1</v>
      </c>
      <c r="Q2103" s="67">
        <v>6</v>
      </c>
    </row>
    <row r="2104" spans="1:17" x14ac:dyDescent="0.25">
      <c r="A2104" s="10">
        <v>343</v>
      </c>
      <c r="B2104" s="10">
        <v>37</v>
      </c>
      <c r="C2104" s="10">
        <v>7</v>
      </c>
      <c r="D2104" s="10">
        <v>1</v>
      </c>
      <c r="E2104" s="10">
        <v>3</v>
      </c>
      <c r="F2104" s="10">
        <v>3</v>
      </c>
      <c r="L2104" s="1">
        <v>150</v>
      </c>
      <c r="M2104" s="1">
        <v>16</v>
      </c>
      <c r="N2104" s="1">
        <v>1</v>
      </c>
      <c r="O2104" s="1">
        <v>1</v>
      </c>
      <c r="P2104" s="2">
        <v>1</v>
      </c>
      <c r="Q2104" s="68">
        <v>8</v>
      </c>
    </row>
    <row r="2105" spans="1:17" x14ac:dyDescent="0.25">
      <c r="A2105" s="10">
        <v>343</v>
      </c>
      <c r="B2105" s="10">
        <v>37</v>
      </c>
      <c r="C2105" s="10">
        <v>7</v>
      </c>
      <c r="D2105" s="10">
        <v>5</v>
      </c>
      <c r="E2105" s="10">
        <v>4</v>
      </c>
      <c r="F2105" s="10">
        <v>4</v>
      </c>
      <c r="L2105" s="1">
        <v>151</v>
      </c>
      <c r="M2105" s="1">
        <v>16</v>
      </c>
      <c r="N2105" s="1">
        <v>1</v>
      </c>
      <c r="O2105" s="1">
        <v>1</v>
      </c>
      <c r="P2105" s="2">
        <v>1</v>
      </c>
      <c r="Q2105" s="67">
        <v>5</v>
      </c>
    </row>
    <row r="2106" spans="1:17" x14ac:dyDescent="0.25">
      <c r="A2106" s="10">
        <v>343</v>
      </c>
      <c r="B2106" s="10">
        <v>37</v>
      </c>
      <c r="C2106" s="10">
        <v>7</v>
      </c>
      <c r="D2106" s="10">
        <v>6</v>
      </c>
      <c r="E2106" s="10">
        <v>2</v>
      </c>
      <c r="F2106" s="10">
        <v>2</v>
      </c>
      <c r="L2106" s="1">
        <v>152</v>
      </c>
      <c r="M2106" s="1">
        <v>16</v>
      </c>
      <c r="N2106" s="1">
        <v>1</v>
      </c>
      <c r="O2106" s="1">
        <v>1</v>
      </c>
      <c r="P2106" s="2">
        <v>1</v>
      </c>
      <c r="Q2106" s="68">
        <v>6</v>
      </c>
    </row>
    <row r="2107" spans="1:17" x14ac:dyDescent="0.25">
      <c r="A2107" s="10">
        <v>249</v>
      </c>
      <c r="B2107" s="10">
        <v>27</v>
      </c>
      <c r="C2107" s="10">
        <v>8</v>
      </c>
      <c r="D2107" s="10">
        <v>2</v>
      </c>
      <c r="E2107" s="10">
        <v>3</v>
      </c>
      <c r="F2107" s="10">
        <v>3</v>
      </c>
      <c r="L2107" s="1">
        <v>153</v>
      </c>
      <c r="M2107" s="1">
        <v>17</v>
      </c>
      <c r="N2107" s="1">
        <v>1</v>
      </c>
      <c r="O2107" s="1">
        <v>1</v>
      </c>
      <c r="P2107" s="2">
        <v>1</v>
      </c>
      <c r="Q2107" s="67">
        <v>22</v>
      </c>
    </row>
    <row r="2108" spans="1:17" x14ac:dyDescent="0.25">
      <c r="A2108" s="10">
        <v>388</v>
      </c>
      <c r="B2108" s="10">
        <v>42</v>
      </c>
      <c r="C2108" s="10">
        <v>7</v>
      </c>
      <c r="D2108" s="10">
        <v>2</v>
      </c>
      <c r="E2108" s="10">
        <v>3</v>
      </c>
      <c r="F2108" s="10">
        <v>3</v>
      </c>
      <c r="L2108" s="1">
        <v>154</v>
      </c>
      <c r="M2108" s="1">
        <v>17</v>
      </c>
      <c r="N2108" s="1">
        <v>1</v>
      </c>
      <c r="O2108" s="1">
        <v>1</v>
      </c>
      <c r="P2108" s="2">
        <v>1</v>
      </c>
      <c r="Q2108" s="68">
        <v>11</v>
      </c>
    </row>
    <row r="2109" spans="1:17" x14ac:dyDescent="0.25">
      <c r="A2109" s="10">
        <v>19</v>
      </c>
      <c r="B2109" s="10">
        <v>2</v>
      </c>
      <c r="C2109" s="10">
        <v>6</v>
      </c>
      <c r="D2109" s="10">
        <v>1</v>
      </c>
      <c r="E2109" s="10">
        <v>18</v>
      </c>
      <c r="F2109" s="10">
        <v>18</v>
      </c>
      <c r="L2109" s="1">
        <v>155</v>
      </c>
      <c r="M2109" s="1">
        <v>17</v>
      </c>
      <c r="N2109" s="1">
        <v>1</v>
      </c>
      <c r="O2109" s="1">
        <v>1</v>
      </c>
      <c r="P2109" s="2">
        <v>1</v>
      </c>
      <c r="Q2109" s="67">
        <v>9</v>
      </c>
    </row>
    <row r="2110" spans="1:17" x14ac:dyDescent="0.25">
      <c r="A2110" s="10">
        <v>19</v>
      </c>
      <c r="B2110" s="10">
        <v>2</v>
      </c>
      <c r="C2110" s="10">
        <v>6</v>
      </c>
      <c r="D2110" s="10">
        <v>2</v>
      </c>
      <c r="E2110" s="10">
        <v>14</v>
      </c>
      <c r="F2110" s="10">
        <v>14</v>
      </c>
      <c r="L2110" s="1">
        <v>156</v>
      </c>
      <c r="M2110" s="1">
        <v>17</v>
      </c>
      <c r="N2110" s="1">
        <v>1</v>
      </c>
      <c r="O2110" s="1">
        <v>1</v>
      </c>
      <c r="P2110" s="2">
        <v>1</v>
      </c>
      <c r="Q2110" s="68">
        <v>0</v>
      </c>
    </row>
    <row r="2111" spans="1:17" x14ac:dyDescent="0.25">
      <c r="A2111" s="10">
        <v>16</v>
      </c>
      <c r="B2111" s="10">
        <v>2</v>
      </c>
      <c r="C2111" s="10">
        <v>7</v>
      </c>
      <c r="D2111" s="10">
        <v>2</v>
      </c>
      <c r="E2111" s="10">
        <v>28</v>
      </c>
      <c r="F2111" s="10">
        <v>28</v>
      </c>
      <c r="L2111" s="1">
        <v>157</v>
      </c>
      <c r="M2111" s="1">
        <v>17</v>
      </c>
      <c r="N2111" s="1">
        <v>1</v>
      </c>
      <c r="O2111" s="1">
        <v>1</v>
      </c>
      <c r="P2111" s="2">
        <v>1</v>
      </c>
      <c r="Q2111" s="67">
        <v>13</v>
      </c>
    </row>
    <row r="2112" spans="1:17" x14ac:dyDescent="0.25">
      <c r="A2112" s="10">
        <v>16</v>
      </c>
      <c r="B2112" s="10">
        <v>2</v>
      </c>
      <c r="C2112" s="10">
        <v>7</v>
      </c>
      <c r="D2112" s="10">
        <v>4</v>
      </c>
      <c r="E2112" s="10">
        <v>1</v>
      </c>
      <c r="F2112" s="10">
        <v>1</v>
      </c>
      <c r="L2112" s="1">
        <v>158</v>
      </c>
      <c r="M2112" s="1">
        <v>17</v>
      </c>
      <c r="N2112" s="1">
        <v>1</v>
      </c>
      <c r="O2112" s="1">
        <v>1</v>
      </c>
      <c r="P2112" s="2">
        <v>1</v>
      </c>
      <c r="Q2112" s="68">
        <v>10</v>
      </c>
    </row>
    <row r="2113" spans="1:17" x14ac:dyDescent="0.25">
      <c r="A2113" s="10">
        <v>390</v>
      </c>
      <c r="B2113" s="10">
        <v>42</v>
      </c>
      <c r="C2113" s="10">
        <v>7</v>
      </c>
      <c r="D2113" s="10">
        <v>1</v>
      </c>
      <c r="E2113" s="10">
        <v>22</v>
      </c>
      <c r="F2113" s="10">
        <v>22</v>
      </c>
      <c r="L2113" s="1">
        <v>159</v>
      </c>
      <c r="M2113" s="1">
        <v>17</v>
      </c>
      <c r="N2113" s="1">
        <v>1</v>
      </c>
      <c r="O2113" s="1">
        <v>1</v>
      </c>
      <c r="P2113" s="2">
        <v>1</v>
      </c>
      <c r="Q2113" s="67">
        <v>11</v>
      </c>
    </row>
    <row r="2114" spans="1:17" x14ac:dyDescent="0.25">
      <c r="A2114" s="10">
        <v>390</v>
      </c>
      <c r="B2114" s="10">
        <v>42</v>
      </c>
      <c r="C2114" s="10">
        <v>7</v>
      </c>
      <c r="D2114" s="10">
        <v>2</v>
      </c>
      <c r="E2114" s="10">
        <v>29</v>
      </c>
      <c r="F2114" s="10">
        <v>29</v>
      </c>
      <c r="L2114" s="1">
        <v>160</v>
      </c>
      <c r="M2114" s="1">
        <v>17</v>
      </c>
      <c r="N2114" s="1">
        <v>1</v>
      </c>
      <c r="O2114" s="1">
        <v>1</v>
      </c>
      <c r="P2114" s="2">
        <v>1</v>
      </c>
      <c r="Q2114" s="68">
        <v>1</v>
      </c>
    </row>
    <row r="2115" spans="1:17" x14ac:dyDescent="0.25">
      <c r="A2115" s="10">
        <v>276</v>
      </c>
      <c r="B2115" s="10">
        <v>30</v>
      </c>
      <c r="C2115" s="10">
        <v>6</v>
      </c>
      <c r="D2115" s="10">
        <v>1</v>
      </c>
      <c r="E2115" s="10">
        <v>29</v>
      </c>
      <c r="F2115" s="10">
        <v>29</v>
      </c>
      <c r="L2115" s="1">
        <v>161</v>
      </c>
      <c r="M2115" s="1">
        <v>17</v>
      </c>
      <c r="N2115" s="1">
        <v>1</v>
      </c>
      <c r="O2115" s="1">
        <v>1</v>
      </c>
      <c r="P2115" s="2">
        <v>1</v>
      </c>
      <c r="Q2115" s="67">
        <v>7</v>
      </c>
    </row>
    <row r="2116" spans="1:17" x14ac:dyDescent="0.25">
      <c r="A2116" s="10">
        <v>276</v>
      </c>
      <c r="B2116" s="10">
        <v>30</v>
      </c>
      <c r="C2116" s="10">
        <v>6</v>
      </c>
      <c r="D2116" s="10">
        <v>2</v>
      </c>
      <c r="E2116" s="10">
        <v>5</v>
      </c>
      <c r="F2116" s="10">
        <v>5</v>
      </c>
      <c r="L2116" s="1">
        <v>162</v>
      </c>
      <c r="M2116" s="1">
        <v>17</v>
      </c>
      <c r="N2116" s="1">
        <v>1</v>
      </c>
      <c r="O2116" s="1">
        <v>1</v>
      </c>
      <c r="P2116" s="2">
        <v>1</v>
      </c>
      <c r="Q2116" s="68">
        <v>0</v>
      </c>
    </row>
    <row r="2117" spans="1:17" x14ac:dyDescent="0.25">
      <c r="A2117" s="10">
        <v>276</v>
      </c>
      <c r="B2117" s="10">
        <v>30</v>
      </c>
      <c r="C2117" s="10">
        <v>6</v>
      </c>
      <c r="D2117" s="10">
        <v>3</v>
      </c>
      <c r="E2117" s="10">
        <v>1</v>
      </c>
      <c r="F2117" s="10">
        <v>1</v>
      </c>
      <c r="L2117" s="1">
        <v>163</v>
      </c>
      <c r="M2117" s="1">
        <v>18</v>
      </c>
      <c r="N2117" s="1">
        <v>1</v>
      </c>
      <c r="O2117" s="1">
        <v>1</v>
      </c>
      <c r="P2117" s="2">
        <v>1</v>
      </c>
      <c r="Q2117" s="67">
        <v>4</v>
      </c>
    </row>
    <row r="2118" spans="1:17" x14ac:dyDescent="0.25">
      <c r="A2118" s="10">
        <v>249</v>
      </c>
      <c r="B2118" s="10">
        <v>27</v>
      </c>
      <c r="C2118" s="10">
        <v>8</v>
      </c>
      <c r="D2118" s="10">
        <v>3</v>
      </c>
      <c r="E2118" s="10">
        <v>1</v>
      </c>
      <c r="F2118" s="10">
        <v>1</v>
      </c>
      <c r="L2118" s="1">
        <v>164</v>
      </c>
      <c r="M2118" s="1">
        <v>18</v>
      </c>
      <c r="N2118" s="1">
        <v>1</v>
      </c>
      <c r="O2118" s="1">
        <v>1</v>
      </c>
      <c r="P2118" s="2">
        <v>1</v>
      </c>
      <c r="Q2118" s="68">
        <v>2</v>
      </c>
    </row>
    <row r="2119" spans="1:17" x14ac:dyDescent="0.25">
      <c r="A2119" s="10">
        <v>417</v>
      </c>
      <c r="B2119" s="10">
        <v>45</v>
      </c>
      <c r="C2119" s="10">
        <v>7</v>
      </c>
      <c r="D2119" s="10">
        <v>1</v>
      </c>
      <c r="E2119" s="10">
        <v>28</v>
      </c>
      <c r="F2119" s="10">
        <v>28</v>
      </c>
      <c r="L2119" s="1">
        <v>165</v>
      </c>
      <c r="M2119" s="1">
        <v>18</v>
      </c>
      <c r="N2119" s="1">
        <v>1</v>
      </c>
      <c r="O2119" s="1">
        <v>1</v>
      </c>
      <c r="P2119" s="2">
        <v>1</v>
      </c>
      <c r="Q2119" s="67">
        <v>4</v>
      </c>
    </row>
    <row r="2120" spans="1:17" x14ac:dyDescent="0.25">
      <c r="A2120" s="10">
        <v>6</v>
      </c>
      <c r="B2120" s="10">
        <v>1</v>
      </c>
      <c r="C2120" s="10">
        <v>7</v>
      </c>
      <c r="D2120" s="10">
        <v>1</v>
      </c>
      <c r="E2120" s="10">
        <v>7</v>
      </c>
      <c r="F2120" s="10">
        <v>7</v>
      </c>
      <c r="L2120" s="1">
        <v>166</v>
      </c>
      <c r="M2120" s="1">
        <v>18</v>
      </c>
      <c r="N2120" s="1">
        <v>1</v>
      </c>
      <c r="O2120" s="1">
        <v>1</v>
      </c>
      <c r="P2120" s="2">
        <v>1</v>
      </c>
      <c r="Q2120" s="68">
        <v>5</v>
      </c>
    </row>
    <row r="2121" spans="1:17" x14ac:dyDescent="0.25">
      <c r="A2121" s="10">
        <v>6</v>
      </c>
      <c r="B2121" s="10">
        <v>1</v>
      </c>
      <c r="C2121" s="10">
        <v>7</v>
      </c>
      <c r="D2121" s="10">
        <v>2</v>
      </c>
      <c r="E2121" s="10">
        <v>9</v>
      </c>
      <c r="F2121" s="10">
        <v>9</v>
      </c>
      <c r="L2121" s="1">
        <v>167</v>
      </c>
      <c r="M2121" s="1">
        <v>18</v>
      </c>
      <c r="N2121" s="1">
        <v>1</v>
      </c>
      <c r="O2121" s="1">
        <v>1</v>
      </c>
      <c r="P2121" s="2">
        <v>1</v>
      </c>
      <c r="Q2121" s="67">
        <v>8</v>
      </c>
    </row>
    <row r="2122" spans="1:17" x14ac:dyDescent="0.25">
      <c r="A2122" s="10">
        <v>417</v>
      </c>
      <c r="B2122" s="10">
        <v>45</v>
      </c>
      <c r="C2122" s="10">
        <v>7</v>
      </c>
      <c r="D2122" s="10">
        <v>2</v>
      </c>
      <c r="E2122" s="10">
        <v>12</v>
      </c>
      <c r="F2122" s="10">
        <v>12</v>
      </c>
      <c r="L2122" s="1">
        <v>168</v>
      </c>
      <c r="M2122" s="1">
        <v>18</v>
      </c>
      <c r="N2122" s="1">
        <v>1</v>
      </c>
      <c r="O2122" s="1">
        <v>1</v>
      </c>
      <c r="P2122" s="2">
        <v>1</v>
      </c>
      <c r="Q2122" s="68">
        <v>8</v>
      </c>
    </row>
    <row r="2123" spans="1:17" x14ac:dyDescent="0.25">
      <c r="A2123" s="10">
        <v>417</v>
      </c>
      <c r="B2123" s="10">
        <v>45</v>
      </c>
      <c r="C2123" s="10">
        <v>7</v>
      </c>
      <c r="D2123" s="10">
        <v>3</v>
      </c>
      <c r="E2123" s="10">
        <v>5</v>
      </c>
      <c r="F2123" s="10">
        <v>5</v>
      </c>
      <c r="L2123" s="1">
        <v>169</v>
      </c>
      <c r="M2123" s="1">
        <v>18</v>
      </c>
      <c r="N2123" s="1">
        <v>1</v>
      </c>
      <c r="O2123" s="1">
        <v>1</v>
      </c>
      <c r="P2123" s="2">
        <v>1</v>
      </c>
      <c r="Q2123" s="67">
        <v>6</v>
      </c>
    </row>
    <row r="2124" spans="1:17" x14ac:dyDescent="0.25">
      <c r="A2124" s="10">
        <v>417</v>
      </c>
      <c r="B2124" s="10">
        <v>45</v>
      </c>
      <c r="C2124" s="10">
        <v>7</v>
      </c>
      <c r="D2124" s="10">
        <v>4</v>
      </c>
      <c r="E2124" s="10">
        <v>1</v>
      </c>
      <c r="F2124" s="10">
        <v>1</v>
      </c>
      <c r="L2124" s="1">
        <v>170</v>
      </c>
      <c r="M2124" s="1">
        <v>18</v>
      </c>
      <c r="N2124" s="1">
        <v>1</v>
      </c>
      <c r="O2124" s="1">
        <v>1</v>
      </c>
      <c r="P2124" s="2">
        <v>1</v>
      </c>
      <c r="Q2124" s="68">
        <v>8</v>
      </c>
    </row>
    <row r="2125" spans="1:17" x14ac:dyDescent="0.25">
      <c r="A2125" s="10">
        <v>4</v>
      </c>
      <c r="B2125" s="10">
        <v>1</v>
      </c>
      <c r="C2125" s="10">
        <v>7</v>
      </c>
      <c r="D2125" s="10">
        <v>1</v>
      </c>
      <c r="E2125" s="10">
        <v>15</v>
      </c>
      <c r="F2125" s="10">
        <v>15</v>
      </c>
      <c r="L2125" s="1">
        <v>171</v>
      </c>
      <c r="M2125" s="1">
        <v>18</v>
      </c>
      <c r="N2125" s="1">
        <v>1</v>
      </c>
      <c r="O2125" s="1">
        <v>1</v>
      </c>
      <c r="P2125" s="2">
        <v>1</v>
      </c>
      <c r="Q2125" s="67">
        <v>5</v>
      </c>
    </row>
    <row r="2126" spans="1:17" x14ac:dyDescent="0.25">
      <c r="A2126" s="10">
        <v>417</v>
      </c>
      <c r="B2126" s="10">
        <v>45</v>
      </c>
      <c r="C2126" s="10">
        <v>7</v>
      </c>
      <c r="D2126" s="10">
        <v>5</v>
      </c>
      <c r="E2126" s="10">
        <v>4</v>
      </c>
      <c r="F2126" s="10">
        <v>4</v>
      </c>
      <c r="L2126" s="1">
        <v>172</v>
      </c>
      <c r="M2126" s="1">
        <v>18</v>
      </c>
      <c r="N2126" s="1">
        <v>1</v>
      </c>
      <c r="O2126" s="1">
        <v>1</v>
      </c>
      <c r="P2126" s="2">
        <v>1</v>
      </c>
      <c r="Q2126" s="68">
        <v>3</v>
      </c>
    </row>
    <row r="2127" spans="1:17" x14ac:dyDescent="0.25">
      <c r="A2127" s="10">
        <v>55</v>
      </c>
      <c r="B2127" s="10">
        <v>6</v>
      </c>
      <c r="C2127" s="10">
        <v>5</v>
      </c>
      <c r="D2127" s="10">
        <v>1</v>
      </c>
      <c r="E2127" s="10">
        <v>24</v>
      </c>
      <c r="F2127" s="10">
        <v>24</v>
      </c>
      <c r="L2127" s="1">
        <v>173</v>
      </c>
      <c r="M2127" s="1">
        <v>19</v>
      </c>
      <c r="N2127" s="1">
        <v>1</v>
      </c>
      <c r="O2127" s="1">
        <v>1</v>
      </c>
      <c r="P2127" s="2">
        <v>1</v>
      </c>
      <c r="Q2127" s="67">
        <v>1</v>
      </c>
    </row>
    <row r="2128" spans="1:17" x14ac:dyDescent="0.25">
      <c r="A2128" s="10">
        <v>55</v>
      </c>
      <c r="B2128" s="10">
        <v>6</v>
      </c>
      <c r="C2128" s="10">
        <v>5</v>
      </c>
      <c r="D2128" s="10">
        <v>2</v>
      </c>
      <c r="E2128" s="10">
        <v>10</v>
      </c>
      <c r="F2128" s="10">
        <v>10</v>
      </c>
      <c r="L2128" s="1">
        <v>174</v>
      </c>
      <c r="M2128" s="1">
        <v>19</v>
      </c>
      <c r="N2128" s="1">
        <v>1</v>
      </c>
      <c r="O2128" s="1">
        <v>1</v>
      </c>
      <c r="P2128" s="2">
        <v>1</v>
      </c>
      <c r="Q2128" s="68">
        <v>2</v>
      </c>
    </row>
    <row r="2129" spans="1:17" x14ac:dyDescent="0.25">
      <c r="A2129" s="10">
        <v>55</v>
      </c>
      <c r="B2129" s="10">
        <v>6</v>
      </c>
      <c r="C2129" s="10">
        <v>5</v>
      </c>
      <c r="D2129" s="10">
        <v>3</v>
      </c>
      <c r="E2129" s="10">
        <v>6</v>
      </c>
      <c r="F2129" s="10">
        <v>6</v>
      </c>
      <c r="L2129" s="1">
        <v>175</v>
      </c>
      <c r="M2129" s="1">
        <v>19</v>
      </c>
      <c r="N2129" s="1">
        <v>1</v>
      </c>
      <c r="O2129" s="1">
        <v>1</v>
      </c>
      <c r="P2129" s="2">
        <v>1</v>
      </c>
      <c r="Q2129" s="67">
        <v>0</v>
      </c>
    </row>
    <row r="2130" spans="1:17" x14ac:dyDescent="0.25">
      <c r="A2130" s="10">
        <v>29</v>
      </c>
      <c r="B2130" s="10">
        <v>4</v>
      </c>
      <c r="C2130" s="10">
        <v>8</v>
      </c>
      <c r="D2130" s="10">
        <v>1</v>
      </c>
      <c r="E2130" s="10">
        <v>26</v>
      </c>
      <c r="F2130" s="10">
        <v>26</v>
      </c>
      <c r="L2130" s="1">
        <v>176</v>
      </c>
      <c r="M2130" s="1">
        <v>19</v>
      </c>
      <c r="N2130" s="1">
        <v>1</v>
      </c>
      <c r="O2130" s="1">
        <v>1</v>
      </c>
      <c r="P2130" s="2">
        <v>1</v>
      </c>
      <c r="Q2130" s="68">
        <v>4</v>
      </c>
    </row>
    <row r="2131" spans="1:17" x14ac:dyDescent="0.25">
      <c r="A2131" s="10">
        <v>55</v>
      </c>
      <c r="B2131" s="10">
        <v>6</v>
      </c>
      <c r="C2131" s="10">
        <v>2</v>
      </c>
      <c r="D2131" s="10">
        <v>1</v>
      </c>
      <c r="E2131" s="10">
        <v>8</v>
      </c>
      <c r="F2131" s="10">
        <v>8</v>
      </c>
      <c r="L2131" s="1">
        <v>177</v>
      </c>
      <c r="M2131" s="1">
        <v>19</v>
      </c>
      <c r="N2131" s="1">
        <v>1</v>
      </c>
      <c r="O2131" s="1">
        <v>1</v>
      </c>
      <c r="P2131" s="2">
        <v>1</v>
      </c>
      <c r="Q2131" s="67">
        <v>2</v>
      </c>
    </row>
    <row r="2132" spans="1:17" x14ac:dyDescent="0.25">
      <c r="A2132" s="10">
        <v>55</v>
      </c>
      <c r="B2132" s="10">
        <v>6</v>
      </c>
      <c r="C2132" s="10">
        <v>2</v>
      </c>
      <c r="D2132" s="10">
        <v>2</v>
      </c>
      <c r="E2132" s="10">
        <v>15</v>
      </c>
      <c r="F2132" s="10">
        <v>15</v>
      </c>
      <c r="L2132" s="1">
        <v>178</v>
      </c>
      <c r="M2132" s="1">
        <v>19</v>
      </c>
      <c r="N2132" s="1">
        <v>1</v>
      </c>
      <c r="O2132" s="1">
        <v>1</v>
      </c>
      <c r="P2132" s="2">
        <v>1</v>
      </c>
      <c r="Q2132" s="68">
        <v>9</v>
      </c>
    </row>
    <row r="2133" spans="1:17" x14ac:dyDescent="0.25">
      <c r="A2133" s="10">
        <v>55</v>
      </c>
      <c r="B2133" s="10">
        <v>6</v>
      </c>
      <c r="C2133" s="10">
        <v>2</v>
      </c>
      <c r="D2133" s="10">
        <v>3</v>
      </c>
      <c r="E2133" s="10">
        <v>2</v>
      </c>
      <c r="F2133" s="10">
        <v>2</v>
      </c>
      <c r="L2133" s="1">
        <v>179</v>
      </c>
      <c r="M2133" s="1">
        <v>19</v>
      </c>
      <c r="N2133" s="1">
        <v>1</v>
      </c>
      <c r="O2133" s="1">
        <v>1</v>
      </c>
      <c r="P2133" s="2">
        <v>1</v>
      </c>
      <c r="Q2133" s="67">
        <v>15</v>
      </c>
    </row>
    <row r="2134" spans="1:17" x14ac:dyDescent="0.25">
      <c r="A2134" s="10">
        <v>55</v>
      </c>
      <c r="B2134" s="10">
        <v>6</v>
      </c>
      <c r="C2134" s="10">
        <v>6</v>
      </c>
      <c r="D2134" s="10">
        <v>1</v>
      </c>
      <c r="E2134" s="10">
        <v>10</v>
      </c>
      <c r="F2134" s="10">
        <v>10</v>
      </c>
      <c r="L2134" s="1">
        <v>180</v>
      </c>
      <c r="M2134" s="1">
        <v>19</v>
      </c>
      <c r="N2134" s="1">
        <v>1</v>
      </c>
      <c r="O2134" s="1">
        <v>1</v>
      </c>
      <c r="P2134" s="2">
        <v>1</v>
      </c>
      <c r="Q2134" s="68">
        <v>11</v>
      </c>
    </row>
    <row r="2135" spans="1:17" x14ac:dyDescent="0.25">
      <c r="A2135" s="10">
        <v>55</v>
      </c>
      <c r="B2135" s="10">
        <v>6</v>
      </c>
      <c r="C2135" s="10">
        <v>3</v>
      </c>
      <c r="D2135" s="10">
        <v>2</v>
      </c>
      <c r="E2135" s="10">
        <v>9</v>
      </c>
      <c r="F2135" s="10">
        <v>9</v>
      </c>
      <c r="L2135" s="1">
        <v>181</v>
      </c>
      <c r="M2135" s="1">
        <v>19</v>
      </c>
      <c r="N2135" s="1">
        <v>1</v>
      </c>
      <c r="O2135" s="1">
        <v>1</v>
      </c>
      <c r="P2135" s="2">
        <v>1</v>
      </c>
      <c r="Q2135" s="67">
        <v>3</v>
      </c>
    </row>
    <row r="2136" spans="1:17" x14ac:dyDescent="0.25">
      <c r="A2136" s="10">
        <v>55</v>
      </c>
      <c r="B2136" s="10">
        <v>6</v>
      </c>
      <c r="C2136" s="10">
        <v>3</v>
      </c>
      <c r="D2136" s="10">
        <v>3</v>
      </c>
      <c r="E2136" s="10">
        <v>10</v>
      </c>
      <c r="F2136" s="10">
        <v>10</v>
      </c>
      <c r="L2136" s="1">
        <v>182</v>
      </c>
      <c r="M2136" s="1">
        <v>19</v>
      </c>
      <c r="N2136" s="1">
        <v>1</v>
      </c>
      <c r="O2136" s="1">
        <v>1</v>
      </c>
      <c r="P2136" s="2">
        <v>1</v>
      </c>
      <c r="Q2136" s="68">
        <v>9</v>
      </c>
    </row>
    <row r="2137" spans="1:17" x14ac:dyDescent="0.25">
      <c r="A2137" s="10">
        <v>55</v>
      </c>
      <c r="B2137" s="10">
        <v>6</v>
      </c>
      <c r="C2137" s="10">
        <v>6</v>
      </c>
      <c r="D2137" s="10">
        <v>3</v>
      </c>
      <c r="E2137" s="10">
        <v>4</v>
      </c>
      <c r="F2137" s="10">
        <v>4</v>
      </c>
      <c r="L2137" s="1">
        <v>183</v>
      </c>
      <c r="M2137" s="1">
        <v>20</v>
      </c>
      <c r="N2137" s="1">
        <v>1</v>
      </c>
      <c r="O2137" s="1">
        <v>1</v>
      </c>
      <c r="P2137" s="2">
        <v>1</v>
      </c>
      <c r="Q2137" s="67">
        <v>8</v>
      </c>
    </row>
    <row r="2138" spans="1:17" x14ac:dyDescent="0.25">
      <c r="A2138" s="10">
        <v>29</v>
      </c>
      <c r="B2138" s="10">
        <v>4</v>
      </c>
      <c r="C2138" s="10">
        <v>7</v>
      </c>
      <c r="D2138" s="10">
        <v>2</v>
      </c>
      <c r="E2138" s="10">
        <v>30</v>
      </c>
      <c r="F2138" s="10">
        <v>30</v>
      </c>
      <c r="L2138" s="1">
        <v>184</v>
      </c>
      <c r="M2138" s="1">
        <v>20</v>
      </c>
      <c r="N2138" s="1">
        <v>1</v>
      </c>
      <c r="O2138" s="1">
        <v>1</v>
      </c>
      <c r="P2138" s="2">
        <v>1</v>
      </c>
      <c r="Q2138" s="68">
        <v>13</v>
      </c>
    </row>
    <row r="2139" spans="1:17" x14ac:dyDescent="0.25">
      <c r="A2139" s="10">
        <v>55</v>
      </c>
      <c r="B2139" s="10">
        <v>6</v>
      </c>
      <c r="C2139" s="10">
        <v>4</v>
      </c>
      <c r="D2139" s="10">
        <v>2</v>
      </c>
      <c r="E2139" s="10">
        <v>8</v>
      </c>
      <c r="F2139" s="10">
        <v>8</v>
      </c>
      <c r="L2139" s="1">
        <v>185</v>
      </c>
      <c r="M2139" s="1">
        <v>20</v>
      </c>
      <c r="N2139" s="1">
        <v>1</v>
      </c>
      <c r="O2139" s="1">
        <v>1</v>
      </c>
      <c r="P2139" s="2">
        <v>1</v>
      </c>
      <c r="Q2139" s="67">
        <v>5</v>
      </c>
    </row>
    <row r="2140" spans="1:17" x14ac:dyDescent="0.25">
      <c r="A2140" s="10">
        <v>55</v>
      </c>
      <c r="B2140" s="10">
        <v>6</v>
      </c>
      <c r="C2140" s="10">
        <v>4</v>
      </c>
      <c r="D2140" s="10">
        <v>3</v>
      </c>
      <c r="E2140" s="10">
        <v>7</v>
      </c>
      <c r="F2140" s="10">
        <v>7</v>
      </c>
      <c r="L2140" s="1">
        <v>186</v>
      </c>
      <c r="M2140" s="1">
        <v>20</v>
      </c>
      <c r="N2140" s="1">
        <v>1</v>
      </c>
      <c r="O2140" s="1">
        <v>1</v>
      </c>
      <c r="P2140" s="2">
        <v>1</v>
      </c>
      <c r="Q2140" s="68">
        <v>1</v>
      </c>
    </row>
    <row r="2141" spans="1:17" x14ac:dyDescent="0.25">
      <c r="A2141" s="10">
        <v>55</v>
      </c>
      <c r="B2141" s="10">
        <v>6</v>
      </c>
      <c r="C2141" s="10">
        <v>7</v>
      </c>
      <c r="D2141" s="10">
        <v>1</v>
      </c>
      <c r="E2141" s="10">
        <v>14</v>
      </c>
      <c r="F2141" s="10">
        <v>14</v>
      </c>
      <c r="L2141" s="1">
        <v>187</v>
      </c>
      <c r="M2141" s="1">
        <v>20</v>
      </c>
      <c r="N2141" s="1">
        <v>1</v>
      </c>
      <c r="O2141" s="1">
        <v>1</v>
      </c>
      <c r="P2141" s="2">
        <v>1</v>
      </c>
      <c r="Q2141" s="67">
        <v>1</v>
      </c>
    </row>
    <row r="2142" spans="1:17" x14ac:dyDescent="0.25">
      <c r="A2142" s="10">
        <v>55</v>
      </c>
      <c r="B2142" s="10">
        <v>6</v>
      </c>
      <c r="C2142" s="10">
        <v>7</v>
      </c>
      <c r="D2142" s="10">
        <v>2</v>
      </c>
      <c r="E2142" s="10">
        <v>6</v>
      </c>
      <c r="F2142" s="10">
        <v>6</v>
      </c>
      <c r="L2142" s="1">
        <v>188</v>
      </c>
      <c r="M2142" s="1">
        <v>20</v>
      </c>
      <c r="N2142" s="1">
        <v>1</v>
      </c>
      <c r="O2142" s="1">
        <v>1</v>
      </c>
      <c r="P2142" s="2">
        <v>1</v>
      </c>
      <c r="Q2142" s="68">
        <v>7</v>
      </c>
    </row>
    <row r="2143" spans="1:17" x14ac:dyDescent="0.25">
      <c r="A2143" s="10">
        <v>55</v>
      </c>
      <c r="B2143" s="10">
        <v>6</v>
      </c>
      <c r="C2143" s="10">
        <v>7</v>
      </c>
      <c r="D2143" s="10">
        <v>3</v>
      </c>
      <c r="E2143" s="10">
        <v>5</v>
      </c>
      <c r="F2143" s="10">
        <v>5</v>
      </c>
      <c r="L2143" s="1">
        <v>189</v>
      </c>
      <c r="M2143" s="1">
        <v>20</v>
      </c>
      <c r="N2143" s="1">
        <v>1</v>
      </c>
      <c r="O2143" s="1">
        <v>1</v>
      </c>
      <c r="P2143" s="2">
        <v>1</v>
      </c>
      <c r="Q2143" s="67">
        <v>1</v>
      </c>
    </row>
    <row r="2144" spans="1:17" x14ac:dyDescent="0.25">
      <c r="A2144" s="10">
        <v>55</v>
      </c>
      <c r="B2144" s="10">
        <v>6</v>
      </c>
      <c r="C2144" s="10">
        <v>7</v>
      </c>
      <c r="D2144" s="10">
        <v>4</v>
      </c>
      <c r="E2144" s="10">
        <v>1</v>
      </c>
      <c r="F2144" s="10">
        <v>1</v>
      </c>
      <c r="L2144" s="1">
        <v>190</v>
      </c>
      <c r="M2144" s="1">
        <v>20</v>
      </c>
      <c r="N2144" s="1">
        <v>1</v>
      </c>
      <c r="O2144" s="1">
        <v>1</v>
      </c>
      <c r="P2144" s="2">
        <v>1</v>
      </c>
      <c r="Q2144" s="68">
        <v>0</v>
      </c>
    </row>
    <row r="2145" spans="1:17" x14ac:dyDescent="0.25">
      <c r="A2145" s="10">
        <v>55</v>
      </c>
      <c r="B2145" s="10">
        <v>6</v>
      </c>
      <c r="C2145" s="10">
        <v>8</v>
      </c>
      <c r="D2145" s="10">
        <v>1</v>
      </c>
      <c r="E2145" s="10">
        <v>10</v>
      </c>
      <c r="F2145" s="10">
        <v>10</v>
      </c>
      <c r="L2145" s="1">
        <v>191</v>
      </c>
      <c r="M2145" s="1">
        <v>21</v>
      </c>
      <c r="N2145" s="1">
        <v>1</v>
      </c>
      <c r="O2145" s="1">
        <v>1</v>
      </c>
      <c r="P2145" s="2">
        <v>1</v>
      </c>
      <c r="Q2145" s="67">
        <v>21</v>
      </c>
    </row>
    <row r="2146" spans="1:17" x14ac:dyDescent="0.25">
      <c r="A2146" s="10">
        <v>55</v>
      </c>
      <c r="B2146" s="10">
        <v>6</v>
      </c>
      <c r="C2146" s="10">
        <v>8</v>
      </c>
      <c r="D2146" s="10">
        <v>2</v>
      </c>
      <c r="E2146" s="10">
        <v>7</v>
      </c>
      <c r="F2146" s="10">
        <v>7</v>
      </c>
      <c r="L2146" s="1">
        <v>192</v>
      </c>
      <c r="M2146" s="1">
        <v>21</v>
      </c>
      <c r="N2146" s="1">
        <v>1</v>
      </c>
      <c r="O2146" s="1">
        <v>1</v>
      </c>
      <c r="P2146" s="2">
        <v>1</v>
      </c>
      <c r="Q2146" s="68">
        <v>19</v>
      </c>
    </row>
    <row r="2147" spans="1:17" x14ac:dyDescent="0.25">
      <c r="A2147" s="10">
        <v>55</v>
      </c>
      <c r="B2147" s="10">
        <v>6</v>
      </c>
      <c r="C2147" s="10">
        <v>8</v>
      </c>
      <c r="D2147" s="10">
        <v>3</v>
      </c>
      <c r="E2147" s="10">
        <v>6</v>
      </c>
      <c r="F2147" s="10">
        <v>6</v>
      </c>
      <c r="L2147" s="1">
        <v>193</v>
      </c>
      <c r="M2147" s="1">
        <v>21</v>
      </c>
      <c r="N2147" s="1">
        <v>1</v>
      </c>
      <c r="O2147" s="1">
        <v>1</v>
      </c>
      <c r="P2147" s="2">
        <v>1</v>
      </c>
      <c r="Q2147" s="67">
        <v>11</v>
      </c>
    </row>
    <row r="2148" spans="1:17" x14ac:dyDescent="0.25">
      <c r="A2148" s="10">
        <v>270</v>
      </c>
      <c r="B2148" s="10">
        <v>29</v>
      </c>
      <c r="C2148" s="10">
        <v>8</v>
      </c>
      <c r="D2148" s="10">
        <v>1</v>
      </c>
      <c r="E2148" s="10">
        <v>5</v>
      </c>
      <c r="F2148" s="10">
        <v>5</v>
      </c>
      <c r="L2148" s="1">
        <v>194</v>
      </c>
      <c r="M2148" s="1">
        <v>21</v>
      </c>
      <c r="N2148" s="1">
        <v>1</v>
      </c>
      <c r="O2148" s="1">
        <v>1</v>
      </c>
      <c r="P2148" s="2">
        <v>1</v>
      </c>
      <c r="Q2148" s="68">
        <v>5</v>
      </c>
    </row>
    <row r="2149" spans="1:17" x14ac:dyDescent="0.25">
      <c r="A2149" s="10">
        <v>270</v>
      </c>
      <c r="B2149" s="10">
        <v>29</v>
      </c>
      <c r="C2149" s="10">
        <v>8</v>
      </c>
      <c r="D2149" s="10">
        <v>2</v>
      </c>
      <c r="E2149" s="10">
        <v>14</v>
      </c>
      <c r="F2149" s="10">
        <v>14</v>
      </c>
      <c r="L2149" s="1">
        <v>195</v>
      </c>
      <c r="M2149" s="1">
        <v>21</v>
      </c>
      <c r="N2149" s="1">
        <v>1</v>
      </c>
      <c r="O2149" s="1">
        <v>1</v>
      </c>
      <c r="P2149" s="2">
        <v>1</v>
      </c>
      <c r="Q2149" s="67">
        <v>9</v>
      </c>
    </row>
    <row r="2150" spans="1:17" x14ac:dyDescent="0.25">
      <c r="A2150" s="10">
        <v>270</v>
      </c>
      <c r="B2150" s="10">
        <v>29</v>
      </c>
      <c r="C2150" s="10">
        <v>8</v>
      </c>
      <c r="D2150" s="10">
        <v>3</v>
      </c>
      <c r="E2150" s="10">
        <v>1</v>
      </c>
      <c r="F2150" s="10">
        <v>1</v>
      </c>
      <c r="L2150" s="1">
        <v>196</v>
      </c>
      <c r="M2150" s="1">
        <v>21</v>
      </c>
      <c r="N2150" s="1">
        <v>1</v>
      </c>
      <c r="O2150" s="1">
        <v>1</v>
      </c>
      <c r="P2150" s="2">
        <v>1</v>
      </c>
      <c r="Q2150" s="68">
        <v>3</v>
      </c>
    </row>
    <row r="2151" spans="1:17" x14ac:dyDescent="0.25">
      <c r="A2151" s="10">
        <v>279</v>
      </c>
      <c r="B2151" s="10">
        <v>30</v>
      </c>
      <c r="C2151" s="10">
        <v>8</v>
      </c>
      <c r="D2151" s="10">
        <v>1</v>
      </c>
      <c r="E2151" s="10">
        <v>1</v>
      </c>
      <c r="F2151" s="10">
        <v>1</v>
      </c>
      <c r="L2151" s="1">
        <v>197</v>
      </c>
      <c r="M2151" s="1">
        <v>21</v>
      </c>
      <c r="N2151" s="1">
        <v>1</v>
      </c>
      <c r="O2151" s="1">
        <v>1</v>
      </c>
      <c r="P2151" s="2">
        <v>1</v>
      </c>
      <c r="Q2151" s="67">
        <v>8</v>
      </c>
    </row>
    <row r="2152" spans="1:17" x14ac:dyDescent="0.25">
      <c r="A2152" s="10">
        <v>279</v>
      </c>
      <c r="B2152" s="10">
        <v>30</v>
      </c>
      <c r="C2152" s="10">
        <v>8</v>
      </c>
      <c r="D2152" s="10">
        <v>2</v>
      </c>
      <c r="E2152" s="10">
        <v>13</v>
      </c>
      <c r="F2152" s="10">
        <v>13</v>
      </c>
      <c r="L2152" s="1">
        <v>198</v>
      </c>
      <c r="M2152" s="1">
        <v>21</v>
      </c>
      <c r="N2152" s="1">
        <v>1</v>
      </c>
      <c r="O2152" s="1">
        <v>1</v>
      </c>
      <c r="P2152" s="2">
        <v>1</v>
      </c>
      <c r="Q2152" s="68">
        <v>10</v>
      </c>
    </row>
    <row r="2153" spans="1:17" x14ac:dyDescent="0.25">
      <c r="A2153" s="10">
        <v>277</v>
      </c>
      <c r="B2153" s="10">
        <v>30</v>
      </c>
      <c r="C2153" s="10">
        <v>8</v>
      </c>
      <c r="D2153" s="10">
        <v>1</v>
      </c>
      <c r="E2153" s="10">
        <v>10</v>
      </c>
      <c r="F2153" s="10">
        <v>10</v>
      </c>
      <c r="L2153" s="1">
        <v>199</v>
      </c>
      <c r="M2153" s="1">
        <v>22</v>
      </c>
      <c r="N2153" s="1">
        <v>1</v>
      </c>
      <c r="O2153" s="1">
        <v>1</v>
      </c>
      <c r="P2153" s="2">
        <v>1</v>
      </c>
      <c r="Q2153" s="67">
        <v>11</v>
      </c>
    </row>
    <row r="2154" spans="1:17" x14ac:dyDescent="0.25">
      <c r="A2154" s="10">
        <v>277</v>
      </c>
      <c r="B2154" s="10">
        <v>30</v>
      </c>
      <c r="C2154" s="10">
        <v>8</v>
      </c>
      <c r="D2154" s="10">
        <v>2</v>
      </c>
      <c r="E2154" s="10">
        <v>6</v>
      </c>
      <c r="F2154" s="10">
        <v>6</v>
      </c>
      <c r="L2154" s="1">
        <v>200</v>
      </c>
      <c r="M2154" s="1">
        <v>22</v>
      </c>
      <c r="N2154" s="1">
        <v>1</v>
      </c>
      <c r="O2154" s="1">
        <v>1</v>
      </c>
      <c r="P2154" s="2">
        <v>1</v>
      </c>
      <c r="Q2154" s="68">
        <v>13</v>
      </c>
    </row>
    <row r="2155" spans="1:17" x14ac:dyDescent="0.25">
      <c r="A2155" s="10">
        <v>389</v>
      </c>
      <c r="B2155" s="10">
        <v>42</v>
      </c>
      <c r="C2155" s="10">
        <v>8</v>
      </c>
      <c r="D2155" s="10">
        <v>2</v>
      </c>
      <c r="E2155" s="10">
        <v>8</v>
      </c>
      <c r="F2155" s="10">
        <v>8</v>
      </c>
      <c r="L2155" s="1">
        <v>201</v>
      </c>
      <c r="M2155" s="1">
        <v>22</v>
      </c>
      <c r="N2155" s="1">
        <v>1</v>
      </c>
      <c r="O2155" s="1">
        <v>1</v>
      </c>
      <c r="P2155" s="2">
        <v>1</v>
      </c>
      <c r="Q2155" s="67">
        <v>9</v>
      </c>
    </row>
    <row r="2156" spans="1:17" x14ac:dyDescent="0.25">
      <c r="A2156" s="10">
        <v>119</v>
      </c>
      <c r="B2156" s="10">
        <v>13</v>
      </c>
      <c r="C2156" s="10">
        <v>8</v>
      </c>
      <c r="D2156" s="10">
        <v>1</v>
      </c>
      <c r="E2156" s="10">
        <v>0</v>
      </c>
      <c r="F2156" s="10">
        <v>0</v>
      </c>
      <c r="L2156" s="1">
        <v>202</v>
      </c>
      <c r="M2156" s="1">
        <v>22</v>
      </c>
      <c r="N2156" s="1">
        <v>1</v>
      </c>
      <c r="O2156" s="1">
        <v>1</v>
      </c>
      <c r="P2156" s="2">
        <v>1</v>
      </c>
      <c r="Q2156" s="68">
        <v>6</v>
      </c>
    </row>
    <row r="2157" spans="1:17" x14ac:dyDescent="0.25">
      <c r="A2157" s="10">
        <v>119</v>
      </c>
      <c r="B2157" s="10">
        <v>13</v>
      </c>
      <c r="C2157" s="10">
        <v>8</v>
      </c>
      <c r="D2157" s="10">
        <v>2</v>
      </c>
      <c r="E2157" s="10">
        <v>1</v>
      </c>
      <c r="F2157" s="10">
        <v>1</v>
      </c>
      <c r="L2157" s="1">
        <v>203</v>
      </c>
      <c r="M2157" s="1">
        <v>22</v>
      </c>
      <c r="N2157" s="1">
        <v>1</v>
      </c>
      <c r="O2157" s="1">
        <v>1</v>
      </c>
      <c r="P2157" s="2">
        <v>1</v>
      </c>
      <c r="Q2157" s="67">
        <v>3</v>
      </c>
    </row>
    <row r="2158" spans="1:17" x14ac:dyDescent="0.25">
      <c r="A2158" s="10">
        <v>418</v>
      </c>
      <c r="B2158" s="10">
        <v>45</v>
      </c>
      <c r="C2158" s="10">
        <v>8</v>
      </c>
      <c r="D2158" s="10">
        <v>1</v>
      </c>
      <c r="E2158" s="10">
        <v>10</v>
      </c>
      <c r="F2158" s="10">
        <v>10</v>
      </c>
      <c r="L2158" s="1">
        <v>204</v>
      </c>
      <c r="M2158" s="1">
        <v>22</v>
      </c>
      <c r="N2158" s="1">
        <v>1</v>
      </c>
      <c r="O2158" s="1">
        <v>1</v>
      </c>
      <c r="P2158" s="2">
        <v>1</v>
      </c>
      <c r="Q2158" s="68">
        <v>7</v>
      </c>
    </row>
    <row r="2159" spans="1:17" x14ac:dyDescent="0.25">
      <c r="A2159" s="10">
        <v>418</v>
      </c>
      <c r="B2159" s="10">
        <v>45</v>
      </c>
      <c r="C2159" s="10">
        <v>8</v>
      </c>
      <c r="D2159" s="10">
        <v>2</v>
      </c>
      <c r="E2159" s="10">
        <v>7</v>
      </c>
      <c r="F2159" s="10">
        <v>7</v>
      </c>
      <c r="L2159" s="1">
        <v>205</v>
      </c>
      <c r="M2159" s="1">
        <v>22</v>
      </c>
      <c r="N2159" s="1">
        <v>1</v>
      </c>
      <c r="O2159" s="1">
        <v>1</v>
      </c>
      <c r="P2159" s="2">
        <v>1</v>
      </c>
      <c r="Q2159" s="67">
        <v>7</v>
      </c>
    </row>
    <row r="2160" spans="1:17" x14ac:dyDescent="0.25">
      <c r="A2160" s="10">
        <v>115</v>
      </c>
      <c r="B2160" s="10">
        <v>13</v>
      </c>
      <c r="C2160" s="10">
        <v>8</v>
      </c>
      <c r="D2160" s="10">
        <v>1</v>
      </c>
      <c r="E2160" s="10">
        <v>7</v>
      </c>
      <c r="F2160" s="10">
        <v>7</v>
      </c>
      <c r="L2160" s="1">
        <v>206</v>
      </c>
      <c r="M2160" s="1">
        <v>22</v>
      </c>
      <c r="N2160" s="1">
        <v>1</v>
      </c>
      <c r="O2160" s="1">
        <v>1</v>
      </c>
      <c r="P2160" s="2">
        <v>1</v>
      </c>
      <c r="Q2160" s="68">
        <v>3</v>
      </c>
    </row>
    <row r="2161" spans="1:17" x14ac:dyDescent="0.25">
      <c r="A2161" s="10">
        <v>115</v>
      </c>
      <c r="B2161" s="10">
        <v>13</v>
      </c>
      <c r="C2161" s="10">
        <v>8</v>
      </c>
      <c r="D2161" s="10">
        <v>2</v>
      </c>
      <c r="E2161" s="10">
        <v>5</v>
      </c>
      <c r="F2161" s="10">
        <v>5</v>
      </c>
      <c r="L2161" s="1">
        <v>207</v>
      </c>
      <c r="M2161" s="1">
        <v>22</v>
      </c>
      <c r="N2161" s="1">
        <v>1</v>
      </c>
      <c r="O2161" s="1">
        <v>1</v>
      </c>
      <c r="P2161" s="2">
        <v>1</v>
      </c>
      <c r="Q2161" s="67">
        <v>4</v>
      </c>
    </row>
    <row r="2162" spans="1:17" x14ac:dyDescent="0.25">
      <c r="A2162" s="10">
        <v>115</v>
      </c>
      <c r="B2162" s="10">
        <v>13</v>
      </c>
      <c r="C2162" s="10">
        <v>8</v>
      </c>
      <c r="D2162" s="10">
        <v>5</v>
      </c>
      <c r="E2162" s="10">
        <v>2</v>
      </c>
      <c r="F2162" s="10">
        <v>2</v>
      </c>
      <c r="L2162" s="1">
        <v>208</v>
      </c>
      <c r="M2162" s="1">
        <v>22</v>
      </c>
      <c r="N2162" s="1">
        <v>1</v>
      </c>
      <c r="O2162" s="1">
        <v>1</v>
      </c>
      <c r="P2162" s="2">
        <v>1</v>
      </c>
      <c r="Q2162" s="68">
        <v>9</v>
      </c>
    </row>
    <row r="2163" spans="1:17" x14ac:dyDescent="0.25">
      <c r="A2163" s="10">
        <v>115</v>
      </c>
      <c r="B2163" s="10">
        <v>13</v>
      </c>
      <c r="C2163" s="10">
        <v>8</v>
      </c>
      <c r="D2163" s="10">
        <v>6</v>
      </c>
      <c r="E2163" s="10">
        <v>2</v>
      </c>
      <c r="F2163" s="10">
        <v>2</v>
      </c>
      <c r="L2163" s="1">
        <v>209</v>
      </c>
      <c r="M2163" s="1">
        <v>23</v>
      </c>
      <c r="N2163" s="1">
        <v>1</v>
      </c>
      <c r="O2163" s="1">
        <v>1</v>
      </c>
      <c r="P2163" s="2">
        <v>1</v>
      </c>
      <c r="Q2163" s="67">
        <v>21</v>
      </c>
    </row>
    <row r="2164" spans="1:17" x14ac:dyDescent="0.25">
      <c r="A2164" s="10">
        <v>115</v>
      </c>
      <c r="B2164" s="10">
        <v>13</v>
      </c>
      <c r="C2164" s="10">
        <v>8</v>
      </c>
      <c r="D2164" s="10">
        <v>7</v>
      </c>
      <c r="E2164" s="10">
        <v>1</v>
      </c>
      <c r="F2164" s="10">
        <v>1</v>
      </c>
      <c r="L2164" s="1">
        <v>210</v>
      </c>
      <c r="M2164" s="1">
        <v>23</v>
      </c>
      <c r="N2164" s="1">
        <v>1</v>
      </c>
      <c r="O2164" s="1">
        <v>1</v>
      </c>
      <c r="P2164" s="2">
        <v>1</v>
      </c>
      <c r="Q2164" s="68">
        <v>0</v>
      </c>
    </row>
    <row r="2165" spans="1:17" x14ac:dyDescent="0.25">
      <c r="A2165" s="10">
        <v>39</v>
      </c>
      <c r="B2165" s="10">
        <v>5</v>
      </c>
      <c r="C2165" s="10">
        <v>8</v>
      </c>
      <c r="D2165" s="10">
        <v>1</v>
      </c>
      <c r="E2165" s="10">
        <v>22</v>
      </c>
      <c r="F2165" s="10">
        <v>22</v>
      </c>
      <c r="L2165" s="1">
        <v>211</v>
      </c>
      <c r="M2165" s="1">
        <v>23</v>
      </c>
      <c r="N2165" s="1">
        <v>1</v>
      </c>
      <c r="O2165" s="1">
        <v>1</v>
      </c>
      <c r="P2165" s="2">
        <v>1</v>
      </c>
      <c r="Q2165" s="67">
        <v>2</v>
      </c>
    </row>
    <row r="2166" spans="1:17" x14ac:dyDescent="0.25">
      <c r="A2166" s="10">
        <v>39</v>
      </c>
      <c r="B2166" s="10">
        <v>5</v>
      </c>
      <c r="C2166" s="10">
        <v>8</v>
      </c>
      <c r="D2166" s="10">
        <v>2</v>
      </c>
      <c r="E2166" s="10">
        <v>6</v>
      </c>
      <c r="F2166" s="10">
        <v>6</v>
      </c>
      <c r="L2166" s="1">
        <v>212</v>
      </c>
      <c r="M2166" s="1">
        <v>23</v>
      </c>
      <c r="N2166" s="1">
        <v>1</v>
      </c>
      <c r="O2166" s="1">
        <v>1</v>
      </c>
      <c r="P2166" s="2">
        <v>1</v>
      </c>
      <c r="Q2166" s="68">
        <v>0</v>
      </c>
    </row>
    <row r="2167" spans="1:17" x14ac:dyDescent="0.25">
      <c r="A2167" s="10">
        <v>54</v>
      </c>
      <c r="B2167" s="10">
        <v>6</v>
      </c>
      <c r="C2167" s="10">
        <v>7</v>
      </c>
      <c r="D2167" s="10">
        <v>1</v>
      </c>
      <c r="E2167" s="10">
        <v>9</v>
      </c>
      <c r="F2167" s="10">
        <v>9</v>
      </c>
      <c r="L2167" s="1">
        <v>213</v>
      </c>
      <c r="M2167" s="1">
        <v>23</v>
      </c>
      <c r="N2167" s="1">
        <v>1</v>
      </c>
      <c r="O2167" s="1">
        <v>1</v>
      </c>
      <c r="P2167" s="2">
        <v>1</v>
      </c>
      <c r="Q2167" s="67">
        <v>1</v>
      </c>
    </row>
    <row r="2168" spans="1:17" x14ac:dyDescent="0.25">
      <c r="A2168" s="10">
        <v>54</v>
      </c>
      <c r="B2168" s="10">
        <v>6</v>
      </c>
      <c r="C2168" s="10">
        <v>7</v>
      </c>
      <c r="D2168" s="10">
        <v>2</v>
      </c>
      <c r="E2168" s="10">
        <v>12</v>
      </c>
      <c r="F2168" s="10">
        <v>12</v>
      </c>
      <c r="L2168" s="1">
        <v>214</v>
      </c>
      <c r="M2168" s="1">
        <v>23</v>
      </c>
      <c r="N2168" s="1">
        <v>1</v>
      </c>
      <c r="O2168" s="1">
        <v>1</v>
      </c>
      <c r="P2168" s="2">
        <v>1</v>
      </c>
      <c r="Q2168" s="68">
        <v>3</v>
      </c>
    </row>
    <row r="2169" spans="1:17" x14ac:dyDescent="0.25">
      <c r="A2169" s="10">
        <v>54</v>
      </c>
      <c r="B2169" s="10">
        <v>6</v>
      </c>
      <c r="C2169" s="10">
        <v>7</v>
      </c>
      <c r="D2169" s="10">
        <v>3</v>
      </c>
      <c r="E2169" s="10">
        <v>6</v>
      </c>
      <c r="F2169" s="10">
        <v>6</v>
      </c>
      <c r="L2169" s="1">
        <v>215</v>
      </c>
      <c r="M2169" s="1">
        <v>23</v>
      </c>
      <c r="N2169" s="1">
        <v>1</v>
      </c>
      <c r="O2169" s="1">
        <v>1</v>
      </c>
      <c r="P2169" s="2">
        <v>1</v>
      </c>
      <c r="Q2169" s="67">
        <v>6</v>
      </c>
    </row>
    <row r="2170" spans="1:17" x14ac:dyDescent="0.25">
      <c r="A2170" s="10">
        <v>54</v>
      </c>
      <c r="B2170" s="10">
        <v>6</v>
      </c>
      <c r="C2170" s="10">
        <v>8</v>
      </c>
      <c r="D2170" s="10">
        <v>1</v>
      </c>
      <c r="E2170" s="10">
        <v>12</v>
      </c>
      <c r="F2170" s="10">
        <v>12</v>
      </c>
      <c r="L2170" s="1">
        <v>216</v>
      </c>
      <c r="M2170" s="1">
        <v>23</v>
      </c>
      <c r="N2170" s="1">
        <v>1</v>
      </c>
      <c r="O2170" s="1">
        <v>1</v>
      </c>
      <c r="P2170" s="2">
        <v>1</v>
      </c>
      <c r="Q2170" s="68">
        <v>7</v>
      </c>
    </row>
    <row r="2171" spans="1:17" x14ac:dyDescent="0.25">
      <c r="A2171" s="10">
        <v>54</v>
      </c>
      <c r="B2171" s="10">
        <v>6</v>
      </c>
      <c r="C2171" s="10">
        <v>8</v>
      </c>
      <c r="D2171" s="10">
        <v>2</v>
      </c>
      <c r="E2171" s="10">
        <v>100</v>
      </c>
      <c r="F2171" s="10">
        <v>100</v>
      </c>
      <c r="L2171" s="1">
        <v>217</v>
      </c>
      <c r="M2171" s="1">
        <v>23</v>
      </c>
      <c r="N2171" s="1">
        <v>1</v>
      </c>
      <c r="O2171" s="1">
        <v>1</v>
      </c>
      <c r="P2171" s="2">
        <v>1</v>
      </c>
      <c r="Q2171" s="67">
        <v>2</v>
      </c>
    </row>
    <row r="2172" spans="1:17" x14ac:dyDescent="0.25">
      <c r="A2172" s="10">
        <v>54</v>
      </c>
      <c r="B2172" s="10">
        <v>6</v>
      </c>
      <c r="C2172" s="10">
        <v>8</v>
      </c>
      <c r="D2172" s="10">
        <v>3</v>
      </c>
      <c r="E2172" s="10">
        <v>4</v>
      </c>
      <c r="F2172" s="10">
        <v>4</v>
      </c>
      <c r="L2172" s="1">
        <v>218</v>
      </c>
      <c r="M2172" s="1">
        <v>23</v>
      </c>
      <c r="N2172" s="1">
        <v>1</v>
      </c>
      <c r="O2172" s="1">
        <v>1</v>
      </c>
      <c r="P2172" s="2">
        <v>1</v>
      </c>
      <c r="Q2172" s="68">
        <v>6</v>
      </c>
    </row>
    <row r="2173" spans="1:17" x14ac:dyDescent="0.25">
      <c r="A2173" s="10">
        <v>54</v>
      </c>
      <c r="B2173" s="10">
        <v>6</v>
      </c>
      <c r="C2173" s="10">
        <v>6</v>
      </c>
      <c r="D2173" s="10">
        <v>1</v>
      </c>
      <c r="E2173" s="10">
        <v>12</v>
      </c>
      <c r="F2173" s="10">
        <v>12</v>
      </c>
      <c r="L2173" s="1">
        <v>219</v>
      </c>
      <c r="M2173" s="1">
        <v>24</v>
      </c>
      <c r="N2173" s="1">
        <v>1</v>
      </c>
      <c r="O2173" s="1">
        <v>1</v>
      </c>
      <c r="P2173" s="2">
        <v>1</v>
      </c>
      <c r="Q2173" s="67">
        <v>2</v>
      </c>
    </row>
    <row r="2174" spans="1:17" x14ac:dyDescent="0.25">
      <c r="A2174" s="10">
        <v>54</v>
      </c>
      <c r="B2174" s="10">
        <v>6</v>
      </c>
      <c r="C2174" s="10">
        <v>6</v>
      </c>
      <c r="D2174" s="10">
        <v>2</v>
      </c>
      <c r="E2174" s="10">
        <v>11</v>
      </c>
      <c r="F2174" s="10">
        <v>11</v>
      </c>
      <c r="L2174" s="1">
        <v>220</v>
      </c>
      <c r="M2174" s="1">
        <v>24</v>
      </c>
      <c r="N2174" s="1">
        <v>1</v>
      </c>
      <c r="O2174" s="1">
        <v>1</v>
      </c>
      <c r="P2174" s="2">
        <v>1</v>
      </c>
      <c r="Q2174" s="68">
        <v>1</v>
      </c>
    </row>
    <row r="2175" spans="1:17" x14ac:dyDescent="0.25">
      <c r="A2175" s="10">
        <v>54</v>
      </c>
      <c r="B2175" s="10">
        <v>6</v>
      </c>
      <c r="C2175" s="10">
        <v>6</v>
      </c>
      <c r="D2175" s="10">
        <v>3</v>
      </c>
      <c r="E2175" s="10">
        <v>10</v>
      </c>
      <c r="F2175" s="10">
        <v>10</v>
      </c>
      <c r="L2175" s="1">
        <v>221</v>
      </c>
      <c r="M2175" s="1">
        <v>24</v>
      </c>
      <c r="N2175" s="1">
        <v>1</v>
      </c>
      <c r="O2175" s="1">
        <v>1</v>
      </c>
      <c r="P2175" s="2">
        <v>1</v>
      </c>
      <c r="Q2175" s="67">
        <v>4</v>
      </c>
    </row>
    <row r="2176" spans="1:17" x14ac:dyDescent="0.25">
      <c r="A2176" s="10">
        <v>54</v>
      </c>
      <c r="B2176" s="10">
        <v>6</v>
      </c>
      <c r="C2176" s="10">
        <v>5</v>
      </c>
      <c r="D2176" s="10">
        <v>1</v>
      </c>
      <c r="E2176" s="10">
        <v>16</v>
      </c>
      <c r="F2176" s="10">
        <v>16</v>
      </c>
      <c r="L2176" s="1">
        <v>222</v>
      </c>
      <c r="M2176" s="1">
        <v>24</v>
      </c>
      <c r="N2176" s="1">
        <v>1</v>
      </c>
      <c r="O2176" s="1">
        <v>1</v>
      </c>
      <c r="P2176" s="2">
        <v>1</v>
      </c>
      <c r="Q2176" s="68">
        <v>2</v>
      </c>
    </row>
    <row r="2177" spans="1:17" x14ac:dyDescent="0.25">
      <c r="A2177" s="10">
        <v>54</v>
      </c>
      <c r="B2177" s="10">
        <v>6</v>
      </c>
      <c r="C2177" s="10">
        <v>5</v>
      </c>
      <c r="D2177" s="10">
        <v>2</v>
      </c>
      <c r="E2177" s="10">
        <v>15</v>
      </c>
      <c r="F2177" s="10">
        <v>15</v>
      </c>
      <c r="L2177" s="1">
        <v>223</v>
      </c>
      <c r="M2177" s="1">
        <v>24</v>
      </c>
      <c r="N2177" s="1">
        <v>1</v>
      </c>
      <c r="O2177" s="1">
        <v>1</v>
      </c>
      <c r="P2177" s="2">
        <v>1</v>
      </c>
      <c r="Q2177" s="67">
        <v>0</v>
      </c>
    </row>
    <row r="2178" spans="1:17" x14ac:dyDescent="0.25">
      <c r="A2178" s="10">
        <v>54</v>
      </c>
      <c r="B2178" s="10">
        <v>6</v>
      </c>
      <c r="C2178" s="10">
        <v>5</v>
      </c>
      <c r="D2178" s="10">
        <v>3</v>
      </c>
      <c r="E2178" s="10">
        <v>4</v>
      </c>
      <c r="F2178" s="10">
        <v>4</v>
      </c>
      <c r="L2178" s="1">
        <v>224</v>
      </c>
      <c r="M2178" s="1">
        <v>24</v>
      </c>
      <c r="N2178" s="1">
        <v>1</v>
      </c>
      <c r="O2178" s="1">
        <v>1</v>
      </c>
      <c r="P2178" s="2">
        <v>1</v>
      </c>
      <c r="Q2178" s="68">
        <v>25</v>
      </c>
    </row>
    <row r="2179" spans="1:17" x14ac:dyDescent="0.25">
      <c r="A2179" s="10">
        <v>54</v>
      </c>
      <c r="B2179" s="10">
        <v>6</v>
      </c>
      <c r="C2179" s="10">
        <v>4</v>
      </c>
      <c r="D2179" s="10">
        <v>1</v>
      </c>
      <c r="E2179" s="10">
        <v>21</v>
      </c>
      <c r="F2179" s="10">
        <v>21</v>
      </c>
      <c r="L2179" s="1">
        <v>225</v>
      </c>
      <c r="M2179" s="1">
        <v>24</v>
      </c>
      <c r="N2179" s="1">
        <v>1</v>
      </c>
      <c r="O2179" s="1">
        <v>1</v>
      </c>
      <c r="P2179" s="2">
        <v>1</v>
      </c>
      <c r="Q2179" s="67">
        <v>19</v>
      </c>
    </row>
    <row r="2180" spans="1:17" x14ac:dyDescent="0.25">
      <c r="A2180" s="10">
        <v>54</v>
      </c>
      <c r="B2180" s="10">
        <v>6</v>
      </c>
      <c r="C2180" s="10">
        <v>4</v>
      </c>
      <c r="D2180" s="10">
        <v>2</v>
      </c>
      <c r="E2180" s="10">
        <v>8</v>
      </c>
      <c r="F2180" s="10">
        <v>8</v>
      </c>
      <c r="L2180" s="1">
        <v>226</v>
      </c>
      <c r="M2180" s="1">
        <v>24</v>
      </c>
      <c r="N2180" s="1">
        <v>1</v>
      </c>
      <c r="O2180" s="1">
        <v>1</v>
      </c>
      <c r="P2180" s="2">
        <v>1</v>
      </c>
      <c r="Q2180" s="68">
        <v>6</v>
      </c>
    </row>
    <row r="2181" spans="1:17" x14ac:dyDescent="0.25">
      <c r="A2181" s="10">
        <v>54</v>
      </c>
      <c r="B2181" s="10">
        <v>6</v>
      </c>
      <c r="C2181" s="10">
        <v>4</v>
      </c>
      <c r="D2181" s="10">
        <v>3</v>
      </c>
      <c r="E2181" s="10">
        <v>4</v>
      </c>
      <c r="F2181" s="10">
        <v>4</v>
      </c>
      <c r="L2181" s="1">
        <v>227</v>
      </c>
      <c r="M2181" s="1">
        <v>24</v>
      </c>
      <c r="N2181" s="1">
        <v>1</v>
      </c>
      <c r="O2181" s="1">
        <v>1</v>
      </c>
      <c r="P2181" s="2">
        <v>1</v>
      </c>
      <c r="Q2181" s="67">
        <v>8</v>
      </c>
    </row>
    <row r="2182" spans="1:17" x14ac:dyDescent="0.25">
      <c r="A2182" s="10">
        <v>54</v>
      </c>
      <c r="B2182" s="10">
        <v>6</v>
      </c>
      <c r="C2182" s="10">
        <v>2</v>
      </c>
      <c r="D2182" s="10">
        <v>1</v>
      </c>
      <c r="E2182" s="10">
        <v>4</v>
      </c>
      <c r="F2182" s="10">
        <v>4</v>
      </c>
      <c r="L2182" s="1">
        <v>228</v>
      </c>
      <c r="M2182" s="1">
        <v>24</v>
      </c>
      <c r="N2182" s="1">
        <v>1</v>
      </c>
      <c r="O2182" s="1">
        <v>1</v>
      </c>
      <c r="P2182" s="2">
        <v>1</v>
      </c>
      <c r="Q2182" s="68">
        <v>3</v>
      </c>
    </row>
    <row r="2183" spans="1:17" x14ac:dyDescent="0.25">
      <c r="A2183" s="10">
        <v>54</v>
      </c>
      <c r="B2183" s="10">
        <v>6</v>
      </c>
      <c r="C2183" s="10">
        <v>2</v>
      </c>
      <c r="D2183" s="10">
        <v>2</v>
      </c>
      <c r="E2183" s="10">
        <v>11</v>
      </c>
      <c r="F2183" s="10">
        <v>11</v>
      </c>
      <c r="L2183" s="1">
        <v>229</v>
      </c>
      <c r="M2183" s="1">
        <v>25</v>
      </c>
      <c r="N2183" s="1">
        <v>1</v>
      </c>
      <c r="O2183" s="1">
        <v>1</v>
      </c>
      <c r="P2183" s="2">
        <v>1</v>
      </c>
      <c r="Q2183" s="67">
        <v>1</v>
      </c>
    </row>
    <row r="2184" spans="1:17" x14ac:dyDescent="0.25">
      <c r="A2184" s="10">
        <v>54</v>
      </c>
      <c r="B2184" s="10">
        <v>6</v>
      </c>
      <c r="C2184" s="10">
        <v>3</v>
      </c>
      <c r="D2184" s="10">
        <v>1</v>
      </c>
      <c r="E2184" s="10">
        <v>16</v>
      </c>
      <c r="F2184" s="10">
        <v>16</v>
      </c>
      <c r="L2184" s="1">
        <v>230</v>
      </c>
      <c r="M2184" s="1">
        <v>25</v>
      </c>
      <c r="N2184" s="1">
        <v>1</v>
      </c>
      <c r="O2184" s="1">
        <v>1</v>
      </c>
      <c r="P2184" s="2">
        <v>1</v>
      </c>
      <c r="Q2184" s="68">
        <v>1</v>
      </c>
    </row>
    <row r="2185" spans="1:17" x14ac:dyDescent="0.25">
      <c r="A2185" s="10">
        <v>54</v>
      </c>
      <c r="B2185" s="10">
        <v>6</v>
      </c>
      <c r="C2185" s="10">
        <v>2</v>
      </c>
      <c r="D2185" s="10">
        <v>3</v>
      </c>
      <c r="E2185" s="10">
        <v>5</v>
      </c>
      <c r="F2185" s="10">
        <v>5</v>
      </c>
      <c r="L2185" s="1">
        <v>231</v>
      </c>
      <c r="M2185" s="1">
        <v>25</v>
      </c>
      <c r="N2185" s="1">
        <v>1</v>
      </c>
      <c r="O2185" s="1">
        <v>1</v>
      </c>
      <c r="P2185" s="2">
        <v>1</v>
      </c>
      <c r="Q2185" s="67">
        <v>1</v>
      </c>
    </row>
    <row r="2186" spans="1:17" x14ac:dyDescent="0.25">
      <c r="A2186" s="10">
        <v>54</v>
      </c>
      <c r="B2186" s="10">
        <v>6</v>
      </c>
      <c r="C2186" s="10">
        <v>2</v>
      </c>
      <c r="D2186" s="10">
        <v>4</v>
      </c>
      <c r="E2186" s="10">
        <v>1</v>
      </c>
      <c r="F2186" s="10">
        <v>1</v>
      </c>
      <c r="L2186" s="1">
        <v>232</v>
      </c>
      <c r="M2186" s="1">
        <v>25</v>
      </c>
      <c r="N2186" s="1">
        <v>1</v>
      </c>
      <c r="O2186" s="1">
        <v>1</v>
      </c>
      <c r="P2186" s="2">
        <v>1</v>
      </c>
      <c r="Q2186" s="68">
        <v>14</v>
      </c>
    </row>
    <row r="2187" spans="1:17" x14ac:dyDescent="0.25">
      <c r="A2187" s="10">
        <v>54</v>
      </c>
      <c r="B2187" s="10">
        <v>6</v>
      </c>
      <c r="C2187" s="10">
        <v>1</v>
      </c>
      <c r="D2187" s="10">
        <v>1</v>
      </c>
      <c r="E2187" s="10">
        <v>3</v>
      </c>
      <c r="F2187" s="10">
        <v>3</v>
      </c>
      <c r="L2187" s="1">
        <v>233</v>
      </c>
      <c r="M2187" s="1">
        <v>25</v>
      </c>
      <c r="N2187" s="1">
        <v>1</v>
      </c>
      <c r="O2187" s="1">
        <v>1</v>
      </c>
      <c r="P2187" s="2">
        <v>1</v>
      </c>
      <c r="Q2187" s="67">
        <v>4</v>
      </c>
    </row>
    <row r="2188" spans="1:17" x14ac:dyDescent="0.25">
      <c r="A2188" s="10">
        <v>54</v>
      </c>
      <c r="B2188" s="10">
        <v>6</v>
      </c>
      <c r="C2188" s="10">
        <v>1</v>
      </c>
      <c r="D2188" s="10">
        <v>2</v>
      </c>
      <c r="E2188" s="10">
        <v>14</v>
      </c>
      <c r="F2188" s="10">
        <v>14</v>
      </c>
      <c r="L2188" s="1">
        <v>234</v>
      </c>
      <c r="M2188" s="1">
        <v>25</v>
      </c>
      <c r="N2188" s="1">
        <v>1</v>
      </c>
      <c r="O2188" s="1">
        <v>1</v>
      </c>
      <c r="P2188" s="2">
        <v>1</v>
      </c>
      <c r="Q2188" s="68">
        <v>4</v>
      </c>
    </row>
    <row r="2189" spans="1:17" x14ac:dyDescent="0.25">
      <c r="A2189" s="10">
        <v>54</v>
      </c>
      <c r="B2189" s="10">
        <v>6</v>
      </c>
      <c r="C2189" s="10">
        <v>1</v>
      </c>
      <c r="D2189" s="10">
        <v>3</v>
      </c>
      <c r="E2189" s="10">
        <v>2</v>
      </c>
      <c r="F2189" s="10">
        <v>2</v>
      </c>
      <c r="L2189" s="1">
        <v>235</v>
      </c>
      <c r="M2189" s="1">
        <v>25</v>
      </c>
      <c r="N2189" s="1">
        <v>1</v>
      </c>
      <c r="O2189" s="1">
        <v>1</v>
      </c>
      <c r="P2189" s="2">
        <v>1</v>
      </c>
      <c r="Q2189" s="67">
        <v>6</v>
      </c>
    </row>
    <row r="2190" spans="1:17" x14ac:dyDescent="0.25">
      <c r="A2190" s="10">
        <v>54</v>
      </c>
      <c r="B2190" s="10">
        <v>6</v>
      </c>
      <c r="C2190" s="10">
        <v>1</v>
      </c>
      <c r="D2190" s="10">
        <v>4</v>
      </c>
      <c r="E2190" s="10">
        <v>1</v>
      </c>
      <c r="F2190" s="10">
        <v>1</v>
      </c>
      <c r="L2190" s="1">
        <v>236</v>
      </c>
      <c r="M2190" s="1">
        <v>25</v>
      </c>
      <c r="N2190" s="1">
        <v>1</v>
      </c>
      <c r="O2190" s="1">
        <v>1</v>
      </c>
      <c r="P2190" s="2">
        <v>1</v>
      </c>
      <c r="Q2190" s="68">
        <v>9</v>
      </c>
    </row>
    <row r="2191" spans="1:17" x14ac:dyDescent="0.25">
      <c r="A2191" s="10">
        <v>252</v>
      </c>
      <c r="B2191" s="10">
        <v>27</v>
      </c>
      <c r="C2191" s="10">
        <v>8</v>
      </c>
      <c r="D2191" s="10">
        <v>1</v>
      </c>
      <c r="E2191" s="10">
        <v>14</v>
      </c>
      <c r="F2191" s="10">
        <v>14</v>
      </c>
      <c r="L2191" s="1">
        <v>237</v>
      </c>
      <c r="M2191" s="1">
        <v>26</v>
      </c>
      <c r="N2191" s="1">
        <v>1</v>
      </c>
      <c r="O2191" s="1">
        <v>1</v>
      </c>
      <c r="P2191" s="2">
        <v>1</v>
      </c>
      <c r="Q2191" s="67">
        <v>6</v>
      </c>
    </row>
    <row r="2192" spans="1:17" x14ac:dyDescent="0.25">
      <c r="A2192" s="10">
        <v>252</v>
      </c>
      <c r="B2192" s="10">
        <v>27</v>
      </c>
      <c r="C2192" s="10">
        <v>8</v>
      </c>
      <c r="D2192" s="10">
        <v>2</v>
      </c>
      <c r="E2192" s="10">
        <v>11</v>
      </c>
      <c r="F2192" s="10">
        <v>11</v>
      </c>
      <c r="L2192" s="1">
        <v>238</v>
      </c>
      <c r="M2192" s="1">
        <v>26</v>
      </c>
      <c r="N2192" s="1">
        <v>1</v>
      </c>
      <c r="O2192" s="1">
        <v>1</v>
      </c>
      <c r="P2192" s="2">
        <v>1</v>
      </c>
      <c r="Q2192" s="68">
        <v>8</v>
      </c>
    </row>
    <row r="2193" spans="1:17" x14ac:dyDescent="0.25">
      <c r="A2193" s="10">
        <v>252</v>
      </c>
      <c r="B2193" s="10">
        <v>27</v>
      </c>
      <c r="C2193" s="10">
        <v>8</v>
      </c>
      <c r="D2193" s="10">
        <v>3</v>
      </c>
      <c r="E2193" s="10">
        <v>0</v>
      </c>
      <c r="F2193" s="10">
        <v>0</v>
      </c>
      <c r="L2193" s="1">
        <v>239</v>
      </c>
      <c r="M2193" s="1">
        <v>26</v>
      </c>
      <c r="N2193" s="1">
        <v>1</v>
      </c>
      <c r="O2193" s="1">
        <v>1</v>
      </c>
      <c r="P2193" s="2">
        <v>1</v>
      </c>
      <c r="Q2193" s="67">
        <v>1</v>
      </c>
    </row>
    <row r="2194" spans="1:17" x14ac:dyDescent="0.25">
      <c r="A2194" s="10">
        <v>47</v>
      </c>
      <c r="B2194" s="10">
        <v>6</v>
      </c>
      <c r="C2194" s="10">
        <v>9</v>
      </c>
      <c r="D2194" s="10">
        <v>1</v>
      </c>
      <c r="E2194" s="10">
        <v>17</v>
      </c>
      <c r="F2194" s="10">
        <v>17</v>
      </c>
      <c r="L2194" s="1">
        <v>240</v>
      </c>
      <c r="M2194" s="1">
        <v>26</v>
      </c>
      <c r="N2194" s="1">
        <v>1</v>
      </c>
      <c r="O2194" s="1">
        <v>1</v>
      </c>
      <c r="P2194" s="2">
        <v>1</v>
      </c>
      <c r="Q2194" s="68">
        <v>14</v>
      </c>
    </row>
    <row r="2195" spans="1:17" x14ac:dyDescent="0.25">
      <c r="A2195" s="10">
        <v>47</v>
      </c>
      <c r="B2195" s="10">
        <v>6</v>
      </c>
      <c r="C2195" s="10">
        <v>9</v>
      </c>
      <c r="D2195" s="10">
        <v>2</v>
      </c>
      <c r="E2195" s="10">
        <v>10</v>
      </c>
      <c r="F2195" s="10">
        <v>10</v>
      </c>
      <c r="L2195" s="1">
        <v>241</v>
      </c>
      <c r="M2195" s="1">
        <v>26</v>
      </c>
      <c r="N2195" s="1">
        <v>1</v>
      </c>
      <c r="O2195" s="1">
        <v>1</v>
      </c>
      <c r="P2195" s="2">
        <v>1</v>
      </c>
      <c r="Q2195" s="67">
        <v>5</v>
      </c>
    </row>
    <row r="2196" spans="1:17" x14ac:dyDescent="0.25">
      <c r="A2196" s="10">
        <v>47</v>
      </c>
      <c r="B2196" s="10">
        <v>6</v>
      </c>
      <c r="C2196" s="10">
        <v>9</v>
      </c>
      <c r="D2196" s="10">
        <v>3</v>
      </c>
      <c r="E2196" s="10">
        <v>9</v>
      </c>
      <c r="F2196" s="10">
        <v>9</v>
      </c>
      <c r="L2196" s="1">
        <v>242</v>
      </c>
      <c r="M2196" s="1">
        <v>26</v>
      </c>
      <c r="N2196" s="1">
        <v>1</v>
      </c>
      <c r="O2196" s="1">
        <v>1</v>
      </c>
      <c r="P2196" s="2">
        <v>1</v>
      </c>
      <c r="Q2196" s="68">
        <v>16</v>
      </c>
    </row>
    <row r="2197" spans="1:17" x14ac:dyDescent="0.25">
      <c r="A2197" s="10">
        <v>47</v>
      </c>
      <c r="B2197" s="10">
        <v>6</v>
      </c>
      <c r="C2197" s="10">
        <v>9</v>
      </c>
      <c r="D2197" s="10">
        <v>4</v>
      </c>
      <c r="E2197" s="10">
        <v>1</v>
      </c>
      <c r="F2197" s="10">
        <v>1</v>
      </c>
      <c r="L2197" s="1">
        <v>243</v>
      </c>
      <c r="M2197" s="1">
        <v>26</v>
      </c>
      <c r="N2197" s="1">
        <v>1</v>
      </c>
      <c r="O2197" s="1">
        <v>1</v>
      </c>
      <c r="P2197" s="2">
        <v>1</v>
      </c>
      <c r="Q2197" s="67">
        <v>8</v>
      </c>
    </row>
    <row r="2198" spans="1:17" x14ac:dyDescent="0.25">
      <c r="A2198" s="10">
        <v>47</v>
      </c>
      <c r="B2198" s="10">
        <v>6</v>
      </c>
      <c r="C2198" s="10">
        <v>4</v>
      </c>
      <c r="D2198" s="10">
        <v>1</v>
      </c>
      <c r="E2198" s="10">
        <v>13</v>
      </c>
      <c r="F2198" s="10">
        <v>13</v>
      </c>
      <c r="L2198" s="1">
        <v>244</v>
      </c>
      <c r="M2198" s="1">
        <v>26</v>
      </c>
      <c r="N2198" s="1">
        <v>1</v>
      </c>
      <c r="O2198" s="1">
        <v>1</v>
      </c>
      <c r="P2198" s="2">
        <v>1</v>
      </c>
      <c r="Q2198" s="68">
        <v>11</v>
      </c>
    </row>
    <row r="2199" spans="1:17" x14ac:dyDescent="0.25">
      <c r="A2199" s="10">
        <v>47</v>
      </c>
      <c r="B2199" s="10">
        <v>6</v>
      </c>
      <c r="C2199" s="10">
        <v>4</v>
      </c>
      <c r="D2199" s="10">
        <v>2</v>
      </c>
      <c r="E2199" s="10">
        <v>7</v>
      </c>
      <c r="F2199" s="10">
        <v>7</v>
      </c>
      <c r="L2199" s="1">
        <v>245</v>
      </c>
      <c r="M2199" s="1">
        <v>26</v>
      </c>
      <c r="N2199" s="1">
        <v>1</v>
      </c>
      <c r="O2199" s="1">
        <v>1</v>
      </c>
      <c r="P2199" s="2">
        <v>1</v>
      </c>
      <c r="Q2199" s="67">
        <v>7</v>
      </c>
    </row>
    <row r="2200" spans="1:17" x14ac:dyDescent="0.25">
      <c r="A2200" s="10">
        <v>47</v>
      </c>
      <c r="B2200" s="10">
        <v>6</v>
      </c>
      <c r="C2200" s="10">
        <v>4</v>
      </c>
      <c r="D2200" s="10">
        <v>3</v>
      </c>
      <c r="E2200" s="10">
        <v>9</v>
      </c>
      <c r="F2200" s="10">
        <v>9</v>
      </c>
      <c r="L2200" s="1">
        <v>246</v>
      </c>
      <c r="M2200" s="1">
        <v>26</v>
      </c>
      <c r="N2200" s="1">
        <v>1</v>
      </c>
      <c r="O2200" s="1">
        <v>1</v>
      </c>
      <c r="P2200" s="2">
        <v>1</v>
      </c>
      <c r="Q2200" s="68">
        <v>15</v>
      </c>
    </row>
    <row r="2201" spans="1:17" x14ac:dyDescent="0.25">
      <c r="A2201" s="10">
        <v>47</v>
      </c>
      <c r="B2201" s="10">
        <v>6</v>
      </c>
      <c r="C2201" s="10">
        <v>1</v>
      </c>
      <c r="D2201" s="10">
        <v>3</v>
      </c>
      <c r="E2201" s="10">
        <v>15</v>
      </c>
      <c r="F2201" s="10">
        <v>15</v>
      </c>
      <c r="L2201" s="1">
        <v>247</v>
      </c>
      <c r="M2201" s="1">
        <v>27</v>
      </c>
      <c r="N2201" s="1">
        <v>1</v>
      </c>
      <c r="O2201" s="1">
        <v>1</v>
      </c>
      <c r="P2201" s="2">
        <v>1</v>
      </c>
      <c r="Q2201" s="67">
        <v>14</v>
      </c>
    </row>
    <row r="2202" spans="1:17" x14ac:dyDescent="0.25">
      <c r="A2202" s="10">
        <v>47</v>
      </c>
      <c r="B2202" s="10">
        <v>6</v>
      </c>
      <c r="C2202" s="10">
        <v>5</v>
      </c>
      <c r="D2202" s="10">
        <v>1</v>
      </c>
      <c r="E2202" s="10">
        <v>8</v>
      </c>
      <c r="F2202" s="10">
        <v>8</v>
      </c>
      <c r="L2202" s="1">
        <v>248</v>
      </c>
      <c r="M2202" s="1">
        <v>27</v>
      </c>
      <c r="N2202" s="1">
        <v>1</v>
      </c>
      <c r="O2202" s="1">
        <v>1</v>
      </c>
      <c r="P2202" s="2">
        <v>1</v>
      </c>
      <c r="Q2202" s="68">
        <v>13</v>
      </c>
    </row>
    <row r="2203" spans="1:17" x14ac:dyDescent="0.25">
      <c r="A2203" s="10">
        <v>47</v>
      </c>
      <c r="B2203" s="10">
        <v>6</v>
      </c>
      <c r="C2203" s="10">
        <v>5</v>
      </c>
      <c r="D2203" s="10">
        <v>2</v>
      </c>
      <c r="E2203" s="10">
        <v>7</v>
      </c>
      <c r="F2203" s="10">
        <v>7</v>
      </c>
      <c r="L2203" s="1">
        <v>249</v>
      </c>
      <c r="M2203" s="1">
        <v>27</v>
      </c>
      <c r="N2203" s="1">
        <v>1</v>
      </c>
      <c r="O2203" s="1">
        <v>1</v>
      </c>
      <c r="P2203" s="2">
        <v>1</v>
      </c>
      <c r="Q2203" s="67">
        <v>7</v>
      </c>
    </row>
    <row r="2204" spans="1:17" x14ac:dyDescent="0.25">
      <c r="A2204" s="10">
        <v>47</v>
      </c>
      <c r="B2204" s="10">
        <v>6</v>
      </c>
      <c r="C2204" s="10">
        <v>5</v>
      </c>
      <c r="D2204" s="10">
        <v>3</v>
      </c>
      <c r="E2204" s="10">
        <v>10</v>
      </c>
      <c r="F2204" s="10">
        <v>10</v>
      </c>
      <c r="L2204" s="1">
        <v>250</v>
      </c>
      <c r="M2204" s="1">
        <v>27</v>
      </c>
      <c r="N2204" s="1">
        <v>1</v>
      </c>
      <c r="O2204" s="1">
        <v>1</v>
      </c>
      <c r="P2204" s="2">
        <v>1</v>
      </c>
      <c r="Q2204" s="68">
        <v>13</v>
      </c>
    </row>
    <row r="2205" spans="1:17" x14ac:dyDescent="0.25">
      <c r="A2205" s="10">
        <v>47</v>
      </c>
      <c r="B2205" s="10">
        <v>6</v>
      </c>
      <c r="C2205" s="10">
        <v>2</v>
      </c>
      <c r="D2205" s="10">
        <v>1</v>
      </c>
      <c r="E2205" s="10">
        <v>7</v>
      </c>
      <c r="F2205" s="10">
        <v>7</v>
      </c>
      <c r="L2205" s="1">
        <v>251</v>
      </c>
      <c r="M2205" s="1">
        <v>27</v>
      </c>
      <c r="N2205" s="1">
        <v>1</v>
      </c>
      <c r="O2205" s="1">
        <v>1</v>
      </c>
      <c r="P2205" s="2">
        <v>1</v>
      </c>
      <c r="Q2205" s="67">
        <v>16</v>
      </c>
    </row>
    <row r="2206" spans="1:17" x14ac:dyDescent="0.25">
      <c r="A2206" s="10">
        <v>47</v>
      </c>
      <c r="B2206" s="10">
        <v>6</v>
      </c>
      <c r="C2206" s="10">
        <v>2</v>
      </c>
      <c r="D2206" s="10">
        <v>2</v>
      </c>
      <c r="E2206" s="10">
        <v>10</v>
      </c>
      <c r="F2206" s="10">
        <v>10</v>
      </c>
      <c r="L2206" s="1">
        <v>252</v>
      </c>
      <c r="M2206" s="1">
        <v>27</v>
      </c>
      <c r="N2206" s="1">
        <v>1</v>
      </c>
      <c r="O2206" s="1">
        <v>1</v>
      </c>
      <c r="P2206" s="2">
        <v>1</v>
      </c>
      <c r="Q2206" s="68">
        <v>15</v>
      </c>
    </row>
    <row r="2207" spans="1:17" x14ac:dyDescent="0.25">
      <c r="A2207" s="10">
        <v>47</v>
      </c>
      <c r="B2207" s="10">
        <v>6</v>
      </c>
      <c r="C2207" s="10">
        <v>2</v>
      </c>
      <c r="D2207" s="10">
        <v>3</v>
      </c>
      <c r="E2207" s="10">
        <v>16</v>
      </c>
      <c r="F2207" s="10">
        <v>16</v>
      </c>
      <c r="L2207" s="1">
        <v>253</v>
      </c>
      <c r="M2207" s="1">
        <v>27</v>
      </c>
      <c r="N2207" s="1">
        <v>1</v>
      </c>
      <c r="O2207" s="1">
        <v>1</v>
      </c>
      <c r="P2207" s="2">
        <v>1</v>
      </c>
      <c r="Q2207" s="67">
        <v>4</v>
      </c>
    </row>
    <row r="2208" spans="1:17" x14ac:dyDescent="0.25">
      <c r="A2208" s="10">
        <v>405</v>
      </c>
      <c r="B2208" s="10">
        <v>44</v>
      </c>
      <c r="C2208" s="10">
        <v>8</v>
      </c>
      <c r="D2208" s="10">
        <v>1</v>
      </c>
      <c r="E2208" s="10">
        <v>49</v>
      </c>
      <c r="F2208" s="10">
        <v>49</v>
      </c>
      <c r="L2208" s="1">
        <v>254</v>
      </c>
      <c r="M2208" s="1">
        <v>27</v>
      </c>
      <c r="N2208" s="1">
        <v>1</v>
      </c>
      <c r="O2208" s="1">
        <v>1</v>
      </c>
      <c r="P2208" s="2">
        <v>1</v>
      </c>
      <c r="Q2208" s="68">
        <v>10</v>
      </c>
    </row>
    <row r="2209" spans="1:17" x14ac:dyDescent="0.25">
      <c r="A2209" s="10">
        <v>169</v>
      </c>
      <c r="B2209" s="10">
        <v>18</v>
      </c>
      <c r="C2209" s="10">
        <v>9</v>
      </c>
      <c r="D2209" s="10">
        <v>1</v>
      </c>
      <c r="E2209" s="10">
        <v>4</v>
      </c>
      <c r="F2209" s="10">
        <v>4</v>
      </c>
      <c r="L2209" s="1">
        <v>255</v>
      </c>
      <c r="M2209" s="1">
        <v>28</v>
      </c>
      <c r="N2209" s="1">
        <v>1</v>
      </c>
      <c r="O2209" s="1">
        <v>1</v>
      </c>
      <c r="P2209" s="2">
        <v>1</v>
      </c>
      <c r="Q2209" s="67">
        <v>13</v>
      </c>
    </row>
    <row r="2210" spans="1:17" x14ac:dyDescent="0.25">
      <c r="A2210" s="10">
        <v>169</v>
      </c>
      <c r="B2210" s="10">
        <v>18</v>
      </c>
      <c r="C2210" s="10">
        <v>9</v>
      </c>
      <c r="D2210" s="10">
        <v>2</v>
      </c>
      <c r="E2210" s="10">
        <v>16</v>
      </c>
      <c r="F2210" s="10">
        <v>16</v>
      </c>
      <c r="L2210" s="1">
        <v>256</v>
      </c>
      <c r="M2210" s="1">
        <v>28</v>
      </c>
      <c r="N2210" s="1">
        <v>1</v>
      </c>
      <c r="O2210" s="1">
        <v>1</v>
      </c>
      <c r="P2210" s="2">
        <v>1</v>
      </c>
      <c r="Q2210" s="68">
        <v>20</v>
      </c>
    </row>
    <row r="2211" spans="1:17" x14ac:dyDescent="0.25">
      <c r="A2211" s="10">
        <v>405</v>
      </c>
      <c r="B2211" s="10">
        <v>44</v>
      </c>
      <c r="C2211" s="10">
        <v>7</v>
      </c>
      <c r="D2211" s="10">
        <v>1</v>
      </c>
      <c r="E2211" s="10">
        <v>22</v>
      </c>
      <c r="F2211" s="10">
        <v>22</v>
      </c>
      <c r="L2211" s="1">
        <v>257</v>
      </c>
      <c r="M2211" s="1">
        <v>28</v>
      </c>
      <c r="N2211" s="1">
        <v>1</v>
      </c>
      <c r="O2211" s="1">
        <v>1</v>
      </c>
      <c r="P2211" s="2">
        <v>1</v>
      </c>
      <c r="Q2211" s="67">
        <v>17</v>
      </c>
    </row>
    <row r="2212" spans="1:17" x14ac:dyDescent="0.25">
      <c r="A2212" s="10">
        <v>47</v>
      </c>
      <c r="B2212" s="10">
        <v>6</v>
      </c>
      <c r="C2212" s="10">
        <v>6</v>
      </c>
      <c r="D2212" s="10">
        <v>1</v>
      </c>
      <c r="E2212" s="10">
        <v>10</v>
      </c>
      <c r="F2212" s="10">
        <v>10</v>
      </c>
      <c r="L2212" s="1">
        <v>258</v>
      </c>
      <c r="M2212" s="1">
        <v>28</v>
      </c>
      <c r="N2212" s="1">
        <v>1</v>
      </c>
      <c r="O2212" s="1">
        <v>1</v>
      </c>
      <c r="P2212" s="2">
        <v>1</v>
      </c>
      <c r="Q2212" s="68">
        <v>18</v>
      </c>
    </row>
    <row r="2213" spans="1:17" x14ac:dyDescent="0.25">
      <c r="A2213" s="10">
        <v>47</v>
      </c>
      <c r="B2213" s="10">
        <v>6</v>
      </c>
      <c r="C2213" s="10">
        <v>6</v>
      </c>
      <c r="D2213" s="10">
        <v>2</v>
      </c>
      <c r="E2213" s="10">
        <v>9</v>
      </c>
      <c r="F2213" s="10">
        <v>9</v>
      </c>
      <c r="L2213" s="1">
        <v>259</v>
      </c>
      <c r="M2213" s="1">
        <v>28</v>
      </c>
      <c r="N2213" s="1">
        <v>1</v>
      </c>
      <c r="O2213" s="1">
        <v>1</v>
      </c>
      <c r="P2213" s="2">
        <v>1</v>
      </c>
      <c r="Q2213" s="67">
        <v>14</v>
      </c>
    </row>
    <row r="2214" spans="1:17" x14ac:dyDescent="0.25">
      <c r="A2214" s="10">
        <v>47</v>
      </c>
      <c r="B2214" s="10">
        <v>6</v>
      </c>
      <c r="C2214" s="10">
        <v>6</v>
      </c>
      <c r="D2214" s="10">
        <v>3</v>
      </c>
      <c r="E2214" s="10">
        <v>6</v>
      </c>
      <c r="F2214" s="10">
        <v>6</v>
      </c>
      <c r="L2214" s="1">
        <v>260</v>
      </c>
      <c r="M2214" s="1">
        <v>28</v>
      </c>
      <c r="N2214" s="1">
        <v>1</v>
      </c>
      <c r="O2214" s="1">
        <v>1</v>
      </c>
      <c r="P2214" s="2">
        <v>1</v>
      </c>
      <c r="Q2214" s="68">
        <v>13</v>
      </c>
    </row>
    <row r="2215" spans="1:17" x14ac:dyDescent="0.25">
      <c r="A2215" s="10">
        <v>47</v>
      </c>
      <c r="B2215" s="10">
        <v>6</v>
      </c>
      <c r="C2215" s="10">
        <v>7</v>
      </c>
      <c r="D2215" s="10">
        <v>1</v>
      </c>
      <c r="E2215" s="10">
        <v>14</v>
      </c>
      <c r="F2215" s="10">
        <v>14</v>
      </c>
      <c r="L2215" s="1">
        <v>261</v>
      </c>
      <c r="M2215" s="1">
        <v>28</v>
      </c>
      <c r="N2215" s="1">
        <v>1</v>
      </c>
      <c r="O2215" s="1">
        <v>1</v>
      </c>
      <c r="P2215" s="2">
        <v>1</v>
      </c>
      <c r="Q2215" s="67">
        <v>19</v>
      </c>
    </row>
    <row r="2216" spans="1:17" x14ac:dyDescent="0.25">
      <c r="A2216" s="10">
        <v>47</v>
      </c>
      <c r="B2216" s="10">
        <v>6</v>
      </c>
      <c r="C2216" s="10">
        <v>7</v>
      </c>
      <c r="D2216" s="10">
        <v>2</v>
      </c>
      <c r="E2216" s="10">
        <v>6</v>
      </c>
      <c r="F2216" s="10">
        <v>6</v>
      </c>
      <c r="L2216" s="1">
        <v>262</v>
      </c>
      <c r="M2216" s="1">
        <v>28</v>
      </c>
      <c r="N2216" s="1">
        <v>1</v>
      </c>
      <c r="O2216" s="1">
        <v>1</v>
      </c>
      <c r="P2216" s="2">
        <v>1</v>
      </c>
      <c r="Q2216" s="68">
        <v>6</v>
      </c>
    </row>
    <row r="2217" spans="1:17" x14ac:dyDescent="0.25">
      <c r="A2217" s="10">
        <v>47</v>
      </c>
      <c r="B2217" s="10">
        <v>6</v>
      </c>
      <c r="C2217" s="10">
        <v>7</v>
      </c>
      <c r="D2217" s="10">
        <v>3</v>
      </c>
      <c r="E2217" s="10">
        <v>9</v>
      </c>
      <c r="F2217" s="10">
        <v>9</v>
      </c>
      <c r="L2217" s="1">
        <v>263</v>
      </c>
      <c r="M2217" s="1">
        <v>29</v>
      </c>
      <c r="N2217" s="1">
        <v>1</v>
      </c>
      <c r="O2217" s="1">
        <v>1</v>
      </c>
      <c r="P2217" s="2">
        <v>1</v>
      </c>
      <c r="Q2217" s="67">
        <v>13</v>
      </c>
    </row>
    <row r="2218" spans="1:17" x14ac:dyDescent="0.25">
      <c r="A2218" s="10">
        <v>47</v>
      </c>
      <c r="B2218" s="10">
        <v>6</v>
      </c>
      <c r="C2218" s="10">
        <v>8</v>
      </c>
      <c r="D2218" s="10">
        <v>1</v>
      </c>
      <c r="E2218" s="10">
        <v>18</v>
      </c>
      <c r="F2218" s="10">
        <v>18</v>
      </c>
      <c r="L2218" s="1">
        <v>264</v>
      </c>
      <c r="M2218" s="1">
        <v>29</v>
      </c>
      <c r="N2218" s="1">
        <v>1</v>
      </c>
      <c r="O2218" s="1">
        <v>1</v>
      </c>
      <c r="P2218" s="2">
        <v>1</v>
      </c>
      <c r="Q2218" s="68">
        <v>13</v>
      </c>
    </row>
    <row r="2219" spans="1:17" x14ac:dyDescent="0.25">
      <c r="A2219" s="10">
        <v>47</v>
      </c>
      <c r="B2219" s="10">
        <v>6</v>
      </c>
      <c r="C2219" s="10">
        <v>8</v>
      </c>
      <c r="D2219" s="10">
        <v>2</v>
      </c>
      <c r="E2219" s="10">
        <v>12</v>
      </c>
      <c r="F2219" s="10">
        <v>12</v>
      </c>
      <c r="L2219" s="1">
        <v>265</v>
      </c>
      <c r="M2219" s="1">
        <v>29</v>
      </c>
      <c r="N2219" s="1">
        <v>1</v>
      </c>
      <c r="O2219" s="1">
        <v>1</v>
      </c>
      <c r="P2219" s="2">
        <v>1</v>
      </c>
      <c r="Q2219" s="67">
        <v>7</v>
      </c>
    </row>
    <row r="2220" spans="1:17" x14ac:dyDescent="0.25">
      <c r="A2220" s="10">
        <v>47</v>
      </c>
      <c r="B2220" s="10">
        <v>6</v>
      </c>
      <c r="C2220" s="10">
        <v>8</v>
      </c>
      <c r="D2220" s="10">
        <v>3</v>
      </c>
      <c r="E2220" s="10">
        <v>8</v>
      </c>
      <c r="F2220" s="10">
        <v>8</v>
      </c>
      <c r="L2220" s="1">
        <v>266</v>
      </c>
      <c r="M2220" s="1">
        <v>29</v>
      </c>
      <c r="N2220" s="1">
        <v>1</v>
      </c>
      <c r="O2220" s="1">
        <v>1</v>
      </c>
      <c r="P2220" s="2">
        <v>1</v>
      </c>
      <c r="Q2220" s="68">
        <v>7</v>
      </c>
    </row>
    <row r="2221" spans="1:17" x14ac:dyDescent="0.25">
      <c r="A2221" s="10">
        <v>43</v>
      </c>
      <c r="B2221" s="10">
        <v>5</v>
      </c>
      <c r="C2221" s="10">
        <v>9</v>
      </c>
      <c r="D2221" s="10">
        <v>1</v>
      </c>
      <c r="E2221" s="10">
        <v>8</v>
      </c>
      <c r="F2221" s="10">
        <v>8</v>
      </c>
      <c r="L2221" s="1">
        <v>267</v>
      </c>
      <c r="M2221" s="1">
        <v>29</v>
      </c>
      <c r="N2221" s="1">
        <v>1</v>
      </c>
      <c r="O2221" s="1">
        <v>1</v>
      </c>
      <c r="P2221" s="2">
        <v>1</v>
      </c>
      <c r="Q2221" s="67">
        <v>22</v>
      </c>
    </row>
    <row r="2222" spans="1:17" x14ac:dyDescent="0.25">
      <c r="A2222" s="10">
        <v>43</v>
      </c>
      <c r="B2222" s="10">
        <v>5</v>
      </c>
      <c r="C2222" s="10">
        <v>9</v>
      </c>
      <c r="D2222" s="10">
        <v>2</v>
      </c>
      <c r="E2222" s="10">
        <v>4</v>
      </c>
      <c r="F2222" s="10">
        <v>4</v>
      </c>
      <c r="L2222" s="1">
        <v>268</v>
      </c>
      <c r="M2222" s="1">
        <v>29</v>
      </c>
      <c r="N2222" s="1">
        <v>1</v>
      </c>
      <c r="O2222" s="1">
        <v>1</v>
      </c>
      <c r="P2222" s="2">
        <v>1</v>
      </c>
      <c r="Q2222" s="68">
        <v>15</v>
      </c>
    </row>
    <row r="2223" spans="1:17" x14ac:dyDescent="0.25">
      <c r="A2223" s="10">
        <v>249</v>
      </c>
      <c r="B2223" s="10">
        <v>27</v>
      </c>
      <c r="C2223" s="10">
        <v>9</v>
      </c>
      <c r="D2223" s="10">
        <v>1</v>
      </c>
      <c r="E2223" s="10">
        <v>8</v>
      </c>
      <c r="F2223" s="10">
        <v>8</v>
      </c>
      <c r="L2223" s="1">
        <v>269</v>
      </c>
      <c r="M2223" s="1">
        <v>29</v>
      </c>
      <c r="N2223" s="1">
        <v>1</v>
      </c>
      <c r="O2223" s="1">
        <v>1</v>
      </c>
      <c r="P2223" s="2">
        <v>1</v>
      </c>
      <c r="Q2223" s="67">
        <v>1</v>
      </c>
    </row>
    <row r="2224" spans="1:17" x14ac:dyDescent="0.25">
      <c r="A2224" s="10">
        <v>249</v>
      </c>
      <c r="B2224" s="10">
        <v>27</v>
      </c>
      <c r="C2224" s="10">
        <v>9</v>
      </c>
      <c r="D2224" s="10">
        <v>2</v>
      </c>
      <c r="E2224" s="10">
        <v>6</v>
      </c>
      <c r="F2224" s="10">
        <v>6</v>
      </c>
      <c r="L2224" s="1">
        <v>270</v>
      </c>
      <c r="M2224" s="1">
        <v>29</v>
      </c>
      <c r="N2224" s="1">
        <v>1</v>
      </c>
      <c r="O2224" s="1">
        <v>1</v>
      </c>
      <c r="P2224" s="2">
        <v>1</v>
      </c>
      <c r="Q2224" s="68">
        <v>6</v>
      </c>
    </row>
    <row r="2225" spans="1:17" x14ac:dyDescent="0.25">
      <c r="A2225" s="10">
        <v>249</v>
      </c>
      <c r="B2225" s="10">
        <v>27</v>
      </c>
      <c r="C2225" s="10">
        <v>9</v>
      </c>
      <c r="D2225" s="10">
        <v>6</v>
      </c>
      <c r="E2225" s="10">
        <v>7</v>
      </c>
      <c r="F2225" s="10">
        <v>7</v>
      </c>
      <c r="L2225" s="1">
        <v>271</v>
      </c>
      <c r="M2225" s="1">
        <v>30</v>
      </c>
      <c r="N2225" s="1">
        <v>1</v>
      </c>
      <c r="O2225" s="1">
        <v>1</v>
      </c>
      <c r="P2225" s="2">
        <v>1</v>
      </c>
      <c r="Q2225" s="67">
        <v>23</v>
      </c>
    </row>
    <row r="2226" spans="1:17" x14ac:dyDescent="0.25">
      <c r="A2226" s="10">
        <v>127</v>
      </c>
      <c r="B2226" s="10">
        <v>14</v>
      </c>
      <c r="C2226" s="10">
        <v>9</v>
      </c>
      <c r="D2226" s="10">
        <v>1</v>
      </c>
      <c r="E2226" s="10">
        <v>25</v>
      </c>
      <c r="F2226" s="10">
        <v>25</v>
      </c>
      <c r="L2226" s="1">
        <v>272</v>
      </c>
      <c r="M2226" s="1">
        <v>30</v>
      </c>
      <c r="N2226" s="1">
        <v>1</v>
      </c>
      <c r="O2226" s="1">
        <v>1</v>
      </c>
      <c r="P2226" s="2">
        <v>1</v>
      </c>
      <c r="Q2226" s="68">
        <v>21</v>
      </c>
    </row>
    <row r="2227" spans="1:17" x14ac:dyDescent="0.25">
      <c r="A2227" s="10">
        <v>127</v>
      </c>
      <c r="B2227" s="10">
        <v>14</v>
      </c>
      <c r="C2227" s="10">
        <v>9</v>
      </c>
      <c r="D2227" s="10">
        <v>2</v>
      </c>
      <c r="E2227" s="10">
        <v>33</v>
      </c>
      <c r="F2227" s="10">
        <v>33</v>
      </c>
      <c r="L2227" s="1">
        <v>273</v>
      </c>
      <c r="M2227" s="1">
        <v>30</v>
      </c>
      <c r="N2227" s="1">
        <v>1</v>
      </c>
      <c r="O2227" s="1">
        <v>1</v>
      </c>
      <c r="P2227" s="2">
        <v>1</v>
      </c>
      <c r="Q2227" s="67">
        <v>24</v>
      </c>
    </row>
    <row r="2228" spans="1:17" x14ac:dyDescent="0.25">
      <c r="A2228" s="10">
        <v>341</v>
      </c>
      <c r="B2228" s="10">
        <v>37</v>
      </c>
      <c r="C2228" s="10">
        <v>9</v>
      </c>
      <c r="D2228" s="10">
        <v>2</v>
      </c>
      <c r="E2228" s="10">
        <v>3</v>
      </c>
      <c r="F2228" s="10">
        <v>3</v>
      </c>
      <c r="L2228" s="1">
        <v>274</v>
      </c>
      <c r="M2228" s="1">
        <v>30</v>
      </c>
      <c r="N2228" s="1">
        <v>1</v>
      </c>
      <c r="O2228" s="1">
        <v>1</v>
      </c>
      <c r="P2228" s="2">
        <v>1</v>
      </c>
      <c r="Q2228" s="68">
        <v>20</v>
      </c>
    </row>
    <row r="2229" spans="1:17" x14ac:dyDescent="0.25">
      <c r="A2229" s="10">
        <v>45</v>
      </c>
      <c r="B2229" s="10">
        <v>5</v>
      </c>
      <c r="C2229" s="10">
        <v>9</v>
      </c>
      <c r="D2229" s="10">
        <v>3</v>
      </c>
      <c r="E2229" s="10">
        <v>1</v>
      </c>
      <c r="F2229" s="10">
        <v>1</v>
      </c>
      <c r="L2229" s="1">
        <v>275</v>
      </c>
      <c r="M2229" s="1">
        <v>30</v>
      </c>
      <c r="N2229" s="1">
        <v>1</v>
      </c>
      <c r="O2229" s="1">
        <v>1</v>
      </c>
      <c r="P2229" s="2">
        <v>1</v>
      </c>
      <c r="Q2229" s="67">
        <v>24</v>
      </c>
    </row>
    <row r="2230" spans="1:17" x14ac:dyDescent="0.25">
      <c r="A2230" s="10">
        <v>131</v>
      </c>
      <c r="B2230" s="10">
        <v>14</v>
      </c>
      <c r="C2230" s="10">
        <v>9</v>
      </c>
      <c r="D2230" s="10">
        <v>2</v>
      </c>
      <c r="E2230" s="10">
        <v>14</v>
      </c>
      <c r="F2230" s="10">
        <v>14</v>
      </c>
      <c r="L2230" s="1">
        <v>276</v>
      </c>
      <c r="M2230" s="1">
        <v>30</v>
      </c>
      <c r="N2230" s="1">
        <v>1</v>
      </c>
      <c r="O2230" s="1">
        <v>1</v>
      </c>
      <c r="P2230" s="2">
        <v>1</v>
      </c>
      <c r="Q2230" s="68">
        <v>25</v>
      </c>
    </row>
    <row r="2231" spans="1:17" x14ac:dyDescent="0.25">
      <c r="A2231" s="10">
        <v>247</v>
      </c>
      <c r="B2231" s="10">
        <v>27</v>
      </c>
      <c r="C2231" s="10">
        <v>9</v>
      </c>
      <c r="D2231" s="10">
        <v>2</v>
      </c>
      <c r="E2231" s="10">
        <v>3</v>
      </c>
      <c r="F2231" s="10">
        <v>3</v>
      </c>
      <c r="L2231" s="1">
        <v>277</v>
      </c>
      <c r="M2231" s="1">
        <v>30</v>
      </c>
      <c r="N2231" s="1">
        <v>1</v>
      </c>
      <c r="O2231" s="1">
        <v>1</v>
      </c>
      <c r="P2231" s="2">
        <v>1</v>
      </c>
      <c r="Q2231" s="67">
        <v>15</v>
      </c>
    </row>
    <row r="2232" spans="1:17" x14ac:dyDescent="0.25">
      <c r="A2232" s="10">
        <v>247</v>
      </c>
      <c r="B2232" s="10">
        <v>27</v>
      </c>
      <c r="C2232" s="10">
        <v>9</v>
      </c>
      <c r="D2232" s="10">
        <v>6</v>
      </c>
      <c r="E2232" s="10">
        <v>2</v>
      </c>
      <c r="F2232" s="10">
        <v>2</v>
      </c>
      <c r="L2232" s="1">
        <v>278</v>
      </c>
      <c r="M2232" s="1">
        <v>30</v>
      </c>
      <c r="N2232" s="1">
        <v>1</v>
      </c>
      <c r="O2232" s="1">
        <v>1</v>
      </c>
      <c r="P2232" s="2">
        <v>1</v>
      </c>
      <c r="Q2232" s="68">
        <v>17</v>
      </c>
    </row>
    <row r="2233" spans="1:17" x14ac:dyDescent="0.25">
      <c r="A2233" s="10">
        <v>12</v>
      </c>
      <c r="B2233" s="10">
        <v>2</v>
      </c>
      <c r="C2233" s="10">
        <v>8</v>
      </c>
      <c r="D2233" s="10">
        <v>1</v>
      </c>
      <c r="E2233" s="10">
        <v>10</v>
      </c>
      <c r="F2233" s="10">
        <v>10</v>
      </c>
      <c r="L2233" s="1">
        <v>279</v>
      </c>
      <c r="M2233" s="1">
        <v>30</v>
      </c>
      <c r="N2233" s="1">
        <v>1</v>
      </c>
      <c r="O2233" s="1">
        <v>1</v>
      </c>
      <c r="P2233" s="2">
        <v>1</v>
      </c>
      <c r="Q2233" s="67">
        <v>13</v>
      </c>
    </row>
    <row r="2234" spans="1:17" x14ac:dyDescent="0.25">
      <c r="A2234" s="10">
        <v>12</v>
      </c>
      <c r="B2234" s="10">
        <v>2</v>
      </c>
      <c r="C2234" s="10">
        <v>8</v>
      </c>
      <c r="D2234" s="10">
        <v>2</v>
      </c>
      <c r="E2234" s="10">
        <v>15</v>
      </c>
      <c r="F2234" s="10">
        <v>15</v>
      </c>
      <c r="L2234" s="1">
        <v>280</v>
      </c>
      <c r="M2234" s="1">
        <v>30</v>
      </c>
      <c r="N2234" s="1">
        <v>1</v>
      </c>
      <c r="O2234" s="1">
        <v>1</v>
      </c>
      <c r="P2234" s="2">
        <v>1</v>
      </c>
      <c r="Q2234" s="68">
        <v>14</v>
      </c>
    </row>
    <row r="2235" spans="1:17" x14ac:dyDescent="0.25">
      <c r="A2235" s="10">
        <v>12</v>
      </c>
      <c r="B2235" s="10">
        <v>2</v>
      </c>
      <c r="C2235" s="10">
        <v>8</v>
      </c>
      <c r="D2235" s="10">
        <v>3</v>
      </c>
      <c r="E2235" s="10">
        <v>2</v>
      </c>
      <c r="F2235" s="10">
        <v>2</v>
      </c>
      <c r="L2235" s="1">
        <v>281</v>
      </c>
      <c r="M2235" s="1">
        <v>31</v>
      </c>
      <c r="N2235" s="1">
        <v>1</v>
      </c>
      <c r="O2235" s="1">
        <v>1</v>
      </c>
      <c r="P2235" s="2">
        <v>1</v>
      </c>
      <c r="Q2235" s="67">
        <v>15</v>
      </c>
    </row>
    <row r="2236" spans="1:17" x14ac:dyDescent="0.25">
      <c r="A2236" s="10">
        <v>65</v>
      </c>
      <c r="B2236" s="10">
        <v>7</v>
      </c>
      <c r="C2236" s="10">
        <v>8</v>
      </c>
      <c r="D2236" s="10">
        <v>1</v>
      </c>
      <c r="E2236" s="10">
        <v>6</v>
      </c>
      <c r="F2236" s="10">
        <v>6</v>
      </c>
      <c r="L2236" s="1">
        <v>282</v>
      </c>
      <c r="M2236" s="1">
        <v>31</v>
      </c>
      <c r="N2236" s="1">
        <v>1</v>
      </c>
      <c r="O2236" s="1">
        <v>1</v>
      </c>
      <c r="P2236" s="2">
        <v>1</v>
      </c>
      <c r="Q2236" s="68">
        <v>12</v>
      </c>
    </row>
    <row r="2237" spans="1:17" x14ac:dyDescent="0.25">
      <c r="A2237" s="10">
        <v>65</v>
      </c>
      <c r="B2237" s="10">
        <v>7</v>
      </c>
      <c r="C2237" s="10">
        <v>8</v>
      </c>
      <c r="D2237" s="10">
        <v>2</v>
      </c>
      <c r="E2237" s="10">
        <v>4</v>
      </c>
      <c r="F2237" s="10">
        <v>4</v>
      </c>
      <c r="L2237" s="1">
        <v>283</v>
      </c>
      <c r="M2237" s="1">
        <v>31</v>
      </c>
      <c r="N2237" s="1">
        <v>1</v>
      </c>
      <c r="O2237" s="1">
        <v>1</v>
      </c>
      <c r="P2237" s="2">
        <v>1</v>
      </c>
      <c r="Q2237" s="67">
        <v>13</v>
      </c>
    </row>
    <row r="2238" spans="1:17" x14ac:dyDescent="0.25">
      <c r="A2238" s="10">
        <v>65</v>
      </c>
      <c r="B2238" s="10">
        <v>7</v>
      </c>
      <c r="C2238" s="10">
        <v>8</v>
      </c>
      <c r="D2238" s="10">
        <v>5</v>
      </c>
      <c r="E2238" s="10">
        <v>1</v>
      </c>
      <c r="F2238" s="10">
        <v>1</v>
      </c>
      <c r="L2238" s="1">
        <v>284</v>
      </c>
      <c r="M2238" s="1">
        <v>31</v>
      </c>
      <c r="N2238" s="1">
        <v>1</v>
      </c>
      <c r="O2238" s="1">
        <v>1</v>
      </c>
      <c r="P2238" s="2">
        <v>1</v>
      </c>
      <c r="Q2238" s="68">
        <v>16</v>
      </c>
    </row>
    <row r="2239" spans="1:17" x14ac:dyDescent="0.25">
      <c r="A2239" s="10">
        <v>153</v>
      </c>
      <c r="B2239" s="10">
        <v>17</v>
      </c>
      <c r="C2239" s="10">
        <v>9</v>
      </c>
      <c r="D2239" s="10">
        <v>1</v>
      </c>
      <c r="E2239" s="10">
        <v>2</v>
      </c>
      <c r="F2239" s="10">
        <v>2</v>
      </c>
      <c r="L2239" s="1">
        <v>285</v>
      </c>
      <c r="M2239" s="1">
        <v>31</v>
      </c>
      <c r="N2239" s="1">
        <v>1</v>
      </c>
      <c r="O2239" s="1">
        <v>1</v>
      </c>
      <c r="P2239" s="2">
        <v>1</v>
      </c>
      <c r="Q2239" s="67">
        <v>9</v>
      </c>
    </row>
    <row r="2240" spans="1:17" x14ac:dyDescent="0.25">
      <c r="A2240" s="10">
        <v>153</v>
      </c>
      <c r="B2240" s="10">
        <v>17</v>
      </c>
      <c r="C2240" s="10">
        <v>9</v>
      </c>
      <c r="D2240" s="10">
        <v>2</v>
      </c>
      <c r="E2240" s="10">
        <v>10</v>
      </c>
      <c r="F2240" s="10">
        <v>10</v>
      </c>
      <c r="L2240" s="1">
        <v>286</v>
      </c>
      <c r="M2240" s="1">
        <v>31</v>
      </c>
      <c r="N2240" s="1">
        <v>1</v>
      </c>
      <c r="O2240" s="1">
        <v>1</v>
      </c>
      <c r="P2240" s="2">
        <v>1</v>
      </c>
      <c r="Q2240" s="68">
        <v>13</v>
      </c>
    </row>
    <row r="2241" spans="1:17" x14ac:dyDescent="0.25">
      <c r="A2241" s="10">
        <v>153</v>
      </c>
      <c r="B2241" s="10">
        <v>17</v>
      </c>
      <c r="C2241" s="10">
        <v>9</v>
      </c>
      <c r="D2241" s="10">
        <v>3</v>
      </c>
      <c r="E2241" s="10">
        <v>9</v>
      </c>
      <c r="F2241" s="10">
        <v>9</v>
      </c>
      <c r="L2241" s="1">
        <v>287</v>
      </c>
      <c r="M2241" s="1">
        <v>31</v>
      </c>
      <c r="N2241" s="1">
        <v>1</v>
      </c>
      <c r="O2241" s="1">
        <v>1</v>
      </c>
      <c r="P2241" s="2">
        <v>1</v>
      </c>
      <c r="Q2241" s="67">
        <v>16</v>
      </c>
    </row>
    <row r="2242" spans="1:17" x14ac:dyDescent="0.25">
      <c r="A2242" s="10">
        <v>440</v>
      </c>
      <c r="B2242" s="10">
        <v>47</v>
      </c>
      <c r="C2242" s="10">
        <v>8</v>
      </c>
      <c r="D2242" s="10">
        <v>1</v>
      </c>
      <c r="E2242" s="10">
        <v>5</v>
      </c>
      <c r="F2242" s="10">
        <v>5</v>
      </c>
      <c r="L2242" s="1">
        <v>288</v>
      </c>
      <c r="M2242" s="1">
        <v>31</v>
      </c>
      <c r="N2242" s="1">
        <v>1</v>
      </c>
      <c r="O2242" s="1">
        <v>1</v>
      </c>
      <c r="P2242" s="2">
        <v>1</v>
      </c>
      <c r="Q2242" s="68">
        <v>14</v>
      </c>
    </row>
    <row r="2243" spans="1:17" x14ac:dyDescent="0.25">
      <c r="A2243" s="10">
        <v>440</v>
      </c>
      <c r="B2243" s="10">
        <v>47</v>
      </c>
      <c r="C2243" s="10">
        <v>8</v>
      </c>
      <c r="D2243" s="10">
        <v>2</v>
      </c>
      <c r="E2243" s="10">
        <v>9</v>
      </c>
      <c r="F2243" s="10">
        <v>9</v>
      </c>
      <c r="L2243" s="1">
        <v>289</v>
      </c>
      <c r="M2243" s="1">
        <v>31</v>
      </c>
      <c r="N2243" s="1">
        <v>1</v>
      </c>
      <c r="O2243" s="1">
        <v>1</v>
      </c>
      <c r="P2243" s="2">
        <v>1</v>
      </c>
      <c r="Q2243" s="67">
        <v>10</v>
      </c>
    </row>
    <row r="2244" spans="1:17" x14ac:dyDescent="0.25">
      <c r="A2244" s="10">
        <v>438</v>
      </c>
      <c r="B2244" s="10">
        <v>47</v>
      </c>
      <c r="C2244" s="10">
        <v>8</v>
      </c>
      <c r="D2244" s="10">
        <v>1</v>
      </c>
      <c r="E2244" s="10">
        <v>7</v>
      </c>
      <c r="F2244" s="10">
        <v>7</v>
      </c>
      <c r="L2244" s="1">
        <v>290</v>
      </c>
      <c r="M2244" s="1">
        <v>31</v>
      </c>
      <c r="N2244" s="1">
        <v>1</v>
      </c>
      <c r="O2244" s="1">
        <v>1</v>
      </c>
      <c r="P2244" s="2">
        <v>1</v>
      </c>
      <c r="Q2244" s="68">
        <v>11</v>
      </c>
    </row>
    <row r="2245" spans="1:17" x14ac:dyDescent="0.25">
      <c r="A2245" s="10">
        <v>438</v>
      </c>
      <c r="B2245" s="10">
        <v>47</v>
      </c>
      <c r="C2245" s="10">
        <v>8</v>
      </c>
      <c r="D2245" s="10">
        <v>2</v>
      </c>
      <c r="E2245" s="10">
        <v>3</v>
      </c>
      <c r="F2245" s="10">
        <v>3</v>
      </c>
      <c r="L2245" s="1">
        <v>291</v>
      </c>
      <c r="M2245" s="1">
        <v>32</v>
      </c>
      <c r="N2245" s="1">
        <v>1</v>
      </c>
      <c r="O2245" s="1">
        <v>1</v>
      </c>
      <c r="P2245" s="2">
        <v>1</v>
      </c>
      <c r="Q2245" s="67">
        <v>9</v>
      </c>
    </row>
    <row r="2246" spans="1:17" x14ac:dyDescent="0.25">
      <c r="A2246" s="10">
        <v>438</v>
      </c>
      <c r="B2246" s="10">
        <v>47</v>
      </c>
      <c r="C2246" s="10">
        <v>8</v>
      </c>
      <c r="D2246" s="10">
        <v>3</v>
      </c>
      <c r="E2246" s="10">
        <v>4</v>
      </c>
      <c r="F2246" s="10">
        <v>4</v>
      </c>
      <c r="L2246" s="1">
        <v>292</v>
      </c>
      <c r="M2246" s="1">
        <v>32</v>
      </c>
      <c r="N2246" s="1">
        <v>1</v>
      </c>
      <c r="O2246" s="1">
        <v>1</v>
      </c>
      <c r="P2246" s="2">
        <v>1</v>
      </c>
      <c r="Q2246" s="68">
        <v>9</v>
      </c>
    </row>
    <row r="2247" spans="1:17" x14ac:dyDescent="0.25">
      <c r="A2247" s="10">
        <v>201</v>
      </c>
      <c r="B2247" s="10">
        <v>22</v>
      </c>
      <c r="C2247" s="10">
        <v>9</v>
      </c>
      <c r="D2247" s="10">
        <v>1</v>
      </c>
      <c r="E2247" s="10">
        <v>1</v>
      </c>
      <c r="F2247" s="10">
        <v>1</v>
      </c>
      <c r="L2247" s="1">
        <v>293</v>
      </c>
      <c r="M2247" s="1">
        <v>32</v>
      </c>
      <c r="N2247" s="1">
        <v>1</v>
      </c>
      <c r="O2247" s="1">
        <v>1</v>
      </c>
      <c r="P2247" s="2">
        <v>1</v>
      </c>
      <c r="Q2247" s="67">
        <v>11</v>
      </c>
    </row>
    <row r="2248" spans="1:17" x14ac:dyDescent="0.25">
      <c r="A2248" s="10">
        <v>269</v>
      </c>
      <c r="B2248" s="10">
        <v>29</v>
      </c>
      <c r="C2248" s="10">
        <v>8</v>
      </c>
      <c r="D2248" s="10">
        <v>1</v>
      </c>
      <c r="E2248" s="10">
        <v>3</v>
      </c>
      <c r="F2248" s="10">
        <v>3</v>
      </c>
      <c r="L2248" s="1">
        <v>294</v>
      </c>
      <c r="M2248" s="1">
        <v>32</v>
      </c>
      <c r="N2248" s="1">
        <v>1</v>
      </c>
      <c r="O2248" s="1">
        <v>1</v>
      </c>
      <c r="P2248" s="2">
        <v>1</v>
      </c>
      <c r="Q2248" s="68">
        <v>12</v>
      </c>
    </row>
    <row r="2249" spans="1:17" x14ac:dyDescent="0.25">
      <c r="A2249" s="10">
        <v>269</v>
      </c>
      <c r="B2249" s="10">
        <v>29</v>
      </c>
      <c r="C2249" s="10">
        <v>8</v>
      </c>
      <c r="D2249" s="10">
        <v>2</v>
      </c>
      <c r="E2249" s="10">
        <v>2</v>
      </c>
      <c r="F2249" s="10">
        <v>2</v>
      </c>
      <c r="L2249" s="1">
        <v>295</v>
      </c>
      <c r="M2249" s="1">
        <v>32</v>
      </c>
      <c r="N2249" s="1">
        <v>1</v>
      </c>
      <c r="O2249" s="1">
        <v>1</v>
      </c>
      <c r="P2249" s="2">
        <v>1</v>
      </c>
      <c r="Q2249" s="67">
        <v>15</v>
      </c>
    </row>
    <row r="2250" spans="1:17" x14ac:dyDescent="0.25">
      <c r="A2250" s="10">
        <v>269</v>
      </c>
      <c r="B2250" s="10">
        <v>29</v>
      </c>
      <c r="C2250" s="10">
        <v>8</v>
      </c>
      <c r="D2250" s="10">
        <v>5</v>
      </c>
      <c r="E2250" s="10">
        <v>7</v>
      </c>
      <c r="F2250" s="10">
        <v>7</v>
      </c>
      <c r="L2250" s="1">
        <v>296</v>
      </c>
      <c r="M2250" s="1">
        <v>32</v>
      </c>
      <c r="N2250" s="1">
        <v>1</v>
      </c>
      <c r="O2250" s="1">
        <v>1</v>
      </c>
      <c r="P2250" s="2">
        <v>1</v>
      </c>
      <c r="Q2250" s="68">
        <v>11</v>
      </c>
    </row>
    <row r="2251" spans="1:17" x14ac:dyDescent="0.25">
      <c r="A2251" s="10">
        <v>4</v>
      </c>
      <c r="B2251" s="10">
        <v>1</v>
      </c>
      <c r="C2251" s="10">
        <v>8</v>
      </c>
      <c r="D2251" s="10">
        <v>1</v>
      </c>
      <c r="E2251" s="10">
        <v>10</v>
      </c>
      <c r="F2251" s="10">
        <v>10</v>
      </c>
      <c r="L2251" s="1">
        <v>297</v>
      </c>
      <c r="M2251" s="1">
        <v>32</v>
      </c>
      <c r="N2251" s="1">
        <v>1</v>
      </c>
      <c r="O2251" s="1">
        <v>1</v>
      </c>
      <c r="P2251" s="2">
        <v>1</v>
      </c>
      <c r="Q2251" s="67">
        <v>16</v>
      </c>
    </row>
    <row r="2252" spans="1:17" x14ac:dyDescent="0.25">
      <c r="A2252" s="10">
        <v>2</v>
      </c>
      <c r="B2252" s="10">
        <v>1</v>
      </c>
      <c r="C2252" s="10">
        <v>8</v>
      </c>
      <c r="D2252" s="10">
        <v>1</v>
      </c>
      <c r="E2252" s="10">
        <v>14</v>
      </c>
      <c r="F2252" s="10">
        <v>14</v>
      </c>
      <c r="L2252" s="1">
        <v>298</v>
      </c>
      <c r="M2252" s="1">
        <v>32</v>
      </c>
      <c r="N2252" s="1">
        <v>1</v>
      </c>
      <c r="O2252" s="1">
        <v>1</v>
      </c>
      <c r="P2252" s="2">
        <v>1</v>
      </c>
      <c r="Q2252" s="68">
        <v>14</v>
      </c>
    </row>
    <row r="2253" spans="1:17" x14ac:dyDescent="0.25">
      <c r="A2253" s="10">
        <v>2</v>
      </c>
      <c r="B2253" s="10">
        <v>1</v>
      </c>
      <c r="C2253" s="10">
        <v>8</v>
      </c>
      <c r="D2253" s="10">
        <v>2</v>
      </c>
      <c r="E2253" s="10">
        <v>15</v>
      </c>
      <c r="F2253" s="10">
        <v>15</v>
      </c>
      <c r="L2253" s="1">
        <v>299</v>
      </c>
      <c r="M2253" s="1">
        <v>32</v>
      </c>
      <c r="N2253" s="1">
        <v>1</v>
      </c>
      <c r="O2253" s="1">
        <v>1</v>
      </c>
      <c r="P2253" s="2">
        <v>1</v>
      </c>
      <c r="Q2253" s="67">
        <v>13</v>
      </c>
    </row>
    <row r="2254" spans="1:17" x14ac:dyDescent="0.25">
      <c r="A2254" s="10">
        <v>156</v>
      </c>
      <c r="B2254" s="10">
        <v>17</v>
      </c>
      <c r="C2254" s="10">
        <v>9</v>
      </c>
      <c r="D2254" s="10">
        <v>1</v>
      </c>
      <c r="E2254" s="10">
        <v>15</v>
      </c>
      <c r="F2254" s="10">
        <v>15</v>
      </c>
      <c r="L2254" s="1">
        <v>300</v>
      </c>
      <c r="M2254" s="1">
        <v>32</v>
      </c>
      <c r="N2254" s="1">
        <v>1</v>
      </c>
      <c r="O2254" s="1">
        <v>1</v>
      </c>
      <c r="P2254" s="2">
        <v>1</v>
      </c>
      <c r="Q2254" s="68">
        <v>16</v>
      </c>
    </row>
    <row r="2255" spans="1:17" x14ac:dyDescent="0.25">
      <c r="A2255" s="10">
        <v>156</v>
      </c>
      <c r="B2255" s="10">
        <v>17</v>
      </c>
      <c r="C2255" s="10">
        <v>9</v>
      </c>
      <c r="D2255" s="10">
        <v>3</v>
      </c>
      <c r="E2255" s="10">
        <v>12</v>
      </c>
      <c r="F2255" s="10">
        <v>12</v>
      </c>
      <c r="L2255" s="1">
        <v>301</v>
      </c>
      <c r="M2255" s="1">
        <v>33</v>
      </c>
      <c r="N2255" s="1">
        <v>1</v>
      </c>
      <c r="O2255" s="1">
        <v>1</v>
      </c>
      <c r="P2255" s="2">
        <v>1</v>
      </c>
      <c r="Q2255" s="67">
        <v>11</v>
      </c>
    </row>
    <row r="2256" spans="1:17" x14ac:dyDescent="0.25">
      <c r="A2256" s="10">
        <v>156</v>
      </c>
      <c r="B2256" s="10">
        <v>17</v>
      </c>
      <c r="C2256" s="10">
        <v>9</v>
      </c>
      <c r="D2256" s="10">
        <v>4</v>
      </c>
      <c r="E2256" s="10">
        <v>7</v>
      </c>
      <c r="F2256" s="10">
        <v>7</v>
      </c>
      <c r="L2256" s="1">
        <v>302</v>
      </c>
      <c r="M2256" s="1">
        <v>33</v>
      </c>
      <c r="N2256" s="1">
        <v>1</v>
      </c>
      <c r="O2256" s="1">
        <v>1</v>
      </c>
      <c r="P2256" s="2">
        <v>1</v>
      </c>
      <c r="Q2256" s="68">
        <v>13</v>
      </c>
    </row>
    <row r="2257" spans="1:17" x14ac:dyDescent="0.25">
      <c r="A2257" s="10">
        <v>156</v>
      </c>
      <c r="B2257" s="10">
        <v>17</v>
      </c>
      <c r="C2257" s="10">
        <v>9</v>
      </c>
      <c r="D2257" s="10">
        <v>5</v>
      </c>
      <c r="E2257" s="10">
        <v>6</v>
      </c>
      <c r="F2257" s="10">
        <v>6</v>
      </c>
      <c r="L2257" s="1">
        <v>303</v>
      </c>
      <c r="M2257" s="1">
        <v>33</v>
      </c>
      <c r="N2257" s="1">
        <v>1</v>
      </c>
      <c r="O2257" s="1">
        <v>1</v>
      </c>
      <c r="P2257" s="2">
        <v>1</v>
      </c>
      <c r="Q2257" s="67">
        <v>6</v>
      </c>
    </row>
    <row r="2258" spans="1:17" x14ac:dyDescent="0.25">
      <c r="A2258" s="10">
        <v>156</v>
      </c>
      <c r="B2258" s="10">
        <v>17</v>
      </c>
      <c r="C2258" s="10">
        <v>9</v>
      </c>
      <c r="D2258" s="10">
        <v>6</v>
      </c>
      <c r="E2258" s="10">
        <v>10</v>
      </c>
      <c r="F2258" s="10">
        <v>10</v>
      </c>
      <c r="L2258" s="1">
        <v>304</v>
      </c>
      <c r="M2258" s="1">
        <v>33</v>
      </c>
      <c r="N2258" s="1">
        <v>1</v>
      </c>
      <c r="O2258" s="1">
        <v>1</v>
      </c>
      <c r="P2258" s="2">
        <v>1</v>
      </c>
      <c r="Q2258" s="68">
        <v>8</v>
      </c>
    </row>
    <row r="2259" spans="1:17" x14ac:dyDescent="0.25">
      <c r="A2259" s="10">
        <v>156</v>
      </c>
      <c r="B2259" s="10">
        <v>17</v>
      </c>
      <c r="C2259" s="10">
        <v>9</v>
      </c>
      <c r="D2259" s="10">
        <v>7</v>
      </c>
      <c r="E2259" s="10">
        <v>5</v>
      </c>
      <c r="F2259" s="10">
        <v>5</v>
      </c>
      <c r="L2259" s="1">
        <v>305</v>
      </c>
      <c r="M2259" s="1">
        <v>33</v>
      </c>
      <c r="N2259" s="1">
        <v>1</v>
      </c>
      <c r="O2259" s="1">
        <v>1</v>
      </c>
      <c r="P2259" s="2">
        <v>1</v>
      </c>
      <c r="Q2259" s="67">
        <v>4</v>
      </c>
    </row>
    <row r="2260" spans="1:17" x14ac:dyDescent="0.25">
      <c r="A2260" s="10">
        <v>269</v>
      </c>
      <c r="B2260" s="10">
        <v>29</v>
      </c>
      <c r="C2260" s="10">
        <v>8</v>
      </c>
      <c r="D2260" s="10">
        <v>6</v>
      </c>
      <c r="E2260" s="10">
        <v>1</v>
      </c>
      <c r="F2260" s="10">
        <v>1</v>
      </c>
      <c r="L2260" s="1">
        <v>306</v>
      </c>
      <c r="M2260" s="1">
        <v>33</v>
      </c>
      <c r="N2260" s="1">
        <v>1</v>
      </c>
      <c r="O2260" s="1">
        <v>1</v>
      </c>
      <c r="P2260" s="2">
        <v>1</v>
      </c>
      <c r="Q2260" s="68">
        <v>8</v>
      </c>
    </row>
    <row r="2261" spans="1:17" x14ac:dyDescent="0.25">
      <c r="A2261" s="10">
        <v>121</v>
      </c>
      <c r="B2261" s="10">
        <v>13</v>
      </c>
      <c r="C2261" s="10">
        <v>9</v>
      </c>
      <c r="D2261" s="10">
        <v>1</v>
      </c>
      <c r="E2261" s="10">
        <v>5</v>
      </c>
      <c r="F2261" s="10">
        <v>5</v>
      </c>
      <c r="L2261" s="1">
        <v>307</v>
      </c>
      <c r="M2261" s="1">
        <v>33</v>
      </c>
      <c r="N2261" s="1">
        <v>1</v>
      </c>
      <c r="O2261" s="1">
        <v>1</v>
      </c>
      <c r="P2261" s="2">
        <v>1</v>
      </c>
      <c r="Q2261" s="67">
        <v>3</v>
      </c>
    </row>
    <row r="2262" spans="1:17" x14ac:dyDescent="0.25">
      <c r="A2262" s="10">
        <v>121</v>
      </c>
      <c r="B2262" s="10">
        <v>13</v>
      </c>
      <c r="C2262" s="10">
        <v>9</v>
      </c>
      <c r="D2262" s="10">
        <v>2</v>
      </c>
      <c r="E2262" s="10">
        <v>2</v>
      </c>
      <c r="F2262" s="10">
        <v>2</v>
      </c>
      <c r="L2262" s="1">
        <v>308</v>
      </c>
      <c r="M2262" s="1">
        <v>33</v>
      </c>
      <c r="N2262" s="1">
        <v>1</v>
      </c>
      <c r="O2262" s="1">
        <v>1</v>
      </c>
      <c r="P2262" s="2">
        <v>1</v>
      </c>
      <c r="Q2262" s="68">
        <v>11</v>
      </c>
    </row>
    <row r="2263" spans="1:17" x14ac:dyDescent="0.25">
      <c r="A2263" s="10">
        <v>65</v>
      </c>
      <c r="B2263" s="10">
        <v>7</v>
      </c>
      <c r="C2263" s="10">
        <v>9</v>
      </c>
      <c r="D2263" s="10">
        <v>1</v>
      </c>
      <c r="E2263" s="10">
        <v>2</v>
      </c>
      <c r="F2263" s="10">
        <v>2</v>
      </c>
      <c r="L2263" s="1">
        <v>309</v>
      </c>
      <c r="M2263" s="1">
        <v>33</v>
      </c>
      <c r="N2263" s="1">
        <v>1</v>
      </c>
      <c r="O2263" s="1">
        <v>1</v>
      </c>
      <c r="P2263" s="2">
        <v>1</v>
      </c>
      <c r="Q2263" s="67">
        <v>11</v>
      </c>
    </row>
    <row r="2264" spans="1:17" x14ac:dyDescent="0.25">
      <c r="A2264" s="10">
        <v>272</v>
      </c>
      <c r="B2264" s="10">
        <v>30</v>
      </c>
      <c r="C2264" s="10">
        <v>9</v>
      </c>
      <c r="D2264" s="10">
        <v>1</v>
      </c>
      <c r="E2264" s="10">
        <v>10</v>
      </c>
      <c r="F2264" s="10">
        <v>10</v>
      </c>
      <c r="L2264" s="1">
        <v>310</v>
      </c>
      <c r="M2264" s="1">
        <v>33</v>
      </c>
      <c r="N2264" s="1">
        <v>1</v>
      </c>
      <c r="O2264" s="1">
        <v>1</v>
      </c>
      <c r="P2264" s="2">
        <v>1</v>
      </c>
      <c r="Q2264" s="68">
        <v>5</v>
      </c>
    </row>
    <row r="2265" spans="1:17" x14ac:dyDescent="0.25">
      <c r="A2265" s="10">
        <v>272</v>
      </c>
      <c r="B2265" s="10">
        <v>30</v>
      </c>
      <c r="C2265" s="10">
        <v>9</v>
      </c>
      <c r="D2265" s="10">
        <v>2</v>
      </c>
      <c r="E2265" s="10">
        <v>24</v>
      </c>
      <c r="F2265" s="10">
        <v>24</v>
      </c>
      <c r="L2265" s="1">
        <v>311</v>
      </c>
      <c r="M2265" s="1">
        <v>34</v>
      </c>
      <c r="N2265" s="1">
        <v>1</v>
      </c>
      <c r="O2265" s="1">
        <v>1</v>
      </c>
      <c r="P2265" s="2">
        <v>1</v>
      </c>
      <c r="Q2265" s="67">
        <v>11</v>
      </c>
    </row>
    <row r="2266" spans="1:17" x14ac:dyDescent="0.25">
      <c r="A2266" s="10">
        <v>278</v>
      </c>
      <c r="B2266" s="10">
        <v>30</v>
      </c>
      <c r="C2266" s="10">
        <v>9</v>
      </c>
      <c r="D2266" s="10">
        <v>1</v>
      </c>
      <c r="E2266" s="10">
        <v>0</v>
      </c>
      <c r="F2266" s="10">
        <v>0</v>
      </c>
      <c r="L2266" s="1">
        <v>312</v>
      </c>
      <c r="M2266" s="1">
        <v>34</v>
      </c>
      <c r="N2266" s="1">
        <v>1</v>
      </c>
      <c r="O2266" s="1">
        <v>1</v>
      </c>
      <c r="P2266" s="2">
        <v>1</v>
      </c>
      <c r="Q2266" s="68">
        <v>7</v>
      </c>
    </row>
    <row r="2267" spans="1:17" x14ac:dyDescent="0.25">
      <c r="A2267" s="10">
        <v>278</v>
      </c>
      <c r="B2267" s="10">
        <v>30</v>
      </c>
      <c r="C2267" s="10">
        <v>9</v>
      </c>
      <c r="D2267" s="10">
        <v>2</v>
      </c>
      <c r="E2267" s="10">
        <v>3</v>
      </c>
      <c r="F2267" s="10">
        <v>3</v>
      </c>
      <c r="L2267" s="1">
        <v>313</v>
      </c>
      <c r="M2267" s="1">
        <v>34</v>
      </c>
      <c r="N2267" s="1">
        <v>1</v>
      </c>
      <c r="O2267" s="1">
        <v>1</v>
      </c>
      <c r="P2267" s="2">
        <v>1</v>
      </c>
      <c r="Q2267" s="67">
        <v>12</v>
      </c>
    </row>
    <row r="2268" spans="1:17" x14ac:dyDescent="0.25">
      <c r="A2268" s="10">
        <v>276</v>
      </c>
      <c r="B2268" s="10">
        <v>30</v>
      </c>
      <c r="C2268" s="10">
        <v>9</v>
      </c>
      <c r="D2268" s="10">
        <v>1</v>
      </c>
      <c r="E2268" s="10">
        <v>5</v>
      </c>
      <c r="F2268" s="10">
        <v>5</v>
      </c>
      <c r="L2268" s="1">
        <v>314</v>
      </c>
      <c r="M2268" s="1">
        <v>34</v>
      </c>
      <c r="N2268" s="1">
        <v>1</v>
      </c>
      <c r="O2268" s="1">
        <v>1</v>
      </c>
      <c r="P2268" s="2">
        <v>1</v>
      </c>
      <c r="Q2268" s="68">
        <v>8</v>
      </c>
    </row>
    <row r="2269" spans="1:17" x14ac:dyDescent="0.25">
      <c r="A2269" s="10">
        <v>276</v>
      </c>
      <c r="B2269" s="10">
        <v>30</v>
      </c>
      <c r="C2269" s="10">
        <v>9</v>
      </c>
      <c r="D2269" s="10">
        <v>2</v>
      </c>
      <c r="E2269" s="10">
        <v>2</v>
      </c>
      <c r="F2269" s="10">
        <v>2</v>
      </c>
      <c r="L2269" s="1">
        <v>315</v>
      </c>
      <c r="M2269" s="1">
        <v>34</v>
      </c>
      <c r="N2269" s="1">
        <v>1</v>
      </c>
      <c r="O2269" s="1">
        <v>1</v>
      </c>
      <c r="P2269" s="2">
        <v>1</v>
      </c>
      <c r="Q2269" s="67">
        <v>18</v>
      </c>
    </row>
    <row r="2270" spans="1:17" x14ac:dyDescent="0.25">
      <c r="A2270" s="10">
        <v>274</v>
      </c>
      <c r="B2270" s="10">
        <v>30</v>
      </c>
      <c r="C2270" s="10">
        <v>9</v>
      </c>
      <c r="D2270" s="10">
        <v>1</v>
      </c>
      <c r="E2270" s="10">
        <v>5</v>
      </c>
      <c r="F2270" s="10">
        <v>5</v>
      </c>
      <c r="L2270" s="1">
        <v>316</v>
      </c>
      <c r="M2270" s="1">
        <v>34</v>
      </c>
      <c r="N2270" s="1">
        <v>1</v>
      </c>
      <c r="O2270" s="1">
        <v>1</v>
      </c>
      <c r="P2270" s="2">
        <v>1</v>
      </c>
      <c r="Q2270" s="68">
        <v>5</v>
      </c>
    </row>
    <row r="2271" spans="1:17" x14ac:dyDescent="0.25">
      <c r="A2271" s="10">
        <v>274</v>
      </c>
      <c r="B2271" s="10">
        <v>30</v>
      </c>
      <c r="C2271" s="10">
        <v>9</v>
      </c>
      <c r="D2271" s="10">
        <v>2</v>
      </c>
      <c r="E2271" s="10">
        <v>2</v>
      </c>
      <c r="F2271" s="10">
        <v>2</v>
      </c>
      <c r="L2271" s="1">
        <v>317</v>
      </c>
      <c r="M2271" s="1">
        <v>34</v>
      </c>
      <c r="N2271" s="1">
        <v>1</v>
      </c>
      <c r="O2271" s="1">
        <v>1</v>
      </c>
      <c r="P2271" s="2">
        <v>1</v>
      </c>
      <c r="Q2271" s="67">
        <v>4</v>
      </c>
    </row>
    <row r="2272" spans="1:17" x14ac:dyDescent="0.25">
      <c r="A2272" s="10">
        <v>274</v>
      </c>
      <c r="B2272" s="10">
        <v>30</v>
      </c>
      <c r="C2272" s="10">
        <v>9</v>
      </c>
      <c r="D2272" s="10">
        <v>3</v>
      </c>
      <c r="E2272" s="10">
        <v>1</v>
      </c>
      <c r="F2272" s="10">
        <v>1</v>
      </c>
      <c r="L2272" s="1">
        <v>318</v>
      </c>
      <c r="M2272" s="1">
        <v>34</v>
      </c>
      <c r="N2272" s="1">
        <v>1</v>
      </c>
      <c r="O2272" s="1">
        <v>1</v>
      </c>
      <c r="P2272" s="2">
        <v>1</v>
      </c>
      <c r="Q2272" s="68">
        <v>7</v>
      </c>
    </row>
    <row r="2273" spans="1:17" x14ac:dyDescent="0.25">
      <c r="A2273" s="10">
        <v>442</v>
      </c>
      <c r="B2273" s="10">
        <v>47</v>
      </c>
      <c r="C2273" s="10">
        <v>8</v>
      </c>
      <c r="D2273" s="10">
        <v>1</v>
      </c>
      <c r="E2273" s="10">
        <v>20</v>
      </c>
      <c r="F2273" s="10">
        <v>20</v>
      </c>
      <c r="L2273" s="1">
        <v>319</v>
      </c>
      <c r="M2273" s="1">
        <v>34</v>
      </c>
      <c r="N2273" s="1">
        <v>1</v>
      </c>
      <c r="O2273" s="1">
        <v>1</v>
      </c>
      <c r="P2273" s="2">
        <v>1</v>
      </c>
      <c r="Q2273" s="67">
        <v>9</v>
      </c>
    </row>
    <row r="2274" spans="1:17" x14ac:dyDescent="0.25">
      <c r="A2274" s="10">
        <v>442</v>
      </c>
      <c r="B2274" s="10">
        <v>47</v>
      </c>
      <c r="C2274" s="10">
        <v>8</v>
      </c>
      <c r="D2274" s="10">
        <v>2</v>
      </c>
      <c r="E2274" s="10">
        <v>19</v>
      </c>
      <c r="F2274" s="10">
        <v>19</v>
      </c>
      <c r="L2274" s="1">
        <v>320</v>
      </c>
      <c r="M2274" s="1">
        <v>34</v>
      </c>
      <c r="N2274" s="1">
        <v>1</v>
      </c>
      <c r="O2274" s="1">
        <v>1</v>
      </c>
      <c r="P2274" s="2">
        <v>1</v>
      </c>
      <c r="Q2274" s="68">
        <v>9</v>
      </c>
    </row>
    <row r="2275" spans="1:17" x14ac:dyDescent="0.25">
      <c r="A2275" s="10">
        <v>442</v>
      </c>
      <c r="B2275" s="10">
        <v>47</v>
      </c>
      <c r="C2275" s="10">
        <v>8</v>
      </c>
      <c r="D2275" s="10">
        <v>3</v>
      </c>
      <c r="E2275" s="10">
        <v>0</v>
      </c>
      <c r="F2275" s="10">
        <v>0</v>
      </c>
      <c r="L2275" s="1">
        <v>321</v>
      </c>
      <c r="M2275" s="1">
        <v>35</v>
      </c>
      <c r="N2275" s="1">
        <v>1</v>
      </c>
      <c r="O2275" s="1">
        <v>1</v>
      </c>
      <c r="P2275" s="2">
        <v>1</v>
      </c>
      <c r="Q2275" s="67">
        <v>8</v>
      </c>
    </row>
    <row r="2276" spans="1:17" x14ac:dyDescent="0.25">
      <c r="A2276" s="10">
        <v>16</v>
      </c>
      <c r="B2276" s="10">
        <v>2</v>
      </c>
      <c r="C2276" s="10">
        <v>8</v>
      </c>
      <c r="D2276" s="10">
        <v>1</v>
      </c>
      <c r="E2276" s="10">
        <v>4</v>
      </c>
      <c r="F2276" s="10">
        <v>4</v>
      </c>
      <c r="L2276" s="1">
        <v>322</v>
      </c>
      <c r="M2276" s="1">
        <v>35</v>
      </c>
      <c r="N2276" s="1">
        <v>1</v>
      </c>
      <c r="O2276" s="1">
        <v>1</v>
      </c>
      <c r="P2276" s="2">
        <v>1</v>
      </c>
      <c r="Q2276" s="68">
        <v>7</v>
      </c>
    </row>
    <row r="2277" spans="1:17" x14ac:dyDescent="0.25">
      <c r="A2277" s="10">
        <v>16</v>
      </c>
      <c r="B2277" s="10">
        <v>2</v>
      </c>
      <c r="C2277" s="10">
        <v>8</v>
      </c>
      <c r="D2277" s="10">
        <v>2</v>
      </c>
      <c r="E2277" s="10">
        <v>16</v>
      </c>
      <c r="F2277" s="10">
        <v>16</v>
      </c>
      <c r="L2277" s="1">
        <v>323</v>
      </c>
      <c r="M2277" s="1">
        <v>35</v>
      </c>
      <c r="N2277" s="1">
        <v>1</v>
      </c>
      <c r="O2277" s="1">
        <v>1</v>
      </c>
      <c r="P2277" s="2">
        <v>1</v>
      </c>
      <c r="Q2277" s="67">
        <v>9</v>
      </c>
    </row>
    <row r="2278" spans="1:17" x14ac:dyDescent="0.25">
      <c r="A2278" s="10">
        <v>279</v>
      </c>
      <c r="B2278" s="10">
        <v>30</v>
      </c>
      <c r="C2278" s="10">
        <v>9</v>
      </c>
      <c r="D2278" s="10">
        <v>1</v>
      </c>
      <c r="E2278" s="10">
        <v>8</v>
      </c>
      <c r="F2278" s="10">
        <v>8</v>
      </c>
      <c r="L2278" s="1">
        <v>324</v>
      </c>
      <c r="M2278" s="1">
        <v>35</v>
      </c>
      <c r="N2278" s="1">
        <v>1</v>
      </c>
      <c r="O2278" s="1">
        <v>1</v>
      </c>
      <c r="P2278" s="2">
        <v>1</v>
      </c>
      <c r="Q2278" s="68">
        <v>8</v>
      </c>
    </row>
    <row r="2279" spans="1:17" x14ac:dyDescent="0.25">
      <c r="A2279" s="10">
        <v>279</v>
      </c>
      <c r="B2279" s="10">
        <v>30</v>
      </c>
      <c r="C2279" s="10">
        <v>9</v>
      </c>
      <c r="D2279" s="10">
        <v>2</v>
      </c>
      <c r="E2279" s="10">
        <v>12</v>
      </c>
      <c r="F2279" s="10">
        <v>12</v>
      </c>
      <c r="L2279" s="1">
        <v>325</v>
      </c>
      <c r="M2279" s="1">
        <v>35</v>
      </c>
      <c r="N2279" s="1">
        <v>1</v>
      </c>
      <c r="O2279" s="1">
        <v>1</v>
      </c>
      <c r="P2279" s="2">
        <v>1</v>
      </c>
      <c r="Q2279" s="67">
        <v>11</v>
      </c>
    </row>
    <row r="2280" spans="1:17" x14ac:dyDescent="0.25">
      <c r="A2280" s="10">
        <v>319</v>
      </c>
      <c r="B2280" s="10">
        <v>34</v>
      </c>
      <c r="C2280" s="10">
        <v>9</v>
      </c>
      <c r="D2280" s="10">
        <v>1</v>
      </c>
      <c r="E2280" s="10">
        <v>4</v>
      </c>
      <c r="F2280" s="10">
        <v>4</v>
      </c>
      <c r="L2280" s="1">
        <v>326</v>
      </c>
      <c r="M2280" s="1">
        <v>35</v>
      </c>
      <c r="N2280" s="1">
        <v>1</v>
      </c>
      <c r="O2280" s="1">
        <v>1</v>
      </c>
      <c r="P2280" s="2">
        <v>1</v>
      </c>
      <c r="Q2280" s="68">
        <v>6</v>
      </c>
    </row>
    <row r="2281" spans="1:17" x14ac:dyDescent="0.25">
      <c r="A2281" s="10">
        <v>319</v>
      </c>
      <c r="B2281" s="10">
        <v>34</v>
      </c>
      <c r="C2281" s="10">
        <v>9</v>
      </c>
      <c r="D2281" s="10">
        <v>2</v>
      </c>
      <c r="E2281" s="10">
        <v>15</v>
      </c>
      <c r="F2281" s="10">
        <v>15</v>
      </c>
      <c r="L2281" s="1">
        <v>327</v>
      </c>
      <c r="M2281" s="1">
        <v>35</v>
      </c>
      <c r="N2281" s="1">
        <v>1</v>
      </c>
      <c r="O2281" s="1">
        <v>1</v>
      </c>
      <c r="P2281" s="2">
        <v>1</v>
      </c>
      <c r="Q2281" s="67">
        <v>4</v>
      </c>
    </row>
    <row r="2282" spans="1:17" x14ac:dyDescent="0.25">
      <c r="A2282" s="10">
        <v>46</v>
      </c>
      <c r="B2282" s="10">
        <v>5</v>
      </c>
      <c r="C2282" s="10">
        <v>9</v>
      </c>
      <c r="D2282" s="10">
        <v>2</v>
      </c>
      <c r="E2282" s="10">
        <v>6</v>
      </c>
      <c r="F2282" s="10">
        <v>6</v>
      </c>
      <c r="L2282" s="1">
        <v>328</v>
      </c>
      <c r="M2282" s="1">
        <v>35</v>
      </c>
      <c r="N2282" s="1">
        <v>1</v>
      </c>
      <c r="O2282" s="1">
        <v>1</v>
      </c>
      <c r="P2282" s="2">
        <v>1</v>
      </c>
      <c r="Q2282" s="68">
        <v>4</v>
      </c>
    </row>
    <row r="2283" spans="1:17" x14ac:dyDescent="0.25">
      <c r="A2283" s="10">
        <v>46</v>
      </c>
      <c r="B2283" s="10">
        <v>5</v>
      </c>
      <c r="C2283" s="10">
        <v>8</v>
      </c>
      <c r="D2283" s="10">
        <v>1</v>
      </c>
      <c r="E2283" s="10">
        <v>10</v>
      </c>
      <c r="F2283" s="10">
        <v>10</v>
      </c>
      <c r="L2283" s="1">
        <v>329</v>
      </c>
      <c r="M2283" s="1">
        <v>35</v>
      </c>
      <c r="N2283" s="1">
        <v>1</v>
      </c>
      <c r="O2283" s="1">
        <v>1</v>
      </c>
      <c r="P2283" s="2">
        <v>1</v>
      </c>
      <c r="Q2283" s="67">
        <v>4</v>
      </c>
    </row>
    <row r="2284" spans="1:17" x14ac:dyDescent="0.25">
      <c r="A2284" s="10">
        <v>202</v>
      </c>
      <c r="B2284" s="10">
        <v>22</v>
      </c>
      <c r="C2284" s="10">
        <v>9</v>
      </c>
      <c r="D2284" s="10">
        <v>1</v>
      </c>
      <c r="E2284" s="10">
        <v>1</v>
      </c>
      <c r="F2284" s="10">
        <v>1</v>
      </c>
      <c r="L2284" s="1">
        <v>330</v>
      </c>
      <c r="M2284" s="1">
        <v>35</v>
      </c>
      <c r="N2284" s="1">
        <v>1</v>
      </c>
      <c r="O2284" s="1">
        <v>1</v>
      </c>
      <c r="P2284" s="2">
        <v>1</v>
      </c>
      <c r="Q2284" s="68">
        <v>6</v>
      </c>
    </row>
    <row r="2285" spans="1:17" x14ac:dyDescent="0.25">
      <c r="A2285" s="10">
        <v>46</v>
      </c>
      <c r="B2285" s="10">
        <v>5</v>
      </c>
      <c r="C2285" s="10">
        <v>8</v>
      </c>
      <c r="D2285" s="10">
        <v>2</v>
      </c>
      <c r="E2285" s="10">
        <v>7</v>
      </c>
      <c r="F2285" s="10">
        <v>7</v>
      </c>
      <c r="L2285" s="1">
        <v>331</v>
      </c>
      <c r="M2285" s="1">
        <v>36</v>
      </c>
      <c r="N2285" s="1">
        <v>1</v>
      </c>
      <c r="O2285" s="1">
        <v>1</v>
      </c>
      <c r="P2285" s="2">
        <v>1</v>
      </c>
      <c r="Q2285" s="67">
        <v>7</v>
      </c>
    </row>
    <row r="2286" spans="1:17" x14ac:dyDescent="0.25">
      <c r="A2286" s="10">
        <v>46</v>
      </c>
      <c r="B2286" s="10">
        <v>5</v>
      </c>
      <c r="C2286" s="10">
        <v>8</v>
      </c>
      <c r="D2286" s="10">
        <v>3</v>
      </c>
      <c r="E2286" s="10">
        <v>1</v>
      </c>
      <c r="F2286" s="10">
        <v>1</v>
      </c>
      <c r="L2286" s="1">
        <v>332</v>
      </c>
      <c r="M2286" s="1">
        <v>36</v>
      </c>
      <c r="N2286" s="1">
        <v>1</v>
      </c>
      <c r="O2286" s="1">
        <v>1</v>
      </c>
      <c r="P2286" s="2">
        <v>1</v>
      </c>
      <c r="Q2286" s="68">
        <v>15</v>
      </c>
    </row>
    <row r="2287" spans="1:17" x14ac:dyDescent="0.25">
      <c r="A2287" s="10">
        <v>264</v>
      </c>
      <c r="B2287" s="10">
        <v>29</v>
      </c>
      <c r="C2287" s="10">
        <v>9</v>
      </c>
      <c r="D2287" s="10">
        <v>1</v>
      </c>
      <c r="E2287" s="10">
        <v>4</v>
      </c>
      <c r="F2287" s="10">
        <v>4</v>
      </c>
      <c r="L2287" s="1">
        <v>333</v>
      </c>
      <c r="M2287" s="1">
        <v>36</v>
      </c>
      <c r="N2287" s="1">
        <v>1</v>
      </c>
      <c r="O2287" s="1">
        <v>1</v>
      </c>
      <c r="P2287" s="2">
        <v>1</v>
      </c>
      <c r="Q2287" s="67">
        <v>2</v>
      </c>
    </row>
    <row r="2288" spans="1:17" x14ac:dyDescent="0.25">
      <c r="A2288" s="10">
        <v>264</v>
      </c>
      <c r="B2288" s="10">
        <v>29</v>
      </c>
      <c r="C2288" s="10">
        <v>9</v>
      </c>
      <c r="D2288" s="10">
        <v>2</v>
      </c>
      <c r="E2288" s="10">
        <v>5</v>
      </c>
      <c r="F2288" s="10">
        <v>5</v>
      </c>
      <c r="L2288" s="1">
        <v>334</v>
      </c>
      <c r="M2288" s="1">
        <v>36</v>
      </c>
      <c r="N2288" s="1">
        <v>1</v>
      </c>
      <c r="O2288" s="1">
        <v>1</v>
      </c>
      <c r="P2288" s="2">
        <v>1</v>
      </c>
      <c r="Q2288" s="68">
        <v>10</v>
      </c>
    </row>
    <row r="2289" spans="1:17" x14ac:dyDescent="0.25">
      <c r="A2289" s="10">
        <v>264</v>
      </c>
      <c r="B2289" s="10">
        <v>29</v>
      </c>
      <c r="C2289" s="10">
        <v>9</v>
      </c>
      <c r="D2289" s="10">
        <v>5</v>
      </c>
      <c r="E2289" s="10">
        <v>7</v>
      </c>
      <c r="F2289" s="10">
        <v>7</v>
      </c>
      <c r="L2289" s="1">
        <v>335</v>
      </c>
      <c r="M2289" s="1">
        <v>36</v>
      </c>
      <c r="N2289" s="1">
        <v>1</v>
      </c>
      <c r="O2289" s="1">
        <v>1</v>
      </c>
      <c r="P2289" s="2">
        <v>1</v>
      </c>
      <c r="Q2289" s="67">
        <v>2</v>
      </c>
    </row>
    <row r="2290" spans="1:17" x14ac:dyDescent="0.25">
      <c r="A2290" s="10">
        <v>36</v>
      </c>
      <c r="B2290" s="10">
        <v>4</v>
      </c>
      <c r="C2290" s="10">
        <v>9</v>
      </c>
      <c r="D2290" s="10">
        <v>1</v>
      </c>
      <c r="E2290" s="10">
        <v>27</v>
      </c>
      <c r="F2290" s="10">
        <v>27</v>
      </c>
      <c r="L2290" s="1">
        <v>336</v>
      </c>
      <c r="M2290" s="1">
        <v>36</v>
      </c>
      <c r="N2290" s="1">
        <v>1</v>
      </c>
      <c r="O2290" s="1">
        <v>1</v>
      </c>
      <c r="P2290" s="2">
        <v>1</v>
      </c>
      <c r="Q2290" s="68">
        <v>13</v>
      </c>
    </row>
    <row r="2291" spans="1:17" x14ac:dyDescent="0.25">
      <c r="A2291" s="10">
        <v>266</v>
      </c>
      <c r="B2291" s="10">
        <v>29</v>
      </c>
      <c r="C2291" s="10">
        <v>9</v>
      </c>
      <c r="D2291" s="10">
        <v>1</v>
      </c>
      <c r="E2291" s="10">
        <v>12</v>
      </c>
      <c r="F2291" s="10">
        <v>12</v>
      </c>
      <c r="L2291" s="1">
        <v>337</v>
      </c>
      <c r="M2291" s="1">
        <v>36</v>
      </c>
      <c r="N2291" s="1">
        <v>1</v>
      </c>
      <c r="O2291" s="1">
        <v>1</v>
      </c>
      <c r="P2291" s="2">
        <v>1</v>
      </c>
      <c r="Q2291" s="67">
        <v>1</v>
      </c>
    </row>
    <row r="2292" spans="1:17" x14ac:dyDescent="0.25">
      <c r="A2292" s="10">
        <v>44</v>
      </c>
      <c r="B2292" s="10">
        <v>5</v>
      </c>
      <c r="C2292" s="10">
        <v>9</v>
      </c>
      <c r="D2292" s="10">
        <v>1</v>
      </c>
      <c r="E2292" s="10">
        <v>8</v>
      </c>
      <c r="F2292" s="10">
        <v>8</v>
      </c>
      <c r="L2292" s="1">
        <v>338</v>
      </c>
      <c r="M2292" s="1">
        <v>36</v>
      </c>
      <c r="N2292" s="1">
        <v>1</v>
      </c>
      <c r="O2292" s="1">
        <v>1</v>
      </c>
      <c r="P2292" s="2">
        <v>1</v>
      </c>
      <c r="Q2292" s="68">
        <v>0</v>
      </c>
    </row>
    <row r="2293" spans="1:17" x14ac:dyDescent="0.25">
      <c r="A2293" s="10">
        <v>44</v>
      </c>
      <c r="B2293" s="10">
        <v>5</v>
      </c>
      <c r="C2293" s="10">
        <v>9</v>
      </c>
      <c r="D2293" s="10">
        <v>2</v>
      </c>
      <c r="E2293" s="10">
        <v>5</v>
      </c>
      <c r="F2293" s="10">
        <v>5</v>
      </c>
      <c r="L2293" s="1">
        <v>339</v>
      </c>
      <c r="M2293" s="1">
        <v>37</v>
      </c>
      <c r="N2293" s="1">
        <v>1</v>
      </c>
      <c r="O2293" s="1">
        <v>1</v>
      </c>
      <c r="P2293" s="2">
        <v>1</v>
      </c>
      <c r="Q2293" s="67">
        <v>0</v>
      </c>
    </row>
    <row r="2294" spans="1:17" x14ac:dyDescent="0.25">
      <c r="A2294" s="10">
        <v>266</v>
      </c>
      <c r="B2294" s="10">
        <v>29</v>
      </c>
      <c r="C2294" s="10">
        <v>9</v>
      </c>
      <c r="D2294" s="10">
        <v>5</v>
      </c>
      <c r="E2294" s="10">
        <v>3</v>
      </c>
      <c r="F2294" s="10">
        <v>3</v>
      </c>
      <c r="L2294" s="1">
        <v>340</v>
      </c>
      <c r="M2294" s="1">
        <v>37</v>
      </c>
      <c r="N2294" s="1">
        <v>1</v>
      </c>
      <c r="O2294" s="1">
        <v>1</v>
      </c>
      <c r="P2294" s="2">
        <v>1</v>
      </c>
      <c r="Q2294" s="68">
        <v>1</v>
      </c>
    </row>
    <row r="2295" spans="1:17" x14ac:dyDescent="0.25">
      <c r="A2295" s="10">
        <v>336</v>
      </c>
      <c r="B2295" s="10">
        <v>36</v>
      </c>
      <c r="C2295" s="10">
        <v>9</v>
      </c>
      <c r="D2295" s="10">
        <v>2</v>
      </c>
      <c r="E2295" s="10">
        <v>2</v>
      </c>
      <c r="F2295" s="10">
        <v>2</v>
      </c>
      <c r="L2295" s="1">
        <v>341</v>
      </c>
      <c r="M2295" s="1">
        <v>37</v>
      </c>
      <c r="N2295" s="1">
        <v>1</v>
      </c>
      <c r="O2295" s="1">
        <v>1</v>
      </c>
      <c r="P2295" s="2">
        <v>1</v>
      </c>
      <c r="Q2295" s="67">
        <v>3</v>
      </c>
    </row>
    <row r="2296" spans="1:17" x14ac:dyDescent="0.25">
      <c r="A2296" s="10">
        <v>421</v>
      </c>
      <c r="B2296" s="10">
        <v>45</v>
      </c>
      <c r="C2296" s="10">
        <v>9</v>
      </c>
      <c r="D2296" s="10">
        <v>3</v>
      </c>
      <c r="E2296" s="10">
        <v>1</v>
      </c>
      <c r="F2296" s="10">
        <v>1</v>
      </c>
      <c r="L2296" s="1">
        <v>342</v>
      </c>
      <c r="M2296" s="1">
        <v>37</v>
      </c>
      <c r="N2296" s="1">
        <v>1</v>
      </c>
      <c r="O2296" s="1">
        <v>1</v>
      </c>
      <c r="P2296" s="2">
        <v>1</v>
      </c>
      <c r="Q2296" s="68">
        <v>0</v>
      </c>
    </row>
    <row r="2297" spans="1:17" x14ac:dyDescent="0.25">
      <c r="A2297" s="10">
        <v>33</v>
      </c>
      <c r="B2297" s="10">
        <v>4</v>
      </c>
      <c r="C2297" s="10">
        <v>9</v>
      </c>
      <c r="D2297" s="10">
        <v>1</v>
      </c>
      <c r="E2297" s="10">
        <v>29</v>
      </c>
      <c r="F2297" s="10">
        <v>29</v>
      </c>
      <c r="L2297" s="1">
        <v>343</v>
      </c>
      <c r="M2297" s="1">
        <v>37</v>
      </c>
      <c r="N2297" s="1">
        <v>1</v>
      </c>
      <c r="O2297" s="1">
        <v>1</v>
      </c>
      <c r="P2297" s="2">
        <v>1</v>
      </c>
      <c r="Q2297" s="67">
        <v>1</v>
      </c>
    </row>
    <row r="2298" spans="1:17" x14ac:dyDescent="0.25">
      <c r="A2298" s="10">
        <v>37</v>
      </c>
      <c r="B2298" s="10">
        <v>5</v>
      </c>
      <c r="C2298" s="10">
        <v>9</v>
      </c>
      <c r="D2298" s="10">
        <v>1</v>
      </c>
      <c r="E2298" s="10">
        <v>10</v>
      </c>
      <c r="F2298" s="10">
        <v>10</v>
      </c>
      <c r="L2298" s="1">
        <v>344</v>
      </c>
      <c r="M2298" s="1">
        <v>37</v>
      </c>
      <c r="N2298" s="1">
        <v>1</v>
      </c>
      <c r="O2298" s="1">
        <v>1</v>
      </c>
      <c r="P2298" s="2">
        <v>1</v>
      </c>
      <c r="Q2298" s="68">
        <v>0</v>
      </c>
    </row>
    <row r="2299" spans="1:17" x14ac:dyDescent="0.25">
      <c r="A2299" s="10">
        <v>12</v>
      </c>
      <c r="B2299" s="10">
        <v>2</v>
      </c>
      <c r="C2299" s="10">
        <v>9</v>
      </c>
      <c r="D2299" s="10">
        <v>2</v>
      </c>
      <c r="E2299" s="10">
        <v>19</v>
      </c>
      <c r="F2299" s="10">
        <v>19</v>
      </c>
      <c r="L2299" s="1">
        <v>345</v>
      </c>
      <c r="M2299" s="1">
        <v>37</v>
      </c>
      <c r="N2299" s="1">
        <v>1</v>
      </c>
      <c r="O2299" s="1">
        <v>1</v>
      </c>
      <c r="P2299" s="2">
        <v>1</v>
      </c>
      <c r="Q2299" s="67">
        <v>7</v>
      </c>
    </row>
    <row r="2300" spans="1:17" x14ac:dyDescent="0.25">
      <c r="A2300" s="10">
        <v>413</v>
      </c>
      <c r="B2300" s="10">
        <v>44</v>
      </c>
      <c r="C2300" s="10">
        <v>9</v>
      </c>
      <c r="D2300" s="10">
        <v>2</v>
      </c>
      <c r="E2300" s="10">
        <v>4</v>
      </c>
      <c r="F2300" s="10">
        <v>4</v>
      </c>
      <c r="L2300" s="1">
        <v>346</v>
      </c>
      <c r="M2300" s="1">
        <v>37</v>
      </c>
      <c r="N2300" s="1">
        <v>1</v>
      </c>
      <c r="O2300" s="1">
        <v>1</v>
      </c>
      <c r="P2300" s="2">
        <v>1</v>
      </c>
      <c r="Q2300" s="68">
        <v>14</v>
      </c>
    </row>
    <row r="2301" spans="1:17" x14ac:dyDescent="0.25">
      <c r="A2301" s="10">
        <v>411</v>
      </c>
      <c r="B2301" s="10">
        <v>44</v>
      </c>
      <c r="C2301" s="10">
        <v>9</v>
      </c>
      <c r="D2301" s="10">
        <v>1</v>
      </c>
      <c r="E2301" s="10">
        <v>5</v>
      </c>
      <c r="F2301" s="10">
        <v>5</v>
      </c>
      <c r="L2301" s="1">
        <v>347</v>
      </c>
      <c r="M2301" s="1">
        <v>38</v>
      </c>
      <c r="N2301" s="1">
        <v>1</v>
      </c>
      <c r="O2301" s="1">
        <v>1</v>
      </c>
      <c r="P2301" s="2">
        <v>1</v>
      </c>
      <c r="Q2301" s="67">
        <v>18</v>
      </c>
    </row>
    <row r="2302" spans="1:17" x14ac:dyDescent="0.25">
      <c r="A2302" s="10">
        <v>17</v>
      </c>
      <c r="B2302" s="10">
        <v>2</v>
      </c>
      <c r="C2302" s="10">
        <v>9</v>
      </c>
      <c r="D2302" s="10">
        <v>2</v>
      </c>
      <c r="E2302" s="10">
        <v>0</v>
      </c>
      <c r="F2302" s="10">
        <v>0</v>
      </c>
      <c r="L2302" s="1">
        <v>348</v>
      </c>
      <c r="M2302" s="1">
        <v>38</v>
      </c>
      <c r="N2302" s="1">
        <v>1</v>
      </c>
      <c r="O2302" s="1">
        <v>1</v>
      </c>
      <c r="P2302" s="2">
        <v>1</v>
      </c>
      <c r="Q2302" s="68">
        <v>9</v>
      </c>
    </row>
    <row r="2303" spans="1:17" x14ac:dyDescent="0.25">
      <c r="A2303" s="10">
        <v>4</v>
      </c>
      <c r="B2303" s="10">
        <v>1</v>
      </c>
      <c r="C2303" s="10">
        <v>9</v>
      </c>
      <c r="D2303" s="10">
        <v>1</v>
      </c>
      <c r="E2303" s="10">
        <v>12</v>
      </c>
      <c r="F2303" s="10">
        <v>12</v>
      </c>
      <c r="L2303" s="1">
        <v>349</v>
      </c>
      <c r="M2303" s="1">
        <v>38</v>
      </c>
      <c r="N2303" s="1">
        <v>1</v>
      </c>
      <c r="O2303" s="1">
        <v>1</v>
      </c>
      <c r="P2303" s="2">
        <v>1</v>
      </c>
      <c r="Q2303" s="67">
        <v>14</v>
      </c>
    </row>
    <row r="2304" spans="1:17" x14ac:dyDescent="0.25">
      <c r="A2304" s="10">
        <v>433</v>
      </c>
      <c r="B2304" s="10">
        <v>47</v>
      </c>
      <c r="C2304" s="10">
        <v>9</v>
      </c>
      <c r="D2304" s="10">
        <v>3</v>
      </c>
      <c r="E2304" s="10">
        <v>5</v>
      </c>
      <c r="F2304" s="10">
        <v>5</v>
      </c>
      <c r="L2304" s="1">
        <v>350</v>
      </c>
      <c r="M2304" s="1">
        <v>38</v>
      </c>
      <c r="N2304" s="1">
        <v>1</v>
      </c>
      <c r="O2304" s="1">
        <v>1</v>
      </c>
      <c r="P2304" s="2">
        <v>1</v>
      </c>
      <c r="Q2304" s="68">
        <v>14</v>
      </c>
    </row>
    <row r="2305" spans="1:17" x14ac:dyDescent="0.25">
      <c r="A2305" s="10">
        <v>34</v>
      </c>
      <c r="B2305" s="10">
        <v>4</v>
      </c>
      <c r="C2305" s="10">
        <v>9</v>
      </c>
      <c r="D2305" s="10">
        <v>2</v>
      </c>
      <c r="E2305" s="10">
        <v>8</v>
      </c>
      <c r="F2305" s="10">
        <v>8</v>
      </c>
      <c r="L2305" s="1">
        <v>351</v>
      </c>
      <c r="M2305" s="1">
        <v>38</v>
      </c>
      <c r="N2305" s="1">
        <v>1</v>
      </c>
      <c r="O2305" s="1">
        <v>1</v>
      </c>
      <c r="P2305" s="2">
        <v>1</v>
      </c>
      <c r="Q2305" s="67">
        <v>16</v>
      </c>
    </row>
    <row r="2306" spans="1:17" x14ac:dyDescent="0.25">
      <c r="A2306" s="10">
        <v>55</v>
      </c>
      <c r="B2306" s="10">
        <v>6</v>
      </c>
      <c r="C2306" s="10">
        <v>9</v>
      </c>
      <c r="D2306" s="10">
        <v>1</v>
      </c>
      <c r="E2306" s="10">
        <v>613</v>
      </c>
      <c r="F2306" s="10">
        <v>613</v>
      </c>
      <c r="L2306" s="1">
        <v>352</v>
      </c>
      <c r="M2306" s="1">
        <v>38</v>
      </c>
      <c r="N2306" s="1">
        <v>1</v>
      </c>
      <c r="O2306" s="1">
        <v>1</v>
      </c>
      <c r="P2306" s="2">
        <v>1</v>
      </c>
      <c r="Q2306" s="68">
        <v>13</v>
      </c>
    </row>
    <row r="2307" spans="1:17" x14ac:dyDescent="0.25">
      <c r="A2307" s="10">
        <v>441</v>
      </c>
      <c r="B2307" s="10">
        <v>47</v>
      </c>
      <c r="C2307" s="10">
        <v>9</v>
      </c>
      <c r="D2307" s="10">
        <v>1</v>
      </c>
      <c r="E2307" s="10">
        <v>3</v>
      </c>
      <c r="F2307" s="10">
        <v>3</v>
      </c>
      <c r="L2307" s="1">
        <v>353</v>
      </c>
      <c r="M2307" s="1">
        <v>38</v>
      </c>
      <c r="N2307" s="1">
        <v>1</v>
      </c>
      <c r="O2307" s="1">
        <v>1</v>
      </c>
      <c r="P2307" s="2">
        <v>1</v>
      </c>
      <c r="Q2307" s="67">
        <v>6</v>
      </c>
    </row>
    <row r="2308" spans="1:17" x14ac:dyDescent="0.25">
      <c r="A2308" s="10">
        <v>441</v>
      </c>
      <c r="B2308" s="10">
        <v>47</v>
      </c>
      <c r="C2308" s="10">
        <v>9</v>
      </c>
      <c r="D2308" s="10">
        <v>2</v>
      </c>
      <c r="E2308" s="10">
        <v>3</v>
      </c>
      <c r="F2308" s="10">
        <v>3</v>
      </c>
      <c r="L2308" s="1">
        <v>354</v>
      </c>
      <c r="M2308" s="1">
        <v>38</v>
      </c>
      <c r="N2308" s="1">
        <v>1</v>
      </c>
      <c r="O2308" s="1">
        <v>1</v>
      </c>
      <c r="P2308" s="2">
        <v>1</v>
      </c>
      <c r="Q2308" s="68">
        <v>8</v>
      </c>
    </row>
    <row r="2309" spans="1:17" x14ac:dyDescent="0.25">
      <c r="A2309" s="10">
        <v>252</v>
      </c>
      <c r="B2309" s="10">
        <v>27</v>
      </c>
      <c r="C2309" s="10">
        <v>9</v>
      </c>
      <c r="D2309" s="10">
        <v>6</v>
      </c>
      <c r="E2309" s="10">
        <v>2</v>
      </c>
      <c r="F2309" s="10">
        <v>2</v>
      </c>
      <c r="L2309" s="1">
        <v>355</v>
      </c>
      <c r="M2309" s="1">
        <v>38</v>
      </c>
      <c r="N2309" s="1">
        <v>1</v>
      </c>
      <c r="O2309" s="1">
        <v>1</v>
      </c>
      <c r="P2309" s="2">
        <v>1</v>
      </c>
      <c r="Q2309" s="67">
        <v>15</v>
      </c>
    </row>
    <row r="2310" spans="1:17" x14ac:dyDescent="0.25">
      <c r="A2310" s="10">
        <v>441</v>
      </c>
      <c r="B2310" s="10">
        <v>47</v>
      </c>
      <c r="C2310" s="10">
        <v>9</v>
      </c>
      <c r="D2310" s="10">
        <v>4</v>
      </c>
      <c r="E2310" s="10">
        <v>2</v>
      </c>
      <c r="F2310" s="10">
        <v>2</v>
      </c>
      <c r="L2310" s="1">
        <v>356</v>
      </c>
      <c r="M2310" s="1">
        <v>38</v>
      </c>
      <c r="N2310" s="1">
        <v>1</v>
      </c>
      <c r="O2310" s="1">
        <v>1</v>
      </c>
      <c r="P2310" s="2">
        <v>1</v>
      </c>
      <c r="Q2310" s="68">
        <v>13</v>
      </c>
    </row>
    <row r="2311" spans="1:17" x14ac:dyDescent="0.25">
      <c r="A2311" s="10">
        <v>2</v>
      </c>
      <c r="B2311" s="10">
        <v>1</v>
      </c>
      <c r="C2311" s="10">
        <v>9</v>
      </c>
      <c r="D2311" s="10">
        <v>1</v>
      </c>
      <c r="E2311" s="10">
        <v>10</v>
      </c>
      <c r="F2311" s="10">
        <v>10</v>
      </c>
      <c r="L2311" s="1">
        <v>357</v>
      </c>
      <c r="M2311" s="1">
        <v>39</v>
      </c>
      <c r="N2311" s="1">
        <v>1</v>
      </c>
      <c r="O2311" s="1">
        <v>1</v>
      </c>
      <c r="P2311" s="2">
        <v>1</v>
      </c>
      <c r="Q2311" s="67">
        <v>14</v>
      </c>
    </row>
    <row r="2312" spans="1:17" x14ac:dyDescent="0.25">
      <c r="A2312" s="10">
        <v>438</v>
      </c>
      <c r="B2312" s="10">
        <v>47</v>
      </c>
      <c r="C2312" s="10">
        <v>9</v>
      </c>
      <c r="D2312" s="10">
        <v>1</v>
      </c>
      <c r="E2312" s="10">
        <v>10</v>
      </c>
      <c r="F2312" s="10">
        <v>10</v>
      </c>
      <c r="L2312" s="1">
        <v>358</v>
      </c>
      <c r="M2312" s="1">
        <v>39</v>
      </c>
      <c r="N2312" s="1">
        <v>1</v>
      </c>
      <c r="O2312" s="1">
        <v>1</v>
      </c>
      <c r="P2312" s="2">
        <v>1</v>
      </c>
      <c r="Q2312" s="68">
        <v>15</v>
      </c>
    </row>
    <row r="2313" spans="1:17" x14ac:dyDescent="0.25">
      <c r="A2313" s="10">
        <v>438</v>
      </c>
      <c r="B2313" s="10">
        <v>47</v>
      </c>
      <c r="C2313" s="10">
        <v>9</v>
      </c>
      <c r="D2313" s="10">
        <v>2</v>
      </c>
      <c r="E2313" s="10">
        <v>6</v>
      </c>
      <c r="F2313" s="10">
        <v>6</v>
      </c>
      <c r="L2313" s="1">
        <v>359</v>
      </c>
      <c r="M2313" s="1">
        <v>39</v>
      </c>
      <c r="N2313" s="1">
        <v>1</v>
      </c>
      <c r="O2313" s="1">
        <v>1</v>
      </c>
      <c r="P2313" s="2">
        <v>1</v>
      </c>
      <c r="Q2313" s="67">
        <v>10</v>
      </c>
    </row>
    <row r="2314" spans="1:17" x14ac:dyDescent="0.25">
      <c r="A2314" s="10">
        <v>2</v>
      </c>
      <c r="B2314" s="10">
        <v>1</v>
      </c>
      <c r="C2314" s="10">
        <v>9</v>
      </c>
      <c r="D2314" s="10">
        <v>2</v>
      </c>
      <c r="E2314" s="10">
        <v>14</v>
      </c>
      <c r="F2314" s="10">
        <v>14</v>
      </c>
      <c r="L2314" s="1">
        <v>360</v>
      </c>
      <c r="M2314" s="1">
        <v>39</v>
      </c>
      <c r="N2314" s="1">
        <v>1</v>
      </c>
      <c r="O2314" s="1">
        <v>1</v>
      </c>
      <c r="P2314" s="2">
        <v>1</v>
      </c>
      <c r="Q2314" s="68">
        <v>19</v>
      </c>
    </row>
    <row r="2315" spans="1:17" x14ac:dyDescent="0.25">
      <c r="A2315" s="10">
        <v>438</v>
      </c>
      <c r="B2315" s="10">
        <v>47</v>
      </c>
      <c r="C2315" s="10">
        <v>9</v>
      </c>
      <c r="D2315" s="10">
        <v>3</v>
      </c>
      <c r="E2315" s="10">
        <v>2</v>
      </c>
      <c r="F2315" s="10">
        <v>2</v>
      </c>
      <c r="L2315" s="1">
        <v>361</v>
      </c>
      <c r="M2315" s="1">
        <v>39</v>
      </c>
      <c r="N2315" s="1">
        <v>1</v>
      </c>
      <c r="O2315" s="1">
        <v>1</v>
      </c>
      <c r="P2315" s="2">
        <v>1</v>
      </c>
      <c r="Q2315" s="67">
        <v>18</v>
      </c>
    </row>
    <row r="2316" spans="1:17" x14ac:dyDescent="0.25">
      <c r="A2316" s="10">
        <v>28</v>
      </c>
      <c r="B2316" s="10">
        <v>4</v>
      </c>
      <c r="C2316" s="10">
        <v>9</v>
      </c>
      <c r="D2316" s="10">
        <v>1</v>
      </c>
      <c r="E2316" s="10">
        <v>34</v>
      </c>
      <c r="F2316" s="10">
        <v>34</v>
      </c>
      <c r="L2316" s="1">
        <v>362</v>
      </c>
      <c r="M2316" s="1">
        <v>39</v>
      </c>
      <c r="N2316" s="1">
        <v>1</v>
      </c>
      <c r="O2316" s="1">
        <v>1</v>
      </c>
      <c r="P2316" s="2">
        <v>1</v>
      </c>
      <c r="Q2316" s="68">
        <v>9</v>
      </c>
    </row>
    <row r="2317" spans="1:17" x14ac:dyDescent="0.25">
      <c r="A2317" s="10">
        <v>28</v>
      </c>
      <c r="B2317" s="10">
        <v>4</v>
      </c>
      <c r="C2317" s="10">
        <v>9</v>
      </c>
      <c r="D2317" s="10">
        <v>2</v>
      </c>
      <c r="E2317" s="10">
        <v>16</v>
      </c>
      <c r="F2317" s="10">
        <v>16</v>
      </c>
      <c r="L2317" s="1">
        <v>363</v>
      </c>
      <c r="M2317" s="1">
        <v>39</v>
      </c>
      <c r="N2317" s="1">
        <v>1</v>
      </c>
      <c r="O2317" s="1">
        <v>1</v>
      </c>
      <c r="P2317" s="2">
        <v>1</v>
      </c>
      <c r="Q2317" s="67">
        <v>15</v>
      </c>
    </row>
    <row r="2318" spans="1:17" x14ac:dyDescent="0.25">
      <c r="A2318" s="10">
        <v>120</v>
      </c>
      <c r="B2318" s="10">
        <v>13</v>
      </c>
      <c r="C2318" s="10">
        <v>9</v>
      </c>
      <c r="D2318" s="10">
        <v>1</v>
      </c>
      <c r="E2318" s="10">
        <v>26</v>
      </c>
      <c r="F2318" s="10">
        <v>26</v>
      </c>
      <c r="L2318" s="1">
        <v>364</v>
      </c>
      <c r="M2318" s="1">
        <v>39</v>
      </c>
      <c r="N2318" s="1">
        <v>1</v>
      </c>
      <c r="O2318" s="1">
        <v>1</v>
      </c>
      <c r="P2318" s="2">
        <v>1</v>
      </c>
      <c r="Q2318" s="68">
        <v>6</v>
      </c>
    </row>
    <row r="2319" spans="1:17" x14ac:dyDescent="0.25">
      <c r="A2319" s="10">
        <v>120</v>
      </c>
      <c r="B2319" s="10">
        <v>13</v>
      </c>
      <c r="C2319" s="10">
        <v>9</v>
      </c>
      <c r="D2319" s="10">
        <v>2</v>
      </c>
      <c r="E2319" s="10">
        <v>12</v>
      </c>
      <c r="F2319" s="10">
        <v>12</v>
      </c>
      <c r="L2319" s="1">
        <v>365</v>
      </c>
      <c r="M2319" s="1">
        <v>39</v>
      </c>
      <c r="N2319" s="1">
        <v>1</v>
      </c>
      <c r="O2319" s="1">
        <v>1</v>
      </c>
      <c r="P2319" s="2">
        <v>1</v>
      </c>
      <c r="Q2319" s="67">
        <v>5</v>
      </c>
    </row>
    <row r="2320" spans="1:17" x14ac:dyDescent="0.25">
      <c r="A2320" s="10">
        <v>120</v>
      </c>
      <c r="B2320" s="10">
        <v>13</v>
      </c>
      <c r="C2320" s="10">
        <v>9</v>
      </c>
      <c r="D2320" s="10">
        <v>3</v>
      </c>
      <c r="E2320" s="10">
        <v>5</v>
      </c>
      <c r="F2320" s="10">
        <v>5</v>
      </c>
      <c r="L2320" s="1">
        <v>366</v>
      </c>
      <c r="M2320" s="1">
        <v>39</v>
      </c>
      <c r="N2320" s="1">
        <v>1</v>
      </c>
      <c r="O2320" s="1">
        <v>1</v>
      </c>
      <c r="P2320" s="2">
        <v>1</v>
      </c>
      <c r="Q2320" s="68">
        <v>10</v>
      </c>
    </row>
    <row r="2321" spans="1:17" x14ac:dyDescent="0.25">
      <c r="A2321" s="10">
        <v>248</v>
      </c>
      <c r="B2321" s="10">
        <v>27</v>
      </c>
      <c r="C2321" s="10">
        <v>9</v>
      </c>
      <c r="D2321" s="10">
        <v>1</v>
      </c>
      <c r="E2321" s="10">
        <v>13</v>
      </c>
      <c r="F2321" s="10">
        <v>13</v>
      </c>
      <c r="L2321" s="1">
        <v>367</v>
      </c>
      <c r="M2321" s="1">
        <v>40</v>
      </c>
      <c r="N2321" s="1">
        <v>1</v>
      </c>
      <c r="O2321" s="1">
        <v>1</v>
      </c>
      <c r="P2321" s="2">
        <v>1</v>
      </c>
      <c r="Q2321" s="67">
        <v>20</v>
      </c>
    </row>
    <row r="2322" spans="1:17" x14ac:dyDescent="0.25">
      <c r="A2322" s="10">
        <v>248</v>
      </c>
      <c r="B2322" s="10">
        <v>27</v>
      </c>
      <c r="C2322" s="10">
        <v>9</v>
      </c>
      <c r="D2322" s="10">
        <v>2</v>
      </c>
      <c r="E2322" s="10">
        <v>5</v>
      </c>
      <c r="F2322" s="10">
        <v>5</v>
      </c>
      <c r="L2322" s="1">
        <v>368</v>
      </c>
      <c r="M2322" s="1">
        <v>40</v>
      </c>
      <c r="N2322" s="1">
        <v>1</v>
      </c>
      <c r="O2322" s="1">
        <v>1</v>
      </c>
      <c r="P2322" s="2">
        <v>1</v>
      </c>
      <c r="Q2322" s="68">
        <v>13</v>
      </c>
    </row>
    <row r="2323" spans="1:17" x14ac:dyDescent="0.25">
      <c r="A2323" s="10">
        <v>442</v>
      </c>
      <c r="B2323" s="10">
        <v>47</v>
      </c>
      <c r="C2323" s="10">
        <v>9</v>
      </c>
      <c r="D2323" s="10">
        <v>1</v>
      </c>
      <c r="E2323" s="10">
        <v>3</v>
      </c>
      <c r="F2323" s="10">
        <v>3</v>
      </c>
      <c r="L2323" s="1">
        <v>369</v>
      </c>
      <c r="M2323" s="1">
        <v>40</v>
      </c>
      <c r="N2323" s="1">
        <v>1</v>
      </c>
      <c r="O2323" s="1">
        <v>1</v>
      </c>
      <c r="P2323" s="2">
        <v>1</v>
      </c>
      <c r="Q2323" s="67">
        <v>12</v>
      </c>
    </row>
    <row r="2324" spans="1:17" x14ac:dyDescent="0.25">
      <c r="A2324" s="10">
        <v>442</v>
      </c>
      <c r="B2324" s="10">
        <v>47</v>
      </c>
      <c r="C2324" s="10">
        <v>9</v>
      </c>
      <c r="D2324" s="10">
        <v>2</v>
      </c>
      <c r="E2324" s="10">
        <v>1</v>
      </c>
      <c r="F2324" s="10">
        <v>1</v>
      </c>
      <c r="L2324" s="1">
        <v>370</v>
      </c>
      <c r="M2324" s="1">
        <v>40</v>
      </c>
      <c r="N2324" s="1">
        <v>1</v>
      </c>
      <c r="O2324" s="1">
        <v>1</v>
      </c>
      <c r="P2324" s="2">
        <v>1</v>
      </c>
      <c r="Q2324" s="68">
        <v>3</v>
      </c>
    </row>
    <row r="2325" spans="1:17" x14ac:dyDescent="0.25">
      <c r="A2325" s="10">
        <v>273</v>
      </c>
      <c r="B2325" s="10">
        <v>30</v>
      </c>
      <c r="C2325" s="10">
        <v>9</v>
      </c>
      <c r="D2325" s="10">
        <v>1</v>
      </c>
      <c r="E2325" s="10">
        <v>24</v>
      </c>
      <c r="F2325" s="10">
        <v>24</v>
      </c>
      <c r="L2325" s="1">
        <v>371</v>
      </c>
      <c r="M2325" s="1">
        <v>40</v>
      </c>
      <c r="N2325" s="1">
        <v>1</v>
      </c>
      <c r="O2325" s="1">
        <v>1</v>
      </c>
      <c r="P2325" s="2">
        <v>1</v>
      </c>
      <c r="Q2325" s="67">
        <v>12</v>
      </c>
    </row>
    <row r="2326" spans="1:17" x14ac:dyDescent="0.25">
      <c r="A2326" s="10">
        <v>273</v>
      </c>
      <c r="B2326" s="10">
        <v>30</v>
      </c>
      <c r="C2326" s="10">
        <v>9</v>
      </c>
      <c r="D2326" s="10">
        <v>2</v>
      </c>
      <c r="E2326" s="10">
        <v>21</v>
      </c>
      <c r="F2326" s="10">
        <v>21</v>
      </c>
      <c r="L2326" s="1">
        <v>372</v>
      </c>
      <c r="M2326" s="1">
        <v>40</v>
      </c>
      <c r="N2326" s="1">
        <v>1</v>
      </c>
      <c r="O2326" s="1">
        <v>1</v>
      </c>
      <c r="P2326" s="2">
        <v>1</v>
      </c>
      <c r="Q2326" s="68">
        <v>7</v>
      </c>
    </row>
    <row r="2327" spans="1:17" x14ac:dyDescent="0.25">
      <c r="A2327" s="10">
        <v>273</v>
      </c>
      <c r="B2327" s="10">
        <v>30</v>
      </c>
      <c r="C2327" s="10">
        <v>9</v>
      </c>
      <c r="D2327" s="10">
        <v>3</v>
      </c>
      <c r="E2327" s="10">
        <v>3</v>
      </c>
      <c r="F2327" s="10">
        <v>3</v>
      </c>
      <c r="L2327" s="1">
        <v>373</v>
      </c>
      <c r="M2327" s="1">
        <v>40</v>
      </c>
      <c r="N2327" s="1">
        <v>1</v>
      </c>
      <c r="O2327" s="1">
        <v>1</v>
      </c>
      <c r="P2327" s="2">
        <v>1</v>
      </c>
      <c r="Q2327" s="67">
        <v>9</v>
      </c>
    </row>
    <row r="2328" spans="1:17" x14ac:dyDescent="0.25">
      <c r="A2328" s="10">
        <v>273</v>
      </c>
      <c r="B2328" s="10">
        <v>30</v>
      </c>
      <c r="C2328" s="10">
        <v>8</v>
      </c>
      <c r="D2328" s="10">
        <v>1</v>
      </c>
      <c r="E2328" s="10">
        <v>22</v>
      </c>
      <c r="F2328" s="10">
        <v>22</v>
      </c>
      <c r="L2328" s="1">
        <v>374</v>
      </c>
      <c r="M2328" s="1">
        <v>40</v>
      </c>
      <c r="N2328" s="1">
        <v>1</v>
      </c>
      <c r="O2328" s="1">
        <v>1</v>
      </c>
      <c r="P2328" s="2">
        <v>1</v>
      </c>
      <c r="Q2328" s="68">
        <v>3</v>
      </c>
    </row>
    <row r="2329" spans="1:17" x14ac:dyDescent="0.25">
      <c r="A2329" s="10">
        <v>273</v>
      </c>
      <c r="B2329" s="10">
        <v>30</v>
      </c>
      <c r="C2329" s="10">
        <v>8</v>
      </c>
      <c r="D2329" s="10">
        <v>2</v>
      </c>
      <c r="E2329" s="10">
        <v>24</v>
      </c>
      <c r="F2329" s="10">
        <v>24</v>
      </c>
      <c r="L2329" s="1">
        <v>375</v>
      </c>
      <c r="M2329" s="1">
        <v>41</v>
      </c>
      <c r="N2329" s="1">
        <v>1</v>
      </c>
      <c r="O2329" s="1">
        <v>1</v>
      </c>
      <c r="P2329" s="2">
        <v>1</v>
      </c>
      <c r="Q2329" s="67">
        <v>6</v>
      </c>
    </row>
    <row r="2330" spans="1:17" x14ac:dyDescent="0.25">
      <c r="A2330" s="10">
        <v>271</v>
      </c>
      <c r="B2330" s="10">
        <v>30</v>
      </c>
      <c r="C2330" s="10">
        <v>9</v>
      </c>
      <c r="D2330" s="10">
        <v>1</v>
      </c>
      <c r="E2330" s="10">
        <v>20</v>
      </c>
      <c r="F2330" s="10">
        <v>20</v>
      </c>
      <c r="L2330" s="1">
        <v>376</v>
      </c>
      <c r="M2330" s="1">
        <v>41</v>
      </c>
      <c r="N2330" s="1">
        <v>1</v>
      </c>
      <c r="O2330" s="1">
        <v>1</v>
      </c>
      <c r="P2330" s="2">
        <v>1</v>
      </c>
      <c r="Q2330" s="68">
        <v>15</v>
      </c>
    </row>
    <row r="2331" spans="1:17" x14ac:dyDescent="0.25">
      <c r="A2331" s="10">
        <v>413</v>
      </c>
      <c r="B2331" s="10">
        <v>44</v>
      </c>
      <c r="C2331" s="10">
        <v>7</v>
      </c>
      <c r="D2331" s="10">
        <v>8</v>
      </c>
      <c r="E2331" s="10">
        <v>8</v>
      </c>
      <c r="F2331" s="10">
        <v>8</v>
      </c>
      <c r="L2331" s="1">
        <v>377</v>
      </c>
      <c r="M2331" s="1">
        <v>41</v>
      </c>
      <c r="N2331" s="1">
        <v>1</v>
      </c>
      <c r="O2331" s="1">
        <v>1</v>
      </c>
      <c r="P2331" s="2">
        <v>1</v>
      </c>
      <c r="Q2331" s="67">
        <v>4</v>
      </c>
    </row>
    <row r="2332" spans="1:17" x14ac:dyDescent="0.25">
      <c r="A2332" s="10">
        <v>44</v>
      </c>
      <c r="B2332" s="10">
        <v>5</v>
      </c>
      <c r="C2332" s="10">
        <v>7</v>
      </c>
      <c r="D2332" s="10">
        <v>2</v>
      </c>
      <c r="E2332" s="10">
        <v>11</v>
      </c>
      <c r="F2332" s="10">
        <v>11</v>
      </c>
      <c r="L2332" s="1">
        <v>378</v>
      </c>
      <c r="M2332" s="1">
        <v>41</v>
      </c>
      <c r="N2332" s="1">
        <v>1</v>
      </c>
      <c r="O2332" s="1">
        <v>1</v>
      </c>
      <c r="P2332" s="2">
        <v>1</v>
      </c>
      <c r="Q2332" s="68">
        <v>7</v>
      </c>
    </row>
    <row r="2333" spans="1:17" x14ac:dyDescent="0.25">
      <c r="A2333" s="10">
        <v>342</v>
      </c>
      <c r="B2333" s="10">
        <v>37</v>
      </c>
      <c r="C2333" s="10">
        <v>7</v>
      </c>
      <c r="D2333" s="10">
        <v>7</v>
      </c>
      <c r="E2333" s="10">
        <v>2</v>
      </c>
      <c r="F2333" s="10">
        <v>2</v>
      </c>
      <c r="L2333" s="1">
        <v>379</v>
      </c>
      <c r="M2333" s="1">
        <v>41</v>
      </c>
      <c r="N2333" s="1">
        <v>1</v>
      </c>
      <c r="O2333" s="1">
        <v>1</v>
      </c>
      <c r="P2333" s="2">
        <v>1</v>
      </c>
      <c r="Q2333" s="67">
        <v>8</v>
      </c>
    </row>
    <row r="2334" spans="1:17" x14ac:dyDescent="0.25">
      <c r="A2334" s="10">
        <v>413</v>
      </c>
      <c r="B2334" s="10">
        <v>44</v>
      </c>
      <c r="C2334" s="10">
        <v>7</v>
      </c>
      <c r="D2334" s="10">
        <v>1</v>
      </c>
      <c r="E2334" s="10">
        <v>11</v>
      </c>
      <c r="F2334" s="10">
        <v>11</v>
      </c>
      <c r="L2334" s="1">
        <v>380</v>
      </c>
      <c r="M2334" s="1">
        <v>41</v>
      </c>
      <c r="N2334" s="1">
        <v>1</v>
      </c>
      <c r="O2334" s="1">
        <v>1</v>
      </c>
      <c r="P2334" s="2">
        <v>1</v>
      </c>
      <c r="Q2334" s="68">
        <v>2</v>
      </c>
    </row>
    <row r="2335" spans="1:17" x14ac:dyDescent="0.25">
      <c r="A2335" s="10">
        <v>386</v>
      </c>
      <c r="B2335" s="10">
        <v>42</v>
      </c>
      <c r="C2335" s="10">
        <v>7</v>
      </c>
      <c r="D2335" s="10">
        <v>2</v>
      </c>
      <c r="E2335" s="10">
        <v>16</v>
      </c>
      <c r="F2335" s="10">
        <v>16</v>
      </c>
      <c r="L2335" s="1">
        <v>381</v>
      </c>
      <c r="M2335" s="1">
        <v>41</v>
      </c>
      <c r="N2335" s="1">
        <v>1</v>
      </c>
      <c r="O2335" s="1">
        <v>1</v>
      </c>
      <c r="P2335" s="2">
        <v>1</v>
      </c>
      <c r="Q2335" s="67">
        <v>7</v>
      </c>
    </row>
    <row r="2336" spans="1:17" x14ac:dyDescent="0.25">
      <c r="A2336" s="10">
        <v>335</v>
      </c>
      <c r="B2336" s="10">
        <v>36</v>
      </c>
      <c r="C2336" s="10">
        <v>7</v>
      </c>
      <c r="D2336" s="10">
        <v>2</v>
      </c>
      <c r="E2336" s="10">
        <v>18</v>
      </c>
      <c r="F2336" s="10">
        <v>18</v>
      </c>
      <c r="L2336" s="1">
        <v>382</v>
      </c>
      <c r="M2336" s="1">
        <v>41</v>
      </c>
      <c r="N2336" s="1">
        <v>1</v>
      </c>
      <c r="O2336" s="1">
        <v>1</v>
      </c>
      <c r="P2336" s="2">
        <v>1</v>
      </c>
      <c r="Q2336" s="68">
        <v>6</v>
      </c>
    </row>
    <row r="2337" spans="1:17" x14ac:dyDescent="0.25">
      <c r="A2337" s="10">
        <v>249</v>
      </c>
      <c r="B2337" s="10">
        <v>27</v>
      </c>
      <c r="C2337" s="10">
        <v>8</v>
      </c>
      <c r="D2337" s="10">
        <v>1</v>
      </c>
      <c r="E2337" s="10">
        <v>8</v>
      </c>
      <c r="F2337" s="10">
        <v>8</v>
      </c>
      <c r="L2337" s="1">
        <v>383</v>
      </c>
      <c r="M2337" s="1">
        <v>41</v>
      </c>
      <c r="N2337" s="1">
        <v>1</v>
      </c>
      <c r="O2337" s="1">
        <v>1</v>
      </c>
      <c r="P2337" s="2">
        <v>1</v>
      </c>
      <c r="Q2337" s="67">
        <v>10</v>
      </c>
    </row>
    <row r="2338" spans="1:17" x14ac:dyDescent="0.25">
      <c r="A2338" s="10">
        <v>249</v>
      </c>
      <c r="B2338" s="10">
        <v>27</v>
      </c>
      <c r="C2338" s="10">
        <v>8</v>
      </c>
      <c r="D2338" s="10">
        <v>6</v>
      </c>
      <c r="E2338" s="10">
        <v>2</v>
      </c>
      <c r="F2338" s="10">
        <v>2</v>
      </c>
      <c r="L2338" s="1">
        <v>384</v>
      </c>
      <c r="M2338" s="1">
        <v>41</v>
      </c>
      <c r="N2338" s="1">
        <v>1</v>
      </c>
      <c r="O2338" s="1">
        <v>1</v>
      </c>
      <c r="P2338" s="2">
        <v>1</v>
      </c>
      <c r="Q2338" s="68">
        <v>18</v>
      </c>
    </row>
    <row r="2339" spans="1:17" x14ac:dyDescent="0.25">
      <c r="A2339" s="10">
        <v>16</v>
      </c>
      <c r="B2339" s="10">
        <v>2</v>
      </c>
      <c r="C2339" s="10">
        <v>7</v>
      </c>
      <c r="D2339" s="10">
        <v>1</v>
      </c>
      <c r="E2339" s="10">
        <v>15</v>
      </c>
      <c r="F2339" s="10">
        <v>15</v>
      </c>
      <c r="L2339" s="1">
        <v>385</v>
      </c>
      <c r="M2339" s="1">
        <v>42</v>
      </c>
      <c r="N2339" s="1">
        <v>1</v>
      </c>
      <c r="O2339" s="1">
        <v>1</v>
      </c>
      <c r="P2339" s="2">
        <v>1</v>
      </c>
      <c r="Q2339" s="67">
        <v>12</v>
      </c>
    </row>
    <row r="2340" spans="1:17" x14ac:dyDescent="0.25">
      <c r="A2340" s="10">
        <v>12</v>
      </c>
      <c r="B2340" s="10">
        <v>2</v>
      </c>
      <c r="C2340" s="10">
        <v>7</v>
      </c>
      <c r="D2340" s="10">
        <v>1</v>
      </c>
      <c r="E2340" s="10">
        <v>12</v>
      </c>
      <c r="F2340" s="10">
        <v>12</v>
      </c>
      <c r="L2340" s="1">
        <v>386</v>
      </c>
      <c r="M2340" s="1">
        <v>42</v>
      </c>
      <c r="N2340" s="1">
        <v>1</v>
      </c>
      <c r="O2340" s="1">
        <v>1</v>
      </c>
      <c r="P2340" s="2">
        <v>1</v>
      </c>
      <c r="Q2340" s="68">
        <v>15</v>
      </c>
    </row>
    <row r="2341" spans="1:17" x14ac:dyDescent="0.25">
      <c r="A2341" s="10">
        <v>12</v>
      </c>
      <c r="B2341" s="10">
        <v>2</v>
      </c>
      <c r="C2341" s="10">
        <v>7</v>
      </c>
      <c r="D2341" s="10">
        <v>2</v>
      </c>
      <c r="E2341" s="10">
        <v>16</v>
      </c>
      <c r="F2341" s="10">
        <v>16</v>
      </c>
      <c r="L2341" s="1">
        <v>387</v>
      </c>
      <c r="M2341" s="1">
        <v>42</v>
      </c>
      <c r="N2341" s="1">
        <v>1</v>
      </c>
      <c r="O2341" s="1">
        <v>1</v>
      </c>
      <c r="P2341" s="2">
        <v>1</v>
      </c>
      <c r="Q2341" s="67">
        <v>11</v>
      </c>
    </row>
    <row r="2342" spans="1:17" x14ac:dyDescent="0.25">
      <c r="A2342" s="10">
        <v>4</v>
      </c>
      <c r="B2342" s="10">
        <v>1</v>
      </c>
      <c r="C2342" s="10">
        <v>7</v>
      </c>
      <c r="D2342" s="10">
        <v>2</v>
      </c>
      <c r="E2342" s="10">
        <v>18</v>
      </c>
      <c r="F2342" s="10">
        <v>18</v>
      </c>
      <c r="L2342" s="1">
        <v>388</v>
      </c>
      <c r="M2342" s="1">
        <v>42</v>
      </c>
      <c r="N2342" s="1">
        <v>1</v>
      </c>
      <c r="O2342" s="1">
        <v>1</v>
      </c>
      <c r="P2342" s="2">
        <v>1</v>
      </c>
      <c r="Q2342" s="68">
        <v>21</v>
      </c>
    </row>
    <row r="2343" spans="1:17" x14ac:dyDescent="0.25">
      <c r="A2343" s="10">
        <v>3</v>
      </c>
      <c r="B2343" s="10">
        <v>1</v>
      </c>
      <c r="C2343" s="10">
        <v>7</v>
      </c>
      <c r="D2343" s="10">
        <v>1</v>
      </c>
      <c r="E2343" s="10">
        <v>17</v>
      </c>
      <c r="F2343" s="10">
        <v>17</v>
      </c>
      <c r="L2343" s="1">
        <v>389</v>
      </c>
      <c r="M2343" s="1">
        <v>42</v>
      </c>
      <c r="N2343" s="1">
        <v>1</v>
      </c>
      <c r="O2343" s="1">
        <v>1</v>
      </c>
      <c r="P2343" s="2">
        <v>1</v>
      </c>
      <c r="Q2343" s="67">
        <v>14</v>
      </c>
    </row>
    <row r="2344" spans="1:17" x14ac:dyDescent="0.25">
      <c r="A2344" s="10">
        <v>3</v>
      </c>
      <c r="B2344" s="10">
        <v>1</v>
      </c>
      <c r="C2344" s="10">
        <v>7</v>
      </c>
      <c r="D2344" s="10">
        <v>2</v>
      </c>
      <c r="E2344" s="10">
        <v>9</v>
      </c>
      <c r="F2344" s="10">
        <v>9</v>
      </c>
      <c r="L2344" s="1">
        <v>390</v>
      </c>
      <c r="M2344" s="1">
        <v>42</v>
      </c>
      <c r="N2344" s="1">
        <v>1</v>
      </c>
      <c r="O2344" s="1">
        <v>1</v>
      </c>
      <c r="P2344" s="2">
        <v>1</v>
      </c>
      <c r="Q2344" s="68">
        <v>17</v>
      </c>
    </row>
    <row r="2345" spans="1:17" x14ac:dyDescent="0.25">
      <c r="A2345" s="10">
        <v>343</v>
      </c>
      <c r="B2345" s="10">
        <v>37</v>
      </c>
      <c r="C2345" s="10">
        <v>8</v>
      </c>
      <c r="D2345" s="10">
        <v>1</v>
      </c>
      <c r="E2345" s="10">
        <v>7</v>
      </c>
      <c r="F2345" s="10">
        <v>7</v>
      </c>
      <c r="L2345" s="1">
        <v>391</v>
      </c>
      <c r="M2345" s="1">
        <v>42</v>
      </c>
      <c r="N2345" s="1">
        <v>1</v>
      </c>
      <c r="O2345" s="1">
        <v>1</v>
      </c>
      <c r="P2345" s="2">
        <v>1</v>
      </c>
      <c r="Q2345" s="67">
        <v>15</v>
      </c>
    </row>
    <row r="2346" spans="1:17" x14ac:dyDescent="0.25">
      <c r="A2346" s="10">
        <v>343</v>
      </c>
      <c r="B2346" s="10">
        <v>37</v>
      </c>
      <c r="C2346" s="10">
        <v>8</v>
      </c>
      <c r="D2346" s="10">
        <v>2</v>
      </c>
      <c r="E2346" s="10">
        <v>6</v>
      </c>
      <c r="F2346" s="10">
        <v>6</v>
      </c>
      <c r="L2346" s="1">
        <v>392</v>
      </c>
      <c r="M2346" s="1">
        <v>42</v>
      </c>
      <c r="N2346" s="1">
        <v>1</v>
      </c>
      <c r="O2346" s="1">
        <v>1</v>
      </c>
      <c r="P2346" s="2">
        <v>1</v>
      </c>
      <c r="Q2346" s="68">
        <v>17</v>
      </c>
    </row>
    <row r="2347" spans="1:17" x14ac:dyDescent="0.25">
      <c r="A2347" s="10">
        <v>343</v>
      </c>
      <c r="B2347" s="10">
        <v>37</v>
      </c>
      <c r="C2347" s="10">
        <v>8</v>
      </c>
      <c r="D2347" s="10">
        <v>5</v>
      </c>
      <c r="E2347" s="10">
        <v>7</v>
      </c>
      <c r="F2347" s="10">
        <v>7</v>
      </c>
      <c r="L2347" s="1">
        <v>393</v>
      </c>
      <c r="M2347" s="1">
        <v>42</v>
      </c>
      <c r="N2347" s="1">
        <v>1</v>
      </c>
      <c r="O2347" s="1">
        <v>1</v>
      </c>
      <c r="P2347" s="2">
        <v>1</v>
      </c>
      <c r="Q2347" s="67">
        <v>18</v>
      </c>
    </row>
    <row r="2348" spans="1:17" x14ac:dyDescent="0.25">
      <c r="A2348" s="10">
        <v>271</v>
      </c>
      <c r="B2348" s="10">
        <v>30</v>
      </c>
      <c r="C2348" s="10">
        <v>7</v>
      </c>
      <c r="D2348" s="10">
        <v>2</v>
      </c>
      <c r="E2348" s="10">
        <v>18</v>
      </c>
      <c r="F2348" s="10">
        <v>18</v>
      </c>
      <c r="L2348" s="1">
        <v>394</v>
      </c>
      <c r="M2348" s="1">
        <v>42</v>
      </c>
      <c r="N2348" s="1">
        <v>1</v>
      </c>
      <c r="O2348" s="1">
        <v>1</v>
      </c>
      <c r="P2348" s="2">
        <v>1</v>
      </c>
      <c r="Q2348" s="68">
        <v>19</v>
      </c>
    </row>
    <row r="2349" spans="1:17" x14ac:dyDescent="0.25">
      <c r="A2349" s="10">
        <v>341</v>
      </c>
      <c r="B2349" s="10">
        <v>37</v>
      </c>
      <c r="C2349" s="10">
        <v>8</v>
      </c>
      <c r="D2349" s="10">
        <v>1</v>
      </c>
      <c r="E2349" s="10">
        <v>8</v>
      </c>
      <c r="F2349" s="10">
        <v>8</v>
      </c>
      <c r="L2349" s="1">
        <v>395</v>
      </c>
      <c r="M2349" s="1">
        <v>43</v>
      </c>
      <c r="N2349" s="1">
        <v>1</v>
      </c>
      <c r="O2349" s="1">
        <v>1</v>
      </c>
      <c r="P2349" s="2">
        <v>1</v>
      </c>
      <c r="Q2349" s="67">
        <v>18</v>
      </c>
    </row>
    <row r="2350" spans="1:17" x14ac:dyDescent="0.25">
      <c r="A2350" s="10">
        <v>341</v>
      </c>
      <c r="B2350" s="10">
        <v>37</v>
      </c>
      <c r="C2350" s="10">
        <v>8</v>
      </c>
      <c r="D2350" s="10">
        <v>2</v>
      </c>
      <c r="E2350" s="10">
        <v>3</v>
      </c>
      <c r="F2350" s="10">
        <v>3</v>
      </c>
      <c r="L2350" s="1">
        <v>396</v>
      </c>
      <c r="M2350" s="1">
        <v>43</v>
      </c>
      <c r="N2350" s="1">
        <v>1</v>
      </c>
      <c r="O2350" s="1">
        <v>1</v>
      </c>
      <c r="P2350" s="2">
        <v>1</v>
      </c>
      <c r="Q2350" s="68">
        <v>14</v>
      </c>
    </row>
    <row r="2351" spans="1:17" x14ac:dyDescent="0.25">
      <c r="A2351" s="10">
        <v>15</v>
      </c>
      <c r="B2351" s="10">
        <v>2</v>
      </c>
      <c r="C2351" s="10">
        <v>7</v>
      </c>
      <c r="D2351" s="10">
        <v>2</v>
      </c>
      <c r="E2351" s="10">
        <v>8</v>
      </c>
      <c r="F2351" s="10">
        <v>8</v>
      </c>
      <c r="L2351" s="1">
        <v>397</v>
      </c>
      <c r="M2351" s="1">
        <v>43</v>
      </c>
      <c r="N2351" s="1">
        <v>1</v>
      </c>
      <c r="O2351" s="1">
        <v>1</v>
      </c>
      <c r="P2351" s="2">
        <v>1</v>
      </c>
      <c r="Q2351" s="67">
        <v>15</v>
      </c>
    </row>
    <row r="2352" spans="1:17" x14ac:dyDescent="0.25">
      <c r="A2352" s="10">
        <v>341</v>
      </c>
      <c r="B2352" s="10">
        <v>37</v>
      </c>
      <c r="C2352" s="10">
        <v>8</v>
      </c>
      <c r="D2352" s="10">
        <v>5</v>
      </c>
      <c r="E2352" s="10">
        <v>8</v>
      </c>
      <c r="F2352" s="10">
        <v>8</v>
      </c>
      <c r="L2352" s="1">
        <v>398</v>
      </c>
      <c r="M2352" s="1">
        <v>43</v>
      </c>
      <c r="N2352" s="1">
        <v>1</v>
      </c>
      <c r="O2352" s="1">
        <v>1</v>
      </c>
      <c r="P2352" s="2">
        <v>1</v>
      </c>
      <c r="Q2352" s="68">
        <v>8</v>
      </c>
    </row>
    <row r="2353" spans="1:17" x14ac:dyDescent="0.25">
      <c r="A2353" s="10">
        <v>341</v>
      </c>
      <c r="B2353" s="10">
        <v>37</v>
      </c>
      <c r="C2353" s="10">
        <v>8</v>
      </c>
      <c r="D2353" s="10">
        <v>6</v>
      </c>
      <c r="E2353" s="10">
        <v>2</v>
      </c>
      <c r="F2353" s="10">
        <v>2</v>
      </c>
      <c r="L2353" s="1">
        <v>399</v>
      </c>
      <c r="M2353" s="1">
        <v>43</v>
      </c>
      <c r="N2353" s="1">
        <v>1</v>
      </c>
      <c r="O2353" s="1">
        <v>1</v>
      </c>
      <c r="P2353" s="2">
        <v>1</v>
      </c>
      <c r="Q2353" s="67">
        <v>15</v>
      </c>
    </row>
    <row r="2354" spans="1:17" x14ac:dyDescent="0.25">
      <c r="A2354" s="10">
        <v>9</v>
      </c>
      <c r="B2354" s="10">
        <v>1</v>
      </c>
      <c r="C2354" s="10">
        <v>7</v>
      </c>
      <c r="D2354" s="10">
        <v>1</v>
      </c>
      <c r="E2354" s="10">
        <v>5</v>
      </c>
      <c r="F2354" s="10">
        <v>5</v>
      </c>
      <c r="L2354" s="1">
        <v>400</v>
      </c>
      <c r="M2354" s="1">
        <v>43</v>
      </c>
      <c r="N2354" s="1">
        <v>1</v>
      </c>
      <c r="O2354" s="1">
        <v>1</v>
      </c>
      <c r="P2354" s="2">
        <v>1</v>
      </c>
      <c r="Q2354" s="68">
        <v>15</v>
      </c>
    </row>
    <row r="2355" spans="1:17" x14ac:dyDescent="0.25">
      <c r="A2355" s="10">
        <v>9</v>
      </c>
      <c r="B2355" s="10">
        <v>1</v>
      </c>
      <c r="C2355" s="10">
        <v>7</v>
      </c>
      <c r="D2355" s="10">
        <v>2</v>
      </c>
      <c r="E2355" s="10">
        <v>42</v>
      </c>
      <c r="F2355" s="10">
        <v>42</v>
      </c>
      <c r="L2355" s="1">
        <v>401</v>
      </c>
      <c r="M2355" s="1">
        <v>43</v>
      </c>
      <c r="N2355" s="1">
        <v>1</v>
      </c>
      <c r="O2355" s="1">
        <v>1</v>
      </c>
      <c r="P2355" s="2">
        <v>1</v>
      </c>
      <c r="Q2355" s="67">
        <v>5</v>
      </c>
    </row>
    <row r="2356" spans="1:17" x14ac:dyDescent="0.25">
      <c r="A2356" s="10">
        <v>9</v>
      </c>
      <c r="B2356" s="10">
        <v>1</v>
      </c>
      <c r="C2356" s="10">
        <v>7</v>
      </c>
      <c r="D2356" s="10">
        <v>6</v>
      </c>
      <c r="E2356" s="10">
        <v>1</v>
      </c>
      <c r="F2356" s="10">
        <v>1</v>
      </c>
      <c r="L2356" s="1">
        <v>402</v>
      </c>
      <c r="M2356" s="1">
        <v>43</v>
      </c>
      <c r="N2356" s="1">
        <v>1</v>
      </c>
      <c r="O2356" s="1">
        <v>1</v>
      </c>
      <c r="P2356" s="2">
        <v>1</v>
      </c>
      <c r="Q2356" s="68">
        <v>2</v>
      </c>
    </row>
    <row r="2357" spans="1:17" x14ac:dyDescent="0.25">
      <c r="A2357" s="10">
        <v>316</v>
      </c>
      <c r="B2357" s="10">
        <v>34</v>
      </c>
      <c r="C2357" s="10">
        <v>6</v>
      </c>
      <c r="D2357" s="10">
        <v>1</v>
      </c>
      <c r="E2357" s="10">
        <v>40</v>
      </c>
      <c r="F2357" s="10">
        <v>40</v>
      </c>
      <c r="L2357" s="1">
        <v>403</v>
      </c>
      <c r="M2357" s="1">
        <v>43</v>
      </c>
      <c r="N2357" s="1">
        <v>1</v>
      </c>
      <c r="O2357" s="1">
        <v>1</v>
      </c>
      <c r="P2357" s="2">
        <v>1</v>
      </c>
      <c r="Q2357" s="67">
        <v>7</v>
      </c>
    </row>
    <row r="2358" spans="1:17" x14ac:dyDescent="0.25">
      <c r="A2358" s="10">
        <v>316</v>
      </c>
      <c r="B2358" s="10">
        <v>34</v>
      </c>
      <c r="C2358" s="10">
        <v>6</v>
      </c>
      <c r="D2358" s="10">
        <v>2</v>
      </c>
      <c r="E2358" s="10">
        <v>10</v>
      </c>
      <c r="F2358" s="10">
        <v>10</v>
      </c>
      <c r="L2358" s="1">
        <v>404</v>
      </c>
      <c r="M2358" s="1">
        <v>43</v>
      </c>
      <c r="N2358" s="1">
        <v>1</v>
      </c>
      <c r="O2358" s="1">
        <v>1</v>
      </c>
      <c r="P2358" s="2">
        <v>1</v>
      </c>
      <c r="Q2358" s="68">
        <v>6</v>
      </c>
    </row>
    <row r="2359" spans="1:17" x14ac:dyDescent="0.25">
      <c r="A2359" s="10">
        <v>11</v>
      </c>
      <c r="B2359" s="10">
        <v>2</v>
      </c>
      <c r="C2359" s="10">
        <v>7</v>
      </c>
      <c r="D2359" s="10">
        <v>1</v>
      </c>
      <c r="E2359" s="10">
        <v>9</v>
      </c>
      <c r="F2359" s="10">
        <v>9</v>
      </c>
      <c r="L2359" s="1">
        <v>405</v>
      </c>
      <c r="M2359" s="1">
        <v>44</v>
      </c>
      <c r="N2359" s="1">
        <v>1</v>
      </c>
      <c r="O2359" s="1">
        <v>1</v>
      </c>
      <c r="P2359" s="2">
        <v>1</v>
      </c>
      <c r="Q2359" s="67">
        <v>9</v>
      </c>
    </row>
    <row r="2360" spans="1:17" x14ac:dyDescent="0.25">
      <c r="A2360" s="10">
        <v>11</v>
      </c>
      <c r="B2360" s="10">
        <v>2</v>
      </c>
      <c r="C2360" s="10">
        <v>7</v>
      </c>
      <c r="D2360" s="10">
        <v>2</v>
      </c>
      <c r="E2360" s="10">
        <v>7</v>
      </c>
      <c r="F2360" s="10">
        <v>7</v>
      </c>
      <c r="L2360" s="1">
        <v>406</v>
      </c>
      <c r="M2360" s="1">
        <v>44</v>
      </c>
      <c r="N2360" s="1">
        <v>1</v>
      </c>
      <c r="O2360" s="1">
        <v>1</v>
      </c>
      <c r="P2360" s="2">
        <v>1</v>
      </c>
      <c r="Q2360" s="68">
        <v>10</v>
      </c>
    </row>
    <row r="2361" spans="1:17" x14ac:dyDescent="0.25">
      <c r="A2361" s="10">
        <v>11</v>
      </c>
      <c r="B2361" s="10">
        <v>2</v>
      </c>
      <c r="C2361" s="10">
        <v>7</v>
      </c>
      <c r="D2361" s="10">
        <v>10</v>
      </c>
      <c r="E2361" s="10">
        <v>1</v>
      </c>
      <c r="F2361" s="10">
        <v>1</v>
      </c>
      <c r="L2361" s="1">
        <v>407</v>
      </c>
      <c r="M2361" s="1">
        <v>44</v>
      </c>
      <c r="N2361" s="1">
        <v>1</v>
      </c>
      <c r="O2361" s="1">
        <v>1</v>
      </c>
      <c r="P2361" s="2">
        <v>1</v>
      </c>
      <c r="Q2361" s="67">
        <v>16</v>
      </c>
    </row>
    <row r="2362" spans="1:17" x14ac:dyDescent="0.25">
      <c r="A2362" s="10">
        <v>316</v>
      </c>
      <c r="B2362" s="10">
        <v>34</v>
      </c>
      <c r="C2362" s="10">
        <v>5</v>
      </c>
      <c r="D2362" s="10">
        <v>1</v>
      </c>
      <c r="E2362" s="10">
        <v>45</v>
      </c>
      <c r="F2362" s="10">
        <v>45</v>
      </c>
      <c r="L2362" s="1">
        <v>408</v>
      </c>
      <c r="M2362" s="1">
        <v>44</v>
      </c>
      <c r="N2362" s="1">
        <v>1</v>
      </c>
      <c r="O2362" s="1">
        <v>1</v>
      </c>
      <c r="P2362" s="2">
        <v>1</v>
      </c>
      <c r="Q2362" s="68">
        <v>5</v>
      </c>
    </row>
    <row r="2363" spans="1:17" x14ac:dyDescent="0.25">
      <c r="A2363" s="10">
        <v>316</v>
      </c>
      <c r="B2363" s="10">
        <v>34</v>
      </c>
      <c r="C2363" s="10">
        <v>5</v>
      </c>
      <c r="D2363" s="10">
        <v>2</v>
      </c>
      <c r="E2363" s="10">
        <v>5</v>
      </c>
      <c r="F2363" s="10">
        <v>5</v>
      </c>
      <c r="L2363" s="1">
        <v>409</v>
      </c>
      <c r="M2363" s="1">
        <v>44</v>
      </c>
      <c r="N2363" s="1">
        <v>1</v>
      </c>
      <c r="O2363" s="1">
        <v>1</v>
      </c>
      <c r="P2363" s="2">
        <v>1</v>
      </c>
      <c r="Q2363" s="67">
        <v>10</v>
      </c>
    </row>
    <row r="2364" spans="1:17" x14ac:dyDescent="0.25">
      <c r="A2364" s="10">
        <v>7</v>
      </c>
      <c r="B2364" s="10">
        <v>1</v>
      </c>
      <c r="C2364" s="10">
        <v>7</v>
      </c>
      <c r="D2364" s="10">
        <v>1</v>
      </c>
      <c r="E2364" s="10">
        <v>14</v>
      </c>
      <c r="F2364" s="10">
        <v>14</v>
      </c>
      <c r="L2364" s="1">
        <v>410</v>
      </c>
      <c r="M2364" s="1">
        <v>44</v>
      </c>
      <c r="N2364" s="1">
        <v>1</v>
      </c>
      <c r="O2364" s="1">
        <v>1</v>
      </c>
      <c r="P2364" s="2">
        <v>1</v>
      </c>
      <c r="Q2364" s="68">
        <v>6</v>
      </c>
    </row>
    <row r="2365" spans="1:17" x14ac:dyDescent="0.25">
      <c r="A2365" s="10">
        <v>7</v>
      </c>
      <c r="B2365" s="10">
        <v>1</v>
      </c>
      <c r="C2365" s="10">
        <v>7</v>
      </c>
      <c r="D2365" s="10">
        <v>2</v>
      </c>
      <c r="E2365" s="10">
        <v>11</v>
      </c>
      <c r="F2365" s="10">
        <v>11</v>
      </c>
      <c r="L2365" s="1">
        <v>411</v>
      </c>
      <c r="M2365" s="1">
        <v>44</v>
      </c>
      <c r="N2365" s="1">
        <v>1</v>
      </c>
      <c r="O2365" s="1">
        <v>1</v>
      </c>
      <c r="P2365" s="2">
        <v>1</v>
      </c>
      <c r="Q2365" s="67">
        <v>6</v>
      </c>
    </row>
    <row r="2366" spans="1:17" x14ac:dyDescent="0.25">
      <c r="A2366" s="10">
        <v>7</v>
      </c>
      <c r="B2366" s="10">
        <v>1</v>
      </c>
      <c r="C2366" s="10">
        <v>7</v>
      </c>
      <c r="D2366" s="10">
        <v>7</v>
      </c>
      <c r="E2366" s="10">
        <v>1</v>
      </c>
      <c r="F2366" s="10">
        <v>1</v>
      </c>
      <c r="L2366" s="1">
        <v>412</v>
      </c>
      <c r="M2366" s="1">
        <v>44</v>
      </c>
      <c r="N2366" s="1">
        <v>1</v>
      </c>
      <c r="O2366" s="1">
        <v>1</v>
      </c>
      <c r="P2366" s="2">
        <v>1</v>
      </c>
      <c r="Q2366" s="68">
        <v>10</v>
      </c>
    </row>
    <row r="2367" spans="1:17" x14ac:dyDescent="0.25">
      <c r="A2367" s="10">
        <v>5</v>
      </c>
      <c r="B2367" s="10">
        <v>1</v>
      </c>
      <c r="C2367" s="10">
        <v>7</v>
      </c>
      <c r="D2367" s="10">
        <v>1</v>
      </c>
      <c r="E2367" s="10">
        <v>15</v>
      </c>
      <c r="F2367" s="10">
        <v>15</v>
      </c>
      <c r="L2367" s="1">
        <v>413</v>
      </c>
      <c r="M2367" s="1">
        <v>44</v>
      </c>
      <c r="N2367" s="1">
        <v>1</v>
      </c>
      <c r="O2367" s="1">
        <v>1</v>
      </c>
      <c r="P2367" s="2">
        <v>1</v>
      </c>
      <c r="Q2367" s="67">
        <v>17</v>
      </c>
    </row>
    <row r="2368" spans="1:17" x14ac:dyDescent="0.25">
      <c r="A2368" s="10">
        <v>316</v>
      </c>
      <c r="B2368" s="10">
        <v>34</v>
      </c>
      <c r="C2368" s="10">
        <v>4</v>
      </c>
      <c r="D2368" s="10">
        <v>1</v>
      </c>
      <c r="E2368" s="10">
        <v>48</v>
      </c>
      <c r="F2368" s="10">
        <v>48</v>
      </c>
      <c r="L2368" s="1">
        <v>414</v>
      </c>
      <c r="M2368" s="1">
        <v>44</v>
      </c>
      <c r="N2368" s="1">
        <v>1</v>
      </c>
      <c r="O2368" s="1">
        <v>1</v>
      </c>
      <c r="P2368" s="2">
        <v>1</v>
      </c>
      <c r="Q2368" s="68">
        <v>16</v>
      </c>
    </row>
    <row r="2369" spans="1:17" x14ac:dyDescent="0.25">
      <c r="A2369" s="10">
        <v>316</v>
      </c>
      <c r="B2369" s="10">
        <v>34</v>
      </c>
      <c r="C2369" s="10">
        <v>4</v>
      </c>
      <c r="D2369" s="10">
        <v>2</v>
      </c>
      <c r="E2369" s="10">
        <v>2</v>
      </c>
      <c r="F2369" s="10">
        <v>2</v>
      </c>
      <c r="L2369" s="1">
        <v>415</v>
      </c>
      <c r="M2369" s="1">
        <v>45</v>
      </c>
      <c r="N2369" s="1">
        <v>1</v>
      </c>
      <c r="O2369" s="1">
        <v>1</v>
      </c>
      <c r="P2369" s="2">
        <v>1</v>
      </c>
      <c r="Q2369" s="67">
        <v>13</v>
      </c>
    </row>
    <row r="2370" spans="1:17" x14ac:dyDescent="0.25">
      <c r="A2370" s="10">
        <v>316</v>
      </c>
      <c r="B2370" s="10">
        <v>34</v>
      </c>
      <c r="C2370" s="10">
        <v>3</v>
      </c>
      <c r="D2370" s="10">
        <v>1</v>
      </c>
      <c r="E2370" s="10">
        <v>32</v>
      </c>
      <c r="F2370" s="10">
        <v>32</v>
      </c>
      <c r="L2370" s="1">
        <v>416</v>
      </c>
      <c r="M2370" s="1">
        <v>45</v>
      </c>
      <c r="N2370" s="1">
        <v>1</v>
      </c>
      <c r="O2370" s="1">
        <v>1</v>
      </c>
      <c r="P2370" s="2">
        <v>1</v>
      </c>
      <c r="Q2370" s="68">
        <v>10</v>
      </c>
    </row>
    <row r="2371" spans="1:17" x14ac:dyDescent="0.25">
      <c r="A2371" s="10">
        <v>316</v>
      </c>
      <c r="B2371" s="10">
        <v>34</v>
      </c>
      <c r="C2371" s="10">
        <v>3</v>
      </c>
      <c r="D2371" s="10">
        <v>2</v>
      </c>
      <c r="E2371" s="10">
        <v>3</v>
      </c>
      <c r="F2371" s="10">
        <v>3</v>
      </c>
      <c r="L2371" s="1">
        <v>417</v>
      </c>
      <c r="M2371" s="1">
        <v>45</v>
      </c>
      <c r="N2371" s="1">
        <v>1</v>
      </c>
      <c r="O2371" s="1">
        <v>1</v>
      </c>
      <c r="P2371" s="2">
        <v>1</v>
      </c>
      <c r="Q2371" s="67">
        <v>13</v>
      </c>
    </row>
    <row r="2372" spans="1:17" x14ac:dyDescent="0.25">
      <c r="A2372" s="10">
        <v>316</v>
      </c>
      <c r="B2372" s="10">
        <v>34</v>
      </c>
      <c r="C2372" s="10">
        <v>2</v>
      </c>
      <c r="D2372" s="10">
        <v>1</v>
      </c>
      <c r="E2372" s="10">
        <v>23</v>
      </c>
      <c r="F2372" s="10">
        <v>23</v>
      </c>
      <c r="L2372" s="1">
        <v>418</v>
      </c>
      <c r="M2372" s="1">
        <v>45</v>
      </c>
      <c r="N2372" s="1">
        <v>1</v>
      </c>
      <c r="O2372" s="1">
        <v>1</v>
      </c>
      <c r="P2372" s="2">
        <v>1</v>
      </c>
      <c r="Q2372" s="68">
        <v>17</v>
      </c>
    </row>
    <row r="2373" spans="1:17" x14ac:dyDescent="0.25">
      <c r="A2373" s="10">
        <v>316</v>
      </c>
      <c r="B2373" s="10">
        <v>34</v>
      </c>
      <c r="C2373" s="10">
        <v>2</v>
      </c>
      <c r="D2373" s="10">
        <v>2</v>
      </c>
      <c r="E2373" s="10">
        <v>6</v>
      </c>
      <c r="F2373" s="10">
        <v>6</v>
      </c>
      <c r="L2373" s="1">
        <v>419</v>
      </c>
      <c r="M2373" s="1">
        <v>45</v>
      </c>
      <c r="N2373" s="1">
        <v>1</v>
      </c>
      <c r="O2373" s="1">
        <v>1</v>
      </c>
      <c r="P2373" s="2">
        <v>1</v>
      </c>
      <c r="Q2373" s="67">
        <v>14</v>
      </c>
    </row>
    <row r="2374" spans="1:17" x14ac:dyDescent="0.25">
      <c r="A2374" s="10">
        <v>13</v>
      </c>
      <c r="B2374" s="10">
        <v>2</v>
      </c>
      <c r="C2374" s="10">
        <v>7</v>
      </c>
      <c r="D2374" s="10">
        <v>1</v>
      </c>
      <c r="E2374" s="10">
        <v>18</v>
      </c>
      <c r="F2374" s="10">
        <v>18</v>
      </c>
      <c r="L2374" s="1">
        <v>420</v>
      </c>
      <c r="M2374" s="1">
        <v>45</v>
      </c>
      <c r="N2374" s="1">
        <v>1</v>
      </c>
      <c r="O2374" s="1">
        <v>1</v>
      </c>
      <c r="P2374" s="2">
        <v>1</v>
      </c>
      <c r="Q2374" s="68">
        <v>20</v>
      </c>
    </row>
    <row r="2375" spans="1:17" x14ac:dyDescent="0.25">
      <c r="A2375" s="10">
        <v>13</v>
      </c>
      <c r="B2375" s="10">
        <v>2</v>
      </c>
      <c r="C2375" s="10">
        <v>7</v>
      </c>
      <c r="D2375" s="10">
        <v>2</v>
      </c>
      <c r="E2375" s="10">
        <v>11</v>
      </c>
      <c r="F2375" s="10">
        <v>11</v>
      </c>
      <c r="L2375" s="1">
        <v>421</v>
      </c>
      <c r="M2375" s="1">
        <v>45</v>
      </c>
      <c r="N2375" s="1">
        <v>1</v>
      </c>
      <c r="O2375" s="1">
        <v>1</v>
      </c>
      <c r="P2375" s="2">
        <v>1</v>
      </c>
      <c r="Q2375" s="67">
        <v>12</v>
      </c>
    </row>
    <row r="2376" spans="1:17" x14ac:dyDescent="0.25">
      <c r="A2376" s="10">
        <v>43</v>
      </c>
      <c r="B2376" s="10">
        <v>5</v>
      </c>
      <c r="C2376" s="10">
        <v>8</v>
      </c>
      <c r="D2376" s="10">
        <v>1</v>
      </c>
      <c r="E2376" s="10">
        <v>3</v>
      </c>
      <c r="F2376" s="10">
        <v>3</v>
      </c>
      <c r="L2376" s="1">
        <v>422</v>
      </c>
      <c r="M2376" s="1">
        <v>45</v>
      </c>
      <c r="N2376" s="1">
        <v>1</v>
      </c>
      <c r="O2376" s="1">
        <v>1</v>
      </c>
      <c r="P2376" s="2">
        <v>1</v>
      </c>
      <c r="Q2376" s="68">
        <v>15</v>
      </c>
    </row>
    <row r="2377" spans="1:17" x14ac:dyDescent="0.25">
      <c r="A2377" s="10">
        <v>13</v>
      </c>
      <c r="B2377" s="10">
        <v>2</v>
      </c>
      <c r="C2377" s="10">
        <v>7</v>
      </c>
      <c r="D2377" s="10">
        <v>10</v>
      </c>
      <c r="E2377" s="10">
        <v>2</v>
      </c>
      <c r="F2377" s="10">
        <v>2</v>
      </c>
      <c r="L2377" s="1">
        <v>423</v>
      </c>
      <c r="M2377" s="1">
        <v>46</v>
      </c>
      <c r="N2377" s="1">
        <v>1</v>
      </c>
      <c r="O2377" s="1">
        <v>1</v>
      </c>
      <c r="P2377" s="2">
        <v>1</v>
      </c>
      <c r="Q2377" s="67">
        <v>11</v>
      </c>
    </row>
    <row r="2378" spans="1:17" x14ac:dyDescent="0.25">
      <c r="A2378" s="10">
        <v>43</v>
      </c>
      <c r="B2378" s="10">
        <v>5</v>
      </c>
      <c r="C2378" s="10">
        <v>8</v>
      </c>
      <c r="D2378" s="10">
        <v>2</v>
      </c>
      <c r="E2378" s="10">
        <v>4</v>
      </c>
      <c r="F2378" s="10">
        <v>4</v>
      </c>
      <c r="L2378" s="1">
        <v>424</v>
      </c>
      <c r="M2378" s="1">
        <v>46</v>
      </c>
      <c r="N2378" s="1">
        <v>1</v>
      </c>
      <c r="O2378" s="1">
        <v>1</v>
      </c>
      <c r="P2378" s="2">
        <v>1</v>
      </c>
      <c r="Q2378" s="68">
        <v>12</v>
      </c>
    </row>
    <row r="2379" spans="1:17" x14ac:dyDescent="0.25">
      <c r="A2379" s="10">
        <v>43</v>
      </c>
      <c r="B2379" s="10">
        <v>5</v>
      </c>
      <c r="C2379" s="10">
        <v>8</v>
      </c>
      <c r="D2379" s="10">
        <v>4</v>
      </c>
      <c r="E2379" s="10">
        <v>1</v>
      </c>
      <c r="F2379" s="10">
        <v>1</v>
      </c>
      <c r="L2379" s="1">
        <v>425</v>
      </c>
      <c r="M2379" s="1">
        <v>46</v>
      </c>
      <c r="N2379" s="1">
        <v>1</v>
      </c>
      <c r="O2379" s="1">
        <v>1</v>
      </c>
      <c r="P2379" s="2">
        <v>1</v>
      </c>
      <c r="Q2379" s="67">
        <v>17</v>
      </c>
    </row>
    <row r="2380" spans="1:17" x14ac:dyDescent="0.25">
      <c r="A2380" s="10">
        <v>316</v>
      </c>
      <c r="B2380" s="10">
        <v>34</v>
      </c>
      <c r="C2380" s="10">
        <v>1</v>
      </c>
      <c r="D2380" s="10">
        <v>1</v>
      </c>
      <c r="E2380" s="10">
        <v>12</v>
      </c>
      <c r="F2380" s="10">
        <v>12</v>
      </c>
      <c r="L2380" s="1">
        <v>426</v>
      </c>
      <c r="M2380" s="1">
        <v>46</v>
      </c>
      <c r="N2380" s="1">
        <v>1</v>
      </c>
      <c r="O2380" s="1">
        <v>1</v>
      </c>
      <c r="P2380" s="2">
        <v>1</v>
      </c>
      <c r="Q2380" s="68">
        <v>14</v>
      </c>
    </row>
    <row r="2381" spans="1:17" x14ac:dyDescent="0.25">
      <c r="A2381" s="10">
        <v>316</v>
      </c>
      <c r="B2381" s="10">
        <v>34</v>
      </c>
      <c r="C2381" s="10">
        <v>1</v>
      </c>
      <c r="D2381" s="10">
        <v>2</v>
      </c>
      <c r="E2381" s="10">
        <v>5</v>
      </c>
      <c r="F2381" s="10">
        <v>5</v>
      </c>
      <c r="L2381" s="1">
        <v>427</v>
      </c>
      <c r="M2381" s="1">
        <v>46</v>
      </c>
      <c r="N2381" s="1">
        <v>1</v>
      </c>
      <c r="O2381" s="1">
        <v>1</v>
      </c>
      <c r="P2381" s="2">
        <v>1</v>
      </c>
      <c r="Q2381" s="67">
        <v>17</v>
      </c>
    </row>
    <row r="2382" spans="1:17" x14ac:dyDescent="0.25">
      <c r="A2382" s="10">
        <v>16</v>
      </c>
      <c r="B2382" s="10">
        <v>2</v>
      </c>
      <c r="C2382" s="10">
        <v>6</v>
      </c>
      <c r="D2382" s="10">
        <v>1</v>
      </c>
      <c r="E2382" s="10">
        <v>19</v>
      </c>
      <c r="F2382" s="10">
        <v>19</v>
      </c>
      <c r="L2382" s="1">
        <v>428</v>
      </c>
      <c r="M2382" s="1">
        <v>46</v>
      </c>
      <c r="N2382" s="1">
        <v>1</v>
      </c>
      <c r="O2382" s="1">
        <v>1</v>
      </c>
      <c r="P2382" s="2">
        <v>1</v>
      </c>
      <c r="Q2382" s="68">
        <v>18</v>
      </c>
    </row>
    <row r="2383" spans="1:17" x14ac:dyDescent="0.25">
      <c r="A2383" s="10">
        <v>16</v>
      </c>
      <c r="B2383" s="10">
        <v>2</v>
      </c>
      <c r="C2383" s="10">
        <v>6</v>
      </c>
      <c r="D2383" s="10">
        <v>2</v>
      </c>
      <c r="E2383" s="10">
        <v>20</v>
      </c>
      <c r="F2383" s="10">
        <v>20</v>
      </c>
      <c r="L2383" s="1">
        <v>429</v>
      </c>
      <c r="M2383" s="1">
        <v>46</v>
      </c>
      <c r="N2383" s="1">
        <v>1</v>
      </c>
      <c r="O2383" s="1">
        <v>1</v>
      </c>
      <c r="P2383" s="2">
        <v>1</v>
      </c>
      <c r="Q2383" s="67">
        <v>10</v>
      </c>
    </row>
    <row r="2384" spans="1:17" x14ac:dyDescent="0.25">
      <c r="A2384" s="10">
        <v>16</v>
      </c>
      <c r="B2384" s="10">
        <v>2</v>
      </c>
      <c r="C2384" s="10">
        <v>6</v>
      </c>
      <c r="D2384" s="10">
        <v>8</v>
      </c>
      <c r="E2384" s="10">
        <v>1</v>
      </c>
      <c r="F2384" s="10">
        <v>1</v>
      </c>
      <c r="L2384" s="1">
        <v>430</v>
      </c>
      <c r="M2384" s="1">
        <v>46</v>
      </c>
      <c r="N2384" s="1">
        <v>1</v>
      </c>
      <c r="O2384" s="1">
        <v>1</v>
      </c>
      <c r="P2384" s="2">
        <v>1</v>
      </c>
      <c r="Q2384" s="68">
        <v>13</v>
      </c>
    </row>
    <row r="2385" spans="1:17" x14ac:dyDescent="0.25">
      <c r="A2385" s="10">
        <v>16</v>
      </c>
      <c r="B2385" s="10">
        <v>2</v>
      </c>
      <c r="C2385" s="10">
        <v>6</v>
      </c>
      <c r="D2385" s="10">
        <v>6</v>
      </c>
      <c r="E2385" s="10">
        <v>1</v>
      </c>
      <c r="F2385" s="10">
        <v>1</v>
      </c>
      <c r="L2385" s="1">
        <v>431</v>
      </c>
      <c r="M2385" s="1">
        <v>46</v>
      </c>
      <c r="N2385" s="1">
        <v>1</v>
      </c>
      <c r="O2385" s="1">
        <v>1</v>
      </c>
      <c r="P2385" s="2">
        <v>1</v>
      </c>
      <c r="Q2385" s="67">
        <v>12</v>
      </c>
    </row>
    <row r="2386" spans="1:17" x14ac:dyDescent="0.25">
      <c r="A2386" s="10">
        <v>388</v>
      </c>
      <c r="B2386" s="10">
        <v>42</v>
      </c>
      <c r="C2386" s="10">
        <v>7</v>
      </c>
      <c r="D2386" s="10">
        <v>3</v>
      </c>
      <c r="E2386" s="10">
        <v>2</v>
      </c>
      <c r="F2386" s="10">
        <v>2</v>
      </c>
      <c r="L2386" s="1">
        <v>432</v>
      </c>
      <c r="M2386" s="1">
        <v>46</v>
      </c>
      <c r="N2386" s="1">
        <v>1</v>
      </c>
      <c r="O2386" s="1">
        <v>1</v>
      </c>
      <c r="P2386" s="2">
        <v>1</v>
      </c>
      <c r="Q2386" s="68">
        <v>10</v>
      </c>
    </row>
    <row r="2387" spans="1:17" x14ac:dyDescent="0.25">
      <c r="A2387" s="10">
        <v>4</v>
      </c>
      <c r="B2387" s="10">
        <v>1</v>
      </c>
      <c r="C2387" s="10">
        <v>6</v>
      </c>
      <c r="D2387" s="10">
        <v>1</v>
      </c>
      <c r="E2387" s="10">
        <v>12</v>
      </c>
      <c r="F2387" s="10">
        <v>12</v>
      </c>
      <c r="L2387" s="1">
        <v>433</v>
      </c>
      <c r="M2387" s="1">
        <v>47</v>
      </c>
      <c r="N2387" s="1">
        <v>1</v>
      </c>
      <c r="O2387" s="1">
        <v>1</v>
      </c>
      <c r="P2387" s="2">
        <v>1</v>
      </c>
      <c r="Q2387" s="67">
        <v>16</v>
      </c>
    </row>
    <row r="2388" spans="1:17" x14ac:dyDescent="0.25">
      <c r="A2388" s="10">
        <v>4</v>
      </c>
      <c r="B2388" s="10">
        <v>1</v>
      </c>
      <c r="C2388" s="10">
        <v>6</v>
      </c>
      <c r="D2388" s="10">
        <v>2</v>
      </c>
      <c r="E2388" s="10">
        <v>19</v>
      </c>
      <c r="F2388" s="10">
        <v>19</v>
      </c>
      <c r="L2388" s="1">
        <v>434</v>
      </c>
      <c r="M2388" s="1">
        <v>47</v>
      </c>
      <c r="N2388" s="1">
        <v>1</v>
      </c>
      <c r="O2388" s="1">
        <v>1</v>
      </c>
      <c r="P2388" s="2">
        <v>1</v>
      </c>
      <c r="Q2388" s="68">
        <v>10</v>
      </c>
    </row>
    <row r="2389" spans="1:17" x14ac:dyDescent="0.25">
      <c r="A2389" s="10">
        <v>334</v>
      </c>
      <c r="B2389" s="10">
        <v>36</v>
      </c>
      <c r="C2389" s="10">
        <v>7</v>
      </c>
      <c r="D2389" s="10">
        <v>1</v>
      </c>
      <c r="E2389" s="10">
        <v>1</v>
      </c>
      <c r="F2389" s="10">
        <v>1</v>
      </c>
      <c r="L2389" s="1">
        <v>435</v>
      </c>
      <c r="M2389" s="1">
        <v>47</v>
      </c>
      <c r="N2389" s="1">
        <v>1</v>
      </c>
      <c r="O2389" s="1">
        <v>1</v>
      </c>
      <c r="P2389" s="2">
        <v>1</v>
      </c>
      <c r="Q2389" s="67">
        <v>9</v>
      </c>
    </row>
    <row r="2390" spans="1:17" x14ac:dyDescent="0.25">
      <c r="A2390" s="10">
        <v>334</v>
      </c>
      <c r="B2390" s="10">
        <v>36</v>
      </c>
      <c r="C2390" s="10">
        <v>7</v>
      </c>
      <c r="D2390" s="10">
        <v>2</v>
      </c>
      <c r="E2390" s="10">
        <v>14</v>
      </c>
      <c r="F2390" s="10">
        <v>14</v>
      </c>
      <c r="L2390" s="1">
        <v>436</v>
      </c>
      <c r="M2390" s="1">
        <v>47</v>
      </c>
      <c r="N2390" s="1">
        <v>1</v>
      </c>
      <c r="O2390" s="1">
        <v>1</v>
      </c>
      <c r="P2390" s="2">
        <v>1</v>
      </c>
      <c r="Q2390" s="68">
        <v>16</v>
      </c>
    </row>
    <row r="2391" spans="1:17" x14ac:dyDescent="0.25">
      <c r="A2391" s="10">
        <v>65</v>
      </c>
      <c r="B2391" s="10">
        <v>7</v>
      </c>
      <c r="C2391" s="10">
        <v>7</v>
      </c>
      <c r="D2391" s="10">
        <v>1</v>
      </c>
      <c r="E2391" s="10">
        <v>12</v>
      </c>
      <c r="F2391" s="10">
        <v>12</v>
      </c>
      <c r="L2391" s="1">
        <v>437</v>
      </c>
      <c r="M2391" s="1">
        <v>47</v>
      </c>
      <c r="N2391" s="1">
        <v>1</v>
      </c>
      <c r="O2391" s="1">
        <v>1</v>
      </c>
      <c r="P2391" s="2">
        <v>1</v>
      </c>
      <c r="Q2391" s="67">
        <v>13</v>
      </c>
    </row>
    <row r="2392" spans="1:17" x14ac:dyDescent="0.25">
      <c r="A2392" s="10">
        <v>6</v>
      </c>
      <c r="B2392" s="10">
        <v>1</v>
      </c>
      <c r="C2392" s="10">
        <v>6</v>
      </c>
      <c r="D2392" s="10">
        <v>1</v>
      </c>
      <c r="E2392" s="10">
        <v>18</v>
      </c>
      <c r="F2392" s="10">
        <v>18</v>
      </c>
      <c r="L2392" s="1">
        <v>438</v>
      </c>
      <c r="M2392" s="1">
        <v>47</v>
      </c>
      <c r="N2392" s="1">
        <v>1</v>
      </c>
      <c r="O2392" s="1">
        <v>1</v>
      </c>
      <c r="P2392" s="2">
        <v>1</v>
      </c>
      <c r="Q2392" s="68">
        <v>12</v>
      </c>
    </row>
    <row r="2393" spans="1:17" x14ac:dyDescent="0.25">
      <c r="A2393" s="10">
        <v>65</v>
      </c>
      <c r="B2393" s="10">
        <v>7</v>
      </c>
      <c r="C2393" s="10">
        <v>7</v>
      </c>
      <c r="D2393" s="10">
        <v>2</v>
      </c>
      <c r="E2393" s="10">
        <v>15</v>
      </c>
      <c r="F2393" s="10">
        <v>15</v>
      </c>
      <c r="L2393" s="1">
        <v>439</v>
      </c>
      <c r="M2393" s="1">
        <v>47</v>
      </c>
      <c r="N2393" s="1">
        <v>1</v>
      </c>
      <c r="O2393" s="1">
        <v>1</v>
      </c>
      <c r="P2393" s="2">
        <v>1</v>
      </c>
      <c r="Q2393" s="67">
        <v>7</v>
      </c>
    </row>
    <row r="2394" spans="1:17" x14ac:dyDescent="0.25">
      <c r="A2394" s="10">
        <v>6</v>
      </c>
      <c r="B2394" s="10">
        <v>1</v>
      </c>
      <c r="C2394" s="10">
        <v>6</v>
      </c>
      <c r="D2394" s="10">
        <v>2</v>
      </c>
      <c r="E2394" s="10">
        <v>20</v>
      </c>
      <c r="F2394" s="10">
        <v>20</v>
      </c>
      <c r="L2394" s="1">
        <v>440</v>
      </c>
      <c r="M2394" s="1">
        <v>47</v>
      </c>
      <c r="N2394" s="1">
        <v>1</v>
      </c>
      <c r="O2394" s="1">
        <v>1</v>
      </c>
      <c r="P2394" s="2">
        <v>1</v>
      </c>
      <c r="Q2394" s="68">
        <v>7</v>
      </c>
    </row>
    <row r="2395" spans="1:17" x14ac:dyDescent="0.25">
      <c r="A2395" s="10">
        <v>2</v>
      </c>
      <c r="B2395" s="10">
        <v>1</v>
      </c>
      <c r="C2395" s="10">
        <v>7</v>
      </c>
      <c r="D2395" s="10">
        <v>1</v>
      </c>
      <c r="E2395" s="10">
        <v>13</v>
      </c>
      <c r="F2395" s="10">
        <v>13</v>
      </c>
      <c r="L2395" s="1">
        <v>441</v>
      </c>
      <c r="M2395" s="1">
        <v>47</v>
      </c>
      <c r="N2395" s="1">
        <v>1</v>
      </c>
      <c r="O2395" s="1">
        <v>1</v>
      </c>
      <c r="P2395" s="2">
        <v>1</v>
      </c>
      <c r="Q2395" s="67">
        <v>10</v>
      </c>
    </row>
    <row r="2396" spans="1:17" x14ac:dyDescent="0.25">
      <c r="A2396" s="10">
        <v>65</v>
      </c>
      <c r="B2396" s="10">
        <v>7</v>
      </c>
      <c r="C2396" s="10">
        <v>7</v>
      </c>
      <c r="D2396" s="10">
        <v>7</v>
      </c>
      <c r="E2396" s="10">
        <v>1</v>
      </c>
      <c r="F2396" s="10">
        <v>1</v>
      </c>
      <c r="L2396" s="1">
        <v>442</v>
      </c>
      <c r="M2396" s="1">
        <v>47</v>
      </c>
      <c r="N2396" s="1">
        <v>1</v>
      </c>
      <c r="O2396" s="1">
        <v>1</v>
      </c>
      <c r="P2396" s="2">
        <v>1</v>
      </c>
      <c r="Q2396" s="68">
        <v>15</v>
      </c>
    </row>
    <row r="2397" spans="1:17" x14ac:dyDescent="0.25">
      <c r="A2397" s="10">
        <v>65</v>
      </c>
      <c r="B2397" s="10">
        <v>7</v>
      </c>
      <c r="C2397" s="10">
        <v>7</v>
      </c>
      <c r="D2397" s="10">
        <v>4</v>
      </c>
      <c r="E2397" s="10">
        <v>1</v>
      </c>
      <c r="F2397" s="10">
        <v>1</v>
      </c>
      <c r="L2397" s="1">
        <v>443</v>
      </c>
      <c r="M2397" s="1">
        <v>48</v>
      </c>
      <c r="N2397" s="1">
        <v>1</v>
      </c>
      <c r="O2397" s="1">
        <v>1</v>
      </c>
      <c r="P2397" s="2">
        <v>1</v>
      </c>
      <c r="Q2397" s="67">
        <v>13</v>
      </c>
    </row>
    <row r="2398" spans="1:17" x14ac:dyDescent="0.25">
      <c r="A2398" s="10">
        <v>12</v>
      </c>
      <c r="B2398" s="10">
        <v>2</v>
      </c>
      <c r="C2398" s="10">
        <v>6</v>
      </c>
      <c r="D2398" s="10">
        <v>1</v>
      </c>
      <c r="E2398" s="10">
        <v>13</v>
      </c>
      <c r="F2398" s="10">
        <v>13</v>
      </c>
      <c r="L2398" s="1">
        <v>444</v>
      </c>
      <c r="M2398" s="1">
        <v>48</v>
      </c>
      <c r="N2398" s="1">
        <v>1</v>
      </c>
      <c r="O2398" s="1">
        <v>1</v>
      </c>
      <c r="P2398" s="2">
        <v>1</v>
      </c>
      <c r="Q2398" s="68">
        <v>16</v>
      </c>
    </row>
    <row r="2399" spans="1:17" x14ac:dyDescent="0.25">
      <c r="A2399" s="10">
        <v>12</v>
      </c>
      <c r="B2399" s="10">
        <v>2</v>
      </c>
      <c r="C2399" s="10">
        <v>6</v>
      </c>
      <c r="D2399" s="10">
        <v>2</v>
      </c>
      <c r="E2399" s="10">
        <v>15</v>
      </c>
      <c r="F2399" s="10">
        <v>15</v>
      </c>
      <c r="L2399" s="1">
        <v>445</v>
      </c>
      <c r="M2399" s="1">
        <v>48</v>
      </c>
      <c r="N2399" s="1">
        <v>1</v>
      </c>
      <c r="O2399" s="1">
        <v>1</v>
      </c>
      <c r="P2399" s="2">
        <v>1</v>
      </c>
      <c r="Q2399" s="67">
        <v>15</v>
      </c>
    </row>
    <row r="2400" spans="1:17" x14ac:dyDescent="0.25">
      <c r="A2400" s="10">
        <v>12</v>
      </c>
      <c r="B2400" s="10">
        <v>2</v>
      </c>
      <c r="C2400" s="10">
        <v>6</v>
      </c>
      <c r="D2400" s="10">
        <v>4</v>
      </c>
      <c r="E2400" s="10">
        <v>1</v>
      </c>
      <c r="F2400" s="10">
        <v>1</v>
      </c>
      <c r="L2400" s="1">
        <v>446</v>
      </c>
      <c r="M2400" s="1">
        <v>48</v>
      </c>
      <c r="N2400" s="1">
        <v>1</v>
      </c>
      <c r="O2400" s="1">
        <v>1</v>
      </c>
      <c r="P2400" s="2">
        <v>1</v>
      </c>
      <c r="Q2400" s="68">
        <v>12</v>
      </c>
    </row>
    <row r="2401" spans="1:17" x14ac:dyDescent="0.25">
      <c r="A2401" s="10">
        <v>65</v>
      </c>
      <c r="B2401" s="10">
        <v>7</v>
      </c>
      <c r="C2401" s="10">
        <v>6</v>
      </c>
      <c r="D2401" s="10">
        <v>1</v>
      </c>
      <c r="E2401" s="10">
        <v>11</v>
      </c>
      <c r="F2401" s="10">
        <v>11</v>
      </c>
      <c r="L2401" s="1">
        <v>447</v>
      </c>
      <c r="M2401" s="1">
        <v>48</v>
      </c>
      <c r="N2401" s="1">
        <v>1</v>
      </c>
      <c r="O2401" s="1">
        <v>1</v>
      </c>
      <c r="P2401" s="2">
        <v>1</v>
      </c>
      <c r="Q2401" s="67">
        <v>15</v>
      </c>
    </row>
    <row r="2402" spans="1:17" x14ac:dyDescent="0.25">
      <c r="A2402" s="10">
        <v>65</v>
      </c>
      <c r="B2402" s="10">
        <v>7</v>
      </c>
      <c r="C2402" s="10">
        <v>6</v>
      </c>
      <c r="D2402" s="10">
        <v>2</v>
      </c>
      <c r="E2402" s="10">
        <v>7</v>
      </c>
      <c r="F2402" s="10">
        <v>7</v>
      </c>
      <c r="L2402" s="1">
        <v>448</v>
      </c>
      <c r="M2402" s="1">
        <v>48</v>
      </c>
      <c r="N2402" s="1">
        <v>1</v>
      </c>
      <c r="O2402" s="1">
        <v>1</v>
      </c>
      <c r="P2402" s="2">
        <v>1</v>
      </c>
      <c r="Q2402" s="68">
        <v>7</v>
      </c>
    </row>
    <row r="2403" spans="1:17" x14ac:dyDescent="0.25">
      <c r="A2403" s="10">
        <v>65</v>
      </c>
      <c r="B2403" s="10">
        <v>7</v>
      </c>
      <c r="C2403" s="10">
        <v>6</v>
      </c>
      <c r="D2403" s="10">
        <v>3</v>
      </c>
      <c r="E2403" s="10">
        <v>2</v>
      </c>
      <c r="F2403" s="10">
        <v>2</v>
      </c>
      <c r="L2403" s="1">
        <v>449</v>
      </c>
      <c r="M2403" s="1">
        <v>48</v>
      </c>
      <c r="N2403" s="1">
        <v>1</v>
      </c>
      <c r="O2403" s="1">
        <v>1</v>
      </c>
      <c r="P2403" s="2">
        <v>1</v>
      </c>
      <c r="Q2403" s="67">
        <v>12</v>
      </c>
    </row>
    <row r="2404" spans="1:17" x14ac:dyDescent="0.25">
      <c r="A2404" s="10">
        <v>53</v>
      </c>
      <c r="B2404" s="10">
        <v>6</v>
      </c>
      <c r="C2404" s="10">
        <v>6</v>
      </c>
      <c r="D2404" s="10">
        <v>1</v>
      </c>
      <c r="E2404" s="10">
        <v>7</v>
      </c>
      <c r="F2404" s="10">
        <v>7</v>
      </c>
      <c r="L2404" s="1">
        <v>450</v>
      </c>
      <c r="M2404" s="1">
        <v>48</v>
      </c>
      <c r="N2404" s="1">
        <v>1</v>
      </c>
      <c r="O2404" s="1">
        <v>1</v>
      </c>
      <c r="P2404" s="2">
        <v>1</v>
      </c>
      <c r="Q2404" s="68">
        <v>5</v>
      </c>
    </row>
    <row r="2405" spans="1:17" x14ac:dyDescent="0.25">
      <c r="A2405" s="10">
        <v>65</v>
      </c>
      <c r="B2405" s="10">
        <v>7</v>
      </c>
      <c r="C2405" s="10">
        <v>6</v>
      </c>
      <c r="D2405" s="10">
        <v>6</v>
      </c>
      <c r="E2405" s="10">
        <v>1</v>
      </c>
      <c r="F2405" s="10">
        <v>1</v>
      </c>
      <c r="L2405" s="1">
        <v>451</v>
      </c>
      <c r="M2405" s="1">
        <v>48</v>
      </c>
      <c r="N2405" s="1">
        <v>1</v>
      </c>
      <c r="O2405" s="1">
        <v>1</v>
      </c>
      <c r="P2405" s="2">
        <v>1</v>
      </c>
      <c r="Q2405" s="67">
        <v>2</v>
      </c>
    </row>
    <row r="2406" spans="1:17" x14ac:dyDescent="0.25">
      <c r="A2406" s="10">
        <v>53</v>
      </c>
      <c r="B2406" s="10">
        <v>6</v>
      </c>
      <c r="C2406" s="10">
        <v>6</v>
      </c>
      <c r="D2406" s="10">
        <v>2</v>
      </c>
      <c r="E2406" s="10">
        <v>16</v>
      </c>
      <c r="F2406" s="10">
        <v>16</v>
      </c>
      <c r="L2406" s="1">
        <v>452</v>
      </c>
      <c r="M2406" s="1">
        <v>48</v>
      </c>
      <c r="N2406" s="1">
        <v>1</v>
      </c>
      <c r="O2406" s="1">
        <v>1</v>
      </c>
      <c r="P2406" s="2">
        <v>1</v>
      </c>
      <c r="Q2406" s="68">
        <v>8</v>
      </c>
    </row>
    <row r="2407" spans="1:17" x14ac:dyDescent="0.25">
      <c r="A2407" s="10">
        <v>437</v>
      </c>
      <c r="B2407" s="10">
        <v>47</v>
      </c>
      <c r="C2407" s="10">
        <v>7</v>
      </c>
      <c r="D2407" s="10">
        <v>1</v>
      </c>
      <c r="E2407" s="10">
        <v>14</v>
      </c>
      <c r="F2407" s="10">
        <v>14</v>
      </c>
      <c r="L2407" s="1">
        <v>453</v>
      </c>
      <c r="M2407" s="1">
        <v>49</v>
      </c>
      <c r="N2407" s="1">
        <v>1</v>
      </c>
      <c r="O2407" s="1">
        <v>1</v>
      </c>
      <c r="P2407" s="2">
        <v>1</v>
      </c>
      <c r="Q2407" s="67">
        <v>7</v>
      </c>
    </row>
    <row r="2408" spans="1:17" x14ac:dyDescent="0.25">
      <c r="A2408" s="10">
        <v>14</v>
      </c>
      <c r="B2408" s="10">
        <v>2</v>
      </c>
      <c r="C2408" s="10">
        <v>7</v>
      </c>
      <c r="D2408" s="10">
        <v>2</v>
      </c>
      <c r="E2408" s="10">
        <v>16</v>
      </c>
      <c r="F2408" s="10">
        <v>16</v>
      </c>
      <c r="L2408" s="1">
        <v>454</v>
      </c>
      <c r="M2408" s="1">
        <v>49</v>
      </c>
      <c r="N2408" s="1">
        <v>1</v>
      </c>
      <c r="O2408" s="1">
        <v>1</v>
      </c>
      <c r="P2408" s="2">
        <v>1</v>
      </c>
      <c r="Q2408" s="68">
        <v>5</v>
      </c>
    </row>
    <row r="2409" spans="1:17" x14ac:dyDescent="0.25">
      <c r="A2409" s="10">
        <v>53</v>
      </c>
      <c r="B2409" s="10">
        <v>6</v>
      </c>
      <c r="C2409" s="10">
        <v>6</v>
      </c>
      <c r="D2409" s="10">
        <v>3</v>
      </c>
      <c r="E2409" s="10">
        <v>5</v>
      </c>
      <c r="F2409" s="10">
        <v>5</v>
      </c>
      <c r="L2409" s="1">
        <v>455</v>
      </c>
      <c r="M2409" s="1">
        <v>49</v>
      </c>
      <c r="N2409" s="1">
        <v>1</v>
      </c>
      <c r="O2409" s="1">
        <v>1</v>
      </c>
      <c r="P2409" s="2">
        <v>1</v>
      </c>
      <c r="Q2409" s="67">
        <v>1</v>
      </c>
    </row>
    <row r="2410" spans="1:17" x14ac:dyDescent="0.25">
      <c r="A2410" s="10">
        <v>437</v>
      </c>
      <c r="B2410" s="10">
        <v>47</v>
      </c>
      <c r="C2410" s="10">
        <v>7</v>
      </c>
      <c r="D2410" s="10">
        <v>2</v>
      </c>
      <c r="E2410" s="10">
        <v>20</v>
      </c>
      <c r="F2410" s="10">
        <v>20</v>
      </c>
      <c r="L2410" s="1">
        <v>456</v>
      </c>
      <c r="M2410" s="1">
        <v>49</v>
      </c>
      <c r="N2410" s="1">
        <v>1</v>
      </c>
      <c r="O2410" s="1">
        <v>1</v>
      </c>
      <c r="P2410" s="2">
        <v>1</v>
      </c>
      <c r="Q2410" s="68">
        <v>11</v>
      </c>
    </row>
    <row r="2411" spans="1:17" x14ac:dyDescent="0.25">
      <c r="A2411" s="10">
        <v>117</v>
      </c>
      <c r="B2411" s="10">
        <v>13</v>
      </c>
      <c r="C2411" s="10">
        <v>8</v>
      </c>
      <c r="D2411" s="10">
        <v>7</v>
      </c>
      <c r="E2411" s="10">
        <v>4</v>
      </c>
      <c r="F2411" s="10">
        <v>4</v>
      </c>
      <c r="L2411" s="1">
        <v>457</v>
      </c>
      <c r="M2411" s="1">
        <v>49</v>
      </c>
      <c r="N2411" s="1">
        <v>1</v>
      </c>
      <c r="O2411" s="1">
        <v>1</v>
      </c>
      <c r="P2411" s="2">
        <v>1</v>
      </c>
      <c r="Q2411" s="67">
        <v>3</v>
      </c>
    </row>
    <row r="2412" spans="1:17" x14ac:dyDescent="0.25">
      <c r="A2412" s="10">
        <v>19</v>
      </c>
      <c r="B2412" s="10">
        <v>2</v>
      </c>
      <c r="C2412" s="10">
        <v>7</v>
      </c>
      <c r="D2412" s="10">
        <v>1</v>
      </c>
      <c r="E2412" s="10">
        <v>5</v>
      </c>
      <c r="F2412" s="10">
        <v>5</v>
      </c>
      <c r="L2412" s="1">
        <v>458</v>
      </c>
      <c r="M2412" s="1">
        <v>49</v>
      </c>
      <c r="N2412" s="1">
        <v>1</v>
      </c>
      <c r="O2412" s="1">
        <v>1</v>
      </c>
      <c r="P2412" s="2">
        <v>1</v>
      </c>
      <c r="Q2412" s="68">
        <v>13</v>
      </c>
    </row>
    <row r="2413" spans="1:17" x14ac:dyDescent="0.25">
      <c r="A2413" s="10">
        <v>19</v>
      </c>
      <c r="B2413" s="10">
        <v>2</v>
      </c>
      <c r="C2413" s="10">
        <v>7</v>
      </c>
      <c r="D2413" s="10">
        <v>2</v>
      </c>
      <c r="E2413" s="10">
        <v>10</v>
      </c>
      <c r="F2413" s="10">
        <v>10</v>
      </c>
      <c r="L2413" s="1">
        <v>459</v>
      </c>
      <c r="M2413" s="1">
        <v>49</v>
      </c>
      <c r="N2413" s="1">
        <v>1</v>
      </c>
      <c r="O2413" s="1">
        <v>1</v>
      </c>
      <c r="P2413" s="2">
        <v>1</v>
      </c>
      <c r="Q2413" s="67">
        <v>15</v>
      </c>
    </row>
    <row r="2414" spans="1:17" x14ac:dyDescent="0.25">
      <c r="A2414" s="10">
        <v>275</v>
      </c>
      <c r="B2414" s="10">
        <v>30</v>
      </c>
      <c r="C2414" s="10">
        <v>7</v>
      </c>
      <c r="D2414" s="10">
        <v>2</v>
      </c>
      <c r="E2414" s="10">
        <v>18</v>
      </c>
      <c r="F2414" s="10">
        <v>18</v>
      </c>
      <c r="L2414" s="1">
        <v>460</v>
      </c>
      <c r="M2414" s="1">
        <v>49</v>
      </c>
      <c r="N2414" s="1">
        <v>1</v>
      </c>
      <c r="O2414" s="1">
        <v>1</v>
      </c>
      <c r="P2414" s="2">
        <v>1</v>
      </c>
      <c r="Q2414" s="68">
        <v>7</v>
      </c>
    </row>
    <row r="2415" spans="1:17" x14ac:dyDescent="0.25">
      <c r="A2415" s="10">
        <v>119</v>
      </c>
      <c r="B2415" s="10">
        <v>13</v>
      </c>
      <c r="C2415" s="10">
        <v>7</v>
      </c>
      <c r="D2415" s="10">
        <v>2</v>
      </c>
      <c r="E2415" s="10">
        <v>7</v>
      </c>
      <c r="F2415" s="10">
        <v>7</v>
      </c>
      <c r="L2415" s="1">
        <v>461</v>
      </c>
      <c r="M2415" s="1">
        <v>49</v>
      </c>
      <c r="N2415" s="1">
        <v>1</v>
      </c>
      <c r="O2415" s="1">
        <v>1</v>
      </c>
      <c r="P2415" s="2">
        <v>1</v>
      </c>
      <c r="Q2415" s="67">
        <v>10</v>
      </c>
    </row>
    <row r="2416" spans="1:17" x14ac:dyDescent="0.25">
      <c r="A2416" s="10">
        <v>269</v>
      </c>
      <c r="B2416" s="10">
        <v>29</v>
      </c>
      <c r="C2416" s="10">
        <v>7</v>
      </c>
      <c r="D2416" s="10">
        <v>1</v>
      </c>
      <c r="E2416" s="10">
        <v>7</v>
      </c>
      <c r="F2416" s="10">
        <v>7</v>
      </c>
      <c r="L2416" s="1">
        <v>462</v>
      </c>
      <c r="M2416" s="1">
        <v>49</v>
      </c>
      <c r="N2416" s="1">
        <v>1</v>
      </c>
      <c r="O2416" s="1">
        <v>1</v>
      </c>
      <c r="P2416" s="2">
        <v>1</v>
      </c>
      <c r="Q2416" s="68">
        <v>7</v>
      </c>
    </row>
    <row r="2417" spans="1:17" x14ac:dyDescent="0.25">
      <c r="A2417" s="10">
        <v>277</v>
      </c>
      <c r="B2417" s="10">
        <v>30</v>
      </c>
      <c r="C2417" s="10">
        <v>7</v>
      </c>
      <c r="D2417" s="10">
        <v>1</v>
      </c>
      <c r="E2417" s="10">
        <v>9</v>
      </c>
      <c r="F2417" s="10">
        <v>9</v>
      </c>
      <c r="L2417" s="1">
        <v>463</v>
      </c>
      <c r="M2417" s="1">
        <v>50</v>
      </c>
      <c r="N2417" s="1">
        <v>1</v>
      </c>
      <c r="O2417" s="1">
        <v>1</v>
      </c>
      <c r="P2417" s="2">
        <v>1</v>
      </c>
      <c r="Q2417" s="67">
        <v>14</v>
      </c>
    </row>
    <row r="2418" spans="1:17" x14ac:dyDescent="0.25">
      <c r="A2418" s="10">
        <v>277</v>
      </c>
      <c r="B2418" s="10">
        <v>30</v>
      </c>
      <c r="C2418" s="10">
        <v>7</v>
      </c>
      <c r="D2418" s="10">
        <v>2</v>
      </c>
      <c r="E2418" s="10">
        <v>27</v>
      </c>
      <c r="F2418" s="10">
        <v>27</v>
      </c>
      <c r="L2418" s="1">
        <v>464</v>
      </c>
      <c r="M2418" s="1">
        <v>50</v>
      </c>
      <c r="N2418" s="1">
        <v>1</v>
      </c>
      <c r="O2418" s="1">
        <v>1</v>
      </c>
      <c r="P2418" s="2">
        <v>1</v>
      </c>
      <c r="Q2418" s="68">
        <v>9</v>
      </c>
    </row>
    <row r="2419" spans="1:17" x14ac:dyDescent="0.25">
      <c r="A2419" s="10">
        <v>269</v>
      </c>
      <c r="B2419" s="10">
        <v>29</v>
      </c>
      <c r="C2419" s="10">
        <v>7</v>
      </c>
      <c r="D2419" s="10">
        <v>5</v>
      </c>
      <c r="E2419" s="10">
        <v>2</v>
      </c>
      <c r="F2419" s="10">
        <v>2</v>
      </c>
      <c r="L2419" s="1">
        <v>465</v>
      </c>
      <c r="M2419" s="1">
        <v>50</v>
      </c>
      <c r="N2419" s="1">
        <v>1</v>
      </c>
      <c r="O2419" s="1">
        <v>1</v>
      </c>
      <c r="P2419" s="2">
        <v>1</v>
      </c>
      <c r="Q2419" s="67">
        <v>9</v>
      </c>
    </row>
    <row r="2420" spans="1:17" x14ac:dyDescent="0.25">
      <c r="A2420" s="10">
        <v>242</v>
      </c>
      <c r="B2420" s="10">
        <v>26</v>
      </c>
      <c r="C2420" s="10">
        <v>8</v>
      </c>
      <c r="D2420" s="10">
        <v>2</v>
      </c>
      <c r="E2420" s="10">
        <v>4</v>
      </c>
      <c r="F2420" s="10">
        <v>4</v>
      </c>
      <c r="L2420" s="1">
        <v>466</v>
      </c>
      <c r="M2420" s="1">
        <v>50</v>
      </c>
      <c r="N2420" s="1">
        <v>1</v>
      </c>
      <c r="O2420" s="1">
        <v>1</v>
      </c>
      <c r="P2420" s="2">
        <v>1</v>
      </c>
      <c r="Q2420" s="68">
        <v>11</v>
      </c>
    </row>
    <row r="2421" spans="1:17" x14ac:dyDescent="0.25">
      <c r="A2421" s="10">
        <v>242</v>
      </c>
      <c r="B2421" s="10">
        <v>26</v>
      </c>
      <c r="C2421" s="10">
        <v>8</v>
      </c>
      <c r="D2421" s="10">
        <v>3</v>
      </c>
      <c r="E2421" s="10">
        <v>6</v>
      </c>
      <c r="F2421" s="10">
        <v>6</v>
      </c>
      <c r="L2421" s="1">
        <v>467</v>
      </c>
      <c r="M2421" s="1">
        <v>50</v>
      </c>
      <c r="N2421" s="1">
        <v>1</v>
      </c>
      <c r="O2421" s="1">
        <v>1</v>
      </c>
      <c r="P2421" s="2">
        <v>1</v>
      </c>
      <c r="Q2421" s="67">
        <v>6</v>
      </c>
    </row>
    <row r="2422" spans="1:17" x14ac:dyDescent="0.25">
      <c r="A2422" s="10">
        <v>30</v>
      </c>
      <c r="B2422" s="10">
        <v>4</v>
      </c>
      <c r="C2422" s="10">
        <v>7</v>
      </c>
      <c r="D2422" s="10">
        <v>2</v>
      </c>
      <c r="E2422" s="10">
        <v>9</v>
      </c>
      <c r="F2422" s="10">
        <v>9</v>
      </c>
      <c r="L2422" s="1">
        <v>468</v>
      </c>
      <c r="M2422" s="1">
        <v>50</v>
      </c>
      <c r="N2422" s="1">
        <v>1</v>
      </c>
      <c r="O2422" s="1">
        <v>1</v>
      </c>
      <c r="P2422" s="2">
        <v>1</v>
      </c>
      <c r="Q2422" s="68">
        <v>5</v>
      </c>
    </row>
    <row r="2423" spans="1:17" x14ac:dyDescent="0.25">
      <c r="A2423" s="10">
        <v>269</v>
      </c>
      <c r="B2423" s="10">
        <v>29</v>
      </c>
      <c r="C2423" s="10">
        <v>1</v>
      </c>
      <c r="D2423" s="10">
        <v>1</v>
      </c>
      <c r="E2423" s="10">
        <v>6</v>
      </c>
      <c r="F2423" s="10">
        <v>6</v>
      </c>
      <c r="L2423" s="1">
        <v>469</v>
      </c>
      <c r="M2423" s="1">
        <v>50</v>
      </c>
      <c r="N2423" s="1">
        <v>1</v>
      </c>
      <c r="O2423" s="1">
        <v>1</v>
      </c>
      <c r="P2423" s="2">
        <v>1</v>
      </c>
      <c r="Q2423" s="67">
        <v>10</v>
      </c>
    </row>
    <row r="2424" spans="1:17" x14ac:dyDescent="0.25">
      <c r="A2424" s="10">
        <v>269</v>
      </c>
      <c r="B2424" s="10">
        <v>29</v>
      </c>
      <c r="C2424" s="10">
        <v>4</v>
      </c>
      <c r="D2424" s="10">
        <v>1</v>
      </c>
      <c r="E2424" s="10">
        <v>5</v>
      </c>
      <c r="F2424" s="10">
        <v>5</v>
      </c>
      <c r="L2424" s="1">
        <v>470</v>
      </c>
      <c r="M2424" s="1">
        <v>50</v>
      </c>
      <c r="N2424" s="1">
        <v>1</v>
      </c>
      <c r="O2424" s="1">
        <v>1</v>
      </c>
      <c r="P2424" s="2">
        <v>1</v>
      </c>
      <c r="Q2424" s="68">
        <v>18</v>
      </c>
    </row>
    <row r="2425" spans="1:17" x14ac:dyDescent="0.25">
      <c r="A2425" s="10">
        <v>269</v>
      </c>
      <c r="B2425" s="10">
        <v>29</v>
      </c>
      <c r="C2425" s="10">
        <v>1</v>
      </c>
      <c r="D2425" s="10">
        <v>2</v>
      </c>
      <c r="E2425" s="10">
        <v>4</v>
      </c>
      <c r="F2425" s="10">
        <v>4</v>
      </c>
      <c r="L2425" s="1">
        <v>471</v>
      </c>
      <c r="M2425" s="1">
        <v>50</v>
      </c>
      <c r="N2425" s="1">
        <v>1</v>
      </c>
      <c r="O2425" s="1">
        <v>1</v>
      </c>
      <c r="P2425" s="2">
        <v>1</v>
      </c>
      <c r="Q2425" s="67">
        <v>13</v>
      </c>
    </row>
    <row r="2426" spans="1:17" x14ac:dyDescent="0.25">
      <c r="A2426" s="10">
        <v>269</v>
      </c>
      <c r="B2426" s="10">
        <v>29</v>
      </c>
      <c r="C2426" s="10">
        <v>4</v>
      </c>
      <c r="D2426" s="10">
        <v>5</v>
      </c>
      <c r="E2426" s="10">
        <v>5</v>
      </c>
      <c r="F2426" s="10">
        <v>5</v>
      </c>
      <c r="L2426" s="1">
        <v>472</v>
      </c>
      <c r="M2426" s="1">
        <v>50</v>
      </c>
      <c r="N2426" s="1">
        <v>1</v>
      </c>
      <c r="O2426" s="1">
        <v>1</v>
      </c>
      <c r="P2426" s="2">
        <v>1</v>
      </c>
      <c r="Q2426" s="68">
        <v>11</v>
      </c>
    </row>
    <row r="2427" spans="1:17" x14ac:dyDescent="0.25">
      <c r="A2427" s="10">
        <v>9</v>
      </c>
      <c r="B2427" s="10">
        <v>1</v>
      </c>
      <c r="C2427" s="10">
        <v>8</v>
      </c>
      <c r="D2427" s="10">
        <v>2</v>
      </c>
      <c r="E2427" s="10">
        <v>24</v>
      </c>
      <c r="F2427" s="10">
        <v>24</v>
      </c>
      <c r="L2427" s="1">
        <v>473</v>
      </c>
      <c r="M2427" s="1">
        <v>51</v>
      </c>
      <c r="N2427" s="1">
        <v>1</v>
      </c>
      <c r="O2427" s="1">
        <v>1</v>
      </c>
      <c r="P2427" s="2">
        <v>1</v>
      </c>
      <c r="Q2427" s="67">
        <v>10</v>
      </c>
    </row>
    <row r="2428" spans="1:17" x14ac:dyDescent="0.25">
      <c r="A2428" s="10">
        <v>441</v>
      </c>
      <c r="B2428" s="10">
        <v>47</v>
      </c>
      <c r="C2428" s="10">
        <v>7</v>
      </c>
      <c r="D2428" s="10">
        <v>1</v>
      </c>
      <c r="E2428" s="10">
        <v>9</v>
      </c>
      <c r="F2428" s="10">
        <v>9</v>
      </c>
      <c r="L2428" s="1">
        <v>474</v>
      </c>
      <c r="M2428" s="1">
        <v>51</v>
      </c>
      <c r="N2428" s="1">
        <v>1</v>
      </c>
      <c r="O2428" s="1">
        <v>1</v>
      </c>
      <c r="P2428" s="2">
        <v>1</v>
      </c>
      <c r="Q2428" s="68">
        <v>18</v>
      </c>
    </row>
    <row r="2429" spans="1:17" x14ac:dyDescent="0.25">
      <c r="A2429" s="10">
        <v>441</v>
      </c>
      <c r="B2429" s="10">
        <v>47</v>
      </c>
      <c r="C2429" s="10">
        <v>7</v>
      </c>
      <c r="D2429" s="10">
        <v>2</v>
      </c>
      <c r="E2429" s="10">
        <v>8</v>
      </c>
      <c r="F2429" s="10">
        <v>8</v>
      </c>
      <c r="L2429" s="1">
        <v>475</v>
      </c>
      <c r="M2429" s="1">
        <v>51</v>
      </c>
      <c r="N2429" s="1">
        <v>1</v>
      </c>
      <c r="O2429" s="1">
        <v>1</v>
      </c>
      <c r="P2429" s="2">
        <v>1</v>
      </c>
      <c r="Q2429" s="67">
        <v>13</v>
      </c>
    </row>
    <row r="2430" spans="1:17" x14ac:dyDescent="0.25">
      <c r="A2430" s="10">
        <v>46</v>
      </c>
      <c r="B2430" s="10">
        <v>5</v>
      </c>
      <c r="C2430" s="10">
        <v>7</v>
      </c>
      <c r="D2430" s="10">
        <v>1</v>
      </c>
      <c r="E2430" s="10">
        <v>10</v>
      </c>
      <c r="F2430" s="10">
        <v>10</v>
      </c>
      <c r="L2430" s="1">
        <v>476</v>
      </c>
      <c r="M2430" s="1">
        <v>51</v>
      </c>
      <c r="N2430" s="1">
        <v>1</v>
      </c>
      <c r="O2430" s="1">
        <v>1</v>
      </c>
      <c r="P2430" s="2">
        <v>1</v>
      </c>
      <c r="Q2430" s="68">
        <v>15</v>
      </c>
    </row>
    <row r="2431" spans="1:17" x14ac:dyDescent="0.25">
      <c r="A2431" s="10">
        <v>269</v>
      </c>
      <c r="B2431" s="10">
        <v>29</v>
      </c>
      <c r="C2431" s="10">
        <v>2</v>
      </c>
      <c r="D2431" s="10">
        <v>2</v>
      </c>
      <c r="E2431" s="10">
        <v>2</v>
      </c>
      <c r="F2431" s="10">
        <v>2</v>
      </c>
      <c r="L2431" s="1">
        <v>477</v>
      </c>
      <c r="M2431" s="1">
        <v>51</v>
      </c>
      <c r="N2431" s="1">
        <v>1</v>
      </c>
      <c r="O2431" s="1">
        <v>1</v>
      </c>
      <c r="P2431" s="2">
        <v>1</v>
      </c>
      <c r="Q2431" s="67">
        <v>11</v>
      </c>
    </row>
    <row r="2432" spans="1:17" x14ac:dyDescent="0.25">
      <c r="A2432" s="10">
        <v>46</v>
      </c>
      <c r="B2432" s="10">
        <v>5</v>
      </c>
      <c r="C2432" s="10">
        <v>7</v>
      </c>
      <c r="D2432" s="10">
        <v>2</v>
      </c>
      <c r="E2432" s="10">
        <v>2</v>
      </c>
      <c r="F2432" s="10">
        <v>2</v>
      </c>
      <c r="L2432" s="1">
        <v>478</v>
      </c>
      <c r="M2432" s="1">
        <v>51</v>
      </c>
      <c r="N2432" s="1">
        <v>1</v>
      </c>
      <c r="O2432" s="1">
        <v>1</v>
      </c>
      <c r="P2432" s="2">
        <v>1</v>
      </c>
      <c r="Q2432" s="68">
        <v>12</v>
      </c>
    </row>
    <row r="2433" spans="1:17" x14ac:dyDescent="0.25">
      <c r="A2433" s="10">
        <v>269</v>
      </c>
      <c r="B2433" s="10">
        <v>29</v>
      </c>
      <c r="C2433" s="10">
        <v>2</v>
      </c>
      <c r="D2433" s="10">
        <v>3</v>
      </c>
      <c r="E2433" s="10">
        <v>5</v>
      </c>
      <c r="F2433" s="10">
        <v>5</v>
      </c>
      <c r="L2433" s="1">
        <v>479</v>
      </c>
      <c r="M2433" s="1">
        <v>51</v>
      </c>
      <c r="N2433" s="1">
        <v>1</v>
      </c>
      <c r="O2433" s="1">
        <v>1</v>
      </c>
      <c r="P2433" s="2">
        <v>1</v>
      </c>
      <c r="Q2433" s="67">
        <v>10</v>
      </c>
    </row>
    <row r="2434" spans="1:17" x14ac:dyDescent="0.25">
      <c r="A2434" s="10">
        <v>46</v>
      </c>
      <c r="B2434" s="10">
        <v>5</v>
      </c>
      <c r="C2434" s="10">
        <v>7</v>
      </c>
      <c r="D2434" s="10">
        <v>3</v>
      </c>
      <c r="E2434" s="10">
        <v>1</v>
      </c>
      <c r="F2434" s="10">
        <v>1</v>
      </c>
      <c r="L2434" s="1">
        <v>480</v>
      </c>
      <c r="M2434" s="1">
        <v>51</v>
      </c>
      <c r="N2434" s="1">
        <v>1</v>
      </c>
      <c r="O2434" s="1">
        <v>1</v>
      </c>
      <c r="P2434" s="2">
        <v>1</v>
      </c>
      <c r="Q2434" s="68">
        <v>9</v>
      </c>
    </row>
    <row r="2435" spans="1:17" x14ac:dyDescent="0.25">
      <c r="A2435" s="10">
        <v>269</v>
      </c>
      <c r="B2435" s="10">
        <v>29</v>
      </c>
      <c r="C2435" s="10">
        <v>3</v>
      </c>
      <c r="D2435" s="10">
        <v>1</v>
      </c>
      <c r="E2435" s="10">
        <v>6</v>
      </c>
      <c r="F2435" s="10">
        <v>6</v>
      </c>
      <c r="L2435" s="1">
        <v>481</v>
      </c>
      <c r="M2435" s="1">
        <v>51</v>
      </c>
      <c r="N2435" s="1">
        <v>1</v>
      </c>
      <c r="O2435" s="1">
        <v>1</v>
      </c>
      <c r="P2435" s="2">
        <v>1</v>
      </c>
      <c r="Q2435" s="67">
        <v>13</v>
      </c>
    </row>
    <row r="2436" spans="1:17" x14ac:dyDescent="0.25">
      <c r="A2436" s="10">
        <v>169</v>
      </c>
      <c r="B2436" s="10">
        <v>18</v>
      </c>
      <c r="C2436" s="10">
        <v>8</v>
      </c>
      <c r="D2436" s="10">
        <v>1</v>
      </c>
      <c r="E2436" s="10">
        <v>9</v>
      </c>
      <c r="F2436" s="10">
        <v>9</v>
      </c>
      <c r="L2436" s="1">
        <v>482</v>
      </c>
      <c r="M2436" s="1">
        <v>51</v>
      </c>
      <c r="N2436" s="1">
        <v>1</v>
      </c>
      <c r="O2436" s="1">
        <v>1</v>
      </c>
      <c r="P2436" s="2">
        <v>1</v>
      </c>
      <c r="Q2436" s="68">
        <v>10</v>
      </c>
    </row>
    <row r="2437" spans="1:17" x14ac:dyDescent="0.25">
      <c r="A2437" s="10">
        <v>9</v>
      </c>
      <c r="B2437" s="10">
        <v>1</v>
      </c>
      <c r="C2437" s="10">
        <v>8</v>
      </c>
      <c r="D2437" s="10">
        <v>1</v>
      </c>
      <c r="E2437" s="10">
        <v>8</v>
      </c>
      <c r="F2437" s="10">
        <v>8</v>
      </c>
      <c r="L2437" s="1">
        <v>483</v>
      </c>
      <c r="M2437" s="1">
        <v>52</v>
      </c>
      <c r="N2437" s="1">
        <v>1</v>
      </c>
      <c r="O2437" s="1">
        <v>1</v>
      </c>
      <c r="P2437" s="2">
        <v>1</v>
      </c>
      <c r="Q2437" s="67">
        <v>11</v>
      </c>
    </row>
    <row r="2438" spans="1:17" x14ac:dyDescent="0.25">
      <c r="A2438" s="10">
        <v>169</v>
      </c>
      <c r="B2438" s="10">
        <v>18</v>
      </c>
      <c r="C2438" s="10">
        <v>8</v>
      </c>
      <c r="D2438" s="10">
        <v>2</v>
      </c>
      <c r="E2438" s="10">
        <v>4</v>
      </c>
      <c r="F2438" s="10">
        <v>4</v>
      </c>
      <c r="L2438" s="1">
        <v>484</v>
      </c>
      <c r="M2438" s="1">
        <v>52</v>
      </c>
      <c r="N2438" s="1">
        <v>1</v>
      </c>
      <c r="O2438" s="1">
        <v>1</v>
      </c>
      <c r="P2438" s="2">
        <v>1</v>
      </c>
      <c r="Q2438" s="68">
        <v>10</v>
      </c>
    </row>
    <row r="2439" spans="1:17" x14ac:dyDescent="0.25">
      <c r="A2439" s="10">
        <v>269</v>
      </c>
      <c r="B2439" s="10">
        <v>29</v>
      </c>
      <c r="C2439" s="10">
        <v>3</v>
      </c>
      <c r="D2439" s="10">
        <v>5</v>
      </c>
      <c r="E2439" s="10">
        <v>4</v>
      </c>
      <c r="F2439" s="10">
        <v>4</v>
      </c>
      <c r="L2439" s="1">
        <v>485</v>
      </c>
      <c r="M2439" s="1">
        <v>52</v>
      </c>
      <c r="N2439" s="1">
        <v>1</v>
      </c>
      <c r="O2439" s="1">
        <v>1</v>
      </c>
      <c r="P2439" s="2">
        <v>1</v>
      </c>
      <c r="Q2439" s="67">
        <v>13</v>
      </c>
    </row>
    <row r="2440" spans="1:17" x14ac:dyDescent="0.25">
      <c r="A2440" s="10">
        <v>169</v>
      </c>
      <c r="B2440" s="10">
        <v>18</v>
      </c>
      <c r="C2440" s="10">
        <v>7</v>
      </c>
      <c r="D2440" s="10">
        <v>1</v>
      </c>
      <c r="E2440" s="10">
        <v>5</v>
      </c>
      <c r="F2440" s="10">
        <v>5</v>
      </c>
      <c r="L2440" s="1">
        <v>486</v>
      </c>
      <c r="M2440" s="1">
        <v>52</v>
      </c>
      <c r="N2440" s="1">
        <v>1</v>
      </c>
      <c r="O2440" s="1">
        <v>1</v>
      </c>
      <c r="P2440" s="2">
        <v>1</v>
      </c>
      <c r="Q2440" s="68">
        <v>8</v>
      </c>
    </row>
    <row r="2441" spans="1:17" x14ac:dyDescent="0.25">
      <c r="A2441" s="10">
        <v>169</v>
      </c>
      <c r="B2441" s="10">
        <v>18</v>
      </c>
      <c r="C2441" s="10">
        <v>7</v>
      </c>
      <c r="D2441" s="10">
        <v>2</v>
      </c>
      <c r="E2441" s="10">
        <v>8</v>
      </c>
      <c r="F2441" s="10">
        <v>8</v>
      </c>
      <c r="L2441" s="1">
        <v>487</v>
      </c>
      <c r="M2441" s="1">
        <v>52</v>
      </c>
      <c r="N2441" s="1">
        <v>1</v>
      </c>
      <c r="O2441" s="1">
        <v>1</v>
      </c>
      <c r="P2441" s="2">
        <v>1</v>
      </c>
      <c r="Q2441" s="67">
        <v>13</v>
      </c>
    </row>
    <row r="2442" spans="1:17" x14ac:dyDescent="0.25">
      <c r="A2442" s="10">
        <v>269</v>
      </c>
      <c r="B2442" s="10">
        <v>29</v>
      </c>
      <c r="C2442" s="10">
        <v>6</v>
      </c>
      <c r="D2442" s="10">
        <v>1</v>
      </c>
      <c r="E2442" s="10">
        <v>9</v>
      </c>
      <c r="F2442" s="10">
        <v>9</v>
      </c>
      <c r="L2442" s="1">
        <v>488</v>
      </c>
      <c r="M2442" s="1">
        <v>52</v>
      </c>
      <c r="N2442" s="1">
        <v>1</v>
      </c>
      <c r="O2442" s="1">
        <v>1</v>
      </c>
      <c r="P2442" s="2">
        <v>1</v>
      </c>
      <c r="Q2442" s="68">
        <v>15</v>
      </c>
    </row>
    <row r="2443" spans="1:17" x14ac:dyDescent="0.25">
      <c r="A2443" s="10">
        <v>413</v>
      </c>
      <c r="B2443" s="10">
        <v>44</v>
      </c>
      <c r="C2443" s="10">
        <v>8</v>
      </c>
      <c r="D2443" s="10">
        <v>1</v>
      </c>
      <c r="E2443" s="10">
        <v>8</v>
      </c>
      <c r="F2443" s="10">
        <v>8</v>
      </c>
      <c r="L2443" s="1">
        <v>1</v>
      </c>
      <c r="M2443" s="1">
        <v>1</v>
      </c>
      <c r="N2443" s="1">
        <v>1</v>
      </c>
      <c r="O2443" s="1">
        <v>2</v>
      </c>
      <c r="P2443" s="2">
        <v>1</v>
      </c>
      <c r="Q2443" s="67">
        <v>19</v>
      </c>
    </row>
    <row r="2444" spans="1:17" x14ac:dyDescent="0.25">
      <c r="A2444" s="10">
        <v>169</v>
      </c>
      <c r="B2444" s="10">
        <v>18</v>
      </c>
      <c r="C2444" s="10">
        <v>6</v>
      </c>
      <c r="D2444" s="10">
        <v>2</v>
      </c>
      <c r="E2444" s="10">
        <v>7</v>
      </c>
      <c r="F2444" s="10">
        <v>7</v>
      </c>
      <c r="L2444" s="1">
        <v>2</v>
      </c>
      <c r="M2444" s="1">
        <v>1</v>
      </c>
      <c r="N2444" s="1">
        <v>1</v>
      </c>
      <c r="O2444" s="1">
        <v>2</v>
      </c>
      <c r="P2444" s="2">
        <v>1</v>
      </c>
      <c r="Q2444" s="68">
        <v>14</v>
      </c>
    </row>
    <row r="2445" spans="1:17" x14ac:dyDescent="0.25">
      <c r="A2445" s="10">
        <v>413</v>
      </c>
      <c r="B2445" s="10">
        <v>44</v>
      </c>
      <c r="C2445" s="10">
        <v>8</v>
      </c>
      <c r="D2445" s="10">
        <v>2</v>
      </c>
      <c r="E2445" s="10">
        <v>2</v>
      </c>
      <c r="F2445" s="10">
        <v>2</v>
      </c>
      <c r="L2445" s="1">
        <v>3</v>
      </c>
      <c r="M2445" s="1">
        <v>1</v>
      </c>
      <c r="N2445" s="1">
        <v>1</v>
      </c>
      <c r="O2445" s="1">
        <v>2</v>
      </c>
      <c r="P2445" s="2">
        <v>1</v>
      </c>
      <c r="Q2445" s="67">
        <v>11</v>
      </c>
    </row>
    <row r="2446" spans="1:17" x14ac:dyDescent="0.25">
      <c r="A2446" s="10">
        <v>413</v>
      </c>
      <c r="B2446" s="10">
        <v>44</v>
      </c>
      <c r="C2446" s="10">
        <v>8</v>
      </c>
      <c r="D2446" s="10">
        <v>8</v>
      </c>
      <c r="E2446" s="10">
        <v>3</v>
      </c>
      <c r="F2446" s="10">
        <v>3</v>
      </c>
      <c r="L2446" s="1">
        <v>4</v>
      </c>
      <c r="M2446" s="1">
        <v>1</v>
      </c>
      <c r="N2446" s="1">
        <v>1</v>
      </c>
      <c r="O2446" s="1">
        <v>2</v>
      </c>
      <c r="P2446" s="2">
        <v>1</v>
      </c>
      <c r="Q2446" s="68">
        <v>12</v>
      </c>
    </row>
    <row r="2447" spans="1:17" x14ac:dyDescent="0.25">
      <c r="A2447" s="10">
        <v>36</v>
      </c>
      <c r="B2447" s="10">
        <v>4</v>
      </c>
      <c r="C2447" s="10">
        <v>8</v>
      </c>
      <c r="D2447" s="10">
        <v>1</v>
      </c>
      <c r="E2447" s="10">
        <v>27</v>
      </c>
      <c r="F2447" s="10">
        <v>27</v>
      </c>
      <c r="L2447" s="1">
        <v>5</v>
      </c>
      <c r="M2447" s="1">
        <v>1</v>
      </c>
      <c r="N2447" s="1">
        <v>1</v>
      </c>
      <c r="O2447" s="1">
        <v>2</v>
      </c>
      <c r="P2447" s="2">
        <v>1</v>
      </c>
      <c r="Q2447" s="67">
        <v>13</v>
      </c>
    </row>
    <row r="2448" spans="1:17" x14ac:dyDescent="0.25">
      <c r="A2448" s="10">
        <v>42</v>
      </c>
      <c r="B2448" s="10">
        <v>5</v>
      </c>
      <c r="C2448" s="10">
        <v>8</v>
      </c>
      <c r="D2448" s="10">
        <v>1</v>
      </c>
      <c r="E2448" s="10">
        <v>16</v>
      </c>
      <c r="F2448" s="10">
        <v>16</v>
      </c>
      <c r="L2448" s="1">
        <v>6</v>
      </c>
      <c r="M2448" s="1">
        <v>1</v>
      </c>
      <c r="N2448" s="1">
        <v>1</v>
      </c>
      <c r="O2448" s="1">
        <v>2</v>
      </c>
      <c r="P2448" s="2">
        <v>1</v>
      </c>
      <c r="Q2448" s="68">
        <v>12</v>
      </c>
    </row>
    <row r="2449" spans="1:17" x14ac:dyDescent="0.25">
      <c r="A2449" s="10">
        <v>42</v>
      </c>
      <c r="B2449" s="10">
        <v>5</v>
      </c>
      <c r="C2449" s="10">
        <v>8</v>
      </c>
      <c r="D2449" s="10">
        <v>2</v>
      </c>
      <c r="E2449" s="10">
        <v>19</v>
      </c>
      <c r="F2449" s="10">
        <v>19</v>
      </c>
      <c r="L2449" s="1">
        <v>7</v>
      </c>
      <c r="M2449" s="1">
        <v>1</v>
      </c>
      <c r="N2449" s="1">
        <v>1</v>
      </c>
      <c r="O2449" s="1">
        <v>2</v>
      </c>
      <c r="P2449" s="2">
        <v>1</v>
      </c>
      <c r="Q2449" s="67">
        <v>4</v>
      </c>
    </row>
    <row r="2450" spans="1:17" x14ac:dyDescent="0.25">
      <c r="A2450" s="10">
        <v>42</v>
      </c>
      <c r="B2450" s="10">
        <v>5</v>
      </c>
      <c r="C2450" s="10">
        <v>8</v>
      </c>
      <c r="D2450" s="10">
        <v>6</v>
      </c>
      <c r="E2450" s="10">
        <v>2</v>
      </c>
      <c r="F2450" s="10">
        <v>2</v>
      </c>
      <c r="L2450" s="1">
        <v>8</v>
      </c>
      <c r="M2450" s="1">
        <v>1</v>
      </c>
      <c r="N2450" s="1">
        <v>1</v>
      </c>
      <c r="O2450" s="1">
        <v>2</v>
      </c>
      <c r="P2450" s="2">
        <v>1</v>
      </c>
      <c r="Q2450" s="68">
        <v>3</v>
      </c>
    </row>
    <row r="2451" spans="1:17" x14ac:dyDescent="0.25">
      <c r="A2451" s="10">
        <v>42</v>
      </c>
      <c r="B2451" s="10">
        <v>5</v>
      </c>
      <c r="C2451" s="10">
        <v>8</v>
      </c>
      <c r="D2451" s="10">
        <v>8</v>
      </c>
      <c r="E2451" s="10">
        <v>2</v>
      </c>
      <c r="F2451" s="10">
        <v>2</v>
      </c>
      <c r="L2451" s="1">
        <v>9</v>
      </c>
      <c r="M2451" s="1">
        <v>1</v>
      </c>
      <c r="N2451" s="1">
        <v>1</v>
      </c>
      <c r="O2451" s="1">
        <v>2</v>
      </c>
      <c r="P2451" s="2">
        <v>1</v>
      </c>
      <c r="Q2451" s="67">
        <v>6</v>
      </c>
    </row>
    <row r="2452" spans="1:17" x14ac:dyDescent="0.25">
      <c r="A2452" s="10">
        <v>319</v>
      </c>
      <c r="B2452" s="10">
        <v>34</v>
      </c>
      <c r="C2452" s="10">
        <v>7</v>
      </c>
      <c r="D2452" s="10">
        <v>1</v>
      </c>
      <c r="E2452" s="10">
        <v>3</v>
      </c>
      <c r="F2452" s="10">
        <v>3</v>
      </c>
      <c r="L2452" s="1">
        <v>10</v>
      </c>
      <c r="M2452" s="1">
        <v>1</v>
      </c>
      <c r="N2452" s="1">
        <v>1</v>
      </c>
      <c r="O2452" s="1">
        <v>2</v>
      </c>
      <c r="P2452" s="2">
        <v>1</v>
      </c>
      <c r="Q2452" s="68">
        <v>6</v>
      </c>
    </row>
    <row r="2453" spans="1:17" x14ac:dyDescent="0.25">
      <c r="A2453" s="10">
        <v>319</v>
      </c>
      <c r="B2453" s="10">
        <v>34</v>
      </c>
      <c r="C2453" s="10">
        <v>7</v>
      </c>
      <c r="D2453" s="10">
        <v>2</v>
      </c>
      <c r="E2453" s="10">
        <v>24</v>
      </c>
      <c r="F2453" s="10">
        <v>24</v>
      </c>
      <c r="L2453" s="1">
        <v>11</v>
      </c>
      <c r="M2453" s="1">
        <v>2</v>
      </c>
      <c r="N2453" s="1">
        <v>1</v>
      </c>
      <c r="O2453" s="1">
        <v>2</v>
      </c>
      <c r="P2453" s="2">
        <v>1</v>
      </c>
      <c r="Q2453" s="67">
        <v>2</v>
      </c>
    </row>
    <row r="2454" spans="1:17" x14ac:dyDescent="0.25">
      <c r="A2454" s="10">
        <v>38</v>
      </c>
      <c r="B2454" s="10">
        <v>5</v>
      </c>
      <c r="C2454" s="10">
        <v>8</v>
      </c>
      <c r="D2454" s="10">
        <v>1</v>
      </c>
      <c r="E2454" s="10">
        <v>1</v>
      </c>
      <c r="F2454" s="10">
        <v>1</v>
      </c>
      <c r="L2454" s="1">
        <v>12</v>
      </c>
      <c r="M2454" s="1">
        <v>2</v>
      </c>
      <c r="N2454" s="1">
        <v>1</v>
      </c>
      <c r="O2454" s="1">
        <v>2</v>
      </c>
      <c r="P2454" s="2">
        <v>1</v>
      </c>
      <c r="Q2454" s="68">
        <v>5</v>
      </c>
    </row>
    <row r="2455" spans="1:17" x14ac:dyDescent="0.25">
      <c r="A2455" s="10">
        <v>44</v>
      </c>
      <c r="B2455" s="10">
        <v>5</v>
      </c>
      <c r="C2455" s="10">
        <v>8</v>
      </c>
      <c r="D2455" s="10">
        <v>1</v>
      </c>
      <c r="E2455" s="10">
        <v>7</v>
      </c>
      <c r="F2455" s="10">
        <v>7</v>
      </c>
      <c r="L2455" s="1">
        <v>13</v>
      </c>
      <c r="M2455" s="1">
        <v>2</v>
      </c>
      <c r="N2455" s="1">
        <v>1</v>
      </c>
      <c r="O2455" s="1">
        <v>2</v>
      </c>
      <c r="P2455" s="2">
        <v>1</v>
      </c>
      <c r="Q2455" s="67">
        <v>13</v>
      </c>
    </row>
    <row r="2456" spans="1:17" x14ac:dyDescent="0.25">
      <c r="A2456" s="10">
        <v>44</v>
      </c>
      <c r="B2456" s="10">
        <v>5</v>
      </c>
      <c r="C2456" s="10">
        <v>8</v>
      </c>
      <c r="D2456" s="10">
        <v>2</v>
      </c>
      <c r="E2456" s="10">
        <v>10</v>
      </c>
      <c r="F2456" s="10">
        <v>10</v>
      </c>
      <c r="L2456" s="1">
        <v>14</v>
      </c>
      <c r="M2456" s="1">
        <v>2</v>
      </c>
      <c r="N2456" s="1">
        <v>1</v>
      </c>
      <c r="O2456" s="1">
        <v>2</v>
      </c>
      <c r="P2456" s="2">
        <v>1</v>
      </c>
      <c r="Q2456" s="68">
        <v>7</v>
      </c>
    </row>
    <row r="2457" spans="1:17" x14ac:dyDescent="0.25">
      <c r="A2457" s="10">
        <v>44</v>
      </c>
      <c r="B2457" s="10">
        <v>5</v>
      </c>
      <c r="C2457" s="10">
        <v>8</v>
      </c>
      <c r="D2457" s="10">
        <v>3</v>
      </c>
      <c r="E2457" s="10">
        <v>1</v>
      </c>
      <c r="F2457" s="10">
        <v>1</v>
      </c>
      <c r="L2457" s="1">
        <v>15</v>
      </c>
      <c r="M2457" s="1">
        <v>2</v>
      </c>
      <c r="N2457" s="1">
        <v>1</v>
      </c>
      <c r="O2457" s="1">
        <v>2</v>
      </c>
      <c r="P2457" s="2">
        <v>1</v>
      </c>
      <c r="Q2457" s="67">
        <v>8</v>
      </c>
    </row>
    <row r="2458" spans="1:17" x14ac:dyDescent="0.25">
      <c r="A2458" s="10">
        <v>44</v>
      </c>
      <c r="B2458" s="10">
        <v>5</v>
      </c>
      <c r="C2458" s="10">
        <v>8</v>
      </c>
      <c r="D2458" s="10">
        <v>6</v>
      </c>
      <c r="E2458" s="10">
        <v>1</v>
      </c>
      <c r="F2458" s="10">
        <v>1</v>
      </c>
      <c r="L2458" s="1">
        <v>16</v>
      </c>
      <c r="M2458" s="1">
        <v>2</v>
      </c>
      <c r="N2458" s="1">
        <v>1</v>
      </c>
      <c r="O2458" s="1">
        <v>2</v>
      </c>
      <c r="P2458" s="2">
        <v>1</v>
      </c>
      <c r="Q2458" s="68">
        <v>5</v>
      </c>
    </row>
    <row r="2459" spans="1:17" x14ac:dyDescent="0.25">
      <c r="A2459" s="10">
        <v>208</v>
      </c>
      <c r="B2459" s="10">
        <v>22</v>
      </c>
      <c r="C2459" s="10">
        <v>8</v>
      </c>
      <c r="D2459" s="10">
        <v>1</v>
      </c>
      <c r="E2459" s="10">
        <v>3</v>
      </c>
      <c r="F2459" s="10">
        <v>3</v>
      </c>
      <c r="L2459" s="1">
        <v>17</v>
      </c>
      <c r="M2459" s="1">
        <v>2</v>
      </c>
      <c r="N2459" s="1">
        <v>1</v>
      </c>
      <c r="O2459" s="1">
        <v>2</v>
      </c>
      <c r="P2459" s="2">
        <v>1</v>
      </c>
      <c r="Q2459" s="67">
        <v>0</v>
      </c>
    </row>
    <row r="2460" spans="1:17" x14ac:dyDescent="0.25">
      <c r="A2460" s="10">
        <v>208</v>
      </c>
      <c r="B2460" s="10">
        <v>22</v>
      </c>
      <c r="C2460" s="10">
        <v>8</v>
      </c>
      <c r="D2460" s="10">
        <v>2</v>
      </c>
      <c r="E2460" s="10">
        <v>0</v>
      </c>
      <c r="F2460" s="10">
        <v>0</v>
      </c>
      <c r="L2460" s="1">
        <v>18</v>
      </c>
      <c r="M2460" s="1">
        <v>2</v>
      </c>
      <c r="N2460" s="1">
        <v>1</v>
      </c>
      <c r="O2460" s="1">
        <v>2</v>
      </c>
      <c r="P2460" s="2">
        <v>1</v>
      </c>
      <c r="Q2460" s="68">
        <v>3</v>
      </c>
    </row>
    <row r="2461" spans="1:17" x14ac:dyDescent="0.25">
      <c r="A2461" s="10">
        <v>208</v>
      </c>
      <c r="B2461" s="10">
        <v>22</v>
      </c>
      <c r="C2461" s="10">
        <v>8</v>
      </c>
      <c r="D2461" s="10">
        <v>5</v>
      </c>
      <c r="E2461" s="10">
        <v>1</v>
      </c>
      <c r="F2461" s="10">
        <v>1</v>
      </c>
      <c r="L2461" s="1">
        <v>19</v>
      </c>
      <c r="M2461" s="1">
        <v>2</v>
      </c>
      <c r="N2461" s="1">
        <v>1</v>
      </c>
      <c r="O2461" s="1">
        <v>2</v>
      </c>
      <c r="P2461" s="2">
        <v>1</v>
      </c>
      <c r="Q2461" s="67">
        <v>1</v>
      </c>
    </row>
    <row r="2462" spans="1:17" x14ac:dyDescent="0.25">
      <c r="A2462" s="10">
        <v>118</v>
      </c>
      <c r="B2462" s="10">
        <v>13</v>
      </c>
      <c r="C2462" s="10">
        <v>7</v>
      </c>
      <c r="D2462" s="10">
        <v>1</v>
      </c>
      <c r="E2462" s="10">
        <v>5</v>
      </c>
      <c r="F2462" s="10">
        <v>5</v>
      </c>
      <c r="L2462" s="1">
        <v>20</v>
      </c>
      <c r="M2462" s="1">
        <v>2</v>
      </c>
      <c r="N2462" s="1">
        <v>1</v>
      </c>
      <c r="O2462" s="1">
        <v>2</v>
      </c>
      <c r="P2462" s="2">
        <v>1</v>
      </c>
      <c r="Q2462" s="68">
        <v>4</v>
      </c>
    </row>
    <row r="2463" spans="1:17" x14ac:dyDescent="0.25">
      <c r="A2463" s="10">
        <v>118</v>
      </c>
      <c r="B2463" s="10">
        <v>13</v>
      </c>
      <c r="C2463" s="10">
        <v>7</v>
      </c>
      <c r="D2463" s="10">
        <v>2</v>
      </c>
      <c r="E2463" s="10">
        <v>10</v>
      </c>
      <c r="F2463" s="10">
        <v>10</v>
      </c>
      <c r="L2463" s="1">
        <v>21</v>
      </c>
      <c r="M2463" s="1">
        <v>3</v>
      </c>
      <c r="N2463" s="1">
        <v>1</v>
      </c>
      <c r="O2463" s="1">
        <v>2</v>
      </c>
      <c r="P2463" s="2">
        <v>1</v>
      </c>
      <c r="Q2463" s="67">
        <v>8</v>
      </c>
    </row>
    <row r="2464" spans="1:17" x14ac:dyDescent="0.25">
      <c r="A2464" s="10">
        <v>202</v>
      </c>
      <c r="B2464" s="10">
        <v>22</v>
      </c>
      <c r="C2464" s="10">
        <v>8</v>
      </c>
      <c r="D2464" s="10">
        <v>2</v>
      </c>
      <c r="E2464" s="10">
        <v>1</v>
      </c>
      <c r="F2464" s="10">
        <v>1</v>
      </c>
      <c r="L2464" s="1">
        <v>22</v>
      </c>
      <c r="M2464" s="1">
        <v>3</v>
      </c>
      <c r="N2464" s="1">
        <v>1</v>
      </c>
      <c r="O2464" s="1">
        <v>2</v>
      </c>
      <c r="P2464" s="2">
        <v>1</v>
      </c>
      <c r="Q2464" s="68">
        <v>12</v>
      </c>
    </row>
    <row r="2465" spans="1:17" x14ac:dyDescent="0.25">
      <c r="A2465" s="10">
        <v>202</v>
      </c>
      <c r="B2465" s="10">
        <v>22</v>
      </c>
      <c r="C2465" s="10">
        <v>8</v>
      </c>
      <c r="D2465" s="10">
        <v>3</v>
      </c>
      <c r="E2465" s="10">
        <v>2</v>
      </c>
      <c r="F2465" s="10">
        <v>2</v>
      </c>
      <c r="L2465" s="1">
        <v>23</v>
      </c>
      <c r="M2465" s="1">
        <v>3</v>
      </c>
      <c r="N2465" s="1">
        <v>1</v>
      </c>
      <c r="O2465" s="1">
        <v>2</v>
      </c>
      <c r="P2465" s="2">
        <v>1</v>
      </c>
      <c r="Q2465" s="67">
        <v>10</v>
      </c>
    </row>
    <row r="2466" spans="1:17" x14ac:dyDescent="0.25">
      <c r="A2466" s="10">
        <v>20</v>
      </c>
      <c r="B2466" s="10">
        <v>2</v>
      </c>
      <c r="C2466" s="10">
        <v>7</v>
      </c>
      <c r="D2466" s="10">
        <v>1</v>
      </c>
      <c r="E2466" s="10">
        <v>15</v>
      </c>
      <c r="F2466" s="10">
        <v>15</v>
      </c>
      <c r="L2466" s="1">
        <v>24</v>
      </c>
      <c r="M2466" s="1">
        <v>3</v>
      </c>
      <c r="N2466" s="1">
        <v>1</v>
      </c>
      <c r="O2466" s="1">
        <v>2</v>
      </c>
      <c r="P2466" s="2">
        <v>1</v>
      </c>
      <c r="Q2466" s="68">
        <v>22</v>
      </c>
    </row>
    <row r="2467" spans="1:17" x14ac:dyDescent="0.25">
      <c r="A2467" s="10">
        <v>20</v>
      </c>
      <c r="B2467" s="10">
        <v>2</v>
      </c>
      <c r="C2467" s="10">
        <v>7</v>
      </c>
      <c r="D2467" s="10">
        <v>2</v>
      </c>
      <c r="E2467" s="10">
        <v>10</v>
      </c>
      <c r="F2467" s="10">
        <v>10</v>
      </c>
      <c r="L2467" s="1">
        <v>25</v>
      </c>
      <c r="M2467" s="1">
        <v>3</v>
      </c>
      <c r="N2467" s="1">
        <v>1</v>
      </c>
      <c r="O2467" s="1">
        <v>2</v>
      </c>
      <c r="P2467" s="2">
        <v>1</v>
      </c>
      <c r="Q2467" s="67">
        <v>5</v>
      </c>
    </row>
    <row r="2468" spans="1:17" x14ac:dyDescent="0.25">
      <c r="A2468" s="10">
        <v>20</v>
      </c>
      <c r="B2468" s="10">
        <v>2</v>
      </c>
      <c r="C2468" s="10">
        <v>7</v>
      </c>
      <c r="D2468" s="10">
        <v>10</v>
      </c>
      <c r="E2468" s="10">
        <v>4</v>
      </c>
      <c r="F2468" s="10">
        <v>4</v>
      </c>
      <c r="L2468" s="1">
        <v>26</v>
      </c>
      <c r="M2468" s="1">
        <v>3</v>
      </c>
      <c r="N2468" s="1">
        <v>1</v>
      </c>
      <c r="O2468" s="1">
        <v>2</v>
      </c>
      <c r="P2468" s="2">
        <v>1</v>
      </c>
      <c r="Q2468" s="68">
        <v>0</v>
      </c>
    </row>
    <row r="2469" spans="1:17" x14ac:dyDescent="0.25">
      <c r="A2469" s="10">
        <v>206</v>
      </c>
      <c r="B2469" s="10">
        <v>22</v>
      </c>
      <c r="C2469" s="10">
        <v>8</v>
      </c>
      <c r="D2469" s="10">
        <v>1</v>
      </c>
      <c r="E2469" s="10">
        <v>5</v>
      </c>
      <c r="F2469" s="10">
        <v>5</v>
      </c>
      <c r="L2469" s="1">
        <v>27</v>
      </c>
      <c r="M2469" s="1">
        <v>4</v>
      </c>
      <c r="N2469" s="1">
        <v>1</v>
      </c>
      <c r="O2469" s="1">
        <v>2</v>
      </c>
      <c r="P2469" s="2">
        <v>1</v>
      </c>
      <c r="Q2469" s="67">
        <v>3</v>
      </c>
    </row>
    <row r="2470" spans="1:17" x14ac:dyDescent="0.25">
      <c r="A2470" s="10">
        <v>206</v>
      </c>
      <c r="B2470" s="10">
        <v>22</v>
      </c>
      <c r="C2470" s="10">
        <v>8</v>
      </c>
      <c r="D2470" s="10">
        <v>2</v>
      </c>
      <c r="E2470" s="10">
        <v>14</v>
      </c>
      <c r="F2470" s="10">
        <v>14</v>
      </c>
      <c r="L2470" s="1">
        <v>28</v>
      </c>
      <c r="M2470" s="1">
        <v>4</v>
      </c>
      <c r="N2470" s="1">
        <v>1</v>
      </c>
      <c r="O2470" s="1">
        <v>2</v>
      </c>
      <c r="P2470" s="2">
        <v>1</v>
      </c>
      <c r="Q2470" s="68">
        <v>1</v>
      </c>
    </row>
    <row r="2471" spans="1:17" x14ac:dyDescent="0.25">
      <c r="A2471" s="10">
        <v>206</v>
      </c>
      <c r="B2471" s="10">
        <v>22</v>
      </c>
      <c r="C2471" s="10">
        <v>8</v>
      </c>
      <c r="D2471" s="10">
        <v>4</v>
      </c>
      <c r="E2471" s="10">
        <v>2</v>
      </c>
      <c r="F2471" s="10">
        <v>2</v>
      </c>
      <c r="L2471" s="1">
        <v>29</v>
      </c>
      <c r="M2471" s="1">
        <v>4</v>
      </c>
      <c r="N2471" s="1">
        <v>1</v>
      </c>
      <c r="O2471" s="1">
        <v>2</v>
      </c>
      <c r="P2471" s="2">
        <v>1</v>
      </c>
      <c r="Q2471" s="67">
        <v>2</v>
      </c>
    </row>
    <row r="2472" spans="1:17" x14ac:dyDescent="0.25">
      <c r="A2472" s="10">
        <v>30</v>
      </c>
      <c r="B2472" s="10">
        <v>4</v>
      </c>
      <c r="C2472" s="10">
        <v>8</v>
      </c>
      <c r="D2472" s="10">
        <v>1</v>
      </c>
      <c r="E2472" s="10">
        <v>2</v>
      </c>
      <c r="F2472" s="10">
        <v>2</v>
      </c>
      <c r="L2472" s="1">
        <v>30</v>
      </c>
      <c r="M2472" s="1">
        <v>4</v>
      </c>
      <c r="N2472" s="1">
        <v>1</v>
      </c>
      <c r="O2472" s="1">
        <v>2</v>
      </c>
      <c r="P2472" s="2">
        <v>1</v>
      </c>
      <c r="Q2472" s="68">
        <v>5</v>
      </c>
    </row>
    <row r="2473" spans="1:17" x14ac:dyDescent="0.25">
      <c r="A2473" s="10">
        <v>30</v>
      </c>
      <c r="B2473" s="10">
        <v>4</v>
      </c>
      <c r="C2473" s="10">
        <v>8</v>
      </c>
      <c r="D2473" s="10">
        <v>2</v>
      </c>
      <c r="E2473" s="10">
        <v>5</v>
      </c>
      <c r="F2473" s="10">
        <v>5</v>
      </c>
      <c r="L2473" s="1">
        <v>31</v>
      </c>
      <c r="M2473" s="1">
        <v>4</v>
      </c>
      <c r="N2473" s="1">
        <v>1</v>
      </c>
      <c r="O2473" s="1">
        <v>2</v>
      </c>
      <c r="P2473" s="2">
        <v>1</v>
      </c>
      <c r="Q2473" s="67">
        <v>9</v>
      </c>
    </row>
    <row r="2474" spans="1:17" x14ac:dyDescent="0.25">
      <c r="A2474" s="10">
        <v>3</v>
      </c>
      <c r="B2474" s="10">
        <v>1</v>
      </c>
      <c r="C2474" s="10">
        <v>8</v>
      </c>
      <c r="D2474" s="10">
        <v>1</v>
      </c>
      <c r="E2474" s="10">
        <v>16</v>
      </c>
      <c r="F2474" s="10">
        <v>16</v>
      </c>
      <c r="L2474" s="1">
        <v>32</v>
      </c>
      <c r="M2474" s="1">
        <v>4</v>
      </c>
      <c r="N2474" s="1">
        <v>1</v>
      </c>
      <c r="O2474" s="1">
        <v>2</v>
      </c>
      <c r="P2474" s="2">
        <v>1</v>
      </c>
      <c r="Q2474" s="68">
        <v>15</v>
      </c>
    </row>
    <row r="2475" spans="1:17" x14ac:dyDescent="0.25">
      <c r="A2475" s="10">
        <v>3</v>
      </c>
      <c r="B2475" s="10">
        <v>1</v>
      </c>
      <c r="C2475" s="10">
        <v>8</v>
      </c>
      <c r="D2475" s="10">
        <v>2</v>
      </c>
      <c r="E2475" s="10">
        <v>8</v>
      </c>
      <c r="F2475" s="10">
        <v>8</v>
      </c>
      <c r="L2475" s="1">
        <v>33</v>
      </c>
      <c r="M2475" s="1">
        <v>4</v>
      </c>
      <c r="N2475" s="1">
        <v>1</v>
      </c>
      <c r="O2475" s="1">
        <v>2</v>
      </c>
      <c r="P2475" s="2">
        <v>1</v>
      </c>
      <c r="Q2475" s="67">
        <v>11</v>
      </c>
    </row>
    <row r="2476" spans="1:17" x14ac:dyDescent="0.25">
      <c r="A2476" s="10">
        <v>441</v>
      </c>
      <c r="B2476" s="10">
        <v>47</v>
      </c>
      <c r="C2476" s="10">
        <v>8</v>
      </c>
      <c r="D2476" s="10">
        <v>1</v>
      </c>
      <c r="E2476" s="10">
        <v>8</v>
      </c>
      <c r="F2476" s="10">
        <v>8</v>
      </c>
      <c r="L2476" s="1">
        <v>34</v>
      </c>
      <c r="M2476" s="1">
        <v>4</v>
      </c>
      <c r="N2476" s="1">
        <v>1</v>
      </c>
      <c r="O2476" s="1">
        <v>2</v>
      </c>
      <c r="P2476" s="2">
        <v>1</v>
      </c>
      <c r="Q2476" s="68">
        <v>12</v>
      </c>
    </row>
    <row r="2477" spans="1:17" x14ac:dyDescent="0.25">
      <c r="A2477" s="10">
        <v>441</v>
      </c>
      <c r="B2477" s="10">
        <v>47</v>
      </c>
      <c r="C2477" s="10">
        <v>8</v>
      </c>
      <c r="D2477" s="10">
        <v>2</v>
      </c>
      <c r="E2477" s="10">
        <v>6</v>
      </c>
      <c r="F2477" s="10">
        <v>6</v>
      </c>
      <c r="L2477" s="1">
        <v>35</v>
      </c>
      <c r="M2477" s="1">
        <v>4</v>
      </c>
      <c r="N2477" s="1">
        <v>1</v>
      </c>
      <c r="O2477" s="1">
        <v>2</v>
      </c>
      <c r="P2477" s="2">
        <v>1</v>
      </c>
      <c r="Q2477" s="67">
        <v>13</v>
      </c>
    </row>
    <row r="2478" spans="1:17" x14ac:dyDescent="0.25">
      <c r="A2478" s="10">
        <v>15</v>
      </c>
      <c r="B2478" s="10">
        <v>2</v>
      </c>
      <c r="C2478" s="10">
        <v>8</v>
      </c>
      <c r="D2478" s="10">
        <v>2</v>
      </c>
      <c r="E2478" s="10">
        <v>5</v>
      </c>
      <c r="F2478" s="10">
        <v>5</v>
      </c>
      <c r="L2478" s="1">
        <v>36</v>
      </c>
      <c r="M2478" s="1">
        <v>4</v>
      </c>
      <c r="N2478" s="1">
        <v>1</v>
      </c>
      <c r="O2478" s="1">
        <v>2</v>
      </c>
      <c r="P2478" s="2">
        <v>1</v>
      </c>
      <c r="Q2478" s="68">
        <v>14</v>
      </c>
    </row>
    <row r="2479" spans="1:17" x14ac:dyDescent="0.25">
      <c r="A2479" s="10">
        <v>269</v>
      </c>
      <c r="B2479" s="10">
        <v>29</v>
      </c>
      <c r="C2479" s="10">
        <v>5</v>
      </c>
      <c r="D2479" s="10">
        <v>1</v>
      </c>
      <c r="E2479" s="10">
        <v>8</v>
      </c>
      <c r="F2479" s="10">
        <v>8</v>
      </c>
      <c r="L2479" s="1">
        <v>37</v>
      </c>
      <c r="M2479" s="1">
        <v>5</v>
      </c>
      <c r="N2479" s="1">
        <v>1</v>
      </c>
      <c r="O2479" s="1">
        <v>2</v>
      </c>
      <c r="P2479" s="2">
        <v>1</v>
      </c>
      <c r="Q2479" s="67">
        <v>13</v>
      </c>
    </row>
    <row r="2480" spans="1:17" x14ac:dyDescent="0.25">
      <c r="A2480" s="10">
        <v>269</v>
      </c>
      <c r="B2480" s="10">
        <v>29</v>
      </c>
      <c r="C2480" s="10">
        <v>5</v>
      </c>
      <c r="D2480" s="10">
        <v>5</v>
      </c>
      <c r="E2480" s="10">
        <v>4</v>
      </c>
      <c r="F2480" s="10">
        <v>4</v>
      </c>
      <c r="L2480" s="1">
        <v>38</v>
      </c>
      <c r="M2480" s="1">
        <v>5</v>
      </c>
      <c r="N2480" s="1">
        <v>1</v>
      </c>
      <c r="O2480" s="1">
        <v>2</v>
      </c>
      <c r="P2480" s="2">
        <v>1</v>
      </c>
      <c r="Q2480" s="68">
        <v>13</v>
      </c>
    </row>
    <row r="2481" spans="1:17" x14ac:dyDescent="0.25">
      <c r="A2481" s="10">
        <v>13</v>
      </c>
      <c r="B2481" s="10">
        <v>2</v>
      </c>
      <c r="C2481" s="10">
        <v>8</v>
      </c>
      <c r="D2481" s="10">
        <v>1</v>
      </c>
      <c r="E2481" s="10">
        <v>18</v>
      </c>
      <c r="F2481" s="10">
        <v>18</v>
      </c>
      <c r="L2481" s="1">
        <v>39</v>
      </c>
      <c r="M2481" s="1">
        <v>5</v>
      </c>
      <c r="N2481" s="1">
        <v>1</v>
      </c>
      <c r="O2481" s="1">
        <v>2</v>
      </c>
      <c r="P2481" s="2">
        <v>1</v>
      </c>
      <c r="Q2481" s="67">
        <v>17</v>
      </c>
    </row>
    <row r="2482" spans="1:17" x14ac:dyDescent="0.25">
      <c r="A2482" s="10">
        <v>13</v>
      </c>
      <c r="B2482" s="10">
        <v>2</v>
      </c>
      <c r="C2482" s="10">
        <v>8</v>
      </c>
      <c r="D2482" s="10">
        <v>2</v>
      </c>
      <c r="E2482" s="10">
        <v>14</v>
      </c>
      <c r="F2482" s="10">
        <v>14</v>
      </c>
      <c r="L2482" s="1">
        <v>40</v>
      </c>
      <c r="M2482" s="1">
        <v>5</v>
      </c>
      <c r="N2482" s="1">
        <v>1</v>
      </c>
      <c r="O2482" s="1">
        <v>2</v>
      </c>
      <c r="P2482" s="2">
        <v>1</v>
      </c>
      <c r="Q2482" s="68">
        <v>18</v>
      </c>
    </row>
    <row r="2483" spans="1:17" x14ac:dyDescent="0.25">
      <c r="A2483" s="10">
        <v>437</v>
      </c>
      <c r="B2483" s="10">
        <v>47</v>
      </c>
      <c r="C2483" s="10">
        <v>8</v>
      </c>
      <c r="D2483" s="10">
        <v>1</v>
      </c>
      <c r="E2483" s="10">
        <v>19</v>
      </c>
      <c r="F2483" s="10">
        <v>19</v>
      </c>
      <c r="L2483" s="1">
        <v>41</v>
      </c>
      <c r="M2483" s="1">
        <v>5</v>
      </c>
      <c r="N2483" s="1">
        <v>1</v>
      </c>
      <c r="O2483" s="1">
        <v>2</v>
      </c>
      <c r="P2483" s="2">
        <v>1</v>
      </c>
      <c r="Q2483" s="67">
        <v>18</v>
      </c>
    </row>
    <row r="2484" spans="1:17" x14ac:dyDescent="0.25">
      <c r="A2484" s="10">
        <v>437</v>
      </c>
      <c r="B2484" s="10">
        <v>47</v>
      </c>
      <c r="C2484" s="10">
        <v>8</v>
      </c>
      <c r="D2484" s="10">
        <v>2</v>
      </c>
      <c r="E2484" s="10">
        <v>13</v>
      </c>
      <c r="F2484" s="10">
        <v>13</v>
      </c>
      <c r="L2484" s="1">
        <v>42</v>
      </c>
      <c r="M2484" s="1">
        <v>5</v>
      </c>
      <c r="N2484" s="1">
        <v>1</v>
      </c>
      <c r="O2484" s="1">
        <v>2</v>
      </c>
      <c r="P2484" s="2">
        <v>1</v>
      </c>
      <c r="Q2484" s="68">
        <v>12</v>
      </c>
    </row>
    <row r="2485" spans="1:17" x14ac:dyDescent="0.25">
      <c r="A2485" s="10">
        <v>337</v>
      </c>
      <c r="B2485" s="10">
        <v>36</v>
      </c>
      <c r="C2485" s="10">
        <v>8</v>
      </c>
      <c r="D2485" s="10">
        <v>1</v>
      </c>
      <c r="E2485" s="10">
        <v>5</v>
      </c>
      <c r="F2485" s="10">
        <v>5</v>
      </c>
      <c r="L2485" s="1">
        <v>43</v>
      </c>
      <c r="M2485" s="1">
        <v>5</v>
      </c>
      <c r="N2485" s="1">
        <v>1</v>
      </c>
      <c r="O2485" s="1">
        <v>2</v>
      </c>
      <c r="P2485" s="2">
        <v>1</v>
      </c>
      <c r="Q2485" s="67">
        <v>9</v>
      </c>
    </row>
    <row r="2486" spans="1:17" x14ac:dyDescent="0.25">
      <c r="A2486" s="10">
        <v>337</v>
      </c>
      <c r="B2486" s="10">
        <v>36</v>
      </c>
      <c r="C2486" s="10">
        <v>8</v>
      </c>
      <c r="D2486" s="10">
        <v>2</v>
      </c>
      <c r="E2486" s="10">
        <v>2</v>
      </c>
      <c r="F2486" s="10">
        <v>2</v>
      </c>
      <c r="L2486" s="1">
        <v>44</v>
      </c>
      <c r="M2486" s="1">
        <v>5</v>
      </c>
      <c r="N2486" s="1">
        <v>1</v>
      </c>
      <c r="O2486" s="1">
        <v>2</v>
      </c>
      <c r="P2486" s="2">
        <v>1</v>
      </c>
      <c r="Q2486" s="68">
        <v>7</v>
      </c>
    </row>
    <row r="2487" spans="1:17" x14ac:dyDescent="0.25">
      <c r="A2487" s="10">
        <v>338</v>
      </c>
      <c r="B2487" s="10">
        <v>36</v>
      </c>
      <c r="C2487" s="10">
        <v>8</v>
      </c>
      <c r="D2487" s="10">
        <v>1</v>
      </c>
      <c r="E2487" s="10">
        <v>9</v>
      </c>
      <c r="F2487" s="10">
        <v>9</v>
      </c>
      <c r="L2487" s="1">
        <v>45</v>
      </c>
      <c r="M2487" s="1">
        <v>5</v>
      </c>
      <c r="N2487" s="1">
        <v>1</v>
      </c>
      <c r="O2487" s="1">
        <v>2</v>
      </c>
      <c r="P2487" s="2">
        <v>1</v>
      </c>
      <c r="Q2487" s="67">
        <v>12</v>
      </c>
    </row>
    <row r="2488" spans="1:17" x14ac:dyDescent="0.25">
      <c r="A2488" s="10">
        <v>336</v>
      </c>
      <c r="B2488" s="10">
        <v>36</v>
      </c>
      <c r="C2488" s="10">
        <v>8</v>
      </c>
      <c r="D2488" s="10">
        <v>1</v>
      </c>
      <c r="E2488" s="10">
        <v>1</v>
      </c>
      <c r="F2488" s="10">
        <v>1</v>
      </c>
      <c r="L2488" s="1">
        <v>46</v>
      </c>
      <c r="M2488" s="1">
        <v>5</v>
      </c>
      <c r="N2488" s="1">
        <v>1</v>
      </c>
      <c r="O2488" s="1">
        <v>2</v>
      </c>
      <c r="P2488" s="2">
        <v>1</v>
      </c>
      <c r="Q2488" s="68">
        <v>6</v>
      </c>
    </row>
    <row r="2489" spans="1:17" x14ac:dyDescent="0.25">
      <c r="A2489" s="10">
        <v>336</v>
      </c>
      <c r="B2489" s="10">
        <v>36</v>
      </c>
      <c r="C2489" s="10">
        <v>8</v>
      </c>
      <c r="D2489" s="10">
        <v>2</v>
      </c>
      <c r="E2489" s="10">
        <v>5</v>
      </c>
      <c r="F2489" s="10">
        <v>5</v>
      </c>
      <c r="L2489" s="1">
        <v>47</v>
      </c>
      <c r="M2489" s="1">
        <v>6</v>
      </c>
      <c r="N2489" s="1">
        <v>1</v>
      </c>
      <c r="O2489" s="1">
        <v>2</v>
      </c>
      <c r="P2489" s="2">
        <v>1</v>
      </c>
      <c r="Q2489" s="67">
        <v>10</v>
      </c>
    </row>
    <row r="2490" spans="1:17" x14ac:dyDescent="0.25">
      <c r="A2490" s="10">
        <v>39</v>
      </c>
      <c r="B2490" s="10">
        <v>5</v>
      </c>
      <c r="C2490" s="10">
        <v>7</v>
      </c>
      <c r="D2490" s="10">
        <v>1</v>
      </c>
      <c r="E2490" s="10">
        <v>14</v>
      </c>
      <c r="F2490" s="10">
        <v>14</v>
      </c>
      <c r="L2490" s="1">
        <v>48</v>
      </c>
      <c r="M2490" s="1">
        <v>6</v>
      </c>
      <c r="N2490" s="1">
        <v>1</v>
      </c>
      <c r="O2490" s="1">
        <v>2</v>
      </c>
      <c r="P2490" s="2">
        <v>1</v>
      </c>
      <c r="Q2490" s="68">
        <v>7</v>
      </c>
    </row>
    <row r="2491" spans="1:17" x14ac:dyDescent="0.25">
      <c r="A2491" s="10">
        <v>39</v>
      </c>
      <c r="B2491" s="10">
        <v>5</v>
      </c>
      <c r="C2491" s="10">
        <v>7</v>
      </c>
      <c r="D2491" s="10">
        <v>2</v>
      </c>
      <c r="E2491" s="10">
        <v>7</v>
      </c>
      <c r="F2491" s="10">
        <v>7</v>
      </c>
      <c r="L2491" s="1">
        <v>49</v>
      </c>
      <c r="M2491" s="1">
        <v>6</v>
      </c>
      <c r="N2491" s="1">
        <v>1</v>
      </c>
      <c r="O2491" s="1">
        <v>2</v>
      </c>
      <c r="P2491" s="2">
        <v>1</v>
      </c>
      <c r="Q2491" s="67">
        <v>11</v>
      </c>
    </row>
    <row r="2492" spans="1:17" x14ac:dyDescent="0.25">
      <c r="A2492" s="10">
        <v>334</v>
      </c>
      <c r="B2492" s="10">
        <v>36</v>
      </c>
      <c r="C2492" s="10">
        <v>8</v>
      </c>
      <c r="D2492" s="10">
        <v>1</v>
      </c>
      <c r="E2492" s="10">
        <v>2</v>
      </c>
      <c r="F2492" s="10">
        <v>2</v>
      </c>
      <c r="L2492" s="1">
        <v>50</v>
      </c>
      <c r="M2492" s="1">
        <v>6</v>
      </c>
      <c r="N2492" s="1">
        <v>1</v>
      </c>
      <c r="O2492" s="1">
        <v>2</v>
      </c>
      <c r="P2492" s="2">
        <v>1</v>
      </c>
      <c r="Q2492" s="68">
        <v>13</v>
      </c>
    </row>
    <row r="2493" spans="1:17" x14ac:dyDescent="0.25">
      <c r="A2493" s="10">
        <v>334</v>
      </c>
      <c r="B2493" s="10">
        <v>36</v>
      </c>
      <c r="C2493" s="10">
        <v>8</v>
      </c>
      <c r="D2493" s="10">
        <v>2</v>
      </c>
      <c r="E2493" s="10">
        <v>4</v>
      </c>
      <c r="F2493" s="10">
        <v>4</v>
      </c>
      <c r="L2493" s="1">
        <v>51</v>
      </c>
      <c r="M2493" s="1">
        <v>6</v>
      </c>
      <c r="N2493" s="1">
        <v>1</v>
      </c>
      <c r="O2493" s="1">
        <v>2</v>
      </c>
      <c r="P2493" s="2">
        <v>1</v>
      </c>
      <c r="Q2493" s="67">
        <v>16</v>
      </c>
    </row>
    <row r="2494" spans="1:17" x14ac:dyDescent="0.25">
      <c r="A2494" s="10">
        <v>421</v>
      </c>
      <c r="B2494" s="10">
        <v>45</v>
      </c>
      <c r="C2494" s="10">
        <v>8</v>
      </c>
      <c r="D2494" s="10">
        <v>1</v>
      </c>
      <c r="E2494" s="10">
        <v>11</v>
      </c>
      <c r="F2494" s="10">
        <v>11</v>
      </c>
      <c r="L2494" s="1">
        <v>52</v>
      </c>
      <c r="M2494" s="1">
        <v>6</v>
      </c>
      <c r="N2494" s="1">
        <v>1</v>
      </c>
      <c r="O2494" s="1">
        <v>2</v>
      </c>
      <c r="P2494" s="2">
        <v>1</v>
      </c>
      <c r="Q2494" s="68">
        <v>13</v>
      </c>
    </row>
    <row r="2495" spans="1:17" x14ac:dyDescent="0.25">
      <c r="A2495" s="10">
        <v>421</v>
      </c>
      <c r="B2495" s="10">
        <v>45</v>
      </c>
      <c r="C2495" s="10">
        <v>8</v>
      </c>
      <c r="D2495" s="10">
        <v>2</v>
      </c>
      <c r="E2495" s="10">
        <v>7</v>
      </c>
      <c r="F2495" s="10">
        <v>7</v>
      </c>
      <c r="L2495" s="1">
        <v>53</v>
      </c>
      <c r="M2495" s="1">
        <v>6</v>
      </c>
      <c r="N2495" s="1">
        <v>1</v>
      </c>
      <c r="O2495" s="1">
        <v>2</v>
      </c>
      <c r="P2495" s="2">
        <v>1</v>
      </c>
      <c r="Q2495" s="67">
        <v>12</v>
      </c>
    </row>
    <row r="2496" spans="1:17" x14ac:dyDescent="0.25">
      <c r="A2496" s="10">
        <v>421</v>
      </c>
      <c r="B2496" s="10">
        <v>45</v>
      </c>
      <c r="C2496" s="10">
        <v>8</v>
      </c>
      <c r="D2496" s="10">
        <v>4</v>
      </c>
      <c r="E2496" s="10">
        <v>4</v>
      </c>
      <c r="F2496" s="10">
        <v>4</v>
      </c>
      <c r="L2496" s="1">
        <v>54</v>
      </c>
      <c r="M2496" s="1">
        <v>6</v>
      </c>
      <c r="N2496" s="1">
        <v>1</v>
      </c>
      <c r="O2496" s="1">
        <v>2</v>
      </c>
      <c r="P2496" s="2">
        <v>1</v>
      </c>
      <c r="Q2496" s="68">
        <v>9</v>
      </c>
    </row>
    <row r="2497" spans="1:17" x14ac:dyDescent="0.25">
      <c r="A2497" s="10">
        <v>37</v>
      </c>
      <c r="B2497" s="10">
        <v>5</v>
      </c>
      <c r="C2497" s="10">
        <v>8</v>
      </c>
      <c r="D2497" s="10">
        <v>2</v>
      </c>
      <c r="E2497" s="10">
        <v>6</v>
      </c>
      <c r="F2497" s="10">
        <v>6</v>
      </c>
      <c r="L2497" s="1">
        <v>55</v>
      </c>
      <c r="M2497" s="1">
        <v>6</v>
      </c>
      <c r="N2497" s="1">
        <v>1</v>
      </c>
      <c r="O2497" s="1">
        <v>2</v>
      </c>
      <c r="P2497" s="2">
        <v>1</v>
      </c>
      <c r="Q2497" s="67">
        <v>5</v>
      </c>
    </row>
    <row r="2498" spans="1:17" x14ac:dyDescent="0.25">
      <c r="A2498" s="10">
        <v>411</v>
      </c>
      <c r="B2498" s="10">
        <v>44</v>
      </c>
      <c r="C2498" s="10">
        <v>8</v>
      </c>
      <c r="D2498" s="10">
        <v>1</v>
      </c>
      <c r="E2498" s="10">
        <v>18</v>
      </c>
      <c r="F2498" s="10">
        <v>18</v>
      </c>
      <c r="L2498" s="1">
        <v>56</v>
      </c>
      <c r="M2498" s="1">
        <v>6</v>
      </c>
      <c r="N2498" s="1">
        <v>1</v>
      </c>
      <c r="O2498" s="1">
        <v>2</v>
      </c>
      <c r="P2498" s="2">
        <v>1</v>
      </c>
      <c r="Q2498" s="68">
        <v>11</v>
      </c>
    </row>
    <row r="2499" spans="1:17" x14ac:dyDescent="0.25">
      <c r="A2499" s="10">
        <v>27</v>
      </c>
      <c r="B2499" s="10">
        <v>4</v>
      </c>
      <c r="C2499" s="10">
        <v>8</v>
      </c>
      <c r="D2499" s="10">
        <v>1</v>
      </c>
      <c r="E2499" s="10">
        <v>20</v>
      </c>
      <c r="F2499" s="10">
        <v>20</v>
      </c>
      <c r="L2499" s="1">
        <v>57</v>
      </c>
      <c r="M2499" s="1">
        <v>7</v>
      </c>
      <c r="N2499" s="1">
        <v>1</v>
      </c>
      <c r="O2499" s="1">
        <v>2</v>
      </c>
      <c r="P2499" s="2">
        <v>1</v>
      </c>
      <c r="Q2499" s="67">
        <v>12</v>
      </c>
    </row>
    <row r="2500" spans="1:17" x14ac:dyDescent="0.25">
      <c r="A2500" s="10">
        <v>319</v>
      </c>
      <c r="B2500" s="10">
        <v>34</v>
      </c>
      <c r="C2500" s="10">
        <v>8</v>
      </c>
      <c r="D2500" s="10">
        <v>2</v>
      </c>
      <c r="E2500" s="10">
        <v>20</v>
      </c>
      <c r="F2500" s="10">
        <v>20</v>
      </c>
      <c r="L2500" s="1">
        <v>58</v>
      </c>
      <c r="M2500" s="1">
        <v>7</v>
      </c>
      <c r="N2500" s="1">
        <v>1</v>
      </c>
      <c r="O2500" s="1">
        <v>2</v>
      </c>
      <c r="P2500" s="2">
        <v>1</v>
      </c>
      <c r="Q2500" s="68">
        <v>8</v>
      </c>
    </row>
    <row r="2501" spans="1:17" x14ac:dyDescent="0.25">
      <c r="A2501" s="10">
        <v>417</v>
      </c>
      <c r="B2501" s="10">
        <v>45</v>
      </c>
      <c r="C2501" s="10">
        <v>8</v>
      </c>
      <c r="D2501" s="10">
        <v>1</v>
      </c>
      <c r="E2501" s="10">
        <v>14</v>
      </c>
      <c r="F2501" s="10">
        <v>14</v>
      </c>
      <c r="L2501" s="1">
        <v>59</v>
      </c>
      <c r="M2501" s="1">
        <v>7</v>
      </c>
      <c r="N2501" s="1">
        <v>1</v>
      </c>
      <c r="O2501" s="1">
        <v>2</v>
      </c>
      <c r="P2501" s="2">
        <v>1</v>
      </c>
      <c r="Q2501" s="67">
        <v>11</v>
      </c>
    </row>
    <row r="2502" spans="1:17" x14ac:dyDescent="0.25">
      <c r="A2502" s="10">
        <v>417</v>
      </c>
      <c r="B2502" s="10">
        <v>45</v>
      </c>
      <c r="C2502" s="10">
        <v>8</v>
      </c>
      <c r="D2502" s="10">
        <v>2</v>
      </c>
      <c r="E2502" s="10">
        <v>6</v>
      </c>
      <c r="F2502" s="10">
        <v>6</v>
      </c>
      <c r="L2502" s="1">
        <v>60</v>
      </c>
      <c r="M2502" s="1">
        <v>7</v>
      </c>
      <c r="N2502" s="1">
        <v>1</v>
      </c>
      <c r="O2502" s="1">
        <v>2</v>
      </c>
      <c r="P2502" s="2">
        <v>1</v>
      </c>
      <c r="Q2502" s="68">
        <v>12</v>
      </c>
    </row>
    <row r="2503" spans="1:17" x14ac:dyDescent="0.25">
      <c r="A2503" s="10">
        <v>5</v>
      </c>
      <c r="B2503" s="10">
        <v>1</v>
      </c>
      <c r="C2503" s="10">
        <v>8</v>
      </c>
      <c r="D2503" s="10">
        <v>1</v>
      </c>
      <c r="E2503" s="10">
        <v>11</v>
      </c>
      <c r="F2503" s="10">
        <v>11</v>
      </c>
      <c r="L2503" s="1">
        <v>61</v>
      </c>
      <c r="M2503" s="1">
        <v>7</v>
      </c>
      <c r="N2503" s="1">
        <v>1</v>
      </c>
      <c r="O2503" s="1">
        <v>2</v>
      </c>
      <c r="P2503" s="2">
        <v>1</v>
      </c>
      <c r="Q2503" s="67">
        <v>9</v>
      </c>
    </row>
    <row r="2504" spans="1:17" x14ac:dyDescent="0.25">
      <c r="A2504" s="10">
        <v>5</v>
      </c>
      <c r="B2504" s="10">
        <v>1</v>
      </c>
      <c r="C2504" s="10">
        <v>8</v>
      </c>
      <c r="D2504" s="10">
        <v>2</v>
      </c>
      <c r="E2504" s="10">
        <v>8</v>
      </c>
      <c r="F2504" s="10">
        <v>8</v>
      </c>
      <c r="L2504" s="1">
        <v>62</v>
      </c>
      <c r="M2504" s="1">
        <v>7</v>
      </c>
      <c r="N2504" s="1">
        <v>1</v>
      </c>
      <c r="O2504" s="1">
        <v>2</v>
      </c>
      <c r="P2504" s="2">
        <v>1</v>
      </c>
      <c r="Q2504" s="68">
        <v>6</v>
      </c>
    </row>
    <row r="2505" spans="1:17" x14ac:dyDescent="0.25">
      <c r="A2505" s="10">
        <v>439</v>
      </c>
      <c r="B2505" s="10">
        <v>47</v>
      </c>
      <c r="C2505" s="10">
        <v>8</v>
      </c>
      <c r="D2505" s="10">
        <v>2</v>
      </c>
      <c r="E2505" s="10">
        <v>11</v>
      </c>
      <c r="F2505" s="10">
        <v>11</v>
      </c>
      <c r="L2505" s="1">
        <v>63</v>
      </c>
      <c r="M2505" s="1">
        <v>7</v>
      </c>
      <c r="N2505" s="1">
        <v>1</v>
      </c>
      <c r="O2505" s="1">
        <v>2</v>
      </c>
      <c r="P2505" s="2">
        <v>1</v>
      </c>
      <c r="Q2505" s="67">
        <v>12</v>
      </c>
    </row>
    <row r="2506" spans="1:17" x14ac:dyDescent="0.25">
      <c r="A2506" s="10">
        <v>17</v>
      </c>
      <c r="B2506" s="10">
        <v>2</v>
      </c>
      <c r="C2506" s="10">
        <v>8</v>
      </c>
      <c r="D2506" s="10">
        <v>2</v>
      </c>
      <c r="E2506" s="10">
        <v>12</v>
      </c>
      <c r="F2506" s="10">
        <v>12</v>
      </c>
      <c r="L2506" s="1">
        <v>64</v>
      </c>
      <c r="M2506" s="1">
        <v>7</v>
      </c>
      <c r="N2506" s="1">
        <v>1</v>
      </c>
      <c r="O2506" s="1">
        <v>2</v>
      </c>
      <c r="P2506" s="2">
        <v>1</v>
      </c>
      <c r="Q2506" s="68">
        <v>15</v>
      </c>
    </row>
    <row r="2507" spans="1:17" x14ac:dyDescent="0.25">
      <c r="A2507" s="10">
        <v>7</v>
      </c>
      <c r="B2507" s="10">
        <v>1</v>
      </c>
      <c r="C2507" s="10">
        <v>8</v>
      </c>
      <c r="D2507" s="10">
        <v>1</v>
      </c>
      <c r="E2507" s="10">
        <v>8</v>
      </c>
      <c r="F2507" s="10">
        <v>8</v>
      </c>
      <c r="L2507" s="1">
        <v>65</v>
      </c>
      <c r="M2507" s="1">
        <v>7</v>
      </c>
      <c r="N2507" s="1">
        <v>1</v>
      </c>
      <c r="O2507" s="1">
        <v>2</v>
      </c>
      <c r="P2507" s="2">
        <v>1</v>
      </c>
      <c r="Q2507" s="67">
        <v>12</v>
      </c>
    </row>
    <row r="2508" spans="1:17" x14ac:dyDescent="0.25">
      <c r="A2508" s="10">
        <v>1</v>
      </c>
      <c r="B2508" s="10">
        <v>1</v>
      </c>
      <c r="C2508" s="10">
        <v>8</v>
      </c>
      <c r="D2508" s="10">
        <v>1</v>
      </c>
      <c r="E2508" s="10">
        <v>3</v>
      </c>
      <c r="F2508" s="10">
        <v>3</v>
      </c>
      <c r="L2508" s="1">
        <v>66</v>
      </c>
      <c r="M2508" s="1">
        <v>7</v>
      </c>
      <c r="N2508" s="1">
        <v>1</v>
      </c>
      <c r="O2508" s="1">
        <v>2</v>
      </c>
      <c r="P2508" s="2">
        <v>1</v>
      </c>
      <c r="Q2508" s="68">
        <v>12</v>
      </c>
    </row>
    <row r="2509" spans="1:17" x14ac:dyDescent="0.25">
      <c r="A2509" s="10">
        <v>11</v>
      </c>
      <c r="B2509" s="10">
        <v>2</v>
      </c>
      <c r="C2509" s="10">
        <v>8</v>
      </c>
      <c r="D2509" s="10">
        <v>1</v>
      </c>
      <c r="E2509" s="10">
        <v>5</v>
      </c>
      <c r="F2509" s="10">
        <v>5</v>
      </c>
      <c r="L2509" s="1">
        <v>67</v>
      </c>
      <c r="M2509" s="1">
        <v>8</v>
      </c>
      <c r="N2509" s="1">
        <v>1</v>
      </c>
      <c r="O2509" s="1">
        <v>2</v>
      </c>
      <c r="P2509" s="2">
        <v>1</v>
      </c>
      <c r="Q2509" s="67">
        <v>7</v>
      </c>
    </row>
    <row r="2510" spans="1:17" x14ac:dyDescent="0.25">
      <c r="A2510" s="10">
        <v>11</v>
      </c>
      <c r="B2510" s="10">
        <v>2</v>
      </c>
      <c r="C2510" s="10">
        <v>8</v>
      </c>
      <c r="D2510" s="10">
        <v>2</v>
      </c>
      <c r="E2510" s="10">
        <v>6</v>
      </c>
      <c r="F2510" s="10">
        <v>6</v>
      </c>
      <c r="L2510" s="1">
        <v>68</v>
      </c>
      <c r="M2510" s="1">
        <v>8</v>
      </c>
      <c r="N2510" s="1">
        <v>1</v>
      </c>
      <c r="O2510" s="1">
        <v>2</v>
      </c>
      <c r="P2510" s="2">
        <v>1</v>
      </c>
      <c r="Q2510" s="68">
        <v>14</v>
      </c>
    </row>
    <row r="2511" spans="1:17" x14ac:dyDescent="0.25">
      <c r="A2511" s="10">
        <v>11</v>
      </c>
      <c r="B2511" s="10">
        <v>2</v>
      </c>
      <c r="C2511" s="10">
        <v>8</v>
      </c>
      <c r="D2511" s="10">
        <v>3</v>
      </c>
      <c r="E2511" s="10">
        <v>1</v>
      </c>
      <c r="F2511" s="10">
        <v>1</v>
      </c>
      <c r="L2511" s="1">
        <v>69</v>
      </c>
      <c r="M2511" s="1">
        <v>8</v>
      </c>
      <c r="N2511" s="1">
        <v>1</v>
      </c>
      <c r="O2511" s="1">
        <v>2</v>
      </c>
      <c r="P2511" s="2">
        <v>1</v>
      </c>
      <c r="Q2511" s="67">
        <v>12</v>
      </c>
    </row>
    <row r="2512" spans="1:17" x14ac:dyDescent="0.25">
      <c r="A2512" s="10">
        <v>41</v>
      </c>
      <c r="B2512" s="10">
        <v>5</v>
      </c>
      <c r="C2512" s="10">
        <v>8</v>
      </c>
      <c r="D2512" s="10">
        <v>2</v>
      </c>
      <c r="E2512" s="10">
        <v>5</v>
      </c>
      <c r="F2512" s="10">
        <v>5</v>
      </c>
      <c r="L2512" s="1">
        <v>70</v>
      </c>
      <c r="M2512" s="1">
        <v>8</v>
      </c>
      <c r="N2512" s="1">
        <v>1</v>
      </c>
      <c r="O2512" s="1">
        <v>2</v>
      </c>
      <c r="P2512" s="2">
        <v>1</v>
      </c>
      <c r="Q2512" s="68">
        <v>8</v>
      </c>
    </row>
    <row r="2513" spans="1:17" x14ac:dyDescent="0.25">
      <c r="A2513" s="10">
        <v>41</v>
      </c>
      <c r="B2513" s="10">
        <v>5</v>
      </c>
      <c r="C2513" s="10">
        <v>8</v>
      </c>
      <c r="D2513" s="10">
        <v>6</v>
      </c>
      <c r="E2513" s="10">
        <v>1</v>
      </c>
      <c r="F2513" s="10">
        <v>1</v>
      </c>
      <c r="L2513" s="1">
        <v>71</v>
      </c>
      <c r="M2513" s="1">
        <v>8</v>
      </c>
      <c r="N2513" s="1">
        <v>1</v>
      </c>
      <c r="O2513" s="1">
        <v>2</v>
      </c>
      <c r="P2513" s="2">
        <v>1</v>
      </c>
      <c r="Q2513" s="67">
        <v>11</v>
      </c>
    </row>
    <row r="2514" spans="1:17" x14ac:dyDescent="0.25">
      <c r="A2514" s="10">
        <v>278</v>
      </c>
      <c r="B2514" s="10">
        <v>30</v>
      </c>
      <c r="C2514" s="10">
        <v>7</v>
      </c>
      <c r="D2514" s="10">
        <v>1</v>
      </c>
      <c r="E2514" s="10">
        <v>3</v>
      </c>
      <c r="F2514" s="10">
        <v>3</v>
      </c>
      <c r="L2514" s="1">
        <v>72</v>
      </c>
      <c r="M2514" s="1">
        <v>8</v>
      </c>
      <c r="N2514" s="1">
        <v>1</v>
      </c>
      <c r="O2514" s="1">
        <v>2</v>
      </c>
      <c r="P2514" s="2">
        <v>1</v>
      </c>
      <c r="Q2514" s="68">
        <v>3</v>
      </c>
    </row>
    <row r="2515" spans="1:17" x14ac:dyDescent="0.25">
      <c r="A2515" s="10">
        <v>278</v>
      </c>
      <c r="B2515" s="10">
        <v>30</v>
      </c>
      <c r="C2515" s="10">
        <v>7</v>
      </c>
      <c r="D2515" s="10">
        <v>2</v>
      </c>
      <c r="E2515" s="10">
        <v>7</v>
      </c>
      <c r="F2515" s="10">
        <v>7</v>
      </c>
      <c r="L2515" s="1">
        <v>73</v>
      </c>
      <c r="M2515" s="1">
        <v>8</v>
      </c>
      <c r="N2515" s="1">
        <v>1</v>
      </c>
      <c r="O2515" s="1">
        <v>2</v>
      </c>
      <c r="P2515" s="2">
        <v>1</v>
      </c>
      <c r="Q2515" s="67">
        <v>12</v>
      </c>
    </row>
    <row r="2516" spans="1:17" x14ac:dyDescent="0.25">
      <c r="A2516" s="10">
        <v>278</v>
      </c>
      <c r="B2516" s="10">
        <v>30</v>
      </c>
      <c r="C2516" s="10">
        <v>8</v>
      </c>
      <c r="D2516" s="10">
        <v>1</v>
      </c>
      <c r="E2516" s="10">
        <v>5</v>
      </c>
      <c r="F2516" s="10">
        <v>5</v>
      </c>
      <c r="L2516" s="1">
        <v>74</v>
      </c>
      <c r="M2516" s="1">
        <v>8</v>
      </c>
      <c r="N2516" s="1">
        <v>1</v>
      </c>
      <c r="O2516" s="1">
        <v>2</v>
      </c>
      <c r="P2516" s="2">
        <v>1</v>
      </c>
      <c r="Q2516" s="68">
        <v>9</v>
      </c>
    </row>
    <row r="2517" spans="1:17" x14ac:dyDescent="0.25">
      <c r="A2517" s="10">
        <v>278</v>
      </c>
      <c r="B2517" s="10">
        <v>30</v>
      </c>
      <c r="C2517" s="10">
        <v>8</v>
      </c>
      <c r="D2517" s="10">
        <v>2</v>
      </c>
      <c r="E2517" s="10">
        <v>12</v>
      </c>
      <c r="F2517" s="10">
        <v>12</v>
      </c>
      <c r="L2517" s="1">
        <v>75</v>
      </c>
      <c r="M2517" s="1">
        <v>8</v>
      </c>
      <c r="N2517" s="1">
        <v>1</v>
      </c>
      <c r="O2517" s="1">
        <v>2</v>
      </c>
      <c r="P2517" s="2">
        <v>1</v>
      </c>
      <c r="Q2517" s="67">
        <v>11</v>
      </c>
    </row>
    <row r="2518" spans="1:17" x14ac:dyDescent="0.25">
      <c r="A2518" s="10">
        <v>280</v>
      </c>
      <c r="B2518" s="10">
        <v>30</v>
      </c>
      <c r="C2518" s="10">
        <v>7</v>
      </c>
      <c r="D2518" s="10">
        <v>2</v>
      </c>
      <c r="E2518" s="10">
        <v>12</v>
      </c>
      <c r="F2518" s="10">
        <v>12</v>
      </c>
      <c r="L2518" s="1">
        <v>76</v>
      </c>
      <c r="M2518" s="1">
        <v>8</v>
      </c>
      <c r="N2518" s="1">
        <v>1</v>
      </c>
      <c r="O2518" s="1">
        <v>2</v>
      </c>
      <c r="P2518" s="2">
        <v>1</v>
      </c>
      <c r="Q2518" s="68">
        <v>12</v>
      </c>
    </row>
    <row r="2519" spans="1:17" x14ac:dyDescent="0.25">
      <c r="A2519" s="10">
        <v>276</v>
      </c>
      <c r="B2519" s="10">
        <v>30</v>
      </c>
      <c r="C2519" s="10">
        <v>7</v>
      </c>
      <c r="D2519" s="10">
        <v>1</v>
      </c>
      <c r="E2519" s="10">
        <v>31</v>
      </c>
      <c r="F2519" s="10">
        <v>31</v>
      </c>
      <c r="L2519" s="1">
        <v>77</v>
      </c>
      <c r="M2519" s="1">
        <v>9</v>
      </c>
      <c r="N2519" s="1">
        <v>1</v>
      </c>
      <c r="O2519" s="1">
        <v>2</v>
      </c>
      <c r="P2519" s="2">
        <v>1</v>
      </c>
      <c r="Q2519" s="67">
        <v>16</v>
      </c>
    </row>
    <row r="2520" spans="1:17" x14ac:dyDescent="0.25">
      <c r="A2520" s="10">
        <v>276</v>
      </c>
      <c r="B2520" s="10">
        <v>30</v>
      </c>
      <c r="C2520" s="10">
        <v>7</v>
      </c>
      <c r="D2520" s="10">
        <v>3</v>
      </c>
      <c r="E2520" s="10">
        <v>2</v>
      </c>
      <c r="F2520" s="10">
        <v>2</v>
      </c>
      <c r="L2520" s="1">
        <v>78</v>
      </c>
      <c r="M2520" s="1">
        <v>9</v>
      </c>
      <c r="N2520" s="1">
        <v>1</v>
      </c>
      <c r="O2520" s="1">
        <v>2</v>
      </c>
      <c r="P2520" s="2">
        <v>1</v>
      </c>
      <c r="Q2520" s="68">
        <v>12</v>
      </c>
    </row>
    <row r="2521" spans="1:17" x14ac:dyDescent="0.25">
      <c r="A2521" s="10">
        <v>280</v>
      </c>
      <c r="B2521" s="10">
        <v>30</v>
      </c>
      <c r="C2521" s="10">
        <v>8</v>
      </c>
      <c r="D2521" s="10">
        <v>1</v>
      </c>
      <c r="E2521" s="10">
        <v>13</v>
      </c>
      <c r="F2521" s="10">
        <v>13</v>
      </c>
      <c r="L2521" s="1">
        <v>79</v>
      </c>
      <c r="M2521" s="1">
        <v>9</v>
      </c>
      <c r="N2521" s="1">
        <v>1</v>
      </c>
      <c r="O2521" s="1">
        <v>2</v>
      </c>
      <c r="P2521" s="2">
        <v>1</v>
      </c>
      <c r="Q2521" s="67">
        <v>15</v>
      </c>
    </row>
    <row r="2522" spans="1:17" x14ac:dyDescent="0.25">
      <c r="A2522" s="10">
        <v>280</v>
      </c>
      <c r="B2522" s="10">
        <v>30</v>
      </c>
      <c r="C2522" s="10">
        <v>8</v>
      </c>
      <c r="D2522" s="10">
        <v>2</v>
      </c>
      <c r="E2522" s="10">
        <v>8</v>
      </c>
      <c r="F2522" s="10">
        <v>8</v>
      </c>
      <c r="L2522" s="1">
        <v>80</v>
      </c>
      <c r="M2522" s="1">
        <v>9</v>
      </c>
      <c r="N2522" s="1">
        <v>1</v>
      </c>
      <c r="O2522" s="1">
        <v>2</v>
      </c>
      <c r="P2522" s="2">
        <v>1</v>
      </c>
      <c r="Q2522" s="68">
        <v>15</v>
      </c>
    </row>
    <row r="2523" spans="1:17" x14ac:dyDescent="0.25">
      <c r="A2523" s="10">
        <v>280</v>
      </c>
      <c r="B2523" s="10">
        <v>30</v>
      </c>
      <c r="C2523" s="10">
        <v>7</v>
      </c>
      <c r="D2523" s="10">
        <v>3</v>
      </c>
      <c r="E2523" s="10">
        <v>1</v>
      </c>
      <c r="F2523" s="10">
        <v>1</v>
      </c>
      <c r="L2523" s="1">
        <v>81</v>
      </c>
      <c r="M2523" s="1">
        <v>9</v>
      </c>
      <c r="N2523" s="1">
        <v>1</v>
      </c>
      <c r="O2523" s="1">
        <v>2</v>
      </c>
      <c r="P2523" s="2">
        <v>1</v>
      </c>
      <c r="Q2523" s="67">
        <v>14</v>
      </c>
    </row>
    <row r="2524" spans="1:17" x14ac:dyDescent="0.25">
      <c r="A2524" s="10">
        <v>272</v>
      </c>
      <c r="B2524" s="10">
        <v>30</v>
      </c>
      <c r="C2524" s="10">
        <v>7</v>
      </c>
      <c r="D2524" s="10">
        <v>1</v>
      </c>
      <c r="E2524" s="10">
        <v>16</v>
      </c>
      <c r="F2524" s="10">
        <v>16</v>
      </c>
      <c r="L2524" s="1">
        <v>82</v>
      </c>
      <c r="M2524" s="1">
        <v>9</v>
      </c>
      <c r="N2524" s="1">
        <v>1</v>
      </c>
      <c r="O2524" s="1">
        <v>2</v>
      </c>
      <c r="P2524" s="2">
        <v>1</v>
      </c>
      <c r="Q2524" s="68">
        <v>14</v>
      </c>
    </row>
    <row r="2525" spans="1:17" x14ac:dyDescent="0.25">
      <c r="A2525" s="10">
        <v>272</v>
      </c>
      <c r="B2525" s="10">
        <v>30</v>
      </c>
      <c r="C2525" s="10">
        <v>7</v>
      </c>
      <c r="D2525" s="10">
        <v>2</v>
      </c>
      <c r="E2525" s="10">
        <v>21</v>
      </c>
      <c r="F2525" s="10">
        <v>21</v>
      </c>
      <c r="L2525" s="1">
        <v>83</v>
      </c>
      <c r="M2525" s="1">
        <v>9</v>
      </c>
      <c r="N2525" s="1">
        <v>1</v>
      </c>
      <c r="O2525" s="1">
        <v>2</v>
      </c>
      <c r="P2525" s="2">
        <v>1</v>
      </c>
      <c r="Q2525" s="67">
        <v>11</v>
      </c>
    </row>
    <row r="2526" spans="1:17" x14ac:dyDescent="0.25">
      <c r="A2526" s="10">
        <v>274</v>
      </c>
      <c r="B2526" s="10">
        <v>30</v>
      </c>
      <c r="C2526" s="10">
        <v>7</v>
      </c>
      <c r="D2526" s="10">
        <v>1</v>
      </c>
      <c r="E2526" s="10">
        <v>14</v>
      </c>
      <c r="F2526" s="10">
        <v>14</v>
      </c>
      <c r="L2526" s="1">
        <v>84</v>
      </c>
      <c r="M2526" s="1">
        <v>9</v>
      </c>
      <c r="N2526" s="1">
        <v>1</v>
      </c>
      <c r="O2526" s="1">
        <v>2</v>
      </c>
      <c r="P2526" s="2">
        <v>1</v>
      </c>
      <c r="Q2526" s="68">
        <v>11</v>
      </c>
    </row>
    <row r="2527" spans="1:17" x14ac:dyDescent="0.25">
      <c r="A2527" s="10">
        <v>274</v>
      </c>
      <c r="B2527" s="10">
        <v>30</v>
      </c>
      <c r="C2527" s="10">
        <v>7</v>
      </c>
      <c r="D2527" s="10">
        <v>2</v>
      </c>
      <c r="E2527" s="10">
        <v>8</v>
      </c>
      <c r="F2527" s="10">
        <v>8</v>
      </c>
      <c r="L2527" s="1">
        <v>85</v>
      </c>
      <c r="M2527" s="1">
        <v>9</v>
      </c>
      <c r="N2527" s="1">
        <v>1</v>
      </c>
      <c r="O2527" s="1">
        <v>2</v>
      </c>
      <c r="P2527" s="2">
        <v>1</v>
      </c>
      <c r="Q2527" s="67">
        <v>6</v>
      </c>
    </row>
    <row r="2528" spans="1:17" x14ac:dyDescent="0.25">
      <c r="A2528" s="10">
        <v>274</v>
      </c>
      <c r="B2528" s="10">
        <v>30</v>
      </c>
      <c r="C2528" s="10">
        <v>7</v>
      </c>
      <c r="D2528" s="10">
        <v>3</v>
      </c>
      <c r="E2528" s="10">
        <v>1</v>
      </c>
      <c r="F2528" s="10">
        <v>1</v>
      </c>
      <c r="L2528" s="1">
        <v>86</v>
      </c>
      <c r="M2528" s="1">
        <v>9</v>
      </c>
      <c r="N2528" s="1">
        <v>1</v>
      </c>
      <c r="O2528" s="1">
        <v>2</v>
      </c>
      <c r="P2528" s="2">
        <v>1</v>
      </c>
      <c r="Q2528" s="68">
        <v>8</v>
      </c>
    </row>
    <row r="2529" spans="1:17" x14ac:dyDescent="0.25">
      <c r="A2529" s="10">
        <v>274</v>
      </c>
      <c r="B2529" s="10">
        <v>30</v>
      </c>
      <c r="C2529" s="10">
        <v>8</v>
      </c>
      <c r="D2529" s="10">
        <v>1</v>
      </c>
      <c r="E2529" s="10">
        <v>12</v>
      </c>
      <c r="F2529" s="10">
        <v>12</v>
      </c>
      <c r="L2529" s="1">
        <v>87</v>
      </c>
      <c r="M2529" s="1">
        <v>10</v>
      </c>
      <c r="N2529" s="1">
        <v>1</v>
      </c>
      <c r="O2529" s="1">
        <v>2</v>
      </c>
      <c r="P2529" s="2">
        <v>1</v>
      </c>
      <c r="Q2529" s="67">
        <v>15</v>
      </c>
    </row>
    <row r="2530" spans="1:17" x14ac:dyDescent="0.25">
      <c r="A2530" s="10">
        <v>274</v>
      </c>
      <c r="B2530" s="10">
        <v>30</v>
      </c>
      <c r="C2530" s="10">
        <v>8</v>
      </c>
      <c r="D2530" s="10">
        <v>2</v>
      </c>
      <c r="E2530" s="10">
        <v>2</v>
      </c>
      <c r="F2530" s="10">
        <v>2</v>
      </c>
      <c r="L2530" s="1">
        <v>88</v>
      </c>
      <c r="M2530" s="1">
        <v>10</v>
      </c>
      <c r="N2530" s="1">
        <v>1</v>
      </c>
      <c r="O2530" s="1">
        <v>2</v>
      </c>
      <c r="P2530" s="2">
        <v>1</v>
      </c>
      <c r="Q2530" s="68">
        <v>4</v>
      </c>
    </row>
    <row r="2531" spans="1:17" x14ac:dyDescent="0.25">
      <c r="A2531" s="10">
        <v>118</v>
      </c>
      <c r="B2531" s="10">
        <v>13</v>
      </c>
      <c r="C2531" s="10">
        <v>8</v>
      </c>
      <c r="D2531" s="10">
        <v>1</v>
      </c>
      <c r="E2531" s="10">
        <v>7</v>
      </c>
      <c r="F2531" s="10">
        <v>7</v>
      </c>
      <c r="L2531" s="1">
        <v>89</v>
      </c>
      <c r="M2531" s="1">
        <v>10</v>
      </c>
      <c r="N2531" s="1">
        <v>1</v>
      </c>
      <c r="O2531" s="1">
        <v>2</v>
      </c>
      <c r="P2531" s="2">
        <v>1</v>
      </c>
      <c r="Q2531" s="67">
        <v>6</v>
      </c>
    </row>
    <row r="2532" spans="1:17" x14ac:dyDescent="0.25">
      <c r="A2532" s="10">
        <v>118</v>
      </c>
      <c r="B2532" s="10">
        <v>13</v>
      </c>
      <c r="C2532" s="10">
        <v>8</v>
      </c>
      <c r="D2532" s="10">
        <v>2</v>
      </c>
      <c r="E2532" s="10">
        <v>6</v>
      </c>
      <c r="F2532" s="10">
        <v>6</v>
      </c>
      <c r="L2532" s="1">
        <v>90</v>
      </c>
      <c r="M2532" s="1">
        <v>10</v>
      </c>
      <c r="N2532" s="1">
        <v>1</v>
      </c>
      <c r="O2532" s="1">
        <v>2</v>
      </c>
      <c r="P2532" s="2">
        <v>1</v>
      </c>
      <c r="Q2532" s="68">
        <v>4</v>
      </c>
    </row>
    <row r="2533" spans="1:17" x14ac:dyDescent="0.25">
      <c r="A2533" s="10">
        <v>433</v>
      </c>
      <c r="B2533" s="10">
        <v>47</v>
      </c>
      <c r="C2533" s="10">
        <v>8</v>
      </c>
      <c r="D2533" s="10">
        <v>1</v>
      </c>
      <c r="E2533" s="10">
        <v>10</v>
      </c>
      <c r="F2533" s="10">
        <v>10</v>
      </c>
      <c r="L2533" s="1">
        <v>91</v>
      </c>
      <c r="M2533" s="1">
        <v>10</v>
      </c>
      <c r="N2533" s="1">
        <v>1</v>
      </c>
      <c r="O2533" s="1">
        <v>2</v>
      </c>
      <c r="P2533" s="2">
        <v>1</v>
      </c>
      <c r="Q2533" s="67">
        <v>8</v>
      </c>
    </row>
    <row r="2534" spans="1:17" x14ac:dyDescent="0.25">
      <c r="A2534" s="10">
        <v>433</v>
      </c>
      <c r="B2534" s="10">
        <v>47</v>
      </c>
      <c r="C2534" s="10">
        <v>8</v>
      </c>
      <c r="D2534" s="10">
        <v>2</v>
      </c>
      <c r="E2534" s="10">
        <v>7</v>
      </c>
      <c r="F2534" s="10">
        <v>7</v>
      </c>
      <c r="L2534" s="1">
        <v>92</v>
      </c>
      <c r="M2534" s="1">
        <v>10</v>
      </c>
      <c r="N2534" s="1">
        <v>1</v>
      </c>
      <c r="O2534" s="1">
        <v>2</v>
      </c>
      <c r="P2534" s="2">
        <v>1</v>
      </c>
      <c r="Q2534" s="68">
        <v>5</v>
      </c>
    </row>
    <row r="2535" spans="1:17" x14ac:dyDescent="0.25">
      <c r="A2535" s="10">
        <v>433</v>
      </c>
      <c r="B2535" s="10">
        <v>47</v>
      </c>
      <c r="C2535" s="10">
        <v>8</v>
      </c>
      <c r="D2535" s="10">
        <v>3</v>
      </c>
      <c r="E2535" s="10">
        <v>4</v>
      </c>
      <c r="F2535" s="10">
        <v>4</v>
      </c>
      <c r="L2535" s="1">
        <v>93</v>
      </c>
      <c r="M2535" s="1">
        <v>10</v>
      </c>
      <c r="N2535" s="1">
        <v>1</v>
      </c>
      <c r="O2535" s="1">
        <v>2</v>
      </c>
      <c r="P2535" s="2">
        <v>1</v>
      </c>
      <c r="Q2535" s="67">
        <v>12</v>
      </c>
    </row>
    <row r="2536" spans="1:17" x14ac:dyDescent="0.25">
      <c r="A2536" s="10">
        <v>419</v>
      </c>
      <c r="B2536" s="10">
        <v>45</v>
      </c>
      <c r="C2536" s="10">
        <v>8</v>
      </c>
      <c r="D2536" s="10">
        <v>2</v>
      </c>
      <c r="E2536" s="10">
        <v>15</v>
      </c>
      <c r="F2536" s="10">
        <v>15</v>
      </c>
      <c r="L2536" s="1">
        <v>94</v>
      </c>
      <c r="M2536" s="1">
        <v>10</v>
      </c>
      <c r="N2536" s="1">
        <v>1</v>
      </c>
      <c r="O2536" s="1">
        <v>2</v>
      </c>
      <c r="P2536" s="2">
        <v>1</v>
      </c>
      <c r="Q2536" s="68">
        <v>8</v>
      </c>
    </row>
    <row r="2537" spans="1:17" x14ac:dyDescent="0.25">
      <c r="A2537" s="10">
        <v>419</v>
      </c>
      <c r="B2537" s="10">
        <v>45</v>
      </c>
      <c r="C2537" s="10">
        <v>8</v>
      </c>
      <c r="D2537" s="10">
        <v>4</v>
      </c>
      <c r="E2537" s="10">
        <v>5</v>
      </c>
      <c r="F2537" s="10">
        <v>5</v>
      </c>
      <c r="L2537" s="1">
        <v>95</v>
      </c>
      <c r="M2537" s="1">
        <v>10</v>
      </c>
      <c r="N2537" s="1">
        <v>1</v>
      </c>
      <c r="O2537" s="1">
        <v>2</v>
      </c>
      <c r="P2537" s="2">
        <v>1</v>
      </c>
      <c r="Q2537" s="67">
        <v>12</v>
      </c>
    </row>
    <row r="2538" spans="1:17" x14ac:dyDescent="0.25">
      <c r="A2538" s="10">
        <v>276</v>
      </c>
      <c r="B2538" s="10">
        <v>30</v>
      </c>
      <c r="C2538" s="10">
        <v>8</v>
      </c>
      <c r="D2538" s="10">
        <v>1</v>
      </c>
      <c r="E2538" s="10">
        <v>9</v>
      </c>
      <c r="F2538" s="10">
        <v>9</v>
      </c>
      <c r="L2538" s="1">
        <v>96</v>
      </c>
      <c r="M2538" s="1">
        <v>10</v>
      </c>
      <c r="N2538" s="1">
        <v>1</v>
      </c>
      <c r="O2538" s="1">
        <v>2</v>
      </c>
      <c r="P2538" s="2">
        <v>1</v>
      </c>
      <c r="Q2538" s="68">
        <v>5</v>
      </c>
    </row>
    <row r="2539" spans="1:17" x14ac:dyDescent="0.25">
      <c r="A2539" s="10">
        <v>439</v>
      </c>
      <c r="B2539" s="10">
        <v>47</v>
      </c>
      <c r="C2539" s="10">
        <v>9</v>
      </c>
      <c r="D2539" s="10">
        <v>1</v>
      </c>
      <c r="E2539" s="10">
        <v>7</v>
      </c>
      <c r="F2539" s="10">
        <v>7</v>
      </c>
      <c r="L2539" s="1">
        <v>97</v>
      </c>
      <c r="M2539" s="1">
        <v>11</v>
      </c>
      <c r="N2539" s="1">
        <v>1</v>
      </c>
      <c r="O2539" s="1">
        <v>2</v>
      </c>
      <c r="P2539" s="2">
        <v>1</v>
      </c>
      <c r="Q2539" s="67">
        <v>4</v>
      </c>
    </row>
    <row r="2540" spans="1:17" x14ac:dyDescent="0.25">
      <c r="A2540" s="10">
        <v>440</v>
      </c>
      <c r="B2540" s="10">
        <v>47</v>
      </c>
      <c r="C2540" s="10">
        <v>9</v>
      </c>
      <c r="D2540" s="10">
        <v>2</v>
      </c>
      <c r="E2540" s="10">
        <v>11</v>
      </c>
      <c r="F2540" s="10">
        <v>11</v>
      </c>
      <c r="L2540" s="1">
        <v>98</v>
      </c>
      <c r="M2540" s="1">
        <v>11</v>
      </c>
      <c r="N2540" s="1">
        <v>1</v>
      </c>
      <c r="O2540" s="1">
        <v>2</v>
      </c>
      <c r="P2540" s="2">
        <v>1</v>
      </c>
      <c r="Q2540" s="68">
        <v>11</v>
      </c>
    </row>
    <row r="2541" spans="1:17" x14ac:dyDescent="0.25">
      <c r="A2541" s="10">
        <v>30</v>
      </c>
      <c r="B2541" s="10">
        <v>4</v>
      </c>
      <c r="C2541" s="10">
        <v>9</v>
      </c>
      <c r="D2541" s="10">
        <v>2</v>
      </c>
      <c r="E2541" s="10">
        <v>15</v>
      </c>
      <c r="F2541" s="10">
        <v>15</v>
      </c>
      <c r="L2541" s="1">
        <v>99</v>
      </c>
      <c r="M2541" s="1">
        <v>11</v>
      </c>
      <c r="N2541" s="1">
        <v>1</v>
      </c>
      <c r="O2541" s="1">
        <v>2</v>
      </c>
      <c r="P2541" s="2">
        <v>1</v>
      </c>
      <c r="Q2541" s="67">
        <v>5</v>
      </c>
    </row>
    <row r="2542" spans="1:17" x14ac:dyDescent="0.25">
      <c r="A2542" s="10">
        <v>271</v>
      </c>
      <c r="B2542" s="10">
        <v>30</v>
      </c>
      <c r="C2542" s="10">
        <v>9</v>
      </c>
      <c r="D2542" s="10">
        <v>2</v>
      </c>
      <c r="E2542" s="10">
        <v>15</v>
      </c>
      <c r="F2542" s="10">
        <v>15</v>
      </c>
      <c r="L2542" s="1">
        <v>100</v>
      </c>
      <c r="M2542" s="1">
        <v>11</v>
      </c>
      <c r="N2542" s="1">
        <v>1</v>
      </c>
      <c r="O2542" s="1">
        <v>2</v>
      </c>
      <c r="P2542" s="2">
        <v>1</v>
      </c>
      <c r="Q2542" s="68">
        <v>8</v>
      </c>
    </row>
    <row r="2543" spans="1:17" x14ac:dyDescent="0.25">
      <c r="A2543" s="10">
        <v>271</v>
      </c>
      <c r="B2543" s="10">
        <v>30</v>
      </c>
      <c r="C2543" s="10">
        <v>8</v>
      </c>
      <c r="D2543" s="10">
        <v>1</v>
      </c>
      <c r="E2543" s="10">
        <v>34</v>
      </c>
      <c r="F2543" s="10">
        <v>34</v>
      </c>
      <c r="L2543" s="1">
        <v>101</v>
      </c>
      <c r="M2543" s="1">
        <v>11</v>
      </c>
      <c r="N2543" s="1">
        <v>1</v>
      </c>
      <c r="O2543" s="1">
        <v>2</v>
      </c>
      <c r="P2543" s="2">
        <v>1</v>
      </c>
      <c r="Q2543" s="67">
        <v>8</v>
      </c>
    </row>
    <row r="2544" spans="1:17" x14ac:dyDescent="0.25">
      <c r="A2544" s="10">
        <v>271</v>
      </c>
      <c r="B2544" s="10">
        <v>30</v>
      </c>
      <c r="C2544" s="10">
        <v>8</v>
      </c>
      <c r="D2544" s="10">
        <v>2</v>
      </c>
      <c r="E2544" s="10">
        <v>16</v>
      </c>
      <c r="F2544" s="10">
        <v>16</v>
      </c>
      <c r="L2544" s="1">
        <v>102</v>
      </c>
      <c r="M2544" s="1">
        <v>11</v>
      </c>
      <c r="N2544" s="1">
        <v>1</v>
      </c>
      <c r="O2544" s="1">
        <v>2</v>
      </c>
      <c r="P2544" s="2">
        <v>1</v>
      </c>
      <c r="Q2544" s="68">
        <v>8</v>
      </c>
    </row>
    <row r="2545" spans="1:17" x14ac:dyDescent="0.25">
      <c r="A2545" s="10">
        <v>342</v>
      </c>
      <c r="B2545" s="10">
        <v>37</v>
      </c>
      <c r="C2545" s="10">
        <v>8</v>
      </c>
      <c r="D2545" s="10">
        <v>1</v>
      </c>
      <c r="E2545" s="10">
        <v>0</v>
      </c>
      <c r="F2545" s="10">
        <v>0</v>
      </c>
      <c r="L2545" s="1">
        <v>103</v>
      </c>
      <c r="M2545" s="1">
        <v>11</v>
      </c>
      <c r="N2545" s="1">
        <v>1</v>
      </c>
      <c r="O2545" s="1">
        <v>2</v>
      </c>
      <c r="P2545" s="2">
        <v>1</v>
      </c>
      <c r="Q2545" s="67">
        <v>6</v>
      </c>
    </row>
    <row r="2546" spans="1:17" x14ac:dyDescent="0.25">
      <c r="A2546" s="10">
        <v>342</v>
      </c>
      <c r="B2546" s="10">
        <v>37</v>
      </c>
      <c r="C2546" s="10">
        <v>8</v>
      </c>
      <c r="D2546" s="10">
        <v>2</v>
      </c>
      <c r="E2546" s="10">
        <v>3</v>
      </c>
      <c r="F2546" s="10">
        <v>3</v>
      </c>
      <c r="L2546" s="1">
        <v>104</v>
      </c>
      <c r="M2546" s="1">
        <v>11</v>
      </c>
      <c r="N2546" s="1">
        <v>1</v>
      </c>
      <c r="O2546" s="1">
        <v>2</v>
      </c>
      <c r="P2546" s="2">
        <v>1</v>
      </c>
      <c r="Q2546" s="68">
        <v>7</v>
      </c>
    </row>
    <row r="2547" spans="1:17" x14ac:dyDescent="0.25">
      <c r="A2547" s="10">
        <v>386</v>
      </c>
      <c r="B2547" s="10">
        <v>42</v>
      </c>
      <c r="C2547" s="10">
        <v>9</v>
      </c>
      <c r="D2547" s="10">
        <v>2</v>
      </c>
      <c r="E2547" s="10">
        <v>12</v>
      </c>
      <c r="F2547" s="10">
        <v>12</v>
      </c>
      <c r="L2547" s="1">
        <v>105</v>
      </c>
      <c r="M2547" s="1">
        <v>11</v>
      </c>
      <c r="N2547" s="1">
        <v>1</v>
      </c>
      <c r="O2547" s="1">
        <v>2</v>
      </c>
      <c r="P2547" s="2">
        <v>1</v>
      </c>
      <c r="Q2547" s="67">
        <v>4</v>
      </c>
    </row>
    <row r="2548" spans="1:17" x14ac:dyDescent="0.25">
      <c r="A2548" s="10">
        <v>392</v>
      </c>
      <c r="B2548" s="10">
        <v>42</v>
      </c>
      <c r="C2548" s="10">
        <v>9</v>
      </c>
      <c r="D2548" s="10">
        <v>1</v>
      </c>
      <c r="E2548" s="10">
        <v>2</v>
      </c>
      <c r="F2548" s="10">
        <v>2</v>
      </c>
      <c r="L2548" s="1">
        <v>106</v>
      </c>
      <c r="M2548" s="1">
        <v>11</v>
      </c>
      <c r="N2548" s="1">
        <v>1</v>
      </c>
      <c r="O2548" s="1">
        <v>2</v>
      </c>
      <c r="P2548" s="2">
        <v>1</v>
      </c>
      <c r="Q2548" s="68">
        <v>9</v>
      </c>
    </row>
    <row r="2549" spans="1:17" x14ac:dyDescent="0.25">
      <c r="A2549" s="10">
        <v>392</v>
      </c>
      <c r="B2549" s="10">
        <v>42</v>
      </c>
      <c r="C2549" s="10">
        <v>9</v>
      </c>
      <c r="D2549" s="10">
        <v>2</v>
      </c>
      <c r="E2549" s="10">
        <v>11</v>
      </c>
      <c r="F2549" s="10">
        <v>11</v>
      </c>
      <c r="L2549" s="1">
        <v>107</v>
      </c>
      <c r="M2549" s="1">
        <v>12</v>
      </c>
      <c r="N2549" s="1">
        <v>1</v>
      </c>
      <c r="O2549" s="1">
        <v>2</v>
      </c>
      <c r="P2549" s="2">
        <v>1</v>
      </c>
      <c r="Q2549" s="67">
        <v>10</v>
      </c>
    </row>
    <row r="2550" spans="1:17" x14ac:dyDescent="0.25">
      <c r="A2550" s="10">
        <v>392</v>
      </c>
      <c r="B2550" s="10">
        <v>42</v>
      </c>
      <c r="C2550" s="10">
        <v>8</v>
      </c>
      <c r="D2550" s="10">
        <v>1</v>
      </c>
      <c r="E2550" s="10">
        <v>1</v>
      </c>
      <c r="F2550" s="10">
        <v>1</v>
      </c>
      <c r="L2550" s="1">
        <v>108</v>
      </c>
      <c r="M2550" s="1">
        <v>12</v>
      </c>
      <c r="N2550" s="1">
        <v>1</v>
      </c>
      <c r="O2550" s="1">
        <v>2</v>
      </c>
      <c r="P2550" s="2">
        <v>1</v>
      </c>
      <c r="Q2550" s="68">
        <v>4</v>
      </c>
    </row>
    <row r="2551" spans="1:17" x14ac:dyDescent="0.25">
      <c r="A2551" s="10">
        <v>392</v>
      </c>
      <c r="B2551" s="10">
        <v>42</v>
      </c>
      <c r="C2551" s="10">
        <v>8</v>
      </c>
      <c r="D2551" s="10">
        <v>2</v>
      </c>
      <c r="E2551" s="10">
        <v>20</v>
      </c>
      <c r="F2551" s="10">
        <v>20</v>
      </c>
      <c r="L2551" s="1">
        <v>109</v>
      </c>
      <c r="M2551" s="1">
        <v>12</v>
      </c>
      <c r="N2551" s="1">
        <v>1</v>
      </c>
      <c r="O2551" s="1">
        <v>2</v>
      </c>
      <c r="P2551" s="2">
        <v>1</v>
      </c>
      <c r="Q2551" s="67">
        <v>3</v>
      </c>
    </row>
    <row r="2552" spans="1:17" x14ac:dyDescent="0.25">
      <c r="A2552" s="10">
        <v>390</v>
      </c>
      <c r="B2552" s="10">
        <v>42</v>
      </c>
      <c r="C2552" s="10">
        <v>8</v>
      </c>
      <c r="D2552" s="10">
        <v>1</v>
      </c>
      <c r="E2552" s="10">
        <v>13</v>
      </c>
      <c r="F2552" s="10">
        <v>13</v>
      </c>
      <c r="L2552" s="1">
        <v>110</v>
      </c>
      <c r="M2552" s="1">
        <v>12</v>
      </c>
      <c r="N2552" s="1">
        <v>1</v>
      </c>
      <c r="O2552" s="1">
        <v>2</v>
      </c>
      <c r="P2552" s="2">
        <v>1</v>
      </c>
      <c r="Q2552" s="68">
        <v>13</v>
      </c>
    </row>
    <row r="2553" spans="1:17" x14ac:dyDescent="0.25">
      <c r="A2553" s="10">
        <v>390</v>
      </c>
      <c r="B2553" s="10">
        <v>42</v>
      </c>
      <c r="C2553" s="10">
        <v>8</v>
      </c>
      <c r="D2553" s="10">
        <v>2</v>
      </c>
      <c r="E2553" s="10">
        <v>5</v>
      </c>
      <c r="F2553" s="10">
        <v>5</v>
      </c>
      <c r="L2553" s="1">
        <v>111</v>
      </c>
      <c r="M2553" s="1">
        <v>12</v>
      </c>
      <c r="N2553" s="1">
        <v>1</v>
      </c>
      <c r="O2553" s="1">
        <v>2</v>
      </c>
      <c r="P2553" s="2">
        <v>1</v>
      </c>
      <c r="Q2553" s="67">
        <v>5</v>
      </c>
    </row>
    <row r="2554" spans="1:17" x14ac:dyDescent="0.25">
      <c r="A2554" s="10">
        <v>316</v>
      </c>
      <c r="B2554" s="10">
        <v>34</v>
      </c>
      <c r="C2554" s="10">
        <v>8</v>
      </c>
      <c r="D2554" s="10">
        <v>1</v>
      </c>
      <c r="E2554" s="10">
        <v>6</v>
      </c>
      <c r="F2554" s="10">
        <v>6</v>
      </c>
      <c r="L2554" s="1">
        <v>112</v>
      </c>
      <c r="M2554" s="1">
        <v>12</v>
      </c>
      <c r="N2554" s="1">
        <v>1</v>
      </c>
      <c r="O2554" s="1">
        <v>2</v>
      </c>
      <c r="P2554" s="2">
        <v>1</v>
      </c>
      <c r="Q2554" s="68">
        <v>10</v>
      </c>
    </row>
    <row r="2555" spans="1:17" x14ac:dyDescent="0.25">
      <c r="A2555" s="10">
        <v>318</v>
      </c>
      <c r="B2555" s="10">
        <v>34</v>
      </c>
      <c r="C2555" s="10">
        <v>8</v>
      </c>
      <c r="D2555" s="10">
        <v>1</v>
      </c>
      <c r="E2555" s="10">
        <v>18</v>
      </c>
      <c r="F2555" s="10">
        <v>18</v>
      </c>
      <c r="L2555" s="1">
        <v>113</v>
      </c>
      <c r="M2555" s="1">
        <v>12</v>
      </c>
      <c r="N2555" s="1">
        <v>1</v>
      </c>
      <c r="O2555" s="1">
        <v>2</v>
      </c>
      <c r="P2555" s="2">
        <v>1</v>
      </c>
      <c r="Q2555" s="67">
        <v>8</v>
      </c>
    </row>
    <row r="2556" spans="1:17" x14ac:dyDescent="0.25">
      <c r="A2556" s="10">
        <v>318</v>
      </c>
      <c r="B2556" s="10">
        <v>34</v>
      </c>
      <c r="C2556" s="10">
        <v>8</v>
      </c>
      <c r="D2556" s="10">
        <v>2</v>
      </c>
      <c r="E2556" s="10">
        <v>6</v>
      </c>
      <c r="F2556" s="10">
        <v>6</v>
      </c>
      <c r="L2556" s="1">
        <v>114</v>
      </c>
      <c r="M2556" s="1">
        <v>12</v>
      </c>
      <c r="N2556" s="1">
        <v>1</v>
      </c>
      <c r="O2556" s="1">
        <v>2</v>
      </c>
      <c r="P2556" s="2">
        <v>1</v>
      </c>
      <c r="Q2556" s="68">
        <v>5</v>
      </c>
    </row>
    <row r="2557" spans="1:17" x14ac:dyDescent="0.25">
      <c r="A2557" s="10">
        <v>318</v>
      </c>
      <c r="B2557" s="10">
        <v>34</v>
      </c>
      <c r="C2557" s="10">
        <v>8</v>
      </c>
      <c r="D2557" s="10">
        <v>3</v>
      </c>
      <c r="E2557" s="10">
        <v>2</v>
      </c>
      <c r="F2557" s="10">
        <v>2</v>
      </c>
      <c r="L2557" s="1">
        <v>115</v>
      </c>
      <c r="M2557" s="1">
        <v>13</v>
      </c>
      <c r="N2557" s="1">
        <v>1</v>
      </c>
      <c r="O2557" s="1">
        <v>2</v>
      </c>
      <c r="P2557" s="2">
        <v>1</v>
      </c>
      <c r="Q2557" s="67">
        <v>10</v>
      </c>
    </row>
    <row r="2558" spans="1:17" x14ac:dyDescent="0.25">
      <c r="A2558" s="10">
        <v>318</v>
      </c>
      <c r="B2558" s="10">
        <v>34</v>
      </c>
      <c r="C2558" s="10">
        <v>8</v>
      </c>
      <c r="D2558" s="10">
        <v>4</v>
      </c>
      <c r="E2558" s="10">
        <v>1</v>
      </c>
      <c r="F2558" s="10">
        <v>1</v>
      </c>
      <c r="L2558" s="1">
        <v>116</v>
      </c>
      <c r="M2558" s="1">
        <v>13</v>
      </c>
      <c r="N2558" s="1">
        <v>1</v>
      </c>
      <c r="O2558" s="1">
        <v>2</v>
      </c>
      <c r="P2558" s="2">
        <v>1</v>
      </c>
      <c r="Q2558" s="68">
        <v>4</v>
      </c>
    </row>
    <row r="2559" spans="1:17" x14ac:dyDescent="0.25">
      <c r="A2559" s="10">
        <v>318</v>
      </c>
      <c r="B2559" s="10">
        <v>34</v>
      </c>
      <c r="C2559" s="10">
        <v>9</v>
      </c>
      <c r="D2559" s="10">
        <v>1</v>
      </c>
      <c r="E2559" s="10">
        <v>19</v>
      </c>
      <c r="F2559" s="10">
        <v>19</v>
      </c>
      <c r="L2559" s="1">
        <v>117</v>
      </c>
      <c r="M2559" s="1">
        <v>13</v>
      </c>
      <c r="N2559" s="1">
        <v>1</v>
      </c>
      <c r="O2559" s="1">
        <v>2</v>
      </c>
      <c r="P2559" s="2">
        <v>1</v>
      </c>
      <c r="Q2559" s="67">
        <v>4</v>
      </c>
    </row>
    <row r="2560" spans="1:17" x14ac:dyDescent="0.25">
      <c r="A2560" s="10">
        <v>318</v>
      </c>
      <c r="B2560" s="10">
        <v>34</v>
      </c>
      <c r="C2560" s="10">
        <v>9</v>
      </c>
      <c r="D2560" s="10">
        <v>2</v>
      </c>
      <c r="E2560" s="10">
        <v>9</v>
      </c>
      <c r="F2560" s="10">
        <v>9</v>
      </c>
      <c r="L2560" s="1">
        <v>118</v>
      </c>
      <c r="M2560" s="1">
        <v>13</v>
      </c>
      <c r="N2560" s="1">
        <v>1</v>
      </c>
      <c r="O2560" s="1">
        <v>2</v>
      </c>
      <c r="P2560" s="2">
        <v>1</v>
      </c>
      <c r="Q2560" s="68">
        <v>2</v>
      </c>
    </row>
    <row r="2561" spans="1:17" x14ac:dyDescent="0.25">
      <c r="A2561" s="10">
        <v>318</v>
      </c>
      <c r="B2561" s="10">
        <v>34</v>
      </c>
      <c r="C2561" s="10">
        <v>9</v>
      </c>
      <c r="D2561" s="10">
        <v>3</v>
      </c>
      <c r="E2561" s="10">
        <v>5</v>
      </c>
      <c r="F2561" s="10">
        <v>5</v>
      </c>
      <c r="L2561" s="1">
        <v>119</v>
      </c>
      <c r="M2561" s="1">
        <v>13</v>
      </c>
      <c r="N2561" s="1">
        <v>1</v>
      </c>
      <c r="O2561" s="1">
        <v>2</v>
      </c>
      <c r="P2561" s="2">
        <v>1</v>
      </c>
      <c r="Q2561" s="67">
        <v>6</v>
      </c>
    </row>
    <row r="2562" spans="1:17" x14ac:dyDescent="0.25">
      <c r="A2562" s="10">
        <v>318</v>
      </c>
      <c r="B2562" s="10">
        <v>34</v>
      </c>
      <c r="C2562" s="10">
        <v>9</v>
      </c>
      <c r="D2562" s="10">
        <v>8</v>
      </c>
      <c r="E2562" s="10">
        <v>1</v>
      </c>
      <c r="F2562" s="10">
        <v>1</v>
      </c>
      <c r="L2562" s="1">
        <v>120</v>
      </c>
      <c r="M2562" s="1">
        <v>13</v>
      </c>
      <c r="N2562" s="1">
        <v>1</v>
      </c>
      <c r="O2562" s="1">
        <v>2</v>
      </c>
      <c r="P2562" s="2">
        <v>1</v>
      </c>
      <c r="Q2562" s="68">
        <v>9</v>
      </c>
    </row>
    <row r="2563" spans="1:17" x14ac:dyDescent="0.25">
      <c r="A2563" s="10">
        <v>388</v>
      </c>
      <c r="B2563" s="10">
        <v>42</v>
      </c>
      <c r="C2563" s="10">
        <v>8</v>
      </c>
      <c r="D2563" s="10">
        <v>1</v>
      </c>
      <c r="E2563" s="10">
        <v>8</v>
      </c>
      <c r="F2563" s="10">
        <v>8</v>
      </c>
      <c r="L2563" s="1">
        <v>121</v>
      </c>
      <c r="M2563" s="1">
        <v>13</v>
      </c>
      <c r="N2563" s="1">
        <v>1</v>
      </c>
      <c r="O2563" s="1">
        <v>2</v>
      </c>
      <c r="P2563" s="2">
        <v>1</v>
      </c>
      <c r="Q2563" s="67">
        <v>6</v>
      </c>
    </row>
    <row r="2564" spans="1:17" x14ac:dyDescent="0.25">
      <c r="A2564" s="10">
        <v>388</v>
      </c>
      <c r="B2564" s="10">
        <v>42</v>
      </c>
      <c r="C2564" s="10">
        <v>8</v>
      </c>
      <c r="D2564" s="10">
        <v>2</v>
      </c>
      <c r="E2564" s="10">
        <v>12</v>
      </c>
      <c r="F2564" s="10">
        <v>12</v>
      </c>
      <c r="L2564" s="1">
        <v>122</v>
      </c>
      <c r="M2564" s="1">
        <v>13</v>
      </c>
      <c r="N2564" s="1">
        <v>1</v>
      </c>
      <c r="O2564" s="1">
        <v>2</v>
      </c>
      <c r="P2564" s="2">
        <v>1</v>
      </c>
      <c r="Q2564" s="68">
        <v>8</v>
      </c>
    </row>
    <row r="2565" spans="1:17" x14ac:dyDescent="0.25">
      <c r="A2565" s="10">
        <v>314</v>
      </c>
      <c r="B2565" s="10">
        <v>34</v>
      </c>
      <c r="C2565" s="10">
        <v>9</v>
      </c>
      <c r="D2565" s="10">
        <v>1</v>
      </c>
      <c r="E2565" s="10">
        <v>35</v>
      </c>
      <c r="F2565" s="10">
        <v>35</v>
      </c>
      <c r="L2565" s="1">
        <v>123</v>
      </c>
      <c r="M2565" s="1">
        <v>14</v>
      </c>
      <c r="N2565" s="1">
        <v>1</v>
      </c>
      <c r="O2565" s="1">
        <v>2</v>
      </c>
      <c r="P2565" s="2">
        <v>1</v>
      </c>
      <c r="Q2565" s="67">
        <v>5</v>
      </c>
    </row>
    <row r="2566" spans="1:17" x14ac:dyDescent="0.25">
      <c r="A2566" s="10">
        <v>314</v>
      </c>
      <c r="B2566" s="10">
        <v>34</v>
      </c>
      <c r="C2566" s="10">
        <v>9</v>
      </c>
      <c r="D2566" s="10">
        <v>2</v>
      </c>
      <c r="E2566" s="10">
        <v>11</v>
      </c>
      <c r="F2566" s="10">
        <v>11</v>
      </c>
      <c r="L2566" s="1">
        <v>124</v>
      </c>
      <c r="M2566" s="1">
        <v>14</v>
      </c>
      <c r="N2566" s="1">
        <v>1</v>
      </c>
      <c r="O2566" s="1">
        <v>2</v>
      </c>
      <c r="P2566" s="2">
        <v>1</v>
      </c>
      <c r="Q2566" s="68">
        <v>3</v>
      </c>
    </row>
    <row r="2567" spans="1:17" x14ac:dyDescent="0.25">
      <c r="A2567" s="10">
        <v>386</v>
      </c>
      <c r="B2567" s="10">
        <v>42</v>
      </c>
      <c r="C2567" s="10">
        <v>8</v>
      </c>
      <c r="D2567" s="10">
        <v>1</v>
      </c>
      <c r="E2567" s="10">
        <v>11</v>
      </c>
      <c r="F2567" s="10">
        <v>11</v>
      </c>
      <c r="L2567" s="1">
        <v>125</v>
      </c>
      <c r="M2567" s="1">
        <v>14</v>
      </c>
      <c r="N2567" s="1">
        <v>1</v>
      </c>
      <c r="O2567" s="1">
        <v>2</v>
      </c>
      <c r="P2567" s="2">
        <v>1</v>
      </c>
      <c r="Q2567" s="67">
        <v>8</v>
      </c>
    </row>
    <row r="2568" spans="1:17" x14ac:dyDescent="0.25">
      <c r="A2568" s="10">
        <v>386</v>
      </c>
      <c r="B2568" s="10">
        <v>42</v>
      </c>
      <c r="C2568" s="10">
        <v>8</v>
      </c>
      <c r="D2568" s="10">
        <v>2</v>
      </c>
      <c r="E2568" s="10">
        <v>27</v>
      </c>
      <c r="F2568" s="10">
        <v>27</v>
      </c>
      <c r="L2568" s="1">
        <v>126</v>
      </c>
      <c r="M2568" s="1">
        <v>14</v>
      </c>
      <c r="N2568" s="1">
        <v>1</v>
      </c>
      <c r="O2568" s="1">
        <v>2</v>
      </c>
      <c r="P2568" s="2">
        <v>1</v>
      </c>
      <c r="Q2568" s="68">
        <v>12</v>
      </c>
    </row>
    <row r="2569" spans="1:17" x14ac:dyDescent="0.25">
      <c r="A2569" s="10">
        <v>275</v>
      </c>
      <c r="B2569" s="10">
        <v>30</v>
      </c>
      <c r="C2569" s="10">
        <v>9</v>
      </c>
      <c r="D2569" s="10">
        <v>1</v>
      </c>
      <c r="E2569" s="10">
        <v>18</v>
      </c>
      <c r="F2569" s="10">
        <v>18</v>
      </c>
      <c r="L2569" s="1">
        <v>127</v>
      </c>
      <c r="M2569" s="1">
        <v>14</v>
      </c>
      <c r="N2569" s="1">
        <v>1</v>
      </c>
      <c r="O2569" s="1">
        <v>2</v>
      </c>
      <c r="P2569" s="2">
        <v>1</v>
      </c>
      <c r="Q2569" s="67">
        <v>12</v>
      </c>
    </row>
    <row r="2570" spans="1:17" x14ac:dyDescent="0.25">
      <c r="A2570" s="10">
        <v>275</v>
      </c>
      <c r="B2570" s="10">
        <v>30</v>
      </c>
      <c r="C2570" s="10">
        <v>9</v>
      </c>
      <c r="D2570" s="10">
        <v>2</v>
      </c>
      <c r="E2570" s="10">
        <v>20</v>
      </c>
      <c r="F2570" s="10">
        <v>20</v>
      </c>
      <c r="L2570" s="1">
        <v>128</v>
      </c>
      <c r="M2570" s="1">
        <v>14</v>
      </c>
      <c r="N2570" s="1">
        <v>1</v>
      </c>
      <c r="O2570" s="1">
        <v>2</v>
      </c>
      <c r="P2570" s="2">
        <v>1</v>
      </c>
      <c r="Q2570" s="68">
        <v>7</v>
      </c>
    </row>
    <row r="2571" spans="1:17" x14ac:dyDescent="0.25">
      <c r="A2571" s="10">
        <v>275</v>
      </c>
      <c r="B2571" s="10">
        <v>30</v>
      </c>
      <c r="C2571" s="10">
        <v>9</v>
      </c>
      <c r="D2571" s="10">
        <v>3</v>
      </c>
      <c r="E2571" s="10">
        <v>1</v>
      </c>
      <c r="F2571" s="10">
        <v>1</v>
      </c>
      <c r="L2571" s="1">
        <v>129</v>
      </c>
      <c r="M2571" s="1">
        <v>14</v>
      </c>
      <c r="N2571" s="1">
        <v>1</v>
      </c>
      <c r="O2571" s="1">
        <v>2</v>
      </c>
      <c r="P2571" s="2">
        <v>1</v>
      </c>
      <c r="Q2571" s="67">
        <v>5</v>
      </c>
    </row>
    <row r="2572" spans="1:17" x14ac:dyDescent="0.25">
      <c r="A2572" s="10">
        <v>275</v>
      </c>
      <c r="B2572" s="10">
        <v>30</v>
      </c>
      <c r="C2572" s="10">
        <v>8</v>
      </c>
      <c r="D2572" s="10">
        <v>1</v>
      </c>
      <c r="E2572" s="10">
        <v>15</v>
      </c>
      <c r="F2572" s="10">
        <v>15</v>
      </c>
      <c r="L2572" s="1">
        <v>130</v>
      </c>
      <c r="M2572" s="1">
        <v>14</v>
      </c>
      <c r="N2572" s="1">
        <v>1</v>
      </c>
      <c r="O2572" s="1">
        <v>2</v>
      </c>
      <c r="P2572" s="2">
        <v>1</v>
      </c>
      <c r="Q2572" s="68">
        <v>7</v>
      </c>
    </row>
    <row r="2573" spans="1:17" x14ac:dyDescent="0.25">
      <c r="A2573" s="10">
        <v>275</v>
      </c>
      <c r="B2573" s="10">
        <v>30</v>
      </c>
      <c r="C2573" s="10">
        <v>8</v>
      </c>
      <c r="D2573" s="10">
        <v>2</v>
      </c>
      <c r="E2573" s="10">
        <v>26</v>
      </c>
      <c r="F2573" s="10">
        <v>26</v>
      </c>
      <c r="L2573" s="1">
        <v>131</v>
      </c>
      <c r="M2573" s="1">
        <v>14</v>
      </c>
      <c r="N2573" s="1">
        <v>1</v>
      </c>
      <c r="O2573" s="1">
        <v>2</v>
      </c>
      <c r="P2573" s="2">
        <v>1</v>
      </c>
      <c r="Q2573" s="67">
        <v>8</v>
      </c>
    </row>
    <row r="2574" spans="1:17" x14ac:dyDescent="0.25">
      <c r="A2574" s="10">
        <v>275</v>
      </c>
      <c r="B2574" s="10">
        <v>30</v>
      </c>
      <c r="C2574" s="10">
        <v>8</v>
      </c>
      <c r="D2574" s="10">
        <v>3</v>
      </c>
      <c r="E2574" s="10">
        <v>2</v>
      </c>
      <c r="F2574" s="10">
        <v>2</v>
      </c>
      <c r="L2574" s="1">
        <v>132</v>
      </c>
      <c r="M2574" s="1">
        <v>14</v>
      </c>
      <c r="N2574" s="1">
        <v>1</v>
      </c>
      <c r="O2574" s="1">
        <v>2</v>
      </c>
      <c r="P2574" s="2">
        <v>1</v>
      </c>
      <c r="Q2574" s="68">
        <v>7</v>
      </c>
    </row>
    <row r="2575" spans="1:17" x14ac:dyDescent="0.25">
      <c r="A2575" s="10">
        <v>116</v>
      </c>
      <c r="B2575" s="10">
        <v>13</v>
      </c>
      <c r="C2575" s="10">
        <v>5</v>
      </c>
      <c r="D2575" s="10">
        <v>2</v>
      </c>
      <c r="E2575" s="10">
        <v>6</v>
      </c>
      <c r="F2575" s="10">
        <v>6</v>
      </c>
      <c r="L2575" s="1">
        <v>133</v>
      </c>
      <c r="M2575" s="1">
        <v>15</v>
      </c>
      <c r="N2575" s="1">
        <v>1</v>
      </c>
      <c r="O2575" s="1">
        <v>2</v>
      </c>
      <c r="P2575" s="2">
        <v>1</v>
      </c>
      <c r="Q2575" s="67">
        <v>7</v>
      </c>
    </row>
    <row r="2576" spans="1:17" x14ac:dyDescent="0.25">
      <c r="A2576" s="10">
        <v>116</v>
      </c>
      <c r="B2576" s="10">
        <v>13</v>
      </c>
      <c r="C2576" s="10">
        <v>5</v>
      </c>
      <c r="D2576" s="10">
        <v>4</v>
      </c>
      <c r="E2576" s="10">
        <v>1</v>
      </c>
      <c r="F2576" s="10">
        <v>1</v>
      </c>
      <c r="L2576" s="1">
        <v>134</v>
      </c>
      <c r="M2576" s="1">
        <v>15</v>
      </c>
      <c r="N2576" s="1">
        <v>1</v>
      </c>
      <c r="O2576" s="1">
        <v>2</v>
      </c>
      <c r="P2576" s="2">
        <v>1</v>
      </c>
      <c r="Q2576" s="68">
        <v>4</v>
      </c>
    </row>
    <row r="2577" spans="1:17" x14ac:dyDescent="0.25">
      <c r="A2577" s="10">
        <v>116</v>
      </c>
      <c r="B2577" s="10">
        <v>13</v>
      </c>
      <c r="C2577" s="10">
        <v>5</v>
      </c>
      <c r="D2577" s="10">
        <v>7</v>
      </c>
      <c r="E2577" s="10">
        <v>3</v>
      </c>
      <c r="F2577" s="10">
        <v>3</v>
      </c>
      <c r="L2577" s="1">
        <v>135</v>
      </c>
      <c r="M2577" s="1">
        <v>15</v>
      </c>
      <c r="N2577" s="1">
        <v>1</v>
      </c>
      <c r="O2577" s="1">
        <v>2</v>
      </c>
      <c r="P2577" s="2">
        <v>1</v>
      </c>
      <c r="Q2577" s="67">
        <v>7</v>
      </c>
    </row>
    <row r="2578" spans="1:17" x14ac:dyDescent="0.25">
      <c r="A2578" s="10">
        <v>127</v>
      </c>
      <c r="B2578" s="10">
        <v>14</v>
      </c>
      <c r="C2578" s="10">
        <v>6</v>
      </c>
      <c r="D2578" s="10">
        <v>1</v>
      </c>
      <c r="E2578" s="10">
        <v>30</v>
      </c>
      <c r="F2578" s="10">
        <v>30</v>
      </c>
      <c r="L2578" s="1">
        <v>136</v>
      </c>
      <c r="M2578" s="1">
        <v>15</v>
      </c>
      <c r="N2578" s="1">
        <v>1</v>
      </c>
      <c r="O2578" s="1">
        <v>2</v>
      </c>
      <c r="P2578" s="2">
        <v>1</v>
      </c>
      <c r="Q2578" s="68">
        <v>7</v>
      </c>
    </row>
    <row r="2579" spans="1:17" x14ac:dyDescent="0.25">
      <c r="A2579" s="10">
        <v>127</v>
      </c>
      <c r="B2579" s="10">
        <v>14</v>
      </c>
      <c r="C2579" s="10">
        <v>6</v>
      </c>
      <c r="D2579" s="10">
        <v>2</v>
      </c>
      <c r="E2579" s="10">
        <v>14</v>
      </c>
      <c r="F2579" s="10">
        <v>14</v>
      </c>
      <c r="L2579" s="1">
        <v>137</v>
      </c>
      <c r="M2579" s="1">
        <v>15</v>
      </c>
      <c r="N2579" s="1">
        <v>1</v>
      </c>
      <c r="O2579" s="1">
        <v>2</v>
      </c>
      <c r="P2579" s="2">
        <v>1</v>
      </c>
      <c r="Q2579" s="67">
        <v>7</v>
      </c>
    </row>
    <row r="2580" spans="1:17" x14ac:dyDescent="0.25">
      <c r="A2580" s="10">
        <v>273</v>
      </c>
      <c r="B2580" s="10">
        <v>30</v>
      </c>
      <c r="C2580" s="10">
        <v>6</v>
      </c>
      <c r="D2580" s="10">
        <v>1</v>
      </c>
      <c r="E2580" s="10">
        <v>25</v>
      </c>
      <c r="F2580" s="10">
        <v>25</v>
      </c>
      <c r="L2580" s="1">
        <v>138</v>
      </c>
      <c r="M2580" s="1">
        <v>15</v>
      </c>
      <c r="N2580" s="1">
        <v>1</v>
      </c>
      <c r="O2580" s="1">
        <v>2</v>
      </c>
      <c r="P2580" s="2">
        <v>1</v>
      </c>
      <c r="Q2580" s="68">
        <v>16</v>
      </c>
    </row>
    <row r="2581" spans="1:17" x14ac:dyDescent="0.25">
      <c r="A2581" s="10">
        <v>153</v>
      </c>
      <c r="B2581" s="10">
        <v>17</v>
      </c>
      <c r="C2581" s="10">
        <v>6</v>
      </c>
      <c r="D2581" s="10">
        <v>1</v>
      </c>
      <c r="E2581" s="10">
        <v>33</v>
      </c>
      <c r="F2581" s="10">
        <v>33</v>
      </c>
      <c r="L2581" s="1">
        <v>139</v>
      </c>
      <c r="M2581" s="1">
        <v>15</v>
      </c>
      <c r="N2581" s="1">
        <v>1</v>
      </c>
      <c r="O2581" s="1">
        <v>2</v>
      </c>
      <c r="P2581" s="2">
        <v>1</v>
      </c>
      <c r="Q2581" s="67">
        <v>9</v>
      </c>
    </row>
    <row r="2582" spans="1:17" x14ac:dyDescent="0.25">
      <c r="A2582" s="10">
        <v>153</v>
      </c>
      <c r="B2582" s="10">
        <v>17</v>
      </c>
      <c r="C2582" s="10">
        <v>6</v>
      </c>
      <c r="D2582" s="10">
        <v>2</v>
      </c>
      <c r="E2582" s="10">
        <v>12</v>
      </c>
      <c r="F2582" s="10">
        <v>12</v>
      </c>
      <c r="L2582" s="1">
        <v>140</v>
      </c>
      <c r="M2582" s="1">
        <v>15</v>
      </c>
      <c r="N2582" s="1">
        <v>1</v>
      </c>
      <c r="O2582" s="1">
        <v>2</v>
      </c>
      <c r="P2582" s="2">
        <v>1</v>
      </c>
      <c r="Q2582" s="68">
        <v>5</v>
      </c>
    </row>
    <row r="2583" spans="1:17" x14ac:dyDescent="0.25">
      <c r="A2583" s="10">
        <v>273</v>
      </c>
      <c r="B2583" s="10">
        <v>30</v>
      </c>
      <c r="C2583" s="10">
        <v>6</v>
      </c>
      <c r="D2583" s="10">
        <v>3</v>
      </c>
      <c r="E2583" s="10">
        <v>2</v>
      </c>
      <c r="F2583" s="10">
        <v>2</v>
      </c>
      <c r="L2583" s="1">
        <v>141</v>
      </c>
      <c r="M2583" s="1">
        <v>15</v>
      </c>
      <c r="N2583" s="1">
        <v>1</v>
      </c>
      <c r="O2583" s="1">
        <v>2</v>
      </c>
      <c r="P2583" s="2">
        <v>1</v>
      </c>
      <c r="Q2583" s="67">
        <v>3</v>
      </c>
    </row>
    <row r="2584" spans="1:17" x14ac:dyDescent="0.25">
      <c r="A2584" s="10">
        <v>273</v>
      </c>
      <c r="B2584" s="10">
        <v>30</v>
      </c>
      <c r="C2584" s="10">
        <v>6</v>
      </c>
      <c r="D2584" s="10">
        <v>4</v>
      </c>
      <c r="E2584" s="10">
        <v>1</v>
      </c>
      <c r="F2584" s="10">
        <v>1</v>
      </c>
      <c r="L2584" s="1">
        <v>142</v>
      </c>
      <c r="M2584" s="1">
        <v>15</v>
      </c>
      <c r="N2584" s="1">
        <v>1</v>
      </c>
      <c r="O2584" s="1">
        <v>2</v>
      </c>
      <c r="P2584" s="2">
        <v>1</v>
      </c>
      <c r="Q2584" s="68">
        <v>2</v>
      </c>
    </row>
    <row r="2585" spans="1:17" x14ac:dyDescent="0.25">
      <c r="A2585" s="10">
        <v>131</v>
      </c>
      <c r="B2585" s="10">
        <v>14</v>
      </c>
      <c r="C2585" s="10">
        <v>6</v>
      </c>
      <c r="D2585" s="10">
        <v>1</v>
      </c>
      <c r="E2585" s="10">
        <v>15</v>
      </c>
      <c r="F2585" s="10">
        <v>15</v>
      </c>
      <c r="L2585" s="1">
        <v>143</v>
      </c>
      <c r="M2585" s="1">
        <v>16</v>
      </c>
      <c r="N2585" s="1">
        <v>1</v>
      </c>
      <c r="O2585" s="1">
        <v>2</v>
      </c>
      <c r="P2585" s="2">
        <v>1</v>
      </c>
      <c r="Q2585" s="67">
        <v>1</v>
      </c>
    </row>
    <row r="2586" spans="1:17" x14ac:dyDescent="0.25">
      <c r="A2586" s="10">
        <v>131</v>
      </c>
      <c r="B2586" s="10">
        <v>14</v>
      </c>
      <c r="C2586" s="10">
        <v>6</v>
      </c>
      <c r="D2586" s="10">
        <v>2</v>
      </c>
      <c r="E2586" s="10">
        <v>14</v>
      </c>
      <c r="F2586" s="10">
        <v>14</v>
      </c>
      <c r="L2586" s="1">
        <v>144</v>
      </c>
      <c r="M2586" s="1">
        <v>16</v>
      </c>
      <c r="N2586" s="1">
        <v>1</v>
      </c>
      <c r="O2586" s="1">
        <v>2</v>
      </c>
      <c r="P2586" s="2">
        <v>1</v>
      </c>
      <c r="Q2586" s="68">
        <v>6</v>
      </c>
    </row>
    <row r="2587" spans="1:17" x14ac:dyDescent="0.25">
      <c r="A2587" s="10">
        <v>131</v>
      </c>
      <c r="B2587" s="10">
        <v>14</v>
      </c>
      <c r="C2587" s="10">
        <v>6</v>
      </c>
      <c r="D2587" s="10">
        <v>3</v>
      </c>
      <c r="E2587" s="10">
        <v>1</v>
      </c>
      <c r="F2587" s="10">
        <v>1</v>
      </c>
      <c r="L2587" s="1">
        <v>145</v>
      </c>
      <c r="M2587" s="1">
        <v>16</v>
      </c>
      <c r="N2587" s="1">
        <v>1</v>
      </c>
      <c r="O2587" s="1">
        <v>2</v>
      </c>
      <c r="P2587" s="2">
        <v>1</v>
      </c>
      <c r="Q2587" s="67">
        <v>9</v>
      </c>
    </row>
    <row r="2588" spans="1:17" x14ac:dyDescent="0.25">
      <c r="A2588" s="10">
        <v>131</v>
      </c>
      <c r="B2588" s="10">
        <v>14</v>
      </c>
      <c r="C2588" s="10">
        <v>6</v>
      </c>
      <c r="D2588" s="10">
        <v>7</v>
      </c>
      <c r="E2588" s="10">
        <v>5</v>
      </c>
      <c r="F2588" s="10">
        <v>5</v>
      </c>
      <c r="L2588" s="1">
        <v>146</v>
      </c>
      <c r="M2588" s="1">
        <v>16</v>
      </c>
      <c r="N2588" s="1">
        <v>1</v>
      </c>
      <c r="O2588" s="1">
        <v>2</v>
      </c>
      <c r="P2588" s="2">
        <v>1</v>
      </c>
      <c r="Q2588" s="68">
        <v>13</v>
      </c>
    </row>
    <row r="2589" spans="1:17" x14ac:dyDescent="0.25">
      <c r="A2589" s="10">
        <v>131</v>
      </c>
      <c r="B2589" s="10">
        <v>14</v>
      </c>
      <c r="C2589" s="10">
        <v>6</v>
      </c>
      <c r="D2589" s="10">
        <v>11</v>
      </c>
      <c r="E2589" s="10">
        <v>2</v>
      </c>
      <c r="F2589" s="10">
        <v>2</v>
      </c>
      <c r="L2589" s="1">
        <v>147</v>
      </c>
      <c r="M2589" s="1">
        <v>16</v>
      </c>
      <c r="N2589" s="1">
        <v>1</v>
      </c>
      <c r="O2589" s="1">
        <v>2</v>
      </c>
      <c r="P2589" s="2">
        <v>1</v>
      </c>
      <c r="Q2589" s="67">
        <v>3</v>
      </c>
    </row>
    <row r="2590" spans="1:17" x14ac:dyDescent="0.25">
      <c r="A2590" s="10">
        <v>202</v>
      </c>
      <c r="B2590" s="10">
        <v>22</v>
      </c>
      <c r="C2590" s="10">
        <v>6</v>
      </c>
      <c r="D2590" s="10">
        <v>1</v>
      </c>
      <c r="E2590" s="10">
        <v>5</v>
      </c>
      <c r="F2590" s="10">
        <v>5</v>
      </c>
      <c r="L2590" s="1">
        <v>148</v>
      </c>
      <c r="M2590" s="1">
        <v>16</v>
      </c>
      <c r="N2590" s="1">
        <v>1</v>
      </c>
      <c r="O2590" s="1">
        <v>2</v>
      </c>
      <c r="P2590" s="2">
        <v>1</v>
      </c>
      <c r="Q2590" s="68">
        <v>6</v>
      </c>
    </row>
    <row r="2591" spans="1:17" x14ac:dyDescent="0.25">
      <c r="A2591" s="10">
        <v>151</v>
      </c>
      <c r="B2591" s="10">
        <v>16</v>
      </c>
      <c r="C2591" s="10">
        <v>6</v>
      </c>
      <c r="D2591" s="10">
        <v>1</v>
      </c>
      <c r="E2591" s="10">
        <v>5</v>
      </c>
      <c r="F2591" s="10">
        <v>5</v>
      </c>
      <c r="L2591" s="1">
        <v>149</v>
      </c>
      <c r="M2591" s="1">
        <v>16</v>
      </c>
      <c r="N2591" s="1">
        <v>1</v>
      </c>
      <c r="O2591" s="1">
        <v>2</v>
      </c>
      <c r="P2591" s="2">
        <v>1</v>
      </c>
      <c r="Q2591" s="67">
        <v>7</v>
      </c>
    </row>
    <row r="2592" spans="1:17" x14ac:dyDescent="0.25">
      <c r="A2592" s="10">
        <v>151</v>
      </c>
      <c r="B2592" s="10">
        <v>16</v>
      </c>
      <c r="C2592" s="10">
        <v>6</v>
      </c>
      <c r="D2592" s="10">
        <v>2</v>
      </c>
      <c r="E2592" s="10">
        <v>1</v>
      </c>
      <c r="F2592" s="10">
        <v>1</v>
      </c>
      <c r="L2592" s="1">
        <v>150</v>
      </c>
      <c r="M2592" s="1">
        <v>16</v>
      </c>
      <c r="N2592" s="1">
        <v>1</v>
      </c>
      <c r="O2592" s="1">
        <v>2</v>
      </c>
      <c r="P2592" s="2">
        <v>1</v>
      </c>
      <c r="Q2592" s="68">
        <v>15</v>
      </c>
    </row>
    <row r="2593" spans="1:17" x14ac:dyDescent="0.25">
      <c r="A2593" s="10">
        <v>151</v>
      </c>
      <c r="B2593" s="10">
        <v>16</v>
      </c>
      <c r="C2593" s="10">
        <v>6</v>
      </c>
      <c r="D2593" s="10">
        <v>4</v>
      </c>
      <c r="E2593" s="10">
        <v>1</v>
      </c>
      <c r="F2593" s="10">
        <v>1</v>
      </c>
      <c r="L2593" s="1">
        <v>151</v>
      </c>
      <c r="M2593" s="1">
        <v>16</v>
      </c>
      <c r="N2593" s="1">
        <v>1</v>
      </c>
      <c r="O2593" s="1">
        <v>2</v>
      </c>
      <c r="P2593" s="2">
        <v>1</v>
      </c>
      <c r="Q2593" s="67">
        <v>8</v>
      </c>
    </row>
    <row r="2594" spans="1:17" x14ac:dyDescent="0.25">
      <c r="A2594" s="10">
        <v>151</v>
      </c>
      <c r="B2594" s="10">
        <v>16</v>
      </c>
      <c r="C2594" s="10">
        <v>6</v>
      </c>
      <c r="D2594" s="10">
        <v>9</v>
      </c>
      <c r="E2594" s="10">
        <v>2</v>
      </c>
      <c r="F2594" s="10">
        <v>2</v>
      </c>
      <c r="L2594" s="1">
        <v>152</v>
      </c>
      <c r="M2594" s="1">
        <v>16</v>
      </c>
      <c r="N2594" s="1">
        <v>1</v>
      </c>
      <c r="O2594" s="1">
        <v>2</v>
      </c>
      <c r="P2594" s="2">
        <v>1</v>
      </c>
      <c r="Q2594" s="68">
        <v>8</v>
      </c>
    </row>
    <row r="2595" spans="1:17" x14ac:dyDescent="0.25">
      <c r="A2595" s="10">
        <v>206</v>
      </c>
      <c r="B2595" s="10">
        <v>22</v>
      </c>
      <c r="C2595" s="10">
        <v>6</v>
      </c>
      <c r="D2595" s="10">
        <v>1</v>
      </c>
      <c r="E2595" s="10">
        <v>16</v>
      </c>
      <c r="F2595" s="10">
        <v>16</v>
      </c>
      <c r="L2595" s="1">
        <v>153</v>
      </c>
      <c r="M2595" s="1">
        <v>17</v>
      </c>
      <c r="N2595" s="1">
        <v>1</v>
      </c>
      <c r="O2595" s="1">
        <v>2</v>
      </c>
      <c r="P2595" s="2">
        <v>1</v>
      </c>
      <c r="Q2595" s="67">
        <v>12</v>
      </c>
    </row>
    <row r="2596" spans="1:17" x14ac:dyDescent="0.25">
      <c r="A2596" s="10">
        <v>15</v>
      </c>
      <c r="B2596" s="10">
        <v>2</v>
      </c>
      <c r="C2596" s="10">
        <v>6</v>
      </c>
      <c r="D2596" s="10">
        <v>1</v>
      </c>
      <c r="E2596" s="10">
        <v>19</v>
      </c>
      <c r="F2596" s="10">
        <v>19</v>
      </c>
      <c r="L2596" s="1">
        <v>154</v>
      </c>
      <c r="M2596" s="1">
        <v>17</v>
      </c>
      <c r="N2596" s="1">
        <v>1</v>
      </c>
      <c r="O2596" s="1">
        <v>2</v>
      </c>
      <c r="P2596" s="2">
        <v>1</v>
      </c>
      <c r="Q2596" s="68">
        <v>8</v>
      </c>
    </row>
    <row r="2597" spans="1:17" x14ac:dyDescent="0.25">
      <c r="A2597" s="10">
        <v>179</v>
      </c>
      <c r="B2597" s="10">
        <v>19</v>
      </c>
      <c r="C2597" s="10">
        <v>6</v>
      </c>
      <c r="D2597" s="10">
        <v>1</v>
      </c>
      <c r="E2597" s="10">
        <v>50</v>
      </c>
      <c r="F2597" s="10">
        <v>50</v>
      </c>
      <c r="L2597" s="1">
        <v>155</v>
      </c>
      <c r="M2597" s="1">
        <v>17</v>
      </c>
      <c r="N2597" s="1">
        <v>1</v>
      </c>
      <c r="O2597" s="1">
        <v>2</v>
      </c>
      <c r="P2597" s="2">
        <v>1</v>
      </c>
      <c r="Q2597" s="67">
        <v>9</v>
      </c>
    </row>
    <row r="2598" spans="1:17" x14ac:dyDescent="0.25">
      <c r="A2598" s="10">
        <v>15</v>
      </c>
      <c r="B2598" s="10">
        <v>2</v>
      </c>
      <c r="C2598" s="10">
        <v>6</v>
      </c>
      <c r="D2598" s="10">
        <v>2</v>
      </c>
      <c r="E2598" s="10">
        <v>13</v>
      </c>
      <c r="F2598" s="10">
        <v>13</v>
      </c>
      <c r="L2598" s="1">
        <v>156</v>
      </c>
      <c r="M2598" s="1">
        <v>17</v>
      </c>
      <c r="N2598" s="1">
        <v>1</v>
      </c>
      <c r="O2598" s="1">
        <v>2</v>
      </c>
      <c r="P2598" s="2">
        <v>1</v>
      </c>
      <c r="Q2598" s="68">
        <v>4</v>
      </c>
    </row>
    <row r="2599" spans="1:17" x14ac:dyDescent="0.25">
      <c r="A2599" s="10">
        <v>176</v>
      </c>
      <c r="B2599" s="10">
        <v>19</v>
      </c>
      <c r="C2599" s="10">
        <v>6</v>
      </c>
      <c r="D2599" s="10">
        <v>1</v>
      </c>
      <c r="E2599" s="10">
        <v>37</v>
      </c>
      <c r="F2599" s="10">
        <v>37</v>
      </c>
      <c r="L2599" s="1">
        <v>157</v>
      </c>
      <c r="M2599" s="1">
        <v>17</v>
      </c>
      <c r="N2599" s="1">
        <v>1</v>
      </c>
      <c r="O2599" s="1">
        <v>2</v>
      </c>
      <c r="P2599" s="2">
        <v>1</v>
      </c>
      <c r="Q2599" s="67">
        <v>0</v>
      </c>
    </row>
    <row r="2600" spans="1:17" x14ac:dyDescent="0.25">
      <c r="A2600" s="10">
        <v>176</v>
      </c>
      <c r="B2600" s="10">
        <v>19</v>
      </c>
      <c r="C2600" s="10">
        <v>6</v>
      </c>
      <c r="D2600" s="10">
        <v>2</v>
      </c>
      <c r="E2600" s="10">
        <v>25</v>
      </c>
      <c r="F2600" s="10">
        <v>25</v>
      </c>
      <c r="L2600" s="1">
        <v>158</v>
      </c>
      <c r="M2600" s="1">
        <v>17</v>
      </c>
      <c r="N2600" s="1">
        <v>1</v>
      </c>
      <c r="O2600" s="1">
        <v>2</v>
      </c>
      <c r="P2600" s="2">
        <v>1</v>
      </c>
      <c r="Q2600" s="68">
        <v>0</v>
      </c>
    </row>
    <row r="2601" spans="1:17" x14ac:dyDescent="0.25">
      <c r="A2601" s="10">
        <v>15</v>
      </c>
      <c r="B2601" s="10">
        <v>2</v>
      </c>
      <c r="C2601" s="10">
        <v>6</v>
      </c>
      <c r="D2601" s="10">
        <v>10</v>
      </c>
      <c r="E2601" s="10">
        <v>2</v>
      </c>
      <c r="F2601" s="10">
        <v>2</v>
      </c>
      <c r="L2601" s="1">
        <v>159</v>
      </c>
      <c r="M2601" s="1">
        <v>17</v>
      </c>
      <c r="N2601" s="1">
        <v>1</v>
      </c>
      <c r="O2601" s="1">
        <v>2</v>
      </c>
      <c r="P2601" s="2">
        <v>1</v>
      </c>
      <c r="Q2601" s="67">
        <v>7</v>
      </c>
    </row>
    <row r="2602" spans="1:17" x14ac:dyDescent="0.25">
      <c r="A2602" s="10">
        <v>11</v>
      </c>
      <c r="B2602" s="10">
        <v>2</v>
      </c>
      <c r="C2602" s="10">
        <v>6</v>
      </c>
      <c r="D2602" s="10">
        <v>1</v>
      </c>
      <c r="E2602" s="10">
        <v>14</v>
      </c>
      <c r="F2602" s="10">
        <v>14</v>
      </c>
      <c r="L2602" s="1">
        <v>160</v>
      </c>
      <c r="M2602" s="1">
        <v>17</v>
      </c>
      <c r="N2602" s="1">
        <v>1</v>
      </c>
      <c r="O2602" s="1">
        <v>2</v>
      </c>
      <c r="P2602" s="2">
        <v>1</v>
      </c>
      <c r="Q2602" s="68">
        <v>14</v>
      </c>
    </row>
    <row r="2603" spans="1:17" x14ac:dyDescent="0.25">
      <c r="A2603" s="10">
        <v>44</v>
      </c>
      <c r="B2603" s="10">
        <v>5</v>
      </c>
      <c r="C2603" s="10">
        <v>6</v>
      </c>
      <c r="D2603" s="10">
        <v>1</v>
      </c>
      <c r="E2603" s="10">
        <v>15</v>
      </c>
      <c r="F2603" s="10">
        <v>15</v>
      </c>
      <c r="L2603" s="1">
        <v>161</v>
      </c>
      <c r="M2603" s="1">
        <v>17</v>
      </c>
      <c r="N2603" s="1">
        <v>1</v>
      </c>
      <c r="O2603" s="1">
        <v>2</v>
      </c>
      <c r="P2603" s="2">
        <v>1</v>
      </c>
      <c r="Q2603" s="67">
        <v>12</v>
      </c>
    </row>
    <row r="2604" spans="1:17" x14ac:dyDescent="0.25">
      <c r="A2604" s="10">
        <v>13</v>
      </c>
      <c r="B2604" s="10">
        <v>2</v>
      </c>
      <c r="C2604" s="10">
        <v>6</v>
      </c>
      <c r="D2604" s="10">
        <v>1</v>
      </c>
      <c r="E2604" s="10">
        <v>463</v>
      </c>
      <c r="F2604" s="10">
        <v>463</v>
      </c>
      <c r="L2604" s="1">
        <v>162</v>
      </c>
      <c r="M2604" s="1">
        <v>17</v>
      </c>
      <c r="N2604" s="1">
        <v>1</v>
      </c>
      <c r="O2604" s="1">
        <v>2</v>
      </c>
      <c r="P2604" s="2">
        <v>1</v>
      </c>
      <c r="Q2604" s="68">
        <v>15</v>
      </c>
    </row>
    <row r="2605" spans="1:17" x14ac:dyDescent="0.25">
      <c r="A2605" s="10">
        <v>44</v>
      </c>
      <c r="B2605" s="10">
        <v>5</v>
      </c>
      <c r="C2605" s="10">
        <v>6</v>
      </c>
      <c r="D2605" s="10">
        <v>2</v>
      </c>
      <c r="E2605" s="10">
        <v>28</v>
      </c>
      <c r="F2605" s="10">
        <v>28</v>
      </c>
      <c r="L2605" s="1">
        <v>163</v>
      </c>
      <c r="M2605" s="1">
        <v>18</v>
      </c>
      <c r="N2605" s="1">
        <v>1</v>
      </c>
      <c r="O2605" s="1">
        <v>2</v>
      </c>
      <c r="P2605" s="2">
        <v>1</v>
      </c>
      <c r="Q2605" s="67">
        <v>5</v>
      </c>
    </row>
    <row r="2606" spans="1:17" x14ac:dyDescent="0.25">
      <c r="A2606" s="10">
        <v>44</v>
      </c>
      <c r="B2606" s="10">
        <v>5</v>
      </c>
      <c r="C2606" s="10">
        <v>6</v>
      </c>
      <c r="D2606" s="10">
        <v>3</v>
      </c>
      <c r="E2606" s="10">
        <v>5</v>
      </c>
      <c r="F2606" s="10">
        <v>5</v>
      </c>
      <c r="L2606" s="1">
        <v>164</v>
      </c>
      <c r="M2606" s="1">
        <v>18</v>
      </c>
      <c r="N2606" s="1">
        <v>1</v>
      </c>
      <c r="O2606" s="1">
        <v>2</v>
      </c>
      <c r="P2606" s="2">
        <v>1</v>
      </c>
      <c r="Q2606" s="68">
        <v>8</v>
      </c>
    </row>
    <row r="2607" spans="1:17" x14ac:dyDescent="0.25">
      <c r="A2607" s="10">
        <v>13</v>
      </c>
      <c r="B2607" s="10">
        <v>2</v>
      </c>
      <c r="C2607" s="10">
        <v>6</v>
      </c>
      <c r="D2607" s="10">
        <v>2</v>
      </c>
      <c r="E2607" s="10">
        <v>535</v>
      </c>
      <c r="F2607" s="10">
        <v>535</v>
      </c>
      <c r="L2607" s="1">
        <v>165</v>
      </c>
      <c r="M2607" s="1">
        <v>18</v>
      </c>
      <c r="N2607" s="1">
        <v>1</v>
      </c>
      <c r="O2607" s="1">
        <v>2</v>
      </c>
      <c r="P2607" s="2">
        <v>1</v>
      </c>
      <c r="Q2607" s="67">
        <v>1</v>
      </c>
    </row>
    <row r="2608" spans="1:17" x14ac:dyDescent="0.25">
      <c r="A2608" s="10">
        <v>42</v>
      </c>
      <c r="B2608" s="10">
        <v>5</v>
      </c>
      <c r="C2608" s="10">
        <v>6</v>
      </c>
      <c r="D2608" s="10">
        <v>1</v>
      </c>
      <c r="E2608" s="10">
        <v>11</v>
      </c>
      <c r="F2608" s="10">
        <v>11</v>
      </c>
      <c r="L2608" s="1">
        <v>166</v>
      </c>
      <c r="M2608" s="1">
        <v>18</v>
      </c>
      <c r="N2608" s="1">
        <v>1</v>
      </c>
      <c r="O2608" s="1">
        <v>2</v>
      </c>
      <c r="P2608" s="2">
        <v>1</v>
      </c>
      <c r="Q2608" s="68">
        <v>0</v>
      </c>
    </row>
    <row r="2609" spans="1:17" x14ac:dyDescent="0.25">
      <c r="A2609" s="10">
        <v>13</v>
      </c>
      <c r="B2609" s="10">
        <v>2</v>
      </c>
      <c r="C2609" s="10">
        <v>6</v>
      </c>
      <c r="D2609" s="10">
        <v>6</v>
      </c>
      <c r="E2609" s="10">
        <v>1</v>
      </c>
      <c r="F2609" s="10">
        <v>1</v>
      </c>
      <c r="L2609" s="1">
        <v>167</v>
      </c>
      <c r="M2609" s="1">
        <v>18</v>
      </c>
      <c r="N2609" s="1">
        <v>1</v>
      </c>
      <c r="O2609" s="1">
        <v>2</v>
      </c>
      <c r="P2609" s="2">
        <v>1</v>
      </c>
      <c r="Q2609" s="67">
        <v>6</v>
      </c>
    </row>
    <row r="2610" spans="1:17" x14ac:dyDescent="0.25">
      <c r="A2610" s="10">
        <v>42</v>
      </c>
      <c r="B2610" s="10">
        <v>5</v>
      </c>
      <c r="C2610" s="10">
        <v>6</v>
      </c>
      <c r="D2610" s="10">
        <v>2</v>
      </c>
      <c r="E2610" s="10">
        <v>5</v>
      </c>
      <c r="F2610" s="10">
        <v>5</v>
      </c>
      <c r="L2610" s="1">
        <v>168</v>
      </c>
      <c r="M2610" s="1">
        <v>18</v>
      </c>
      <c r="N2610" s="1">
        <v>1</v>
      </c>
      <c r="O2610" s="1">
        <v>2</v>
      </c>
      <c r="P2610" s="2">
        <v>1</v>
      </c>
      <c r="Q2610" s="68">
        <v>1</v>
      </c>
    </row>
    <row r="2611" spans="1:17" x14ac:dyDescent="0.25">
      <c r="A2611" s="10">
        <v>5</v>
      </c>
      <c r="B2611" s="10">
        <v>1</v>
      </c>
      <c r="C2611" s="10">
        <v>6</v>
      </c>
      <c r="D2611" s="10">
        <v>1</v>
      </c>
      <c r="E2611" s="10">
        <v>542</v>
      </c>
      <c r="F2611" s="10">
        <v>542</v>
      </c>
      <c r="L2611" s="1">
        <v>169</v>
      </c>
      <c r="M2611" s="1">
        <v>18</v>
      </c>
      <c r="N2611" s="1">
        <v>1</v>
      </c>
      <c r="O2611" s="1">
        <v>2</v>
      </c>
      <c r="P2611" s="2">
        <v>1</v>
      </c>
      <c r="Q2611" s="67">
        <v>0</v>
      </c>
    </row>
    <row r="2612" spans="1:17" x14ac:dyDescent="0.25">
      <c r="A2612" s="10">
        <v>5</v>
      </c>
      <c r="B2612" s="10">
        <v>1</v>
      </c>
      <c r="C2612" s="10">
        <v>6</v>
      </c>
      <c r="D2612" s="10">
        <v>2</v>
      </c>
      <c r="E2612" s="10">
        <v>455</v>
      </c>
      <c r="F2612" s="10">
        <v>455</v>
      </c>
      <c r="L2612" s="1">
        <v>170</v>
      </c>
      <c r="M2612" s="1">
        <v>18</v>
      </c>
      <c r="N2612" s="1">
        <v>1</v>
      </c>
      <c r="O2612" s="1">
        <v>2</v>
      </c>
      <c r="P2612" s="2">
        <v>1</v>
      </c>
      <c r="Q2612" s="68">
        <v>2</v>
      </c>
    </row>
    <row r="2613" spans="1:17" x14ac:dyDescent="0.25">
      <c r="A2613" s="10">
        <v>5</v>
      </c>
      <c r="B2613" s="10">
        <v>1</v>
      </c>
      <c r="C2613" s="10">
        <v>6</v>
      </c>
      <c r="D2613" s="10">
        <v>3</v>
      </c>
      <c r="E2613" s="10">
        <v>2</v>
      </c>
      <c r="F2613" s="10">
        <v>2</v>
      </c>
      <c r="L2613" s="1">
        <v>171</v>
      </c>
      <c r="M2613" s="1">
        <v>18</v>
      </c>
      <c r="N2613" s="1">
        <v>1</v>
      </c>
      <c r="O2613" s="1">
        <v>2</v>
      </c>
      <c r="P2613" s="2">
        <v>1</v>
      </c>
      <c r="Q2613" s="67">
        <v>4</v>
      </c>
    </row>
    <row r="2614" spans="1:17" x14ac:dyDescent="0.25">
      <c r="A2614" s="10">
        <v>38</v>
      </c>
      <c r="B2614" s="10">
        <v>5</v>
      </c>
      <c r="C2614" s="10">
        <v>6</v>
      </c>
      <c r="D2614" s="10">
        <v>1</v>
      </c>
      <c r="E2614" s="10">
        <v>4</v>
      </c>
      <c r="F2614" s="10">
        <v>4</v>
      </c>
      <c r="L2614" s="1">
        <v>172</v>
      </c>
      <c r="M2614" s="1">
        <v>18</v>
      </c>
      <c r="N2614" s="1">
        <v>1</v>
      </c>
      <c r="O2614" s="1">
        <v>2</v>
      </c>
      <c r="P2614" s="2">
        <v>1</v>
      </c>
      <c r="Q2614" s="68">
        <v>1</v>
      </c>
    </row>
    <row r="2615" spans="1:17" x14ac:dyDescent="0.25">
      <c r="A2615" s="10">
        <v>1</v>
      </c>
      <c r="B2615" s="10">
        <v>1</v>
      </c>
      <c r="C2615" s="10">
        <v>2</v>
      </c>
      <c r="D2615" s="10">
        <v>1</v>
      </c>
      <c r="E2615" s="10">
        <v>453</v>
      </c>
      <c r="F2615" s="10">
        <v>453</v>
      </c>
      <c r="L2615" s="1">
        <v>173</v>
      </c>
      <c r="M2615" s="1">
        <v>19</v>
      </c>
      <c r="N2615" s="1">
        <v>1</v>
      </c>
      <c r="O2615" s="1">
        <v>2</v>
      </c>
      <c r="P2615" s="2">
        <v>1</v>
      </c>
      <c r="Q2615" s="67">
        <v>0</v>
      </c>
    </row>
    <row r="2616" spans="1:17" x14ac:dyDescent="0.25">
      <c r="A2616" s="10">
        <v>1</v>
      </c>
      <c r="B2616" s="10">
        <v>1</v>
      </c>
      <c r="C2616" s="10">
        <v>2</v>
      </c>
      <c r="D2616" s="10">
        <v>2</v>
      </c>
      <c r="E2616" s="10">
        <v>544</v>
      </c>
      <c r="F2616" s="10">
        <v>544</v>
      </c>
      <c r="L2616" s="1">
        <v>174</v>
      </c>
      <c r="M2616" s="1">
        <v>19</v>
      </c>
      <c r="N2616" s="1">
        <v>1</v>
      </c>
      <c r="O2616" s="1">
        <v>2</v>
      </c>
      <c r="P2616" s="2">
        <v>1</v>
      </c>
      <c r="Q2616" s="68">
        <v>5</v>
      </c>
    </row>
    <row r="2617" spans="1:17" x14ac:dyDescent="0.25">
      <c r="A2617" s="10">
        <v>182</v>
      </c>
      <c r="B2617" s="10">
        <v>19</v>
      </c>
      <c r="C2617" s="10">
        <v>6</v>
      </c>
      <c r="D2617" s="10">
        <v>1</v>
      </c>
      <c r="E2617" s="10">
        <v>35</v>
      </c>
      <c r="F2617" s="10">
        <v>35</v>
      </c>
      <c r="L2617" s="1">
        <v>175</v>
      </c>
      <c r="M2617" s="1">
        <v>19</v>
      </c>
      <c r="N2617" s="1">
        <v>1</v>
      </c>
      <c r="O2617" s="1">
        <v>2</v>
      </c>
      <c r="P2617" s="2">
        <v>1</v>
      </c>
      <c r="Q2617" s="67">
        <v>5</v>
      </c>
    </row>
    <row r="2618" spans="1:17" x14ac:dyDescent="0.25">
      <c r="A2618" s="10">
        <v>182</v>
      </c>
      <c r="B2618" s="10">
        <v>19</v>
      </c>
      <c r="C2618" s="10">
        <v>6</v>
      </c>
      <c r="D2618" s="10">
        <v>2</v>
      </c>
      <c r="E2618" s="10">
        <v>25</v>
      </c>
      <c r="F2618" s="10">
        <v>25</v>
      </c>
      <c r="L2618" s="1">
        <v>176</v>
      </c>
      <c r="M2618" s="1">
        <v>19</v>
      </c>
      <c r="N2618" s="1">
        <v>1</v>
      </c>
      <c r="O2618" s="1">
        <v>2</v>
      </c>
      <c r="P2618" s="2">
        <v>1</v>
      </c>
      <c r="Q2618" s="68">
        <v>8</v>
      </c>
    </row>
    <row r="2619" spans="1:17" x14ac:dyDescent="0.25">
      <c r="A2619" s="10">
        <v>208</v>
      </c>
      <c r="B2619" s="10">
        <v>22</v>
      </c>
      <c r="C2619" s="10">
        <v>6</v>
      </c>
      <c r="D2619" s="10">
        <v>1</v>
      </c>
      <c r="E2619" s="10">
        <v>23</v>
      </c>
      <c r="F2619" s="10">
        <v>23</v>
      </c>
      <c r="L2619" s="1">
        <v>177</v>
      </c>
      <c r="M2619" s="1">
        <v>19</v>
      </c>
      <c r="N2619" s="1">
        <v>1</v>
      </c>
      <c r="O2619" s="1">
        <v>2</v>
      </c>
      <c r="P2619" s="2">
        <v>1</v>
      </c>
      <c r="Q2619" s="67">
        <v>4</v>
      </c>
    </row>
    <row r="2620" spans="1:17" x14ac:dyDescent="0.25">
      <c r="A2620" s="10">
        <v>208</v>
      </c>
      <c r="B2620" s="10">
        <v>22</v>
      </c>
      <c r="C2620" s="10">
        <v>6</v>
      </c>
      <c r="D2620" s="10">
        <v>2</v>
      </c>
      <c r="E2620" s="10">
        <v>17</v>
      </c>
      <c r="F2620" s="10">
        <v>17</v>
      </c>
      <c r="L2620" s="1">
        <v>178</v>
      </c>
      <c r="M2620" s="1">
        <v>19</v>
      </c>
      <c r="N2620" s="1">
        <v>1</v>
      </c>
      <c r="O2620" s="1">
        <v>2</v>
      </c>
      <c r="P2620" s="2">
        <v>1</v>
      </c>
      <c r="Q2620" s="68">
        <v>7</v>
      </c>
    </row>
    <row r="2621" spans="1:17" x14ac:dyDescent="0.25">
      <c r="A2621" s="10">
        <v>208</v>
      </c>
      <c r="B2621" s="10">
        <v>22</v>
      </c>
      <c r="C2621" s="10">
        <v>6</v>
      </c>
      <c r="D2621" s="10">
        <v>3</v>
      </c>
      <c r="E2621" s="10">
        <v>1</v>
      </c>
      <c r="F2621" s="10">
        <v>1</v>
      </c>
      <c r="L2621" s="1">
        <v>179</v>
      </c>
      <c r="M2621" s="1">
        <v>19</v>
      </c>
      <c r="N2621" s="1">
        <v>1</v>
      </c>
      <c r="O2621" s="1">
        <v>2</v>
      </c>
      <c r="P2621" s="2">
        <v>1</v>
      </c>
      <c r="Q2621" s="67">
        <v>5</v>
      </c>
    </row>
    <row r="2622" spans="1:17" x14ac:dyDescent="0.25">
      <c r="A2622" s="10">
        <v>208</v>
      </c>
      <c r="B2622" s="10">
        <v>22</v>
      </c>
      <c r="C2622" s="10">
        <v>6</v>
      </c>
      <c r="D2622" s="10">
        <v>4</v>
      </c>
      <c r="E2622" s="10">
        <v>0</v>
      </c>
      <c r="F2622" s="10">
        <v>0</v>
      </c>
      <c r="L2622" s="1">
        <v>180</v>
      </c>
      <c r="M2622" s="1">
        <v>19</v>
      </c>
      <c r="N2622" s="1">
        <v>1</v>
      </c>
      <c r="O2622" s="1">
        <v>2</v>
      </c>
      <c r="P2622" s="2">
        <v>1</v>
      </c>
      <c r="Q2622" s="68">
        <v>9</v>
      </c>
    </row>
    <row r="2623" spans="1:17" x14ac:dyDescent="0.25">
      <c r="A2623" s="10">
        <v>208</v>
      </c>
      <c r="B2623" s="10">
        <v>22</v>
      </c>
      <c r="C2623" s="10">
        <v>6</v>
      </c>
      <c r="D2623" s="10">
        <v>5</v>
      </c>
      <c r="E2623" s="10">
        <v>2</v>
      </c>
      <c r="F2623" s="10">
        <v>2</v>
      </c>
      <c r="L2623" s="1">
        <v>181</v>
      </c>
      <c r="M2623" s="1">
        <v>19</v>
      </c>
      <c r="N2623" s="1">
        <v>1</v>
      </c>
      <c r="O2623" s="1">
        <v>2</v>
      </c>
      <c r="P2623" s="2">
        <v>1</v>
      </c>
      <c r="Q2623" s="67">
        <v>5</v>
      </c>
    </row>
    <row r="2624" spans="1:17" x14ac:dyDescent="0.25">
      <c r="A2624" s="10">
        <v>242</v>
      </c>
      <c r="B2624" s="10">
        <v>26</v>
      </c>
      <c r="C2624" s="10">
        <v>6</v>
      </c>
      <c r="D2624" s="10">
        <v>1</v>
      </c>
      <c r="E2624" s="10">
        <v>5</v>
      </c>
      <c r="F2624" s="10">
        <v>5</v>
      </c>
      <c r="L2624" s="1">
        <v>182</v>
      </c>
      <c r="M2624" s="1">
        <v>19</v>
      </c>
      <c r="N2624" s="1">
        <v>1</v>
      </c>
      <c r="O2624" s="1">
        <v>2</v>
      </c>
      <c r="P2624" s="2">
        <v>1</v>
      </c>
      <c r="Q2624" s="68">
        <v>4</v>
      </c>
    </row>
    <row r="2625" spans="1:17" x14ac:dyDescent="0.25">
      <c r="A2625" s="10">
        <v>242</v>
      </c>
      <c r="B2625" s="10">
        <v>26</v>
      </c>
      <c r="C2625" s="10">
        <v>6</v>
      </c>
      <c r="D2625" s="10">
        <v>2</v>
      </c>
      <c r="E2625" s="10">
        <v>4</v>
      </c>
      <c r="F2625" s="10">
        <v>4</v>
      </c>
      <c r="L2625" s="1">
        <v>183</v>
      </c>
      <c r="M2625" s="1">
        <v>20</v>
      </c>
      <c r="N2625" s="1">
        <v>1</v>
      </c>
      <c r="O2625" s="1">
        <v>2</v>
      </c>
      <c r="P2625" s="2">
        <v>1</v>
      </c>
      <c r="Q2625" s="67">
        <v>5</v>
      </c>
    </row>
    <row r="2626" spans="1:17" x14ac:dyDescent="0.25">
      <c r="A2626" s="10">
        <v>242</v>
      </c>
      <c r="B2626" s="10">
        <v>26</v>
      </c>
      <c r="C2626" s="10">
        <v>6</v>
      </c>
      <c r="D2626" s="10">
        <v>3</v>
      </c>
      <c r="E2626" s="10">
        <v>1</v>
      </c>
      <c r="F2626" s="10">
        <v>1</v>
      </c>
      <c r="L2626" s="1">
        <v>184</v>
      </c>
      <c r="M2626" s="1">
        <v>20</v>
      </c>
      <c r="N2626" s="1">
        <v>1</v>
      </c>
      <c r="O2626" s="1">
        <v>2</v>
      </c>
      <c r="P2626" s="2">
        <v>1</v>
      </c>
      <c r="Q2626" s="68">
        <v>7</v>
      </c>
    </row>
    <row r="2627" spans="1:17" x14ac:dyDescent="0.25">
      <c r="A2627" s="10">
        <v>242</v>
      </c>
      <c r="B2627" s="10">
        <v>26</v>
      </c>
      <c r="C2627" s="10">
        <v>6</v>
      </c>
      <c r="D2627" s="10">
        <v>4</v>
      </c>
      <c r="E2627" s="10">
        <v>1</v>
      </c>
      <c r="F2627" s="10">
        <v>1</v>
      </c>
      <c r="L2627" s="1">
        <v>185</v>
      </c>
      <c r="M2627" s="1">
        <v>20</v>
      </c>
      <c r="N2627" s="1">
        <v>1</v>
      </c>
      <c r="O2627" s="1">
        <v>2</v>
      </c>
      <c r="P2627" s="2">
        <v>1</v>
      </c>
      <c r="Q2627" s="67">
        <v>9</v>
      </c>
    </row>
    <row r="2628" spans="1:17" x14ac:dyDescent="0.25">
      <c r="A2628" s="10">
        <v>279</v>
      </c>
      <c r="B2628" s="10">
        <v>30</v>
      </c>
      <c r="C2628" s="10">
        <v>6</v>
      </c>
      <c r="D2628" s="10">
        <v>1</v>
      </c>
      <c r="E2628" s="10">
        <v>18</v>
      </c>
      <c r="F2628" s="10">
        <v>18</v>
      </c>
      <c r="L2628" s="1">
        <v>186</v>
      </c>
      <c r="M2628" s="1">
        <v>20</v>
      </c>
      <c r="N2628" s="1">
        <v>1</v>
      </c>
      <c r="O2628" s="1">
        <v>2</v>
      </c>
      <c r="P2628" s="2">
        <v>1</v>
      </c>
      <c r="Q2628" s="68">
        <v>7</v>
      </c>
    </row>
    <row r="2629" spans="1:17" x14ac:dyDescent="0.25">
      <c r="A2629" s="10">
        <v>279</v>
      </c>
      <c r="B2629" s="10">
        <v>30</v>
      </c>
      <c r="C2629" s="10">
        <v>6</v>
      </c>
      <c r="D2629" s="10">
        <v>2</v>
      </c>
      <c r="E2629" s="10">
        <v>30</v>
      </c>
      <c r="F2629" s="10">
        <v>30</v>
      </c>
      <c r="L2629" s="1">
        <v>187</v>
      </c>
      <c r="M2629" s="1">
        <v>20</v>
      </c>
      <c r="N2629" s="1">
        <v>1</v>
      </c>
      <c r="O2629" s="1">
        <v>2</v>
      </c>
      <c r="P2629" s="2">
        <v>1</v>
      </c>
      <c r="Q2629" s="67">
        <v>9</v>
      </c>
    </row>
    <row r="2630" spans="1:17" x14ac:dyDescent="0.25">
      <c r="A2630" s="10">
        <v>405</v>
      </c>
      <c r="B2630" s="10">
        <v>44</v>
      </c>
      <c r="C2630" s="10">
        <v>5</v>
      </c>
      <c r="D2630" s="10">
        <v>1</v>
      </c>
      <c r="E2630" s="10">
        <v>20</v>
      </c>
      <c r="F2630" s="10">
        <v>20</v>
      </c>
      <c r="L2630" s="1">
        <v>188</v>
      </c>
      <c r="M2630" s="1">
        <v>20</v>
      </c>
      <c r="N2630" s="1">
        <v>1</v>
      </c>
      <c r="O2630" s="1">
        <v>2</v>
      </c>
      <c r="P2630" s="2">
        <v>1</v>
      </c>
      <c r="Q2630" s="68">
        <v>9</v>
      </c>
    </row>
    <row r="2631" spans="1:17" x14ac:dyDescent="0.25">
      <c r="A2631" s="10">
        <v>311</v>
      </c>
      <c r="B2631" s="10">
        <v>34</v>
      </c>
      <c r="C2631" s="10">
        <v>6</v>
      </c>
      <c r="D2631" s="10">
        <v>1</v>
      </c>
      <c r="E2631" s="10">
        <v>5</v>
      </c>
      <c r="F2631" s="10">
        <v>5</v>
      </c>
      <c r="L2631" s="1">
        <v>189</v>
      </c>
      <c r="M2631" s="1">
        <v>20</v>
      </c>
      <c r="N2631" s="1">
        <v>1</v>
      </c>
      <c r="O2631" s="1">
        <v>2</v>
      </c>
      <c r="P2631" s="2">
        <v>1</v>
      </c>
      <c r="Q2631" s="67">
        <v>7</v>
      </c>
    </row>
    <row r="2632" spans="1:17" x14ac:dyDescent="0.25">
      <c r="A2632" s="10">
        <v>311</v>
      </c>
      <c r="B2632" s="10">
        <v>34</v>
      </c>
      <c r="C2632" s="10">
        <v>6</v>
      </c>
      <c r="D2632" s="10">
        <v>2</v>
      </c>
      <c r="E2632" s="10">
        <v>2</v>
      </c>
      <c r="F2632" s="10">
        <v>2</v>
      </c>
      <c r="L2632" s="1">
        <v>190</v>
      </c>
      <c r="M2632" s="1">
        <v>20</v>
      </c>
      <c r="N2632" s="1">
        <v>1</v>
      </c>
      <c r="O2632" s="1">
        <v>2</v>
      </c>
      <c r="P2632" s="2">
        <v>1</v>
      </c>
      <c r="Q2632" s="68">
        <v>12</v>
      </c>
    </row>
    <row r="2633" spans="1:17" x14ac:dyDescent="0.25">
      <c r="A2633" s="10">
        <v>271</v>
      </c>
      <c r="B2633" s="10">
        <v>30</v>
      </c>
      <c r="C2633" s="10">
        <v>6</v>
      </c>
      <c r="D2633" s="10">
        <v>2</v>
      </c>
      <c r="E2633" s="10">
        <v>11</v>
      </c>
      <c r="F2633" s="10">
        <v>11</v>
      </c>
      <c r="L2633" s="1">
        <v>191</v>
      </c>
      <c r="M2633" s="1">
        <v>21</v>
      </c>
      <c r="N2633" s="1">
        <v>1</v>
      </c>
      <c r="O2633" s="1">
        <v>2</v>
      </c>
      <c r="P2633" s="2">
        <v>1</v>
      </c>
      <c r="Q2633" s="67">
        <v>13</v>
      </c>
    </row>
    <row r="2634" spans="1:17" x14ac:dyDescent="0.25">
      <c r="A2634" s="10">
        <v>277</v>
      </c>
      <c r="B2634" s="10">
        <v>30</v>
      </c>
      <c r="C2634" s="10">
        <v>6</v>
      </c>
      <c r="D2634" s="10">
        <v>1</v>
      </c>
      <c r="E2634" s="10">
        <v>28</v>
      </c>
      <c r="F2634" s="10">
        <v>28</v>
      </c>
      <c r="L2634" s="1">
        <v>192</v>
      </c>
      <c r="M2634" s="1">
        <v>21</v>
      </c>
      <c r="N2634" s="1">
        <v>1</v>
      </c>
      <c r="O2634" s="1">
        <v>2</v>
      </c>
      <c r="P2634" s="2">
        <v>1</v>
      </c>
      <c r="Q2634" s="68">
        <v>6</v>
      </c>
    </row>
    <row r="2635" spans="1:17" x14ac:dyDescent="0.25">
      <c r="A2635" s="10">
        <v>277</v>
      </c>
      <c r="B2635" s="10">
        <v>30</v>
      </c>
      <c r="C2635" s="10">
        <v>6</v>
      </c>
      <c r="D2635" s="10">
        <v>2</v>
      </c>
      <c r="E2635" s="10">
        <v>21</v>
      </c>
      <c r="F2635" s="10">
        <v>21</v>
      </c>
      <c r="L2635" s="1">
        <v>193</v>
      </c>
      <c r="M2635" s="1">
        <v>21</v>
      </c>
      <c r="N2635" s="1">
        <v>1</v>
      </c>
      <c r="O2635" s="1">
        <v>2</v>
      </c>
      <c r="P2635" s="2">
        <v>1</v>
      </c>
      <c r="Q2635" s="67">
        <v>3</v>
      </c>
    </row>
    <row r="2636" spans="1:17" x14ac:dyDescent="0.25">
      <c r="A2636" s="10">
        <v>5</v>
      </c>
      <c r="B2636" s="10">
        <v>1</v>
      </c>
      <c r="C2636" s="10">
        <v>1</v>
      </c>
      <c r="D2636" s="10">
        <v>1</v>
      </c>
      <c r="E2636" s="10">
        <v>542</v>
      </c>
      <c r="F2636" s="10">
        <v>542</v>
      </c>
      <c r="L2636" s="1">
        <v>194</v>
      </c>
      <c r="M2636" s="1">
        <v>21</v>
      </c>
      <c r="N2636" s="1">
        <v>1</v>
      </c>
      <c r="O2636" s="1">
        <v>2</v>
      </c>
      <c r="P2636" s="2">
        <v>1</v>
      </c>
      <c r="Q2636" s="68">
        <v>13</v>
      </c>
    </row>
    <row r="2637" spans="1:17" x14ac:dyDescent="0.25">
      <c r="A2637" s="10">
        <v>338</v>
      </c>
      <c r="B2637" s="10">
        <v>36</v>
      </c>
      <c r="C2637" s="10">
        <v>6</v>
      </c>
      <c r="D2637" s="10">
        <v>1</v>
      </c>
      <c r="E2637" s="10">
        <v>19</v>
      </c>
      <c r="F2637" s="10">
        <v>19</v>
      </c>
      <c r="L2637" s="1">
        <v>195</v>
      </c>
      <c r="M2637" s="1">
        <v>21</v>
      </c>
      <c r="N2637" s="1">
        <v>1</v>
      </c>
      <c r="O2637" s="1">
        <v>2</v>
      </c>
      <c r="P2637" s="2">
        <v>1</v>
      </c>
      <c r="Q2637" s="67">
        <v>24</v>
      </c>
    </row>
    <row r="2638" spans="1:17" x14ac:dyDescent="0.25">
      <c r="A2638" s="10">
        <v>338</v>
      </c>
      <c r="B2638" s="10">
        <v>36</v>
      </c>
      <c r="C2638" s="10">
        <v>6</v>
      </c>
      <c r="D2638" s="10">
        <v>2</v>
      </c>
      <c r="E2638" s="10">
        <v>8</v>
      </c>
      <c r="F2638" s="10">
        <v>8</v>
      </c>
      <c r="L2638" s="1">
        <v>196</v>
      </c>
      <c r="M2638" s="1">
        <v>21</v>
      </c>
      <c r="N2638" s="1">
        <v>1</v>
      </c>
      <c r="O2638" s="1">
        <v>2</v>
      </c>
      <c r="P2638" s="2">
        <v>1</v>
      </c>
      <c r="Q2638" s="68">
        <v>6</v>
      </c>
    </row>
    <row r="2639" spans="1:17" x14ac:dyDescent="0.25">
      <c r="A2639" s="10">
        <v>338</v>
      </c>
      <c r="B2639" s="10">
        <v>36</v>
      </c>
      <c r="C2639" s="10">
        <v>6</v>
      </c>
      <c r="D2639" s="10">
        <v>3</v>
      </c>
      <c r="E2639" s="10">
        <v>1</v>
      </c>
      <c r="F2639" s="10">
        <v>1</v>
      </c>
      <c r="L2639" s="1">
        <v>197</v>
      </c>
      <c r="M2639" s="1">
        <v>21</v>
      </c>
      <c r="N2639" s="1">
        <v>1</v>
      </c>
      <c r="O2639" s="1">
        <v>2</v>
      </c>
      <c r="P2639" s="2">
        <v>1</v>
      </c>
      <c r="Q2639" s="67">
        <v>3</v>
      </c>
    </row>
    <row r="2640" spans="1:17" x14ac:dyDescent="0.25">
      <c r="A2640" s="10">
        <v>335</v>
      </c>
      <c r="B2640" s="10">
        <v>36</v>
      </c>
      <c r="C2640" s="10">
        <v>6</v>
      </c>
      <c r="D2640" s="10">
        <v>1</v>
      </c>
      <c r="E2640" s="10">
        <v>18</v>
      </c>
      <c r="F2640" s="10">
        <v>18</v>
      </c>
      <c r="L2640" s="1">
        <v>198</v>
      </c>
      <c r="M2640" s="1">
        <v>21</v>
      </c>
      <c r="N2640" s="1">
        <v>1</v>
      </c>
      <c r="O2640" s="1">
        <v>2</v>
      </c>
      <c r="P2640" s="2">
        <v>1</v>
      </c>
      <c r="Q2640" s="68">
        <v>3</v>
      </c>
    </row>
    <row r="2641" spans="1:17" x14ac:dyDescent="0.25">
      <c r="A2641" s="10">
        <v>53</v>
      </c>
      <c r="B2641" s="10">
        <v>6</v>
      </c>
      <c r="C2641" s="10">
        <v>2</v>
      </c>
      <c r="D2641" s="10">
        <v>1</v>
      </c>
      <c r="E2641" s="10">
        <v>11</v>
      </c>
      <c r="F2641" s="10">
        <v>11</v>
      </c>
      <c r="L2641" s="1">
        <v>199</v>
      </c>
      <c r="M2641" s="1">
        <v>22</v>
      </c>
      <c r="N2641" s="1">
        <v>1</v>
      </c>
      <c r="O2641" s="1">
        <v>2</v>
      </c>
      <c r="P2641" s="2">
        <v>1</v>
      </c>
      <c r="Q2641" s="67">
        <v>14</v>
      </c>
    </row>
    <row r="2642" spans="1:17" x14ac:dyDescent="0.25">
      <c r="A2642" s="10">
        <v>335</v>
      </c>
      <c r="B2642" s="10">
        <v>36</v>
      </c>
      <c r="C2642" s="10">
        <v>6</v>
      </c>
      <c r="D2642" s="10">
        <v>2</v>
      </c>
      <c r="E2642" s="10">
        <v>14</v>
      </c>
      <c r="F2642" s="10">
        <v>14</v>
      </c>
      <c r="L2642" s="1">
        <v>200</v>
      </c>
      <c r="M2642" s="1">
        <v>22</v>
      </c>
      <c r="N2642" s="1">
        <v>1</v>
      </c>
      <c r="O2642" s="1">
        <v>2</v>
      </c>
      <c r="P2642" s="2">
        <v>1</v>
      </c>
      <c r="Q2642" s="68">
        <v>6</v>
      </c>
    </row>
    <row r="2643" spans="1:17" x14ac:dyDescent="0.25">
      <c r="A2643" s="10">
        <v>53</v>
      </c>
      <c r="B2643" s="10">
        <v>6</v>
      </c>
      <c r="C2643" s="10">
        <v>2</v>
      </c>
      <c r="D2643" s="10">
        <v>2</v>
      </c>
      <c r="E2643" s="10">
        <v>19</v>
      </c>
      <c r="F2643" s="10">
        <v>19</v>
      </c>
      <c r="L2643" s="1">
        <v>201</v>
      </c>
      <c r="M2643" s="1">
        <v>22</v>
      </c>
      <c r="N2643" s="1">
        <v>1</v>
      </c>
      <c r="O2643" s="1">
        <v>2</v>
      </c>
      <c r="P2643" s="2">
        <v>1</v>
      </c>
      <c r="Q2643" s="67">
        <v>3</v>
      </c>
    </row>
    <row r="2644" spans="1:17" x14ac:dyDescent="0.25">
      <c r="A2644" s="10">
        <v>53</v>
      </c>
      <c r="B2644" s="10">
        <v>6</v>
      </c>
      <c r="C2644" s="10">
        <v>2</v>
      </c>
      <c r="D2644" s="10">
        <v>3</v>
      </c>
      <c r="E2644" s="10">
        <v>6</v>
      </c>
      <c r="F2644" s="10">
        <v>6</v>
      </c>
      <c r="L2644" s="1">
        <v>202</v>
      </c>
      <c r="M2644" s="1">
        <v>22</v>
      </c>
      <c r="N2644" s="1">
        <v>1</v>
      </c>
      <c r="O2644" s="1">
        <v>2</v>
      </c>
      <c r="P2644" s="2">
        <v>1</v>
      </c>
      <c r="Q2644" s="68">
        <v>4</v>
      </c>
    </row>
    <row r="2645" spans="1:17" x14ac:dyDescent="0.25">
      <c r="A2645" s="10">
        <v>37</v>
      </c>
      <c r="B2645" s="10">
        <v>5</v>
      </c>
      <c r="C2645" s="10">
        <v>6</v>
      </c>
      <c r="D2645" s="10">
        <v>1</v>
      </c>
      <c r="E2645" s="10">
        <v>11</v>
      </c>
      <c r="F2645" s="10">
        <v>11</v>
      </c>
      <c r="L2645" s="1">
        <v>203</v>
      </c>
      <c r="M2645" s="1">
        <v>22</v>
      </c>
      <c r="N2645" s="1">
        <v>1</v>
      </c>
      <c r="O2645" s="1">
        <v>2</v>
      </c>
      <c r="P2645" s="2">
        <v>1</v>
      </c>
      <c r="Q2645" s="67">
        <v>10</v>
      </c>
    </row>
    <row r="2646" spans="1:17" x14ac:dyDescent="0.25">
      <c r="A2646" s="10">
        <v>413</v>
      </c>
      <c r="B2646" s="10">
        <v>44</v>
      </c>
      <c r="C2646" s="10">
        <v>6</v>
      </c>
      <c r="D2646" s="10">
        <v>1</v>
      </c>
      <c r="E2646" s="10">
        <v>5</v>
      </c>
      <c r="F2646" s="10">
        <v>5</v>
      </c>
      <c r="L2646" s="1">
        <v>204</v>
      </c>
      <c r="M2646" s="1">
        <v>22</v>
      </c>
      <c r="N2646" s="1">
        <v>1</v>
      </c>
      <c r="O2646" s="1">
        <v>2</v>
      </c>
      <c r="P2646" s="2">
        <v>1</v>
      </c>
      <c r="Q2646" s="68">
        <v>15</v>
      </c>
    </row>
    <row r="2647" spans="1:17" x14ac:dyDescent="0.25">
      <c r="A2647" s="10">
        <v>37</v>
      </c>
      <c r="B2647" s="10">
        <v>5</v>
      </c>
      <c r="C2647" s="10">
        <v>6</v>
      </c>
      <c r="D2647" s="10">
        <v>2</v>
      </c>
      <c r="E2647" s="10">
        <v>17</v>
      </c>
      <c r="F2647" s="10">
        <v>17</v>
      </c>
      <c r="L2647" s="1">
        <v>205</v>
      </c>
      <c r="M2647" s="1">
        <v>22</v>
      </c>
      <c r="N2647" s="1">
        <v>1</v>
      </c>
      <c r="O2647" s="1">
        <v>2</v>
      </c>
      <c r="P2647" s="2">
        <v>1</v>
      </c>
      <c r="Q2647" s="67">
        <v>5</v>
      </c>
    </row>
    <row r="2648" spans="1:17" x14ac:dyDescent="0.25">
      <c r="A2648" s="10">
        <v>413</v>
      </c>
      <c r="B2648" s="10">
        <v>44</v>
      </c>
      <c r="C2648" s="10">
        <v>6</v>
      </c>
      <c r="D2648" s="10">
        <v>2</v>
      </c>
      <c r="E2648" s="10">
        <v>1</v>
      </c>
      <c r="F2648" s="10">
        <v>1</v>
      </c>
      <c r="L2648" s="1">
        <v>206</v>
      </c>
      <c r="M2648" s="1">
        <v>22</v>
      </c>
      <c r="N2648" s="1">
        <v>1</v>
      </c>
      <c r="O2648" s="1">
        <v>2</v>
      </c>
      <c r="P2648" s="2">
        <v>1</v>
      </c>
      <c r="Q2648" s="68">
        <v>4</v>
      </c>
    </row>
    <row r="2649" spans="1:17" x14ac:dyDescent="0.25">
      <c r="A2649" s="10">
        <v>27</v>
      </c>
      <c r="B2649" s="10">
        <v>4</v>
      </c>
      <c r="C2649" s="10">
        <v>4</v>
      </c>
      <c r="D2649" s="10">
        <v>1</v>
      </c>
      <c r="E2649" s="10">
        <v>630</v>
      </c>
      <c r="F2649" s="10">
        <v>630</v>
      </c>
      <c r="L2649" s="1">
        <v>207</v>
      </c>
      <c r="M2649" s="1">
        <v>22</v>
      </c>
      <c r="N2649" s="1">
        <v>1</v>
      </c>
      <c r="O2649" s="1">
        <v>2</v>
      </c>
      <c r="P2649" s="2">
        <v>1</v>
      </c>
      <c r="Q2649" s="67">
        <v>4</v>
      </c>
    </row>
    <row r="2650" spans="1:17" x14ac:dyDescent="0.25">
      <c r="A2650" s="10">
        <v>27</v>
      </c>
      <c r="B2650" s="10">
        <v>4</v>
      </c>
      <c r="C2650" s="10">
        <v>4</v>
      </c>
      <c r="D2650" s="10">
        <v>2</v>
      </c>
      <c r="E2650" s="10">
        <v>367</v>
      </c>
      <c r="F2650" s="10">
        <v>367</v>
      </c>
      <c r="L2650" s="1">
        <v>208</v>
      </c>
      <c r="M2650" s="1">
        <v>22</v>
      </c>
      <c r="N2650" s="1">
        <v>1</v>
      </c>
      <c r="O2650" s="1">
        <v>2</v>
      </c>
      <c r="P2650" s="2">
        <v>1</v>
      </c>
      <c r="Q2650" s="68">
        <v>17</v>
      </c>
    </row>
    <row r="2651" spans="1:17" x14ac:dyDescent="0.25">
      <c r="A2651" s="10">
        <v>29</v>
      </c>
      <c r="B2651" s="10">
        <v>4</v>
      </c>
      <c r="C2651" s="10">
        <v>4</v>
      </c>
      <c r="D2651" s="10">
        <v>9</v>
      </c>
      <c r="E2651" s="10">
        <v>1</v>
      </c>
      <c r="F2651" s="10">
        <v>1</v>
      </c>
      <c r="L2651" s="1">
        <v>209</v>
      </c>
      <c r="M2651" s="1">
        <v>23</v>
      </c>
      <c r="N2651" s="1">
        <v>1</v>
      </c>
      <c r="O2651" s="1">
        <v>2</v>
      </c>
      <c r="P2651" s="2">
        <v>1</v>
      </c>
      <c r="Q2651" s="67">
        <v>10</v>
      </c>
    </row>
    <row r="2652" spans="1:17" x14ac:dyDescent="0.25">
      <c r="A2652" s="10">
        <v>343</v>
      </c>
      <c r="B2652" s="10">
        <v>37</v>
      </c>
      <c r="C2652" s="10">
        <v>4</v>
      </c>
      <c r="D2652" s="10">
        <v>5</v>
      </c>
      <c r="E2652" s="10">
        <v>7</v>
      </c>
      <c r="F2652" s="10">
        <v>7</v>
      </c>
      <c r="L2652" s="1">
        <v>210</v>
      </c>
      <c r="M2652" s="1">
        <v>23</v>
      </c>
      <c r="N2652" s="1">
        <v>1</v>
      </c>
      <c r="O2652" s="1">
        <v>2</v>
      </c>
      <c r="P2652" s="2">
        <v>1</v>
      </c>
      <c r="Q2652" s="68">
        <v>7</v>
      </c>
    </row>
    <row r="2653" spans="1:17" x14ac:dyDescent="0.25">
      <c r="A2653" s="10">
        <v>30</v>
      </c>
      <c r="B2653" s="10">
        <v>4</v>
      </c>
      <c r="C2653" s="10">
        <v>4</v>
      </c>
      <c r="D2653" s="10">
        <v>1</v>
      </c>
      <c r="E2653" s="10">
        <v>30</v>
      </c>
      <c r="F2653" s="10">
        <v>30</v>
      </c>
      <c r="L2653" s="1">
        <v>211</v>
      </c>
      <c r="M2653" s="1">
        <v>23</v>
      </c>
      <c r="N2653" s="1">
        <v>1</v>
      </c>
      <c r="O2653" s="1">
        <v>2</v>
      </c>
      <c r="P2653" s="2">
        <v>1</v>
      </c>
      <c r="Q2653" s="67">
        <v>2</v>
      </c>
    </row>
    <row r="2654" spans="1:17" x14ac:dyDescent="0.25">
      <c r="A2654" s="10">
        <v>30</v>
      </c>
      <c r="B2654" s="10">
        <v>4</v>
      </c>
      <c r="C2654" s="10">
        <v>4</v>
      </c>
      <c r="D2654" s="10">
        <v>2</v>
      </c>
      <c r="E2654" s="10">
        <v>20</v>
      </c>
      <c r="F2654" s="10">
        <v>20</v>
      </c>
      <c r="L2654" s="1">
        <v>212</v>
      </c>
      <c r="M2654" s="1">
        <v>23</v>
      </c>
      <c r="N2654" s="1">
        <v>1</v>
      </c>
      <c r="O2654" s="1">
        <v>2</v>
      </c>
      <c r="P2654" s="2">
        <v>1</v>
      </c>
      <c r="Q2654" s="68">
        <v>21</v>
      </c>
    </row>
    <row r="2655" spans="1:17" x14ac:dyDescent="0.25">
      <c r="A2655" s="10">
        <v>433</v>
      </c>
      <c r="B2655" s="10">
        <v>47</v>
      </c>
      <c r="C2655" s="10">
        <v>4</v>
      </c>
      <c r="D2655" s="10">
        <v>1</v>
      </c>
      <c r="E2655" s="10">
        <v>8</v>
      </c>
      <c r="F2655" s="10">
        <v>8</v>
      </c>
      <c r="L2655" s="1">
        <v>213</v>
      </c>
      <c r="M2655" s="1">
        <v>23</v>
      </c>
      <c r="N2655" s="1">
        <v>1</v>
      </c>
      <c r="O2655" s="1">
        <v>2</v>
      </c>
      <c r="P2655" s="2">
        <v>1</v>
      </c>
      <c r="Q2655" s="67">
        <v>19</v>
      </c>
    </row>
    <row r="2656" spans="1:17" x14ac:dyDescent="0.25">
      <c r="A2656" s="10">
        <v>37</v>
      </c>
      <c r="B2656" s="10">
        <v>5</v>
      </c>
      <c r="C2656" s="10">
        <v>4</v>
      </c>
      <c r="D2656" s="10">
        <v>2</v>
      </c>
      <c r="E2656" s="10">
        <v>10</v>
      </c>
      <c r="F2656" s="10">
        <v>10</v>
      </c>
      <c r="L2656" s="1">
        <v>214</v>
      </c>
      <c r="M2656" s="1">
        <v>23</v>
      </c>
      <c r="N2656" s="1">
        <v>1</v>
      </c>
      <c r="O2656" s="1">
        <v>2</v>
      </c>
      <c r="P2656" s="2">
        <v>1</v>
      </c>
      <c r="Q2656" s="68">
        <v>7</v>
      </c>
    </row>
    <row r="2657" spans="1:17" x14ac:dyDescent="0.25">
      <c r="A2657" s="10">
        <v>433</v>
      </c>
      <c r="B2657" s="10">
        <v>47</v>
      </c>
      <c r="C2657" s="10">
        <v>4</v>
      </c>
      <c r="D2657" s="10">
        <v>2</v>
      </c>
      <c r="E2657" s="10">
        <v>5</v>
      </c>
      <c r="F2657" s="10">
        <v>5</v>
      </c>
      <c r="L2657" s="1">
        <v>215</v>
      </c>
      <c r="M2657" s="1">
        <v>23</v>
      </c>
      <c r="N2657" s="1">
        <v>1</v>
      </c>
      <c r="O2657" s="1">
        <v>2</v>
      </c>
      <c r="P2657" s="2">
        <v>1</v>
      </c>
      <c r="Q2657" s="67">
        <v>18</v>
      </c>
    </row>
    <row r="2658" spans="1:17" x14ac:dyDescent="0.25">
      <c r="A2658" s="10">
        <v>41</v>
      </c>
      <c r="B2658" s="10">
        <v>5</v>
      </c>
      <c r="C2658" s="10">
        <v>4</v>
      </c>
      <c r="D2658" s="10">
        <v>1</v>
      </c>
      <c r="E2658" s="10">
        <v>3</v>
      </c>
      <c r="F2658" s="10">
        <v>3</v>
      </c>
      <c r="L2658" s="1">
        <v>216</v>
      </c>
      <c r="M2658" s="1">
        <v>23</v>
      </c>
      <c r="N2658" s="1">
        <v>1</v>
      </c>
      <c r="O2658" s="1">
        <v>2</v>
      </c>
      <c r="P2658" s="2">
        <v>1</v>
      </c>
      <c r="Q2658" s="68">
        <v>23</v>
      </c>
    </row>
    <row r="2659" spans="1:17" x14ac:dyDescent="0.25">
      <c r="A2659" s="10">
        <v>433</v>
      </c>
      <c r="B2659" s="10">
        <v>47</v>
      </c>
      <c r="C2659" s="10">
        <v>4</v>
      </c>
      <c r="D2659" s="10">
        <v>3</v>
      </c>
      <c r="E2659" s="10">
        <v>3</v>
      </c>
      <c r="F2659" s="10">
        <v>3</v>
      </c>
      <c r="L2659" s="1">
        <v>217</v>
      </c>
      <c r="M2659" s="1">
        <v>23</v>
      </c>
      <c r="N2659" s="1">
        <v>1</v>
      </c>
      <c r="O2659" s="1">
        <v>2</v>
      </c>
      <c r="P2659" s="2">
        <v>1</v>
      </c>
      <c r="Q2659" s="67">
        <v>18</v>
      </c>
    </row>
    <row r="2660" spans="1:17" x14ac:dyDescent="0.25">
      <c r="A2660" s="10">
        <v>41</v>
      </c>
      <c r="B2660" s="10">
        <v>5</v>
      </c>
      <c r="C2660" s="10">
        <v>4</v>
      </c>
      <c r="D2660" s="10">
        <v>2</v>
      </c>
      <c r="E2660" s="10">
        <v>7</v>
      </c>
      <c r="F2660" s="10">
        <v>7</v>
      </c>
      <c r="L2660" s="1">
        <v>218</v>
      </c>
      <c r="M2660" s="1">
        <v>23</v>
      </c>
      <c r="N2660" s="1">
        <v>1</v>
      </c>
      <c r="O2660" s="1">
        <v>2</v>
      </c>
      <c r="P2660" s="2">
        <v>1</v>
      </c>
      <c r="Q2660" s="68">
        <v>16</v>
      </c>
    </row>
    <row r="2661" spans="1:17" x14ac:dyDescent="0.25">
      <c r="A2661" s="10">
        <v>17</v>
      </c>
      <c r="B2661" s="10">
        <v>2</v>
      </c>
      <c r="C2661" s="10">
        <v>4</v>
      </c>
      <c r="D2661" s="10">
        <v>2</v>
      </c>
      <c r="E2661" s="10">
        <v>396</v>
      </c>
      <c r="F2661" s="10">
        <v>396</v>
      </c>
      <c r="L2661" s="1">
        <v>219</v>
      </c>
      <c r="M2661" s="1">
        <v>24</v>
      </c>
      <c r="N2661" s="1">
        <v>1</v>
      </c>
      <c r="O2661" s="1">
        <v>2</v>
      </c>
      <c r="P2661" s="2">
        <v>1</v>
      </c>
      <c r="Q2661" s="67">
        <v>24</v>
      </c>
    </row>
    <row r="2662" spans="1:17" x14ac:dyDescent="0.25">
      <c r="A2662" s="10">
        <v>17</v>
      </c>
      <c r="B2662" s="10">
        <v>2</v>
      </c>
      <c r="C2662" s="10">
        <v>4</v>
      </c>
      <c r="D2662" s="10">
        <v>3</v>
      </c>
      <c r="E2662" s="10">
        <v>1</v>
      </c>
      <c r="F2662" s="10">
        <v>1</v>
      </c>
      <c r="L2662" s="1">
        <v>220</v>
      </c>
      <c r="M2662" s="1">
        <v>24</v>
      </c>
      <c r="N2662" s="1">
        <v>1</v>
      </c>
      <c r="O2662" s="1">
        <v>2</v>
      </c>
      <c r="P2662" s="2">
        <v>1</v>
      </c>
      <c r="Q2662" s="68">
        <v>17</v>
      </c>
    </row>
    <row r="2663" spans="1:17" x14ac:dyDescent="0.25">
      <c r="A2663" s="10">
        <v>17</v>
      </c>
      <c r="B2663" s="10">
        <v>2</v>
      </c>
      <c r="C2663" s="10">
        <v>4</v>
      </c>
      <c r="D2663" s="10">
        <v>10</v>
      </c>
      <c r="E2663" s="10">
        <v>4</v>
      </c>
      <c r="F2663" s="10">
        <v>4</v>
      </c>
      <c r="L2663" s="1">
        <v>221</v>
      </c>
      <c r="M2663" s="1">
        <v>24</v>
      </c>
      <c r="N2663" s="1">
        <v>1</v>
      </c>
      <c r="O2663" s="1">
        <v>2</v>
      </c>
      <c r="P2663" s="2">
        <v>1</v>
      </c>
      <c r="Q2663" s="67">
        <v>23</v>
      </c>
    </row>
    <row r="2664" spans="1:17" x14ac:dyDescent="0.25">
      <c r="A2664" s="10">
        <v>435</v>
      </c>
      <c r="B2664" s="10">
        <v>47</v>
      </c>
      <c r="C2664" s="10">
        <v>4</v>
      </c>
      <c r="D2664" s="10">
        <v>1</v>
      </c>
      <c r="E2664" s="10">
        <v>18</v>
      </c>
      <c r="F2664" s="10">
        <v>18</v>
      </c>
      <c r="L2664" s="1">
        <v>222</v>
      </c>
      <c r="M2664" s="1">
        <v>24</v>
      </c>
      <c r="N2664" s="1">
        <v>1</v>
      </c>
      <c r="O2664" s="1">
        <v>2</v>
      </c>
      <c r="P2664" s="2">
        <v>1</v>
      </c>
      <c r="Q2664" s="68">
        <v>23</v>
      </c>
    </row>
    <row r="2665" spans="1:17" x14ac:dyDescent="0.25">
      <c r="A2665" s="10">
        <v>435</v>
      </c>
      <c r="B2665" s="10">
        <v>47</v>
      </c>
      <c r="C2665" s="10">
        <v>4</v>
      </c>
      <c r="D2665" s="10">
        <v>2</v>
      </c>
      <c r="E2665" s="10">
        <v>12</v>
      </c>
      <c r="F2665" s="10">
        <v>12</v>
      </c>
      <c r="L2665" s="1">
        <v>223</v>
      </c>
      <c r="M2665" s="1">
        <v>24</v>
      </c>
      <c r="N2665" s="1">
        <v>1</v>
      </c>
      <c r="O2665" s="1">
        <v>2</v>
      </c>
      <c r="P2665" s="2">
        <v>1</v>
      </c>
      <c r="Q2665" s="67">
        <v>19</v>
      </c>
    </row>
    <row r="2666" spans="1:17" x14ac:dyDescent="0.25">
      <c r="A2666" s="10">
        <v>277</v>
      </c>
      <c r="B2666" s="10">
        <v>30</v>
      </c>
      <c r="C2666" s="10">
        <v>4</v>
      </c>
      <c r="D2666" s="10">
        <v>1</v>
      </c>
      <c r="E2666" s="10">
        <v>6</v>
      </c>
      <c r="F2666" s="10">
        <v>6</v>
      </c>
      <c r="L2666" s="1">
        <v>224</v>
      </c>
      <c r="M2666" s="1">
        <v>24</v>
      </c>
      <c r="N2666" s="1">
        <v>1</v>
      </c>
      <c r="O2666" s="1">
        <v>2</v>
      </c>
      <c r="P2666" s="2">
        <v>1</v>
      </c>
      <c r="Q2666" s="68">
        <v>25</v>
      </c>
    </row>
    <row r="2667" spans="1:17" x14ac:dyDescent="0.25">
      <c r="A2667" s="10">
        <v>277</v>
      </c>
      <c r="B2667" s="10">
        <v>30</v>
      </c>
      <c r="C2667" s="10">
        <v>4</v>
      </c>
      <c r="D2667" s="10">
        <v>2</v>
      </c>
      <c r="E2667" s="10">
        <v>13</v>
      </c>
      <c r="F2667" s="10">
        <v>13</v>
      </c>
      <c r="L2667" s="1">
        <v>225</v>
      </c>
      <c r="M2667" s="1">
        <v>24</v>
      </c>
      <c r="N2667" s="1">
        <v>1</v>
      </c>
      <c r="O2667" s="1">
        <v>2</v>
      </c>
      <c r="P2667" s="2">
        <v>1</v>
      </c>
      <c r="Q2667" s="67">
        <v>23</v>
      </c>
    </row>
    <row r="2668" spans="1:17" x14ac:dyDescent="0.25">
      <c r="A2668" s="10">
        <v>311</v>
      </c>
      <c r="B2668" s="10">
        <v>34</v>
      </c>
      <c r="C2668" s="10">
        <v>4</v>
      </c>
      <c r="D2668" s="10">
        <v>1</v>
      </c>
      <c r="E2668" s="10">
        <v>5</v>
      </c>
      <c r="F2668" s="10">
        <v>5</v>
      </c>
      <c r="L2668" s="1">
        <v>226</v>
      </c>
      <c r="M2668" s="1">
        <v>24</v>
      </c>
      <c r="N2668" s="1">
        <v>1</v>
      </c>
      <c r="O2668" s="1">
        <v>2</v>
      </c>
      <c r="P2668" s="2">
        <v>1</v>
      </c>
      <c r="Q2668" s="68">
        <v>22</v>
      </c>
    </row>
    <row r="2669" spans="1:17" x14ac:dyDescent="0.25">
      <c r="A2669" s="10">
        <v>335</v>
      </c>
      <c r="B2669" s="10">
        <v>36</v>
      </c>
      <c r="C2669" s="10">
        <v>4</v>
      </c>
      <c r="D2669" s="10">
        <v>2</v>
      </c>
      <c r="E2669" s="10">
        <v>11</v>
      </c>
      <c r="F2669" s="10">
        <v>11</v>
      </c>
      <c r="L2669" s="1">
        <v>227</v>
      </c>
      <c r="M2669" s="1">
        <v>24</v>
      </c>
      <c r="N2669" s="1">
        <v>1</v>
      </c>
      <c r="O2669" s="1">
        <v>2</v>
      </c>
      <c r="P2669" s="2">
        <v>1</v>
      </c>
      <c r="Q2669" s="67">
        <v>19</v>
      </c>
    </row>
    <row r="2670" spans="1:17" x14ac:dyDescent="0.25">
      <c r="A2670" s="10">
        <v>311</v>
      </c>
      <c r="B2670" s="10">
        <v>34</v>
      </c>
      <c r="C2670" s="10">
        <v>4</v>
      </c>
      <c r="D2670" s="10">
        <v>2</v>
      </c>
      <c r="E2670" s="10">
        <v>4</v>
      </c>
      <c r="F2670" s="10">
        <v>4</v>
      </c>
      <c r="L2670" s="1">
        <v>228</v>
      </c>
      <c r="M2670" s="1">
        <v>24</v>
      </c>
      <c r="N2670" s="1">
        <v>1</v>
      </c>
      <c r="O2670" s="1">
        <v>2</v>
      </c>
      <c r="P2670" s="2">
        <v>1</v>
      </c>
      <c r="Q2670" s="68">
        <v>18</v>
      </c>
    </row>
    <row r="2671" spans="1:17" x14ac:dyDescent="0.25">
      <c r="A2671" s="10">
        <v>120</v>
      </c>
      <c r="B2671" s="10">
        <v>13</v>
      </c>
      <c r="C2671" s="10">
        <v>4</v>
      </c>
      <c r="D2671" s="10">
        <v>3</v>
      </c>
      <c r="E2671" s="10">
        <v>15</v>
      </c>
      <c r="F2671" s="10">
        <v>15</v>
      </c>
      <c r="L2671" s="1">
        <v>229</v>
      </c>
      <c r="M2671" s="1">
        <v>25</v>
      </c>
      <c r="N2671" s="1">
        <v>1</v>
      </c>
      <c r="O2671" s="1">
        <v>2</v>
      </c>
      <c r="P2671" s="2">
        <v>1</v>
      </c>
      <c r="Q2671" s="67">
        <v>18</v>
      </c>
    </row>
    <row r="2672" spans="1:17" x14ac:dyDescent="0.25">
      <c r="A2672" s="10">
        <v>120</v>
      </c>
      <c r="B2672" s="10">
        <v>13</v>
      </c>
      <c r="C2672" s="10">
        <v>4</v>
      </c>
      <c r="D2672" s="10">
        <v>6</v>
      </c>
      <c r="E2672" s="10">
        <v>1</v>
      </c>
      <c r="F2672" s="10">
        <v>1</v>
      </c>
      <c r="L2672" s="1">
        <v>230</v>
      </c>
      <c r="M2672" s="1">
        <v>25</v>
      </c>
      <c r="N2672" s="1">
        <v>1</v>
      </c>
      <c r="O2672" s="1">
        <v>2</v>
      </c>
      <c r="P2672" s="2">
        <v>1</v>
      </c>
      <c r="Q2672" s="68">
        <v>9</v>
      </c>
    </row>
    <row r="2673" spans="1:17" x14ac:dyDescent="0.25">
      <c r="A2673" s="10">
        <v>332</v>
      </c>
      <c r="B2673" s="10">
        <v>36</v>
      </c>
      <c r="C2673" s="10">
        <v>4</v>
      </c>
      <c r="D2673" s="10">
        <v>1</v>
      </c>
      <c r="E2673" s="10">
        <v>2</v>
      </c>
      <c r="F2673" s="10">
        <v>2</v>
      </c>
      <c r="L2673" s="1">
        <v>231</v>
      </c>
      <c r="M2673" s="1">
        <v>25</v>
      </c>
      <c r="N2673" s="1">
        <v>1</v>
      </c>
      <c r="O2673" s="1">
        <v>2</v>
      </c>
      <c r="P2673" s="2">
        <v>1</v>
      </c>
      <c r="Q2673" s="67">
        <v>10</v>
      </c>
    </row>
    <row r="2674" spans="1:17" x14ac:dyDescent="0.25">
      <c r="A2674" s="10">
        <v>332</v>
      </c>
      <c r="B2674" s="10">
        <v>36</v>
      </c>
      <c r="C2674" s="10">
        <v>4</v>
      </c>
      <c r="D2674" s="10">
        <v>2</v>
      </c>
      <c r="E2674" s="10">
        <v>1</v>
      </c>
      <c r="F2674" s="10">
        <v>1</v>
      </c>
      <c r="L2674" s="1">
        <v>232</v>
      </c>
      <c r="M2674" s="1">
        <v>25</v>
      </c>
      <c r="N2674" s="1">
        <v>1</v>
      </c>
      <c r="O2674" s="1">
        <v>2</v>
      </c>
      <c r="P2674" s="2">
        <v>1</v>
      </c>
      <c r="Q2674" s="68">
        <v>2</v>
      </c>
    </row>
    <row r="2675" spans="1:17" x14ac:dyDescent="0.25">
      <c r="A2675" s="10">
        <v>4</v>
      </c>
      <c r="B2675" s="10">
        <v>1</v>
      </c>
      <c r="C2675" s="10">
        <v>4</v>
      </c>
      <c r="D2675" s="10">
        <v>1</v>
      </c>
      <c r="E2675" s="10">
        <v>14</v>
      </c>
      <c r="F2675" s="10">
        <v>14</v>
      </c>
      <c r="L2675" s="1">
        <v>233</v>
      </c>
      <c r="M2675" s="1">
        <v>25</v>
      </c>
      <c r="N2675" s="1">
        <v>1</v>
      </c>
      <c r="O2675" s="1">
        <v>2</v>
      </c>
      <c r="P2675" s="2">
        <v>1</v>
      </c>
      <c r="Q2675" s="67">
        <v>5</v>
      </c>
    </row>
    <row r="2676" spans="1:17" x14ac:dyDescent="0.25">
      <c r="A2676" s="10">
        <v>4</v>
      </c>
      <c r="B2676" s="10">
        <v>1</v>
      </c>
      <c r="C2676" s="10">
        <v>4</v>
      </c>
      <c r="D2676" s="10">
        <v>2</v>
      </c>
      <c r="E2676" s="10">
        <v>22</v>
      </c>
      <c r="F2676" s="10">
        <v>22</v>
      </c>
      <c r="L2676" s="1">
        <v>234</v>
      </c>
      <c r="M2676" s="1">
        <v>25</v>
      </c>
      <c r="N2676" s="1">
        <v>1</v>
      </c>
      <c r="O2676" s="1">
        <v>2</v>
      </c>
      <c r="P2676" s="2">
        <v>1</v>
      </c>
      <c r="Q2676" s="68">
        <v>8</v>
      </c>
    </row>
    <row r="2677" spans="1:17" x14ac:dyDescent="0.25">
      <c r="A2677" s="10">
        <v>442</v>
      </c>
      <c r="B2677" s="10">
        <v>47</v>
      </c>
      <c r="C2677" s="10">
        <v>4</v>
      </c>
      <c r="D2677" s="10">
        <v>1</v>
      </c>
      <c r="E2677" s="10">
        <v>10</v>
      </c>
      <c r="F2677" s="10">
        <v>10</v>
      </c>
      <c r="L2677" s="1">
        <v>235</v>
      </c>
      <c r="M2677" s="1">
        <v>25</v>
      </c>
      <c r="N2677" s="1">
        <v>1</v>
      </c>
      <c r="O2677" s="1">
        <v>2</v>
      </c>
      <c r="P2677" s="2">
        <v>1</v>
      </c>
      <c r="Q2677" s="67">
        <v>9</v>
      </c>
    </row>
    <row r="2678" spans="1:17" x14ac:dyDescent="0.25">
      <c r="A2678" s="10">
        <v>442</v>
      </c>
      <c r="B2678" s="10">
        <v>47</v>
      </c>
      <c r="C2678" s="10">
        <v>4</v>
      </c>
      <c r="D2678" s="10">
        <v>2</v>
      </c>
      <c r="E2678" s="10">
        <v>15</v>
      </c>
      <c r="F2678" s="10">
        <v>15</v>
      </c>
      <c r="L2678" s="1">
        <v>236</v>
      </c>
      <c r="M2678" s="1">
        <v>25</v>
      </c>
      <c r="N2678" s="1">
        <v>1</v>
      </c>
      <c r="O2678" s="1">
        <v>2</v>
      </c>
      <c r="P2678" s="2">
        <v>1</v>
      </c>
      <c r="Q2678" s="68">
        <v>10</v>
      </c>
    </row>
    <row r="2679" spans="1:17" x14ac:dyDescent="0.25">
      <c r="A2679" s="10">
        <v>438</v>
      </c>
      <c r="B2679" s="10">
        <v>47</v>
      </c>
      <c r="C2679" s="10">
        <v>4</v>
      </c>
      <c r="D2679" s="10">
        <v>1</v>
      </c>
      <c r="E2679" s="10">
        <v>23</v>
      </c>
      <c r="F2679" s="10">
        <v>23</v>
      </c>
      <c r="L2679" s="1">
        <v>237</v>
      </c>
      <c r="M2679" s="1">
        <v>26</v>
      </c>
      <c r="N2679" s="1">
        <v>1</v>
      </c>
      <c r="O2679" s="1">
        <v>2</v>
      </c>
      <c r="P2679" s="2">
        <v>1</v>
      </c>
      <c r="Q2679" s="67">
        <v>6</v>
      </c>
    </row>
    <row r="2680" spans="1:17" x14ac:dyDescent="0.25">
      <c r="A2680" s="10">
        <v>438</v>
      </c>
      <c r="B2680" s="10">
        <v>47</v>
      </c>
      <c r="C2680" s="10">
        <v>4</v>
      </c>
      <c r="D2680" s="10">
        <v>2</v>
      </c>
      <c r="E2680" s="10">
        <v>6</v>
      </c>
      <c r="F2680" s="10">
        <v>6</v>
      </c>
      <c r="L2680" s="1">
        <v>238</v>
      </c>
      <c r="M2680" s="1">
        <v>26</v>
      </c>
      <c r="N2680" s="1">
        <v>1</v>
      </c>
      <c r="O2680" s="1">
        <v>2</v>
      </c>
      <c r="P2680" s="2">
        <v>1</v>
      </c>
      <c r="Q2680" s="68">
        <v>8</v>
      </c>
    </row>
    <row r="2681" spans="1:17" x14ac:dyDescent="0.25">
      <c r="A2681" s="10">
        <v>438</v>
      </c>
      <c r="B2681" s="10">
        <v>47</v>
      </c>
      <c r="C2681" s="10">
        <v>4</v>
      </c>
      <c r="D2681" s="10">
        <v>3</v>
      </c>
      <c r="E2681" s="10">
        <v>3</v>
      </c>
      <c r="F2681" s="10">
        <v>3</v>
      </c>
      <c r="L2681" s="1">
        <v>239</v>
      </c>
      <c r="M2681" s="1">
        <v>26</v>
      </c>
      <c r="N2681" s="1">
        <v>1</v>
      </c>
      <c r="O2681" s="1">
        <v>2</v>
      </c>
      <c r="P2681" s="2">
        <v>1</v>
      </c>
      <c r="Q2681" s="67">
        <v>1</v>
      </c>
    </row>
    <row r="2682" spans="1:17" x14ac:dyDescent="0.25">
      <c r="A2682" s="10">
        <v>420</v>
      </c>
      <c r="B2682" s="10">
        <v>45</v>
      </c>
      <c r="C2682" s="10">
        <v>4</v>
      </c>
      <c r="D2682" s="10">
        <v>1</v>
      </c>
      <c r="E2682" s="10">
        <v>4</v>
      </c>
      <c r="F2682" s="10">
        <v>4</v>
      </c>
      <c r="L2682" s="1">
        <v>240</v>
      </c>
      <c r="M2682" s="1">
        <v>26</v>
      </c>
      <c r="N2682" s="1">
        <v>1</v>
      </c>
      <c r="O2682" s="1">
        <v>2</v>
      </c>
      <c r="P2682" s="2">
        <v>1</v>
      </c>
      <c r="Q2682" s="68">
        <v>7</v>
      </c>
    </row>
    <row r="2683" spans="1:17" x14ac:dyDescent="0.25">
      <c r="A2683" s="10">
        <v>420</v>
      </c>
      <c r="B2683" s="10">
        <v>45</v>
      </c>
      <c r="C2683" s="10">
        <v>4</v>
      </c>
      <c r="D2683" s="10">
        <v>2</v>
      </c>
      <c r="E2683" s="10">
        <v>2</v>
      </c>
      <c r="F2683" s="10">
        <v>2</v>
      </c>
      <c r="L2683" s="1">
        <v>241</v>
      </c>
      <c r="M2683" s="1">
        <v>26</v>
      </c>
      <c r="N2683" s="1">
        <v>1</v>
      </c>
      <c r="O2683" s="1">
        <v>2</v>
      </c>
      <c r="P2683" s="2">
        <v>1</v>
      </c>
      <c r="Q2683" s="67">
        <v>8</v>
      </c>
    </row>
    <row r="2684" spans="1:17" x14ac:dyDescent="0.25">
      <c r="A2684" s="10">
        <v>2</v>
      </c>
      <c r="B2684" s="10">
        <v>1</v>
      </c>
      <c r="C2684" s="10">
        <v>4</v>
      </c>
      <c r="D2684" s="10">
        <v>1</v>
      </c>
      <c r="E2684" s="10">
        <v>513</v>
      </c>
      <c r="F2684" s="10">
        <v>513</v>
      </c>
      <c r="L2684" s="1">
        <v>242</v>
      </c>
      <c r="M2684" s="1">
        <v>26</v>
      </c>
      <c r="N2684" s="1">
        <v>1</v>
      </c>
      <c r="O2684" s="1">
        <v>2</v>
      </c>
      <c r="P2684" s="2">
        <v>1</v>
      </c>
      <c r="Q2684" s="68">
        <v>15</v>
      </c>
    </row>
    <row r="2685" spans="1:17" x14ac:dyDescent="0.25">
      <c r="A2685" s="10">
        <v>440</v>
      </c>
      <c r="B2685" s="10">
        <v>47</v>
      </c>
      <c r="C2685" s="10">
        <v>4</v>
      </c>
      <c r="D2685" s="10">
        <v>1</v>
      </c>
      <c r="E2685" s="10">
        <v>18</v>
      </c>
      <c r="F2685" s="10">
        <v>18</v>
      </c>
      <c r="L2685" s="1">
        <v>243</v>
      </c>
      <c r="M2685" s="1">
        <v>26</v>
      </c>
      <c r="N2685" s="1">
        <v>1</v>
      </c>
      <c r="O2685" s="1">
        <v>2</v>
      </c>
      <c r="P2685" s="2">
        <v>1</v>
      </c>
      <c r="Q2685" s="67">
        <v>4</v>
      </c>
    </row>
    <row r="2686" spans="1:17" x14ac:dyDescent="0.25">
      <c r="A2686" s="10">
        <v>2</v>
      </c>
      <c r="B2686" s="10">
        <v>1</v>
      </c>
      <c r="C2686" s="10">
        <v>4</v>
      </c>
      <c r="D2686" s="10">
        <v>2</v>
      </c>
      <c r="E2686" s="10">
        <v>481</v>
      </c>
      <c r="F2686" s="10">
        <v>481</v>
      </c>
      <c r="L2686" s="1">
        <v>244</v>
      </c>
      <c r="M2686" s="1">
        <v>26</v>
      </c>
      <c r="N2686" s="1">
        <v>1</v>
      </c>
      <c r="O2686" s="1">
        <v>2</v>
      </c>
      <c r="P2686" s="2">
        <v>1</v>
      </c>
      <c r="Q2686" s="68">
        <v>11</v>
      </c>
    </row>
    <row r="2687" spans="1:17" x14ac:dyDescent="0.25">
      <c r="A2687" s="10">
        <v>440</v>
      </c>
      <c r="B2687" s="10">
        <v>47</v>
      </c>
      <c r="C2687" s="10">
        <v>4</v>
      </c>
      <c r="D2687" s="10">
        <v>2</v>
      </c>
      <c r="E2687" s="10">
        <v>20</v>
      </c>
      <c r="F2687" s="10">
        <v>20</v>
      </c>
      <c r="L2687" s="1">
        <v>245</v>
      </c>
      <c r="M2687" s="1">
        <v>26</v>
      </c>
      <c r="N2687" s="1">
        <v>1</v>
      </c>
      <c r="O2687" s="1">
        <v>2</v>
      </c>
      <c r="P2687" s="2">
        <v>1</v>
      </c>
      <c r="Q2687" s="67">
        <v>13</v>
      </c>
    </row>
    <row r="2688" spans="1:17" x14ac:dyDescent="0.25">
      <c r="A2688" s="10">
        <v>12</v>
      </c>
      <c r="B2688" s="10">
        <v>2</v>
      </c>
      <c r="C2688" s="10">
        <v>4</v>
      </c>
      <c r="D2688" s="10">
        <v>1</v>
      </c>
      <c r="E2688" s="10">
        <v>11</v>
      </c>
      <c r="F2688" s="10">
        <v>11</v>
      </c>
      <c r="L2688" s="1">
        <v>246</v>
      </c>
      <c r="M2688" s="1">
        <v>26</v>
      </c>
      <c r="N2688" s="1">
        <v>1</v>
      </c>
      <c r="O2688" s="1">
        <v>2</v>
      </c>
      <c r="P2688" s="2">
        <v>1</v>
      </c>
      <c r="Q2688" s="68">
        <v>3</v>
      </c>
    </row>
    <row r="2689" spans="1:17" x14ac:dyDescent="0.25">
      <c r="A2689" s="10">
        <v>12</v>
      </c>
      <c r="B2689" s="10">
        <v>2</v>
      </c>
      <c r="C2689" s="10">
        <v>4</v>
      </c>
      <c r="D2689" s="10">
        <v>2</v>
      </c>
      <c r="E2689" s="10">
        <v>15</v>
      </c>
      <c r="F2689" s="10">
        <v>15</v>
      </c>
      <c r="L2689" s="1">
        <v>247</v>
      </c>
      <c r="M2689" s="1">
        <v>27</v>
      </c>
      <c r="N2689" s="1">
        <v>1</v>
      </c>
      <c r="O2689" s="1">
        <v>2</v>
      </c>
      <c r="P2689" s="2">
        <v>1</v>
      </c>
      <c r="Q2689" s="67">
        <v>15</v>
      </c>
    </row>
    <row r="2690" spans="1:17" x14ac:dyDescent="0.25">
      <c r="A2690" s="10">
        <v>272</v>
      </c>
      <c r="B2690" s="10">
        <v>30</v>
      </c>
      <c r="C2690" s="10">
        <v>4</v>
      </c>
      <c r="D2690" s="10">
        <v>1</v>
      </c>
      <c r="E2690" s="10">
        <v>18</v>
      </c>
      <c r="F2690" s="10">
        <v>18</v>
      </c>
      <c r="L2690" s="1">
        <v>248</v>
      </c>
      <c r="M2690" s="1">
        <v>27</v>
      </c>
      <c r="N2690" s="1">
        <v>1</v>
      </c>
      <c r="O2690" s="1">
        <v>2</v>
      </c>
      <c r="P2690" s="2">
        <v>1</v>
      </c>
      <c r="Q2690" s="68">
        <v>6</v>
      </c>
    </row>
    <row r="2691" spans="1:17" x14ac:dyDescent="0.25">
      <c r="A2691" s="10">
        <v>272</v>
      </c>
      <c r="B2691" s="10">
        <v>30</v>
      </c>
      <c r="C2691" s="10">
        <v>4</v>
      </c>
      <c r="D2691" s="10">
        <v>2</v>
      </c>
      <c r="E2691" s="10">
        <v>22</v>
      </c>
      <c r="F2691" s="10">
        <v>22</v>
      </c>
      <c r="L2691" s="1">
        <v>249</v>
      </c>
      <c r="M2691" s="1">
        <v>27</v>
      </c>
      <c r="N2691" s="1">
        <v>1</v>
      </c>
      <c r="O2691" s="1">
        <v>2</v>
      </c>
      <c r="P2691" s="2">
        <v>1</v>
      </c>
      <c r="Q2691" s="67">
        <v>7</v>
      </c>
    </row>
    <row r="2692" spans="1:17" x14ac:dyDescent="0.25">
      <c r="A2692" s="10">
        <v>272</v>
      </c>
      <c r="B2692" s="10">
        <v>30</v>
      </c>
      <c r="C2692" s="10">
        <v>4</v>
      </c>
      <c r="D2692" s="10">
        <v>3</v>
      </c>
      <c r="E2692" s="10">
        <v>2</v>
      </c>
      <c r="F2692" s="10">
        <v>2</v>
      </c>
      <c r="L2692" s="1">
        <v>250</v>
      </c>
      <c r="M2692" s="1">
        <v>27</v>
      </c>
      <c r="N2692" s="1">
        <v>1</v>
      </c>
      <c r="O2692" s="1">
        <v>2</v>
      </c>
      <c r="P2692" s="2">
        <v>1</v>
      </c>
      <c r="Q2692" s="68">
        <v>9</v>
      </c>
    </row>
    <row r="2693" spans="1:17" x14ac:dyDescent="0.25">
      <c r="A2693" s="10">
        <v>312</v>
      </c>
      <c r="B2693" s="10">
        <v>34</v>
      </c>
      <c r="C2693" s="10">
        <v>4</v>
      </c>
      <c r="D2693" s="10">
        <v>1</v>
      </c>
      <c r="E2693" s="10">
        <v>0</v>
      </c>
      <c r="F2693" s="10">
        <v>0</v>
      </c>
      <c r="L2693" s="1">
        <v>251</v>
      </c>
      <c r="M2693" s="1">
        <v>27</v>
      </c>
      <c r="N2693" s="1">
        <v>1</v>
      </c>
      <c r="O2693" s="1">
        <v>2</v>
      </c>
      <c r="P2693" s="2">
        <v>1</v>
      </c>
      <c r="Q2693" s="67">
        <v>3</v>
      </c>
    </row>
    <row r="2694" spans="1:17" x14ac:dyDescent="0.25">
      <c r="A2694" s="10">
        <v>312</v>
      </c>
      <c r="B2694" s="10">
        <v>34</v>
      </c>
      <c r="C2694" s="10">
        <v>4</v>
      </c>
      <c r="D2694" s="10">
        <v>2</v>
      </c>
      <c r="E2694" s="10">
        <v>1</v>
      </c>
      <c r="F2694" s="10">
        <v>1</v>
      </c>
      <c r="L2694" s="1">
        <v>252</v>
      </c>
      <c r="M2694" s="1">
        <v>27</v>
      </c>
      <c r="N2694" s="1">
        <v>1</v>
      </c>
      <c r="O2694" s="1">
        <v>2</v>
      </c>
      <c r="P2694" s="2">
        <v>1</v>
      </c>
      <c r="Q2694" s="68">
        <v>5</v>
      </c>
    </row>
    <row r="2695" spans="1:17" x14ac:dyDescent="0.25">
      <c r="A2695" s="10">
        <v>312</v>
      </c>
      <c r="B2695" s="10">
        <v>34</v>
      </c>
      <c r="C2695" s="10">
        <v>4</v>
      </c>
      <c r="D2695" s="10">
        <v>6</v>
      </c>
      <c r="E2695" s="10">
        <v>3</v>
      </c>
      <c r="F2695" s="10">
        <v>3</v>
      </c>
      <c r="L2695" s="1">
        <v>253</v>
      </c>
      <c r="M2695" s="1">
        <v>27</v>
      </c>
      <c r="N2695" s="1">
        <v>1</v>
      </c>
      <c r="O2695" s="1">
        <v>2</v>
      </c>
      <c r="P2695" s="2">
        <v>1</v>
      </c>
      <c r="Q2695" s="67">
        <v>3</v>
      </c>
    </row>
    <row r="2696" spans="1:17" x14ac:dyDescent="0.25">
      <c r="A2696" s="10">
        <v>312</v>
      </c>
      <c r="B2696" s="10">
        <v>34</v>
      </c>
      <c r="C2696" s="10">
        <v>4</v>
      </c>
      <c r="D2696" s="10">
        <v>8</v>
      </c>
      <c r="E2696" s="10">
        <v>2</v>
      </c>
      <c r="F2696" s="10">
        <v>2</v>
      </c>
      <c r="L2696" s="1">
        <v>254</v>
      </c>
      <c r="M2696" s="1">
        <v>27</v>
      </c>
      <c r="N2696" s="1">
        <v>1</v>
      </c>
      <c r="O2696" s="1">
        <v>2</v>
      </c>
      <c r="P2696" s="2">
        <v>1</v>
      </c>
      <c r="Q2696" s="68">
        <v>1</v>
      </c>
    </row>
    <row r="2697" spans="1:17" x14ac:dyDescent="0.25">
      <c r="A2697" s="10">
        <v>276</v>
      </c>
      <c r="B2697" s="10">
        <v>30</v>
      </c>
      <c r="C2697" s="10">
        <v>4</v>
      </c>
      <c r="D2697" s="10">
        <v>1</v>
      </c>
      <c r="E2697" s="10">
        <v>5</v>
      </c>
      <c r="F2697" s="10">
        <v>5</v>
      </c>
      <c r="L2697" s="1">
        <v>255</v>
      </c>
      <c r="M2697" s="1">
        <v>28</v>
      </c>
      <c r="N2697" s="1">
        <v>1</v>
      </c>
      <c r="O2697" s="1">
        <v>2</v>
      </c>
      <c r="P2697" s="2">
        <v>1</v>
      </c>
      <c r="Q2697" s="67">
        <v>3</v>
      </c>
    </row>
    <row r="2698" spans="1:17" x14ac:dyDescent="0.25">
      <c r="A2698" s="10">
        <v>276</v>
      </c>
      <c r="B2698" s="10">
        <v>30</v>
      </c>
      <c r="C2698" s="10">
        <v>4</v>
      </c>
      <c r="D2698" s="10">
        <v>2</v>
      </c>
      <c r="E2698" s="10">
        <v>9</v>
      </c>
      <c r="F2698" s="10">
        <v>9</v>
      </c>
      <c r="L2698" s="1">
        <v>256</v>
      </c>
      <c r="M2698" s="1">
        <v>28</v>
      </c>
      <c r="N2698" s="1">
        <v>1</v>
      </c>
      <c r="O2698" s="1">
        <v>2</v>
      </c>
      <c r="P2698" s="2">
        <v>1</v>
      </c>
      <c r="Q2698" s="68">
        <v>5</v>
      </c>
    </row>
    <row r="2699" spans="1:17" x14ac:dyDescent="0.25">
      <c r="A2699" s="10">
        <v>388</v>
      </c>
      <c r="B2699" s="10">
        <v>42</v>
      </c>
      <c r="C2699" s="10">
        <v>4</v>
      </c>
      <c r="D2699" s="10">
        <v>1</v>
      </c>
      <c r="E2699" s="10">
        <v>10</v>
      </c>
      <c r="F2699" s="10">
        <v>10</v>
      </c>
      <c r="L2699" s="1">
        <v>257</v>
      </c>
      <c r="M2699" s="1">
        <v>28</v>
      </c>
      <c r="N2699" s="1">
        <v>1</v>
      </c>
      <c r="O2699" s="1">
        <v>2</v>
      </c>
      <c r="P2699" s="2">
        <v>1</v>
      </c>
      <c r="Q2699" s="67">
        <v>6</v>
      </c>
    </row>
    <row r="2700" spans="1:17" x14ac:dyDescent="0.25">
      <c r="A2700" s="10">
        <v>388</v>
      </c>
      <c r="B2700" s="10">
        <v>42</v>
      </c>
      <c r="C2700" s="10">
        <v>4</v>
      </c>
      <c r="D2700" s="10">
        <v>2</v>
      </c>
      <c r="E2700" s="10">
        <v>12</v>
      </c>
      <c r="F2700" s="10">
        <v>12</v>
      </c>
      <c r="L2700" s="1">
        <v>258</v>
      </c>
      <c r="M2700" s="1">
        <v>28</v>
      </c>
      <c r="N2700" s="1">
        <v>1</v>
      </c>
      <c r="O2700" s="1">
        <v>2</v>
      </c>
      <c r="P2700" s="2">
        <v>1</v>
      </c>
      <c r="Q2700" s="68">
        <v>1</v>
      </c>
    </row>
    <row r="2701" spans="1:17" x14ac:dyDescent="0.25">
      <c r="A2701" s="10">
        <v>208</v>
      </c>
      <c r="B2701" s="10">
        <v>22</v>
      </c>
      <c r="C2701" s="10">
        <v>4</v>
      </c>
      <c r="D2701" s="10">
        <v>1</v>
      </c>
      <c r="E2701" s="10">
        <v>12</v>
      </c>
      <c r="F2701" s="10">
        <v>12</v>
      </c>
      <c r="L2701" s="1">
        <v>259</v>
      </c>
      <c r="M2701" s="1">
        <v>28</v>
      </c>
      <c r="N2701" s="1">
        <v>1</v>
      </c>
      <c r="O2701" s="1">
        <v>2</v>
      </c>
      <c r="P2701" s="2">
        <v>1</v>
      </c>
      <c r="Q2701" s="67">
        <v>2</v>
      </c>
    </row>
    <row r="2702" spans="1:17" x14ac:dyDescent="0.25">
      <c r="A2702" s="10">
        <v>116</v>
      </c>
      <c r="B2702" s="10">
        <v>13</v>
      </c>
      <c r="C2702" s="10">
        <v>4</v>
      </c>
      <c r="D2702" s="10">
        <v>1</v>
      </c>
      <c r="E2702" s="10">
        <v>9</v>
      </c>
      <c r="F2702" s="10">
        <v>9</v>
      </c>
      <c r="L2702" s="1">
        <v>260</v>
      </c>
      <c r="M2702" s="1">
        <v>28</v>
      </c>
      <c r="N2702" s="1">
        <v>1</v>
      </c>
      <c r="O2702" s="1">
        <v>2</v>
      </c>
      <c r="P2702" s="2">
        <v>1</v>
      </c>
      <c r="Q2702" s="68">
        <v>9</v>
      </c>
    </row>
    <row r="2703" spans="1:17" x14ac:dyDescent="0.25">
      <c r="A2703" s="10">
        <v>46</v>
      </c>
      <c r="B2703" s="10">
        <v>5</v>
      </c>
      <c r="C2703" s="10">
        <v>4</v>
      </c>
      <c r="D2703" s="10">
        <v>1</v>
      </c>
      <c r="E2703" s="10">
        <v>21</v>
      </c>
      <c r="F2703" s="10">
        <v>21</v>
      </c>
      <c r="L2703" s="1">
        <v>261</v>
      </c>
      <c r="M2703" s="1">
        <v>28</v>
      </c>
      <c r="N2703" s="1">
        <v>1</v>
      </c>
      <c r="O2703" s="1">
        <v>2</v>
      </c>
      <c r="P2703" s="2">
        <v>1</v>
      </c>
      <c r="Q2703" s="67">
        <v>12</v>
      </c>
    </row>
    <row r="2704" spans="1:17" x14ac:dyDescent="0.25">
      <c r="A2704" s="10">
        <v>208</v>
      </c>
      <c r="B2704" s="10">
        <v>22</v>
      </c>
      <c r="C2704" s="10">
        <v>4</v>
      </c>
      <c r="D2704" s="10">
        <v>2</v>
      </c>
      <c r="E2704" s="10">
        <v>18</v>
      </c>
      <c r="F2704" s="10">
        <v>18</v>
      </c>
      <c r="L2704" s="1">
        <v>262</v>
      </c>
      <c r="M2704" s="1">
        <v>28</v>
      </c>
      <c r="N2704" s="1">
        <v>1</v>
      </c>
      <c r="O2704" s="1">
        <v>2</v>
      </c>
      <c r="P2704" s="2">
        <v>1</v>
      </c>
      <c r="Q2704" s="68">
        <v>5</v>
      </c>
    </row>
    <row r="2705" spans="1:17" x14ac:dyDescent="0.25">
      <c r="A2705" s="10">
        <v>116</v>
      </c>
      <c r="B2705" s="10">
        <v>13</v>
      </c>
      <c r="C2705" s="10">
        <v>4</v>
      </c>
      <c r="D2705" s="10">
        <v>2</v>
      </c>
      <c r="E2705" s="10">
        <v>5</v>
      </c>
      <c r="F2705" s="10">
        <v>5</v>
      </c>
      <c r="L2705" s="1">
        <v>263</v>
      </c>
      <c r="M2705" s="1">
        <v>29</v>
      </c>
      <c r="N2705" s="1">
        <v>1</v>
      </c>
      <c r="O2705" s="1">
        <v>2</v>
      </c>
      <c r="P2705" s="2">
        <v>1</v>
      </c>
      <c r="Q2705" s="67">
        <v>5</v>
      </c>
    </row>
    <row r="2706" spans="1:17" x14ac:dyDescent="0.25">
      <c r="A2706" s="10">
        <v>116</v>
      </c>
      <c r="B2706" s="10">
        <v>13</v>
      </c>
      <c r="C2706" s="10">
        <v>4</v>
      </c>
      <c r="D2706" s="10">
        <v>4</v>
      </c>
      <c r="E2706" s="10">
        <v>2</v>
      </c>
      <c r="F2706" s="10">
        <v>2</v>
      </c>
      <c r="L2706" s="1">
        <v>264</v>
      </c>
      <c r="M2706" s="1">
        <v>29</v>
      </c>
      <c r="N2706" s="1">
        <v>1</v>
      </c>
      <c r="O2706" s="1">
        <v>2</v>
      </c>
      <c r="P2706" s="2">
        <v>1</v>
      </c>
      <c r="Q2706" s="68">
        <v>7</v>
      </c>
    </row>
    <row r="2707" spans="1:17" x14ac:dyDescent="0.25">
      <c r="A2707" s="10">
        <v>116</v>
      </c>
      <c r="B2707" s="10">
        <v>13</v>
      </c>
      <c r="C2707" s="10">
        <v>4</v>
      </c>
      <c r="D2707" s="10">
        <v>5</v>
      </c>
      <c r="E2707" s="10">
        <v>6</v>
      </c>
      <c r="F2707" s="10">
        <v>6</v>
      </c>
      <c r="L2707" s="1">
        <v>265</v>
      </c>
      <c r="M2707" s="1">
        <v>29</v>
      </c>
      <c r="N2707" s="1">
        <v>1</v>
      </c>
      <c r="O2707" s="1">
        <v>2</v>
      </c>
      <c r="P2707" s="2">
        <v>1</v>
      </c>
      <c r="Q2707" s="67">
        <v>5</v>
      </c>
    </row>
    <row r="2708" spans="1:17" x14ac:dyDescent="0.25">
      <c r="A2708" s="10">
        <v>208</v>
      </c>
      <c r="B2708" s="10">
        <v>22</v>
      </c>
      <c r="C2708" s="10">
        <v>4</v>
      </c>
      <c r="D2708" s="10">
        <v>4</v>
      </c>
      <c r="E2708" s="10">
        <v>0</v>
      </c>
      <c r="F2708" s="10">
        <v>0</v>
      </c>
      <c r="L2708" s="1">
        <v>266</v>
      </c>
      <c r="M2708" s="1">
        <v>29</v>
      </c>
      <c r="N2708" s="1">
        <v>1</v>
      </c>
      <c r="O2708" s="1">
        <v>2</v>
      </c>
      <c r="P2708" s="2">
        <v>1</v>
      </c>
      <c r="Q2708" s="68">
        <v>5</v>
      </c>
    </row>
    <row r="2709" spans="1:17" x14ac:dyDescent="0.25">
      <c r="A2709" s="10">
        <v>208</v>
      </c>
      <c r="B2709" s="10">
        <v>22</v>
      </c>
      <c r="C2709" s="10">
        <v>4</v>
      </c>
      <c r="D2709" s="10">
        <v>5</v>
      </c>
      <c r="E2709" s="10">
        <v>0</v>
      </c>
      <c r="F2709" s="10">
        <v>0</v>
      </c>
      <c r="L2709" s="1">
        <v>267</v>
      </c>
      <c r="M2709" s="1">
        <v>29</v>
      </c>
      <c r="N2709" s="1">
        <v>1</v>
      </c>
      <c r="O2709" s="1">
        <v>2</v>
      </c>
      <c r="P2709" s="2">
        <v>1</v>
      </c>
      <c r="Q2709" s="67">
        <v>5</v>
      </c>
    </row>
    <row r="2710" spans="1:17" x14ac:dyDescent="0.25">
      <c r="A2710" s="10">
        <v>278</v>
      </c>
      <c r="B2710" s="10">
        <v>30</v>
      </c>
      <c r="C2710" s="10">
        <v>4</v>
      </c>
      <c r="D2710" s="10">
        <v>2</v>
      </c>
      <c r="E2710" s="10">
        <v>14</v>
      </c>
      <c r="F2710" s="10">
        <v>14</v>
      </c>
      <c r="L2710" s="1">
        <v>268</v>
      </c>
      <c r="M2710" s="1">
        <v>29</v>
      </c>
      <c r="N2710" s="1">
        <v>1</v>
      </c>
      <c r="O2710" s="1">
        <v>2</v>
      </c>
      <c r="P2710" s="2">
        <v>1</v>
      </c>
      <c r="Q2710" s="68">
        <v>11</v>
      </c>
    </row>
    <row r="2711" spans="1:17" x14ac:dyDescent="0.25">
      <c r="A2711" s="10">
        <v>20</v>
      </c>
      <c r="B2711" s="10">
        <v>2</v>
      </c>
      <c r="C2711" s="10">
        <v>4</v>
      </c>
      <c r="D2711" s="10">
        <v>1</v>
      </c>
      <c r="E2711" s="10">
        <v>21</v>
      </c>
      <c r="F2711" s="10">
        <v>21</v>
      </c>
      <c r="L2711" s="1">
        <v>269</v>
      </c>
      <c r="M2711" s="1">
        <v>29</v>
      </c>
      <c r="N2711" s="1">
        <v>1</v>
      </c>
      <c r="O2711" s="1">
        <v>2</v>
      </c>
      <c r="P2711" s="2">
        <v>1</v>
      </c>
      <c r="Q2711" s="67">
        <v>15</v>
      </c>
    </row>
    <row r="2712" spans="1:17" x14ac:dyDescent="0.25">
      <c r="A2712" s="10">
        <v>20</v>
      </c>
      <c r="B2712" s="10">
        <v>2</v>
      </c>
      <c r="C2712" s="10">
        <v>4</v>
      </c>
      <c r="D2712" s="10">
        <v>2</v>
      </c>
      <c r="E2712" s="10">
        <v>18</v>
      </c>
      <c r="F2712" s="10">
        <v>18</v>
      </c>
      <c r="L2712" s="1">
        <v>270</v>
      </c>
      <c r="M2712" s="1">
        <v>29</v>
      </c>
      <c r="N2712" s="1">
        <v>1</v>
      </c>
      <c r="O2712" s="1">
        <v>2</v>
      </c>
      <c r="P2712" s="2">
        <v>1</v>
      </c>
      <c r="Q2712" s="68">
        <v>6</v>
      </c>
    </row>
    <row r="2713" spans="1:17" x14ac:dyDescent="0.25">
      <c r="A2713" s="10">
        <v>20</v>
      </c>
      <c r="B2713" s="10">
        <v>2</v>
      </c>
      <c r="C2713" s="10">
        <v>4</v>
      </c>
      <c r="D2713" s="10">
        <v>10</v>
      </c>
      <c r="E2713" s="10">
        <v>5</v>
      </c>
      <c r="F2713" s="10">
        <v>5</v>
      </c>
      <c r="L2713" s="1">
        <v>271</v>
      </c>
      <c r="M2713" s="1">
        <v>30</v>
      </c>
      <c r="N2713" s="1">
        <v>1</v>
      </c>
      <c r="O2713" s="1">
        <v>2</v>
      </c>
      <c r="P2713" s="2">
        <v>1</v>
      </c>
      <c r="Q2713" s="67">
        <v>6</v>
      </c>
    </row>
    <row r="2714" spans="1:17" x14ac:dyDescent="0.25">
      <c r="A2714" s="10">
        <v>20</v>
      </c>
      <c r="B2714" s="10">
        <v>2</v>
      </c>
      <c r="C2714" s="10">
        <v>4</v>
      </c>
      <c r="D2714" s="10">
        <v>6</v>
      </c>
      <c r="E2714" s="10">
        <v>2</v>
      </c>
      <c r="F2714" s="10">
        <v>2</v>
      </c>
      <c r="L2714" s="1">
        <v>272</v>
      </c>
      <c r="M2714" s="1">
        <v>30</v>
      </c>
      <c r="N2714" s="1">
        <v>1</v>
      </c>
      <c r="O2714" s="1">
        <v>2</v>
      </c>
      <c r="P2714" s="2">
        <v>1</v>
      </c>
      <c r="Q2714" s="68">
        <v>7</v>
      </c>
    </row>
    <row r="2715" spans="1:17" x14ac:dyDescent="0.25">
      <c r="A2715" s="10">
        <v>16</v>
      </c>
      <c r="B2715" s="10">
        <v>2</v>
      </c>
      <c r="C2715" s="10">
        <v>4</v>
      </c>
      <c r="D2715" s="10">
        <v>1</v>
      </c>
      <c r="E2715" s="10">
        <v>501</v>
      </c>
      <c r="F2715" s="10">
        <v>501</v>
      </c>
      <c r="L2715" s="1">
        <v>273</v>
      </c>
      <c r="M2715" s="1">
        <v>30</v>
      </c>
      <c r="N2715" s="1">
        <v>1</v>
      </c>
      <c r="O2715" s="1">
        <v>2</v>
      </c>
      <c r="P2715" s="2">
        <v>1</v>
      </c>
      <c r="Q2715" s="67">
        <v>11</v>
      </c>
    </row>
    <row r="2716" spans="1:17" x14ac:dyDescent="0.25">
      <c r="A2716" s="10">
        <v>16</v>
      </c>
      <c r="B2716" s="10">
        <v>2</v>
      </c>
      <c r="C2716" s="10">
        <v>4</v>
      </c>
      <c r="D2716" s="10">
        <v>2</v>
      </c>
      <c r="E2716" s="10">
        <v>496</v>
      </c>
      <c r="F2716" s="10">
        <v>496</v>
      </c>
      <c r="L2716" s="1">
        <v>274</v>
      </c>
      <c r="M2716" s="1">
        <v>30</v>
      </c>
      <c r="N2716" s="1">
        <v>1</v>
      </c>
      <c r="O2716" s="1">
        <v>2</v>
      </c>
      <c r="P2716" s="2">
        <v>1</v>
      </c>
      <c r="Q2716" s="68">
        <v>10</v>
      </c>
    </row>
    <row r="2717" spans="1:17" x14ac:dyDescent="0.25">
      <c r="A2717" s="10">
        <v>314</v>
      </c>
      <c r="B2717" s="10">
        <v>34</v>
      </c>
      <c r="C2717" s="10">
        <v>4</v>
      </c>
      <c r="D2717" s="10">
        <v>1</v>
      </c>
      <c r="E2717" s="10">
        <v>27</v>
      </c>
      <c r="F2717" s="10">
        <v>27</v>
      </c>
      <c r="L2717" s="1">
        <v>275</v>
      </c>
      <c r="M2717" s="1">
        <v>30</v>
      </c>
      <c r="N2717" s="1">
        <v>1</v>
      </c>
      <c r="O2717" s="1">
        <v>2</v>
      </c>
      <c r="P2717" s="2">
        <v>1</v>
      </c>
      <c r="Q2717" s="67">
        <v>9</v>
      </c>
    </row>
    <row r="2718" spans="1:17" x14ac:dyDescent="0.25">
      <c r="A2718" s="10">
        <v>314</v>
      </c>
      <c r="B2718" s="10">
        <v>34</v>
      </c>
      <c r="C2718" s="10">
        <v>4</v>
      </c>
      <c r="D2718" s="10">
        <v>2</v>
      </c>
      <c r="E2718" s="10">
        <v>7</v>
      </c>
      <c r="F2718" s="10">
        <v>7</v>
      </c>
      <c r="L2718" s="1">
        <v>276</v>
      </c>
      <c r="M2718" s="1">
        <v>30</v>
      </c>
      <c r="N2718" s="1">
        <v>1</v>
      </c>
      <c r="O2718" s="1">
        <v>2</v>
      </c>
      <c r="P2718" s="2">
        <v>1</v>
      </c>
      <c r="Q2718" s="68">
        <v>1</v>
      </c>
    </row>
    <row r="2719" spans="1:17" x14ac:dyDescent="0.25">
      <c r="A2719" s="10">
        <v>390</v>
      </c>
      <c r="B2719" s="10">
        <v>42</v>
      </c>
      <c r="C2719" s="10">
        <v>4</v>
      </c>
      <c r="D2719" s="10">
        <v>1</v>
      </c>
      <c r="E2719" s="10">
        <v>10</v>
      </c>
      <c r="F2719" s="10">
        <v>10</v>
      </c>
      <c r="L2719" s="1">
        <v>277</v>
      </c>
      <c r="M2719" s="1">
        <v>30</v>
      </c>
      <c r="N2719" s="1">
        <v>1</v>
      </c>
      <c r="O2719" s="1">
        <v>2</v>
      </c>
      <c r="P2719" s="2">
        <v>1</v>
      </c>
      <c r="Q2719" s="67">
        <v>3</v>
      </c>
    </row>
    <row r="2720" spans="1:17" x14ac:dyDescent="0.25">
      <c r="A2720" s="10">
        <v>390</v>
      </c>
      <c r="B2720" s="10">
        <v>42</v>
      </c>
      <c r="C2720" s="10">
        <v>4</v>
      </c>
      <c r="D2720" s="10">
        <v>2</v>
      </c>
      <c r="E2720" s="10">
        <v>2</v>
      </c>
      <c r="F2720" s="10">
        <v>2</v>
      </c>
      <c r="L2720" s="1">
        <v>278</v>
      </c>
      <c r="M2720" s="1">
        <v>30</v>
      </c>
      <c r="N2720" s="1">
        <v>1</v>
      </c>
      <c r="O2720" s="1">
        <v>2</v>
      </c>
      <c r="P2720" s="2">
        <v>1</v>
      </c>
      <c r="Q2720" s="68">
        <v>6</v>
      </c>
    </row>
    <row r="2721" spans="1:17" x14ac:dyDescent="0.25">
      <c r="A2721" s="10">
        <v>390</v>
      </c>
      <c r="B2721" s="10">
        <v>42</v>
      </c>
      <c r="C2721" s="10">
        <v>4</v>
      </c>
      <c r="D2721" s="10">
        <v>3</v>
      </c>
      <c r="E2721" s="10">
        <v>1</v>
      </c>
      <c r="F2721" s="10">
        <v>1</v>
      </c>
      <c r="L2721" s="1">
        <v>279</v>
      </c>
      <c r="M2721" s="1">
        <v>30</v>
      </c>
      <c r="N2721" s="1">
        <v>1</v>
      </c>
      <c r="O2721" s="1">
        <v>2</v>
      </c>
      <c r="P2721" s="2">
        <v>1</v>
      </c>
      <c r="Q2721" s="67">
        <v>8</v>
      </c>
    </row>
    <row r="2722" spans="1:17" x14ac:dyDescent="0.25">
      <c r="A2722" s="10">
        <v>390</v>
      </c>
      <c r="B2722" s="10">
        <v>42</v>
      </c>
      <c r="C2722" s="10">
        <v>4</v>
      </c>
      <c r="D2722" s="10">
        <v>4</v>
      </c>
      <c r="E2722" s="10">
        <v>1</v>
      </c>
      <c r="F2722" s="10">
        <v>1</v>
      </c>
      <c r="L2722" s="1">
        <v>280</v>
      </c>
      <c r="M2722" s="1">
        <v>30</v>
      </c>
      <c r="N2722" s="1">
        <v>1</v>
      </c>
      <c r="O2722" s="1">
        <v>2</v>
      </c>
      <c r="P2722" s="2">
        <v>1</v>
      </c>
      <c r="Q2722" s="68">
        <v>19</v>
      </c>
    </row>
    <row r="2723" spans="1:17" x14ac:dyDescent="0.25">
      <c r="A2723" s="10">
        <v>280</v>
      </c>
      <c r="B2723" s="10">
        <v>30</v>
      </c>
      <c r="C2723" s="10">
        <v>4</v>
      </c>
      <c r="D2723" s="10">
        <v>1</v>
      </c>
      <c r="E2723" s="10">
        <v>5</v>
      </c>
      <c r="F2723" s="10">
        <v>5</v>
      </c>
      <c r="L2723" s="1">
        <v>281</v>
      </c>
      <c r="M2723" s="1">
        <v>31</v>
      </c>
      <c r="N2723" s="1">
        <v>1</v>
      </c>
      <c r="O2723" s="1">
        <v>2</v>
      </c>
      <c r="P2723" s="2">
        <v>1</v>
      </c>
      <c r="Q2723" s="67">
        <v>11</v>
      </c>
    </row>
    <row r="2724" spans="1:17" x14ac:dyDescent="0.25">
      <c r="A2724" s="10">
        <v>280</v>
      </c>
      <c r="B2724" s="10">
        <v>30</v>
      </c>
      <c r="C2724" s="10">
        <v>4</v>
      </c>
      <c r="D2724" s="10">
        <v>2</v>
      </c>
      <c r="E2724" s="10">
        <v>12</v>
      </c>
      <c r="F2724" s="10">
        <v>12</v>
      </c>
      <c r="L2724" s="1">
        <v>282</v>
      </c>
      <c r="M2724" s="1">
        <v>31</v>
      </c>
      <c r="N2724" s="1">
        <v>1</v>
      </c>
      <c r="O2724" s="1">
        <v>2</v>
      </c>
      <c r="P2724" s="2">
        <v>1</v>
      </c>
      <c r="Q2724" s="68">
        <v>15</v>
      </c>
    </row>
    <row r="2725" spans="1:17" x14ac:dyDescent="0.25">
      <c r="A2725" s="10">
        <v>280</v>
      </c>
      <c r="B2725" s="10">
        <v>30</v>
      </c>
      <c r="C2725" s="10">
        <v>4</v>
      </c>
      <c r="D2725" s="10">
        <v>3</v>
      </c>
      <c r="E2725" s="10">
        <v>4</v>
      </c>
      <c r="F2725" s="10">
        <v>4</v>
      </c>
      <c r="L2725" s="1">
        <v>283</v>
      </c>
      <c r="M2725" s="1">
        <v>31</v>
      </c>
      <c r="N2725" s="1">
        <v>1</v>
      </c>
      <c r="O2725" s="1">
        <v>2</v>
      </c>
      <c r="P2725" s="2">
        <v>1</v>
      </c>
      <c r="Q2725" s="67">
        <v>14</v>
      </c>
    </row>
    <row r="2726" spans="1:17" x14ac:dyDescent="0.25">
      <c r="A2726" s="10">
        <v>280</v>
      </c>
      <c r="B2726" s="10">
        <v>30</v>
      </c>
      <c r="C2726" s="10">
        <v>4</v>
      </c>
      <c r="D2726" s="10">
        <v>4</v>
      </c>
      <c r="E2726" s="10">
        <v>1</v>
      </c>
      <c r="F2726" s="10">
        <v>1</v>
      </c>
      <c r="L2726" s="1">
        <v>284</v>
      </c>
      <c r="M2726" s="1">
        <v>31</v>
      </c>
      <c r="N2726" s="1">
        <v>1</v>
      </c>
      <c r="O2726" s="1">
        <v>2</v>
      </c>
      <c r="P2726" s="2">
        <v>1</v>
      </c>
      <c r="Q2726" s="68">
        <v>4</v>
      </c>
    </row>
    <row r="2727" spans="1:17" x14ac:dyDescent="0.25">
      <c r="A2727" s="10">
        <v>318</v>
      </c>
      <c r="B2727" s="10">
        <v>34</v>
      </c>
      <c r="C2727" s="10">
        <v>4</v>
      </c>
      <c r="D2727" s="10">
        <v>1</v>
      </c>
      <c r="E2727" s="10">
        <v>17</v>
      </c>
      <c r="F2727" s="10">
        <v>17</v>
      </c>
      <c r="L2727" s="1">
        <v>285</v>
      </c>
      <c r="M2727" s="1">
        <v>31</v>
      </c>
      <c r="N2727" s="1">
        <v>1</v>
      </c>
      <c r="O2727" s="1">
        <v>2</v>
      </c>
      <c r="P2727" s="2">
        <v>1</v>
      </c>
      <c r="Q2727" s="67">
        <v>11</v>
      </c>
    </row>
    <row r="2728" spans="1:17" x14ac:dyDescent="0.25">
      <c r="A2728" s="10">
        <v>318</v>
      </c>
      <c r="B2728" s="10">
        <v>34</v>
      </c>
      <c r="C2728" s="10">
        <v>4</v>
      </c>
      <c r="D2728" s="10">
        <v>2</v>
      </c>
      <c r="E2728" s="10">
        <v>9</v>
      </c>
      <c r="F2728" s="10">
        <v>9</v>
      </c>
      <c r="L2728" s="1">
        <v>286</v>
      </c>
      <c r="M2728" s="1">
        <v>31</v>
      </c>
      <c r="N2728" s="1">
        <v>1</v>
      </c>
      <c r="O2728" s="1">
        <v>2</v>
      </c>
      <c r="P2728" s="2">
        <v>1</v>
      </c>
      <c r="Q2728" s="68">
        <v>10</v>
      </c>
    </row>
    <row r="2729" spans="1:17" x14ac:dyDescent="0.25">
      <c r="A2729" s="10">
        <v>318</v>
      </c>
      <c r="B2729" s="10">
        <v>34</v>
      </c>
      <c r="C2729" s="10">
        <v>4</v>
      </c>
      <c r="D2729" s="10">
        <v>3</v>
      </c>
      <c r="E2729" s="10">
        <v>6</v>
      </c>
      <c r="F2729" s="10">
        <v>6</v>
      </c>
      <c r="L2729" s="1">
        <v>287</v>
      </c>
      <c r="M2729" s="1">
        <v>31</v>
      </c>
      <c r="N2729" s="1">
        <v>1</v>
      </c>
      <c r="O2729" s="1">
        <v>2</v>
      </c>
      <c r="P2729" s="2">
        <v>1</v>
      </c>
      <c r="Q2729" s="67">
        <v>15</v>
      </c>
    </row>
    <row r="2730" spans="1:17" x14ac:dyDescent="0.25">
      <c r="A2730" s="10">
        <v>394</v>
      </c>
      <c r="B2730" s="10">
        <v>42</v>
      </c>
      <c r="C2730" s="10">
        <v>4</v>
      </c>
      <c r="D2730" s="10">
        <v>1</v>
      </c>
      <c r="E2730" s="10">
        <v>8</v>
      </c>
      <c r="F2730" s="10">
        <v>8</v>
      </c>
      <c r="L2730" s="1">
        <v>288</v>
      </c>
      <c r="M2730" s="1">
        <v>31</v>
      </c>
      <c r="N2730" s="1">
        <v>1</v>
      </c>
      <c r="O2730" s="1">
        <v>2</v>
      </c>
      <c r="P2730" s="2">
        <v>1</v>
      </c>
      <c r="Q2730" s="68">
        <v>10</v>
      </c>
    </row>
    <row r="2731" spans="1:17" x14ac:dyDescent="0.25">
      <c r="A2731" s="10">
        <v>394</v>
      </c>
      <c r="B2731" s="10">
        <v>42</v>
      </c>
      <c r="C2731" s="10">
        <v>4</v>
      </c>
      <c r="D2731" s="10">
        <v>2</v>
      </c>
      <c r="E2731" s="10">
        <v>7</v>
      </c>
      <c r="F2731" s="10">
        <v>7</v>
      </c>
      <c r="L2731" s="1">
        <v>289</v>
      </c>
      <c r="M2731" s="1">
        <v>31</v>
      </c>
      <c r="N2731" s="1">
        <v>1</v>
      </c>
      <c r="O2731" s="1">
        <v>2</v>
      </c>
      <c r="P2731" s="2">
        <v>1</v>
      </c>
      <c r="Q2731" s="67">
        <v>12</v>
      </c>
    </row>
    <row r="2732" spans="1:17" x14ac:dyDescent="0.25">
      <c r="A2732" s="10">
        <v>394</v>
      </c>
      <c r="B2732" s="10">
        <v>42</v>
      </c>
      <c r="C2732" s="10">
        <v>4</v>
      </c>
      <c r="D2732" s="10">
        <v>4</v>
      </c>
      <c r="E2732" s="10">
        <v>3</v>
      </c>
      <c r="F2732" s="10">
        <v>3</v>
      </c>
      <c r="L2732" s="1">
        <v>290</v>
      </c>
      <c r="M2732" s="1">
        <v>31</v>
      </c>
      <c r="N2732" s="1">
        <v>1</v>
      </c>
      <c r="O2732" s="1">
        <v>2</v>
      </c>
      <c r="P2732" s="2">
        <v>1</v>
      </c>
      <c r="Q2732" s="68">
        <v>13</v>
      </c>
    </row>
    <row r="2733" spans="1:17" x14ac:dyDescent="0.25">
      <c r="A2733" s="10">
        <v>319</v>
      </c>
      <c r="B2733" s="10">
        <v>34</v>
      </c>
      <c r="C2733" s="10">
        <v>3</v>
      </c>
      <c r="D2733" s="10">
        <v>1</v>
      </c>
      <c r="E2733" s="10">
        <v>2</v>
      </c>
      <c r="F2733" s="10">
        <v>2</v>
      </c>
      <c r="L2733" s="1">
        <v>291</v>
      </c>
      <c r="M2733" s="1">
        <v>32</v>
      </c>
      <c r="N2733" s="1">
        <v>1</v>
      </c>
      <c r="O2733" s="1">
        <v>2</v>
      </c>
      <c r="P2733" s="2">
        <v>1</v>
      </c>
      <c r="Q2733" s="67">
        <v>20</v>
      </c>
    </row>
    <row r="2734" spans="1:17" x14ac:dyDescent="0.25">
      <c r="A2734" s="10">
        <v>19</v>
      </c>
      <c r="B2734" s="10">
        <v>2</v>
      </c>
      <c r="C2734" s="10">
        <v>4</v>
      </c>
      <c r="D2734" s="10">
        <v>2</v>
      </c>
      <c r="E2734" s="10">
        <v>556</v>
      </c>
      <c r="F2734" s="10">
        <v>556</v>
      </c>
      <c r="L2734" s="1">
        <v>292</v>
      </c>
      <c r="M2734" s="1">
        <v>32</v>
      </c>
      <c r="N2734" s="1">
        <v>1</v>
      </c>
      <c r="O2734" s="1">
        <v>2</v>
      </c>
      <c r="P2734" s="2">
        <v>1</v>
      </c>
      <c r="Q2734" s="68">
        <v>12</v>
      </c>
    </row>
    <row r="2735" spans="1:17" x14ac:dyDescent="0.25">
      <c r="A2735" s="10">
        <v>19</v>
      </c>
      <c r="B2735" s="10">
        <v>2</v>
      </c>
      <c r="C2735" s="10">
        <v>4</v>
      </c>
      <c r="D2735" s="10">
        <v>10</v>
      </c>
      <c r="E2735" s="10">
        <v>1</v>
      </c>
      <c r="F2735" s="10">
        <v>1</v>
      </c>
      <c r="L2735" s="1">
        <v>293</v>
      </c>
      <c r="M2735" s="1">
        <v>32</v>
      </c>
      <c r="N2735" s="1">
        <v>1</v>
      </c>
      <c r="O2735" s="1">
        <v>2</v>
      </c>
      <c r="P2735" s="2">
        <v>1</v>
      </c>
      <c r="Q2735" s="67">
        <v>13</v>
      </c>
    </row>
    <row r="2736" spans="1:17" x14ac:dyDescent="0.25">
      <c r="A2736" s="10">
        <v>28</v>
      </c>
      <c r="B2736" s="10">
        <v>4</v>
      </c>
      <c r="C2736" s="10">
        <v>4</v>
      </c>
      <c r="D2736" s="10">
        <v>1</v>
      </c>
      <c r="E2736" s="10">
        <v>39</v>
      </c>
      <c r="F2736" s="10">
        <v>39</v>
      </c>
      <c r="L2736" s="1">
        <v>294</v>
      </c>
      <c r="M2736" s="1">
        <v>32</v>
      </c>
      <c r="N2736" s="1">
        <v>1</v>
      </c>
      <c r="O2736" s="1">
        <v>2</v>
      </c>
      <c r="P2736" s="2">
        <v>1</v>
      </c>
      <c r="Q2736" s="68">
        <v>12</v>
      </c>
    </row>
    <row r="2737" spans="1:17" x14ac:dyDescent="0.25">
      <c r="A2737" s="10">
        <v>392</v>
      </c>
      <c r="B2737" s="10">
        <v>42</v>
      </c>
      <c r="C2737" s="10">
        <v>4</v>
      </c>
      <c r="D2737" s="10">
        <v>1</v>
      </c>
      <c r="E2737" s="10">
        <v>6</v>
      </c>
      <c r="F2737" s="10">
        <v>6</v>
      </c>
      <c r="L2737" s="1">
        <v>295</v>
      </c>
      <c r="M2737" s="1">
        <v>32</v>
      </c>
      <c r="N2737" s="1">
        <v>1</v>
      </c>
      <c r="O2737" s="1">
        <v>2</v>
      </c>
      <c r="P2737" s="2">
        <v>1</v>
      </c>
      <c r="Q2737" s="67">
        <v>8</v>
      </c>
    </row>
    <row r="2738" spans="1:17" x14ac:dyDescent="0.25">
      <c r="A2738" s="10">
        <v>319</v>
      </c>
      <c r="B2738" s="10">
        <v>34</v>
      </c>
      <c r="C2738" s="10">
        <v>4</v>
      </c>
      <c r="D2738" s="10">
        <v>1</v>
      </c>
      <c r="E2738" s="10">
        <v>1</v>
      </c>
      <c r="F2738" s="10">
        <v>1</v>
      </c>
      <c r="L2738" s="1">
        <v>296</v>
      </c>
      <c r="M2738" s="1">
        <v>32</v>
      </c>
      <c r="N2738" s="1">
        <v>1</v>
      </c>
      <c r="O2738" s="1">
        <v>2</v>
      </c>
      <c r="P2738" s="2">
        <v>1</v>
      </c>
      <c r="Q2738" s="68">
        <v>18</v>
      </c>
    </row>
    <row r="2739" spans="1:17" x14ac:dyDescent="0.25">
      <c r="A2739" s="10">
        <v>319</v>
      </c>
      <c r="B2739" s="10">
        <v>34</v>
      </c>
      <c r="C2739" s="10">
        <v>4</v>
      </c>
      <c r="D2739" s="10">
        <v>2</v>
      </c>
      <c r="E2739" s="10">
        <v>34</v>
      </c>
      <c r="F2739" s="10">
        <v>34</v>
      </c>
      <c r="L2739" s="1">
        <v>297</v>
      </c>
      <c r="M2739" s="1">
        <v>32</v>
      </c>
      <c r="N2739" s="1">
        <v>1</v>
      </c>
      <c r="O2739" s="1">
        <v>2</v>
      </c>
      <c r="P2739" s="2">
        <v>1</v>
      </c>
      <c r="Q2739" s="67">
        <v>15</v>
      </c>
    </row>
    <row r="2740" spans="1:17" x14ac:dyDescent="0.25">
      <c r="A2740" s="10">
        <v>319</v>
      </c>
      <c r="B2740" s="10">
        <v>34</v>
      </c>
      <c r="C2740" s="10">
        <v>4</v>
      </c>
      <c r="D2740" s="10">
        <v>3</v>
      </c>
      <c r="E2740" s="10">
        <v>1</v>
      </c>
      <c r="F2740" s="10">
        <v>1</v>
      </c>
      <c r="L2740" s="1">
        <v>298</v>
      </c>
      <c r="M2740" s="1">
        <v>32</v>
      </c>
      <c r="N2740" s="1">
        <v>1</v>
      </c>
      <c r="O2740" s="1">
        <v>2</v>
      </c>
      <c r="P2740" s="2">
        <v>1</v>
      </c>
      <c r="Q2740" s="68">
        <v>6</v>
      </c>
    </row>
    <row r="2741" spans="1:17" x14ac:dyDescent="0.25">
      <c r="A2741" s="10">
        <v>319</v>
      </c>
      <c r="B2741" s="10">
        <v>34</v>
      </c>
      <c r="C2741" s="10">
        <v>4</v>
      </c>
      <c r="D2741" s="10">
        <v>8</v>
      </c>
      <c r="E2741" s="10">
        <v>1</v>
      </c>
      <c r="F2741" s="10">
        <v>1</v>
      </c>
      <c r="L2741" s="1">
        <v>299</v>
      </c>
      <c r="M2741" s="1">
        <v>32</v>
      </c>
      <c r="N2741" s="1">
        <v>1</v>
      </c>
      <c r="O2741" s="1">
        <v>2</v>
      </c>
      <c r="P2741" s="2">
        <v>1</v>
      </c>
      <c r="Q2741" s="67">
        <v>1</v>
      </c>
    </row>
    <row r="2742" spans="1:17" x14ac:dyDescent="0.25">
      <c r="A2742" s="10">
        <v>28</v>
      </c>
      <c r="B2742" s="10">
        <v>4</v>
      </c>
      <c r="C2742" s="10">
        <v>4</v>
      </c>
      <c r="D2742" s="10">
        <v>2</v>
      </c>
      <c r="E2742" s="10">
        <v>11</v>
      </c>
      <c r="F2742" s="10">
        <v>11</v>
      </c>
      <c r="L2742" s="1">
        <v>300</v>
      </c>
      <c r="M2742" s="1">
        <v>32</v>
      </c>
      <c r="N2742" s="1">
        <v>1</v>
      </c>
      <c r="O2742" s="1">
        <v>2</v>
      </c>
      <c r="P2742" s="2">
        <v>1</v>
      </c>
      <c r="Q2742" s="68">
        <v>7</v>
      </c>
    </row>
    <row r="2743" spans="1:17" x14ac:dyDescent="0.25">
      <c r="A2743" s="10">
        <v>19</v>
      </c>
      <c r="B2743" s="10">
        <v>2</v>
      </c>
      <c r="C2743" s="10">
        <v>2</v>
      </c>
      <c r="D2743" s="10">
        <v>1</v>
      </c>
      <c r="E2743" s="10">
        <v>441</v>
      </c>
      <c r="F2743" s="10">
        <v>441</v>
      </c>
      <c r="L2743" s="1">
        <v>301</v>
      </c>
      <c r="M2743" s="1">
        <v>33</v>
      </c>
      <c r="N2743" s="1">
        <v>1</v>
      </c>
      <c r="O2743" s="1">
        <v>2</v>
      </c>
      <c r="P2743" s="2">
        <v>1</v>
      </c>
      <c r="Q2743" s="67">
        <v>14</v>
      </c>
    </row>
    <row r="2744" spans="1:17" x14ac:dyDescent="0.25">
      <c r="A2744" s="10">
        <v>19</v>
      </c>
      <c r="B2744" s="10">
        <v>2</v>
      </c>
      <c r="C2744" s="10">
        <v>2</v>
      </c>
      <c r="D2744" s="10">
        <v>2</v>
      </c>
      <c r="E2744" s="10">
        <v>556</v>
      </c>
      <c r="F2744" s="10">
        <v>556</v>
      </c>
      <c r="L2744" s="1">
        <v>302</v>
      </c>
      <c r="M2744" s="1">
        <v>33</v>
      </c>
      <c r="N2744" s="1">
        <v>1</v>
      </c>
      <c r="O2744" s="1">
        <v>2</v>
      </c>
      <c r="P2744" s="2">
        <v>1</v>
      </c>
      <c r="Q2744" s="68">
        <v>8</v>
      </c>
    </row>
    <row r="2745" spans="1:17" x14ac:dyDescent="0.25">
      <c r="A2745" s="10">
        <v>151</v>
      </c>
      <c r="B2745" s="10">
        <v>16</v>
      </c>
      <c r="C2745" s="10">
        <v>4</v>
      </c>
      <c r="D2745" s="10">
        <v>1</v>
      </c>
      <c r="E2745" s="10">
        <v>0</v>
      </c>
      <c r="F2745" s="10">
        <v>0</v>
      </c>
      <c r="L2745" s="1">
        <v>303</v>
      </c>
      <c r="M2745" s="1">
        <v>33</v>
      </c>
      <c r="N2745" s="1">
        <v>1</v>
      </c>
      <c r="O2745" s="1">
        <v>2</v>
      </c>
      <c r="P2745" s="2">
        <v>1</v>
      </c>
      <c r="Q2745" s="67">
        <v>12</v>
      </c>
    </row>
    <row r="2746" spans="1:17" x14ac:dyDescent="0.25">
      <c r="A2746" s="10">
        <v>6</v>
      </c>
      <c r="B2746" s="10">
        <v>1</v>
      </c>
      <c r="C2746" s="10">
        <v>4</v>
      </c>
      <c r="D2746" s="10">
        <v>1</v>
      </c>
      <c r="E2746" s="10">
        <v>11</v>
      </c>
      <c r="F2746" s="10">
        <v>11</v>
      </c>
      <c r="L2746" s="1">
        <v>304</v>
      </c>
      <c r="M2746" s="1">
        <v>33</v>
      </c>
      <c r="N2746" s="1">
        <v>1</v>
      </c>
      <c r="O2746" s="1">
        <v>2</v>
      </c>
      <c r="P2746" s="2">
        <v>1</v>
      </c>
      <c r="Q2746" s="68">
        <v>9</v>
      </c>
    </row>
    <row r="2747" spans="1:17" x14ac:dyDescent="0.25">
      <c r="A2747" s="10">
        <v>6</v>
      </c>
      <c r="B2747" s="10">
        <v>1</v>
      </c>
      <c r="C2747" s="10">
        <v>4</v>
      </c>
      <c r="D2747" s="10">
        <v>2</v>
      </c>
      <c r="E2747" s="10">
        <v>13</v>
      </c>
      <c r="F2747" s="10">
        <v>13</v>
      </c>
      <c r="L2747" s="1">
        <v>305</v>
      </c>
      <c r="M2747" s="1">
        <v>33</v>
      </c>
      <c r="N2747" s="1">
        <v>1</v>
      </c>
      <c r="O2747" s="1">
        <v>2</v>
      </c>
      <c r="P2747" s="2">
        <v>1</v>
      </c>
      <c r="Q2747" s="67">
        <v>19</v>
      </c>
    </row>
    <row r="2748" spans="1:17" x14ac:dyDescent="0.25">
      <c r="A2748" s="10">
        <v>151</v>
      </c>
      <c r="B2748" s="10">
        <v>16</v>
      </c>
      <c r="C2748" s="10">
        <v>4</v>
      </c>
      <c r="D2748" s="10">
        <v>2</v>
      </c>
      <c r="E2748" s="10">
        <v>0</v>
      </c>
      <c r="F2748" s="10">
        <v>0</v>
      </c>
      <c r="L2748" s="1">
        <v>306</v>
      </c>
      <c r="M2748" s="1">
        <v>33</v>
      </c>
      <c r="N2748" s="1">
        <v>1</v>
      </c>
      <c r="O2748" s="1">
        <v>2</v>
      </c>
      <c r="P2748" s="2">
        <v>1</v>
      </c>
      <c r="Q2748" s="68">
        <v>17</v>
      </c>
    </row>
    <row r="2749" spans="1:17" x14ac:dyDescent="0.25">
      <c r="A2749" s="10">
        <v>38</v>
      </c>
      <c r="B2749" s="10">
        <v>5</v>
      </c>
      <c r="C2749" s="10">
        <v>4</v>
      </c>
      <c r="D2749" s="10">
        <v>1</v>
      </c>
      <c r="E2749" s="10">
        <v>7</v>
      </c>
      <c r="F2749" s="10">
        <v>7</v>
      </c>
      <c r="L2749" s="1">
        <v>307</v>
      </c>
      <c r="M2749" s="1">
        <v>33</v>
      </c>
      <c r="N2749" s="1">
        <v>1</v>
      </c>
      <c r="O2749" s="1">
        <v>2</v>
      </c>
      <c r="P2749" s="2">
        <v>1</v>
      </c>
      <c r="Q2749" s="67">
        <v>9</v>
      </c>
    </row>
    <row r="2750" spans="1:17" x14ac:dyDescent="0.25">
      <c r="A2750" s="10">
        <v>6</v>
      </c>
      <c r="B2750" s="10">
        <v>1</v>
      </c>
      <c r="C2750" s="10">
        <v>4</v>
      </c>
      <c r="D2750" s="10">
        <v>7</v>
      </c>
      <c r="E2750" s="10">
        <v>1</v>
      </c>
      <c r="F2750" s="10">
        <v>1</v>
      </c>
      <c r="L2750" s="1">
        <v>308</v>
      </c>
      <c r="M2750" s="1">
        <v>33</v>
      </c>
      <c r="N2750" s="1">
        <v>1</v>
      </c>
      <c r="O2750" s="1">
        <v>2</v>
      </c>
      <c r="P2750" s="2">
        <v>1</v>
      </c>
      <c r="Q2750" s="68">
        <v>12</v>
      </c>
    </row>
    <row r="2751" spans="1:17" x14ac:dyDescent="0.25">
      <c r="A2751" s="10">
        <v>151</v>
      </c>
      <c r="B2751" s="10">
        <v>16</v>
      </c>
      <c r="C2751" s="10">
        <v>4</v>
      </c>
      <c r="D2751" s="10">
        <v>5</v>
      </c>
      <c r="E2751" s="10">
        <v>1</v>
      </c>
      <c r="F2751" s="10">
        <v>1</v>
      </c>
      <c r="L2751" s="1">
        <v>309</v>
      </c>
      <c r="M2751" s="1">
        <v>33</v>
      </c>
      <c r="N2751" s="1">
        <v>1</v>
      </c>
      <c r="O2751" s="1">
        <v>2</v>
      </c>
      <c r="P2751" s="2">
        <v>1</v>
      </c>
      <c r="Q2751" s="67">
        <v>14</v>
      </c>
    </row>
    <row r="2752" spans="1:17" x14ac:dyDescent="0.25">
      <c r="A2752" s="10">
        <v>151</v>
      </c>
      <c r="B2752" s="10">
        <v>16</v>
      </c>
      <c r="C2752" s="10">
        <v>4</v>
      </c>
      <c r="D2752" s="10">
        <v>6</v>
      </c>
      <c r="E2752" s="10">
        <v>1</v>
      </c>
      <c r="F2752" s="10">
        <v>1</v>
      </c>
      <c r="L2752" s="1">
        <v>310</v>
      </c>
      <c r="M2752" s="1">
        <v>33</v>
      </c>
      <c r="N2752" s="1">
        <v>1</v>
      </c>
      <c r="O2752" s="1">
        <v>2</v>
      </c>
      <c r="P2752" s="2">
        <v>1</v>
      </c>
      <c r="Q2752" s="68">
        <v>11</v>
      </c>
    </row>
    <row r="2753" spans="1:17" x14ac:dyDescent="0.25">
      <c r="A2753" s="10">
        <v>273</v>
      </c>
      <c r="B2753" s="10">
        <v>30</v>
      </c>
      <c r="C2753" s="10">
        <v>3</v>
      </c>
      <c r="D2753" s="10">
        <v>3</v>
      </c>
      <c r="E2753" s="10">
        <v>8</v>
      </c>
      <c r="F2753" s="10">
        <v>8</v>
      </c>
      <c r="L2753" s="1">
        <v>311</v>
      </c>
      <c r="M2753" s="1">
        <v>34</v>
      </c>
      <c r="N2753" s="1">
        <v>1</v>
      </c>
      <c r="O2753" s="1">
        <v>2</v>
      </c>
      <c r="P2753" s="2">
        <v>1</v>
      </c>
      <c r="Q2753" s="67">
        <v>15</v>
      </c>
    </row>
    <row r="2754" spans="1:17" x14ac:dyDescent="0.25">
      <c r="A2754" s="10">
        <v>335</v>
      </c>
      <c r="B2754" s="10">
        <v>36</v>
      </c>
      <c r="C2754" s="10">
        <v>2</v>
      </c>
      <c r="D2754" s="10">
        <v>1</v>
      </c>
      <c r="E2754" s="10">
        <v>25</v>
      </c>
      <c r="F2754" s="10">
        <v>25</v>
      </c>
      <c r="L2754" s="1">
        <v>312</v>
      </c>
      <c r="M2754" s="1">
        <v>34</v>
      </c>
      <c r="N2754" s="1">
        <v>1</v>
      </c>
      <c r="O2754" s="1">
        <v>2</v>
      </c>
      <c r="P2754" s="2">
        <v>1</v>
      </c>
      <c r="Q2754" s="68">
        <v>19</v>
      </c>
    </row>
    <row r="2755" spans="1:17" x14ac:dyDescent="0.25">
      <c r="A2755" s="10">
        <v>17</v>
      </c>
      <c r="B2755" s="10">
        <v>2</v>
      </c>
      <c r="C2755" s="10">
        <v>3</v>
      </c>
      <c r="D2755" s="10">
        <v>1</v>
      </c>
      <c r="E2755" s="10">
        <v>601</v>
      </c>
      <c r="F2755" s="10">
        <v>601</v>
      </c>
      <c r="L2755" s="1">
        <v>313</v>
      </c>
      <c r="M2755" s="1">
        <v>34</v>
      </c>
      <c r="N2755" s="1">
        <v>1</v>
      </c>
      <c r="O2755" s="1">
        <v>2</v>
      </c>
      <c r="P2755" s="2">
        <v>1</v>
      </c>
      <c r="Q2755" s="67">
        <v>25</v>
      </c>
    </row>
    <row r="2756" spans="1:17" x14ac:dyDescent="0.25">
      <c r="A2756" s="10">
        <v>17</v>
      </c>
      <c r="B2756" s="10">
        <v>2</v>
      </c>
      <c r="C2756" s="10">
        <v>3</v>
      </c>
      <c r="D2756" s="10">
        <v>2</v>
      </c>
      <c r="E2756" s="10">
        <v>396</v>
      </c>
      <c r="F2756" s="10">
        <v>396</v>
      </c>
      <c r="L2756" s="1">
        <v>314</v>
      </c>
      <c r="M2756" s="1">
        <v>34</v>
      </c>
      <c r="N2756" s="1">
        <v>1</v>
      </c>
      <c r="O2756" s="1">
        <v>2</v>
      </c>
      <c r="P2756" s="2">
        <v>1</v>
      </c>
      <c r="Q2756" s="68">
        <v>20</v>
      </c>
    </row>
    <row r="2757" spans="1:17" x14ac:dyDescent="0.25">
      <c r="A2757" s="10">
        <v>334</v>
      </c>
      <c r="B2757" s="10">
        <v>36</v>
      </c>
      <c r="C2757" s="10">
        <v>2</v>
      </c>
      <c r="D2757" s="10">
        <v>1</v>
      </c>
      <c r="E2757" s="10">
        <v>7</v>
      </c>
      <c r="F2757" s="10">
        <v>7</v>
      </c>
      <c r="L2757" s="1">
        <v>315</v>
      </c>
      <c r="M2757" s="1">
        <v>34</v>
      </c>
      <c r="N2757" s="1">
        <v>1</v>
      </c>
      <c r="O2757" s="1">
        <v>2</v>
      </c>
      <c r="P2757" s="2">
        <v>1</v>
      </c>
      <c r="Q2757" s="67">
        <v>23</v>
      </c>
    </row>
    <row r="2758" spans="1:17" x14ac:dyDescent="0.25">
      <c r="A2758" s="10">
        <v>334</v>
      </c>
      <c r="B2758" s="10">
        <v>36</v>
      </c>
      <c r="C2758" s="10">
        <v>2</v>
      </c>
      <c r="D2758" s="10">
        <v>2</v>
      </c>
      <c r="E2758" s="10">
        <v>6</v>
      </c>
      <c r="F2758" s="10">
        <v>6</v>
      </c>
      <c r="L2758" s="1">
        <v>316</v>
      </c>
      <c r="M2758" s="1">
        <v>34</v>
      </c>
      <c r="N2758" s="1">
        <v>1</v>
      </c>
      <c r="O2758" s="1">
        <v>2</v>
      </c>
      <c r="P2758" s="2">
        <v>1</v>
      </c>
      <c r="Q2758" s="68">
        <v>25</v>
      </c>
    </row>
    <row r="2759" spans="1:17" x14ac:dyDescent="0.25">
      <c r="A2759" s="10">
        <v>3</v>
      </c>
      <c r="B2759" s="10">
        <v>1</v>
      </c>
      <c r="C2759" s="10">
        <v>2</v>
      </c>
      <c r="D2759" s="10">
        <v>1</v>
      </c>
      <c r="E2759" s="10">
        <v>25</v>
      </c>
      <c r="F2759" s="10">
        <v>25</v>
      </c>
      <c r="L2759" s="1">
        <v>317</v>
      </c>
      <c r="M2759" s="1">
        <v>34</v>
      </c>
      <c r="N2759" s="1">
        <v>1</v>
      </c>
      <c r="O2759" s="1">
        <v>2</v>
      </c>
      <c r="P2759" s="2">
        <v>1</v>
      </c>
      <c r="Q2759" s="67">
        <v>21</v>
      </c>
    </row>
    <row r="2760" spans="1:17" x14ac:dyDescent="0.25">
      <c r="A2760" s="10">
        <v>201</v>
      </c>
      <c r="B2760" s="10">
        <v>22</v>
      </c>
      <c r="C2760" s="10">
        <v>3</v>
      </c>
      <c r="D2760" s="10">
        <v>1</v>
      </c>
      <c r="E2760" s="10">
        <v>6</v>
      </c>
      <c r="F2760" s="10">
        <v>6</v>
      </c>
      <c r="L2760" s="1">
        <v>318</v>
      </c>
      <c r="M2760" s="1">
        <v>34</v>
      </c>
      <c r="N2760" s="1">
        <v>1</v>
      </c>
      <c r="O2760" s="1">
        <v>2</v>
      </c>
      <c r="P2760" s="2">
        <v>1</v>
      </c>
      <c r="Q2760" s="68">
        <v>24</v>
      </c>
    </row>
    <row r="2761" spans="1:17" x14ac:dyDescent="0.25">
      <c r="A2761" s="10">
        <v>433</v>
      </c>
      <c r="B2761" s="10">
        <v>47</v>
      </c>
      <c r="C2761" s="10">
        <v>3</v>
      </c>
      <c r="D2761" s="10">
        <v>2</v>
      </c>
      <c r="E2761" s="10">
        <v>6</v>
      </c>
      <c r="F2761" s="10">
        <v>6</v>
      </c>
      <c r="L2761" s="1">
        <v>319</v>
      </c>
      <c r="M2761" s="1">
        <v>34</v>
      </c>
      <c r="N2761" s="1">
        <v>1</v>
      </c>
      <c r="O2761" s="1">
        <v>2</v>
      </c>
      <c r="P2761" s="2">
        <v>1</v>
      </c>
      <c r="Q2761" s="67">
        <v>25</v>
      </c>
    </row>
    <row r="2762" spans="1:17" x14ac:dyDescent="0.25">
      <c r="A2762" s="10">
        <v>182</v>
      </c>
      <c r="B2762" s="10">
        <v>19</v>
      </c>
      <c r="C2762" s="10">
        <v>2</v>
      </c>
      <c r="D2762" s="10">
        <v>1</v>
      </c>
      <c r="E2762" s="10">
        <v>3</v>
      </c>
      <c r="F2762" s="10">
        <v>3</v>
      </c>
      <c r="L2762" s="1">
        <v>320</v>
      </c>
      <c r="M2762" s="1">
        <v>34</v>
      </c>
      <c r="N2762" s="1">
        <v>1</v>
      </c>
      <c r="O2762" s="1">
        <v>2</v>
      </c>
      <c r="P2762" s="2">
        <v>1</v>
      </c>
      <c r="Q2762" s="68">
        <v>17</v>
      </c>
    </row>
    <row r="2763" spans="1:17" x14ac:dyDescent="0.25">
      <c r="A2763" s="10">
        <v>127</v>
      </c>
      <c r="B2763" s="10">
        <v>14</v>
      </c>
      <c r="C2763" s="10">
        <v>3</v>
      </c>
      <c r="D2763" s="10">
        <v>2</v>
      </c>
      <c r="E2763" s="10">
        <v>56</v>
      </c>
      <c r="F2763" s="10">
        <v>56</v>
      </c>
      <c r="L2763" s="1">
        <v>321</v>
      </c>
      <c r="M2763" s="1">
        <v>35</v>
      </c>
      <c r="N2763" s="1">
        <v>1</v>
      </c>
      <c r="O2763" s="1">
        <v>2</v>
      </c>
      <c r="P2763" s="2">
        <v>1</v>
      </c>
      <c r="Q2763" s="67">
        <v>10</v>
      </c>
    </row>
    <row r="2764" spans="1:17" x14ac:dyDescent="0.25">
      <c r="A2764" s="10">
        <v>182</v>
      </c>
      <c r="B2764" s="10">
        <v>19</v>
      </c>
      <c r="C2764" s="10">
        <v>2</v>
      </c>
      <c r="D2764" s="10">
        <v>2</v>
      </c>
      <c r="E2764" s="10">
        <v>3</v>
      </c>
      <c r="F2764" s="10">
        <v>3</v>
      </c>
      <c r="L2764" s="1">
        <v>322</v>
      </c>
      <c r="M2764" s="1">
        <v>35</v>
      </c>
      <c r="N2764" s="1">
        <v>1</v>
      </c>
      <c r="O2764" s="1">
        <v>2</v>
      </c>
      <c r="P2764" s="2">
        <v>1</v>
      </c>
      <c r="Q2764" s="68">
        <v>20</v>
      </c>
    </row>
    <row r="2765" spans="1:17" x14ac:dyDescent="0.25">
      <c r="A2765" s="10">
        <v>43</v>
      </c>
      <c r="B2765" s="10">
        <v>5</v>
      </c>
      <c r="C2765" s="10">
        <v>3</v>
      </c>
      <c r="D2765" s="10">
        <v>1</v>
      </c>
      <c r="E2765" s="10">
        <v>6</v>
      </c>
      <c r="F2765" s="10">
        <v>6</v>
      </c>
      <c r="L2765" s="1">
        <v>323</v>
      </c>
      <c r="M2765" s="1">
        <v>35</v>
      </c>
      <c r="N2765" s="1">
        <v>1</v>
      </c>
      <c r="O2765" s="1">
        <v>2</v>
      </c>
      <c r="P2765" s="2">
        <v>1</v>
      </c>
      <c r="Q2765" s="67">
        <v>6</v>
      </c>
    </row>
    <row r="2766" spans="1:17" x14ac:dyDescent="0.25">
      <c r="A2766" s="10">
        <v>43</v>
      </c>
      <c r="B2766" s="10">
        <v>5</v>
      </c>
      <c r="C2766" s="10">
        <v>3</v>
      </c>
      <c r="D2766" s="10">
        <v>2</v>
      </c>
      <c r="E2766" s="10">
        <v>10</v>
      </c>
      <c r="F2766" s="10">
        <v>10</v>
      </c>
      <c r="L2766" s="1">
        <v>324</v>
      </c>
      <c r="M2766" s="1">
        <v>35</v>
      </c>
      <c r="N2766" s="1">
        <v>1</v>
      </c>
      <c r="O2766" s="1">
        <v>2</v>
      </c>
      <c r="P2766" s="2">
        <v>1</v>
      </c>
      <c r="Q2766" s="68">
        <v>14</v>
      </c>
    </row>
    <row r="2767" spans="1:17" x14ac:dyDescent="0.25">
      <c r="A2767" s="10">
        <v>43</v>
      </c>
      <c r="B2767" s="10">
        <v>5</v>
      </c>
      <c r="C2767" s="10">
        <v>3</v>
      </c>
      <c r="D2767" s="10">
        <v>4</v>
      </c>
      <c r="E2767" s="10">
        <v>1</v>
      </c>
      <c r="F2767" s="10">
        <v>1</v>
      </c>
      <c r="L2767" s="1">
        <v>325</v>
      </c>
      <c r="M2767" s="1">
        <v>35</v>
      </c>
      <c r="N2767" s="1">
        <v>1</v>
      </c>
      <c r="O2767" s="1">
        <v>2</v>
      </c>
      <c r="P2767" s="2">
        <v>1</v>
      </c>
      <c r="Q2767" s="67">
        <v>0</v>
      </c>
    </row>
    <row r="2768" spans="1:17" x14ac:dyDescent="0.25">
      <c r="A2768" s="10">
        <v>434</v>
      </c>
      <c r="B2768" s="10">
        <v>47</v>
      </c>
      <c r="C2768" s="10">
        <v>3</v>
      </c>
      <c r="D2768" s="10">
        <v>1</v>
      </c>
      <c r="E2768" s="10">
        <v>10</v>
      </c>
      <c r="F2768" s="10">
        <v>10</v>
      </c>
      <c r="L2768" s="1">
        <v>326</v>
      </c>
      <c r="M2768" s="1">
        <v>35</v>
      </c>
      <c r="N2768" s="1">
        <v>1</v>
      </c>
      <c r="O2768" s="1">
        <v>2</v>
      </c>
      <c r="P2768" s="2">
        <v>1</v>
      </c>
      <c r="Q2768" s="68">
        <v>12</v>
      </c>
    </row>
    <row r="2769" spans="1:17" x14ac:dyDescent="0.25">
      <c r="A2769" s="10">
        <v>265</v>
      </c>
      <c r="B2769" s="10">
        <v>29</v>
      </c>
      <c r="C2769" s="10">
        <v>3</v>
      </c>
      <c r="D2769" s="10">
        <v>5</v>
      </c>
      <c r="E2769" s="10">
        <v>1</v>
      </c>
      <c r="F2769" s="10">
        <v>1</v>
      </c>
      <c r="L2769" s="1">
        <v>327</v>
      </c>
      <c r="M2769" s="1">
        <v>35</v>
      </c>
      <c r="N2769" s="1">
        <v>1</v>
      </c>
      <c r="O2769" s="1">
        <v>2</v>
      </c>
      <c r="P2769" s="2">
        <v>1</v>
      </c>
      <c r="Q2769" s="67">
        <v>19</v>
      </c>
    </row>
    <row r="2770" spans="1:17" x14ac:dyDescent="0.25">
      <c r="A2770" s="10">
        <v>434</v>
      </c>
      <c r="B2770" s="10">
        <v>47</v>
      </c>
      <c r="C2770" s="10">
        <v>3</v>
      </c>
      <c r="D2770" s="10">
        <v>2</v>
      </c>
      <c r="E2770" s="10">
        <v>20</v>
      </c>
      <c r="F2770" s="10">
        <v>20</v>
      </c>
      <c r="L2770" s="1">
        <v>328</v>
      </c>
      <c r="M2770" s="1">
        <v>35</v>
      </c>
      <c r="N2770" s="1">
        <v>1</v>
      </c>
      <c r="O2770" s="1">
        <v>2</v>
      </c>
      <c r="P2770" s="2">
        <v>1</v>
      </c>
      <c r="Q2770" s="68">
        <v>13</v>
      </c>
    </row>
    <row r="2771" spans="1:17" x14ac:dyDescent="0.25">
      <c r="A2771" s="10">
        <v>434</v>
      </c>
      <c r="B2771" s="10">
        <v>47</v>
      </c>
      <c r="C2771" s="10">
        <v>3</v>
      </c>
      <c r="D2771" s="10">
        <v>4</v>
      </c>
      <c r="E2771" s="10">
        <v>4</v>
      </c>
      <c r="F2771" s="10">
        <v>4</v>
      </c>
      <c r="L2771" s="1">
        <v>329</v>
      </c>
      <c r="M2771" s="1">
        <v>35</v>
      </c>
      <c r="N2771" s="1">
        <v>1</v>
      </c>
      <c r="O2771" s="1">
        <v>2</v>
      </c>
      <c r="P2771" s="2">
        <v>1</v>
      </c>
      <c r="Q2771" s="67">
        <v>15</v>
      </c>
    </row>
    <row r="2772" spans="1:17" x14ac:dyDescent="0.25">
      <c r="A2772" s="10">
        <v>434</v>
      </c>
      <c r="B2772" s="10">
        <v>47</v>
      </c>
      <c r="C2772" s="10">
        <v>3</v>
      </c>
      <c r="D2772" s="10">
        <v>7</v>
      </c>
      <c r="E2772" s="10">
        <v>10</v>
      </c>
      <c r="F2772" s="10">
        <v>10</v>
      </c>
      <c r="L2772" s="1">
        <v>330</v>
      </c>
      <c r="M2772" s="1">
        <v>35</v>
      </c>
      <c r="N2772" s="1">
        <v>1</v>
      </c>
      <c r="O2772" s="1">
        <v>2</v>
      </c>
      <c r="P2772" s="2">
        <v>1</v>
      </c>
      <c r="Q2772" s="68">
        <v>16</v>
      </c>
    </row>
    <row r="2773" spans="1:17" x14ac:dyDescent="0.25">
      <c r="A2773" s="10">
        <v>174</v>
      </c>
      <c r="B2773" s="10">
        <v>19</v>
      </c>
      <c r="C2773" s="10">
        <v>1</v>
      </c>
      <c r="D2773" s="10">
        <v>1</v>
      </c>
      <c r="E2773" s="10">
        <v>38</v>
      </c>
      <c r="F2773" s="10">
        <v>38</v>
      </c>
      <c r="L2773" s="1">
        <v>331</v>
      </c>
      <c r="M2773" s="1">
        <v>36</v>
      </c>
      <c r="N2773" s="1">
        <v>1</v>
      </c>
      <c r="O2773" s="1">
        <v>2</v>
      </c>
      <c r="P2773" s="2">
        <v>1</v>
      </c>
      <c r="Q2773" s="67">
        <v>14</v>
      </c>
    </row>
    <row r="2774" spans="1:17" x14ac:dyDescent="0.25">
      <c r="A2774" s="10">
        <v>436</v>
      </c>
      <c r="B2774" s="10">
        <v>47</v>
      </c>
      <c r="C2774" s="10">
        <v>3</v>
      </c>
      <c r="D2774" s="10">
        <v>2</v>
      </c>
      <c r="E2774" s="10">
        <v>30</v>
      </c>
      <c r="F2774" s="10">
        <v>30</v>
      </c>
      <c r="L2774" s="1">
        <v>332</v>
      </c>
      <c r="M2774" s="1">
        <v>36</v>
      </c>
      <c r="N2774" s="1">
        <v>1</v>
      </c>
      <c r="O2774" s="1">
        <v>2</v>
      </c>
      <c r="P2774" s="2">
        <v>1</v>
      </c>
      <c r="Q2774" s="68">
        <v>4</v>
      </c>
    </row>
    <row r="2775" spans="1:17" x14ac:dyDescent="0.25">
      <c r="A2775" s="10">
        <v>174</v>
      </c>
      <c r="B2775" s="10">
        <v>19</v>
      </c>
      <c r="C2775" s="10">
        <v>1</v>
      </c>
      <c r="D2775" s="10">
        <v>2</v>
      </c>
      <c r="E2775" s="10">
        <v>60</v>
      </c>
      <c r="F2775" s="10">
        <v>60</v>
      </c>
      <c r="L2775" s="1">
        <v>333</v>
      </c>
      <c r="M2775" s="1">
        <v>36</v>
      </c>
      <c r="N2775" s="1">
        <v>1</v>
      </c>
      <c r="O2775" s="1">
        <v>2</v>
      </c>
      <c r="P2775" s="2">
        <v>1</v>
      </c>
      <c r="Q2775" s="67">
        <v>8</v>
      </c>
    </row>
    <row r="2776" spans="1:17" x14ac:dyDescent="0.25">
      <c r="A2776" s="10">
        <v>436</v>
      </c>
      <c r="B2776" s="10">
        <v>47</v>
      </c>
      <c r="C2776" s="10">
        <v>3</v>
      </c>
      <c r="D2776" s="10">
        <v>3</v>
      </c>
      <c r="E2776" s="10">
        <v>15</v>
      </c>
      <c r="F2776" s="10">
        <v>15</v>
      </c>
      <c r="L2776" s="1">
        <v>334</v>
      </c>
      <c r="M2776" s="1">
        <v>36</v>
      </c>
      <c r="N2776" s="1">
        <v>1</v>
      </c>
      <c r="O2776" s="1">
        <v>2</v>
      </c>
      <c r="P2776" s="2">
        <v>1</v>
      </c>
      <c r="Q2776" s="68">
        <v>16</v>
      </c>
    </row>
    <row r="2777" spans="1:17" x14ac:dyDescent="0.25">
      <c r="A2777" s="10">
        <v>174</v>
      </c>
      <c r="B2777" s="10">
        <v>19</v>
      </c>
      <c r="C2777" s="10">
        <v>2</v>
      </c>
      <c r="D2777" s="10">
        <v>1</v>
      </c>
      <c r="E2777" s="10">
        <v>39</v>
      </c>
      <c r="F2777" s="10">
        <v>39</v>
      </c>
      <c r="L2777" s="1">
        <v>335</v>
      </c>
      <c r="M2777" s="1">
        <v>36</v>
      </c>
      <c r="N2777" s="1">
        <v>1</v>
      </c>
      <c r="O2777" s="1">
        <v>2</v>
      </c>
      <c r="P2777" s="2">
        <v>1</v>
      </c>
      <c r="Q2777" s="67">
        <v>13</v>
      </c>
    </row>
    <row r="2778" spans="1:17" x14ac:dyDescent="0.25">
      <c r="A2778" s="10">
        <v>174</v>
      </c>
      <c r="B2778" s="10">
        <v>19</v>
      </c>
      <c r="C2778" s="10">
        <v>2</v>
      </c>
      <c r="D2778" s="10">
        <v>2</v>
      </c>
      <c r="E2778" s="10">
        <v>61</v>
      </c>
      <c r="F2778" s="10">
        <v>61</v>
      </c>
      <c r="L2778" s="1">
        <v>336</v>
      </c>
      <c r="M2778" s="1">
        <v>36</v>
      </c>
      <c r="N2778" s="1">
        <v>1</v>
      </c>
      <c r="O2778" s="1">
        <v>2</v>
      </c>
      <c r="P2778" s="2">
        <v>1</v>
      </c>
      <c r="Q2778" s="68">
        <v>13</v>
      </c>
    </row>
    <row r="2779" spans="1:17" x14ac:dyDescent="0.25">
      <c r="A2779" s="10">
        <v>30</v>
      </c>
      <c r="B2779" s="10">
        <v>4</v>
      </c>
      <c r="C2779" s="10">
        <v>2</v>
      </c>
      <c r="D2779" s="10">
        <v>1</v>
      </c>
      <c r="E2779" s="10">
        <v>10</v>
      </c>
      <c r="F2779" s="10">
        <v>10</v>
      </c>
      <c r="L2779" s="1">
        <v>337</v>
      </c>
      <c r="M2779" s="1">
        <v>36</v>
      </c>
      <c r="N2779" s="1">
        <v>1</v>
      </c>
      <c r="O2779" s="1">
        <v>2</v>
      </c>
      <c r="P2779" s="2">
        <v>1</v>
      </c>
      <c r="Q2779" s="67">
        <v>18</v>
      </c>
    </row>
    <row r="2780" spans="1:17" x14ac:dyDescent="0.25">
      <c r="A2780" s="10">
        <v>30</v>
      </c>
      <c r="B2780" s="10">
        <v>4</v>
      </c>
      <c r="C2780" s="10">
        <v>2</v>
      </c>
      <c r="D2780" s="10">
        <v>2</v>
      </c>
      <c r="E2780" s="10">
        <v>2</v>
      </c>
      <c r="F2780" s="10">
        <v>2</v>
      </c>
      <c r="L2780" s="1">
        <v>338</v>
      </c>
      <c r="M2780" s="1">
        <v>36</v>
      </c>
      <c r="N2780" s="1">
        <v>1</v>
      </c>
      <c r="O2780" s="1">
        <v>2</v>
      </c>
      <c r="P2780" s="2">
        <v>1</v>
      </c>
      <c r="Q2780" s="68">
        <v>10</v>
      </c>
    </row>
    <row r="2781" spans="1:17" x14ac:dyDescent="0.25">
      <c r="A2781" s="10">
        <v>30</v>
      </c>
      <c r="B2781" s="10">
        <v>4</v>
      </c>
      <c r="C2781" s="10">
        <v>1</v>
      </c>
      <c r="D2781" s="10">
        <v>1</v>
      </c>
      <c r="E2781" s="10">
        <v>16</v>
      </c>
      <c r="F2781" s="10">
        <v>16</v>
      </c>
      <c r="L2781" s="1">
        <v>339</v>
      </c>
      <c r="M2781" s="1">
        <v>37</v>
      </c>
      <c r="N2781" s="1">
        <v>1</v>
      </c>
      <c r="O2781" s="1">
        <v>2</v>
      </c>
      <c r="P2781" s="2">
        <v>1</v>
      </c>
      <c r="Q2781" s="67">
        <v>19</v>
      </c>
    </row>
    <row r="2782" spans="1:17" x14ac:dyDescent="0.25">
      <c r="A2782" s="10">
        <v>121</v>
      </c>
      <c r="B2782" s="10">
        <v>13</v>
      </c>
      <c r="C2782" s="10">
        <v>3</v>
      </c>
      <c r="D2782" s="10">
        <v>1</v>
      </c>
      <c r="E2782" s="10">
        <v>20</v>
      </c>
      <c r="F2782" s="10">
        <v>20</v>
      </c>
      <c r="L2782" s="1">
        <v>340</v>
      </c>
      <c r="M2782" s="1">
        <v>37</v>
      </c>
      <c r="N2782" s="1">
        <v>1</v>
      </c>
      <c r="O2782" s="1">
        <v>2</v>
      </c>
      <c r="P2782" s="2">
        <v>1</v>
      </c>
      <c r="Q2782" s="68">
        <v>10</v>
      </c>
    </row>
    <row r="2783" spans="1:17" x14ac:dyDescent="0.25">
      <c r="A2783" s="10">
        <v>121</v>
      </c>
      <c r="B2783" s="10">
        <v>13</v>
      </c>
      <c r="C2783" s="10">
        <v>3</v>
      </c>
      <c r="D2783" s="10">
        <v>2</v>
      </c>
      <c r="E2783" s="10">
        <v>24</v>
      </c>
      <c r="F2783" s="10">
        <v>24</v>
      </c>
      <c r="L2783" s="1">
        <v>341</v>
      </c>
      <c r="M2783" s="1">
        <v>37</v>
      </c>
      <c r="N2783" s="1">
        <v>1</v>
      </c>
      <c r="O2783" s="1">
        <v>2</v>
      </c>
      <c r="P2783" s="2">
        <v>1</v>
      </c>
      <c r="Q2783" s="67">
        <v>13</v>
      </c>
    </row>
    <row r="2784" spans="1:17" x14ac:dyDescent="0.25">
      <c r="A2784" s="10">
        <v>121</v>
      </c>
      <c r="B2784" s="10">
        <v>13</v>
      </c>
      <c r="C2784" s="10">
        <v>3</v>
      </c>
      <c r="D2784" s="10">
        <v>3</v>
      </c>
      <c r="E2784" s="10">
        <v>13</v>
      </c>
      <c r="F2784" s="10">
        <v>13</v>
      </c>
      <c r="L2784" s="1">
        <v>342</v>
      </c>
      <c r="M2784" s="1">
        <v>37</v>
      </c>
      <c r="N2784" s="1">
        <v>1</v>
      </c>
      <c r="O2784" s="1">
        <v>2</v>
      </c>
      <c r="P2784" s="2">
        <v>1</v>
      </c>
      <c r="Q2784" s="68">
        <v>3</v>
      </c>
    </row>
    <row r="2785" spans="1:17" x14ac:dyDescent="0.25">
      <c r="A2785" s="10">
        <v>30</v>
      </c>
      <c r="B2785" s="10">
        <v>4</v>
      </c>
      <c r="C2785" s="10">
        <v>1</v>
      </c>
      <c r="D2785" s="10">
        <v>2</v>
      </c>
      <c r="E2785" s="10">
        <v>1</v>
      </c>
      <c r="F2785" s="10">
        <v>1</v>
      </c>
      <c r="L2785" s="1">
        <v>343</v>
      </c>
      <c r="M2785" s="1">
        <v>37</v>
      </c>
      <c r="N2785" s="1">
        <v>1</v>
      </c>
      <c r="O2785" s="1">
        <v>2</v>
      </c>
      <c r="P2785" s="2">
        <v>1</v>
      </c>
      <c r="Q2785" s="67">
        <v>16</v>
      </c>
    </row>
    <row r="2786" spans="1:17" x14ac:dyDescent="0.25">
      <c r="A2786" s="10">
        <v>341</v>
      </c>
      <c r="B2786" s="10">
        <v>37</v>
      </c>
      <c r="C2786" s="10">
        <v>3</v>
      </c>
      <c r="D2786" s="10">
        <v>1</v>
      </c>
      <c r="E2786" s="10">
        <v>6</v>
      </c>
      <c r="F2786" s="10">
        <v>6</v>
      </c>
      <c r="L2786" s="1">
        <v>344</v>
      </c>
      <c r="M2786" s="1">
        <v>37</v>
      </c>
      <c r="N2786" s="1">
        <v>1</v>
      </c>
      <c r="O2786" s="1">
        <v>2</v>
      </c>
      <c r="P2786" s="2">
        <v>1</v>
      </c>
      <c r="Q2786" s="68">
        <v>4</v>
      </c>
    </row>
    <row r="2787" spans="1:17" x14ac:dyDescent="0.25">
      <c r="A2787" s="10">
        <v>341</v>
      </c>
      <c r="B2787" s="10">
        <v>37</v>
      </c>
      <c r="C2787" s="10">
        <v>3</v>
      </c>
      <c r="D2787" s="10">
        <v>3</v>
      </c>
      <c r="E2787" s="10">
        <v>1</v>
      </c>
      <c r="F2787" s="10">
        <v>1</v>
      </c>
      <c r="L2787" s="1">
        <v>345</v>
      </c>
      <c r="M2787" s="1">
        <v>37</v>
      </c>
      <c r="N2787" s="1">
        <v>1</v>
      </c>
      <c r="O2787" s="1">
        <v>2</v>
      </c>
      <c r="P2787" s="2">
        <v>1</v>
      </c>
      <c r="Q2787" s="67">
        <v>5</v>
      </c>
    </row>
    <row r="2788" spans="1:17" x14ac:dyDescent="0.25">
      <c r="A2788" s="10">
        <v>442</v>
      </c>
      <c r="B2788" s="10">
        <v>47</v>
      </c>
      <c r="C2788" s="10">
        <v>3</v>
      </c>
      <c r="D2788" s="10">
        <v>2</v>
      </c>
      <c r="E2788" s="10">
        <v>15</v>
      </c>
      <c r="F2788" s="10">
        <v>15</v>
      </c>
      <c r="L2788" s="1">
        <v>346</v>
      </c>
      <c r="M2788" s="1">
        <v>37</v>
      </c>
      <c r="N2788" s="1">
        <v>1</v>
      </c>
      <c r="O2788" s="1">
        <v>2</v>
      </c>
      <c r="P2788" s="2">
        <v>1</v>
      </c>
      <c r="Q2788" s="68">
        <v>6</v>
      </c>
    </row>
    <row r="2789" spans="1:17" x14ac:dyDescent="0.25">
      <c r="A2789" s="10">
        <v>442</v>
      </c>
      <c r="B2789" s="10">
        <v>47</v>
      </c>
      <c r="C2789" s="10">
        <v>3</v>
      </c>
      <c r="D2789" s="10">
        <v>7</v>
      </c>
      <c r="E2789" s="10">
        <v>1</v>
      </c>
      <c r="F2789" s="10">
        <v>1</v>
      </c>
      <c r="L2789" s="1">
        <v>347</v>
      </c>
      <c r="M2789" s="1">
        <v>38</v>
      </c>
      <c r="N2789" s="1">
        <v>1</v>
      </c>
      <c r="O2789" s="1">
        <v>2</v>
      </c>
      <c r="P2789" s="2">
        <v>1</v>
      </c>
      <c r="Q2789" s="67">
        <v>3</v>
      </c>
    </row>
    <row r="2790" spans="1:17" x14ac:dyDescent="0.25">
      <c r="A2790" s="10">
        <v>35</v>
      </c>
      <c r="B2790" s="10">
        <v>4</v>
      </c>
      <c r="C2790" s="10">
        <v>3</v>
      </c>
      <c r="D2790" s="10">
        <v>1</v>
      </c>
      <c r="E2790" s="10">
        <v>5</v>
      </c>
      <c r="F2790" s="10">
        <v>5</v>
      </c>
      <c r="L2790" s="1">
        <v>348</v>
      </c>
      <c r="M2790" s="1">
        <v>38</v>
      </c>
      <c r="N2790" s="1">
        <v>1</v>
      </c>
      <c r="O2790" s="1">
        <v>2</v>
      </c>
      <c r="P2790" s="2">
        <v>1</v>
      </c>
      <c r="Q2790" s="68">
        <v>10</v>
      </c>
    </row>
    <row r="2791" spans="1:17" x14ac:dyDescent="0.25">
      <c r="A2791" s="10">
        <v>35</v>
      </c>
      <c r="B2791" s="10">
        <v>4</v>
      </c>
      <c r="C2791" s="10">
        <v>3</v>
      </c>
      <c r="D2791" s="10">
        <v>2</v>
      </c>
      <c r="E2791" s="10">
        <v>3</v>
      </c>
      <c r="F2791" s="10">
        <v>3</v>
      </c>
      <c r="L2791" s="1">
        <v>349</v>
      </c>
      <c r="M2791" s="1">
        <v>38</v>
      </c>
      <c r="N2791" s="1">
        <v>1</v>
      </c>
      <c r="O2791" s="1">
        <v>2</v>
      </c>
      <c r="P2791" s="2">
        <v>1</v>
      </c>
      <c r="Q2791" s="67">
        <v>10</v>
      </c>
    </row>
    <row r="2792" spans="1:17" x14ac:dyDescent="0.25">
      <c r="A2792" s="10">
        <v>35</v>
      </c>
      <c r="B2792" s="10">
        <v>4</v>
      </c>
      <c r="C2792" s="10">
        <v>3</v>
      </c>
      <c r="D2792" s="10">
        <v>4</v>
      </c>
      <c r="E2792" s="10">
        <v>2</v>
      </c>
      <c r="F2792" s="10">
        <v>2</v>
      </c>
      <c r="L2792" s="1">
        <v>350</v>
      </c>
      <c r="M2792" s="1">
        <v>38</v>
      </c>
      <c r="N2792" s="1">
        <v>1</v>
      </c>
      <c r="O2792" s="1">
        <v>2</v>
      </c>
      <c r="P2792" s="2">
        <v>1</v>
      </c>
      <c r="Q2792" s="68">
        <v>4</v>
      </c>
    </row>
    <row r="2793" spans="1:17" x14ac:dyDescent="0.25">
      <c r="A2793" s="10">
        <v>341</v>
      </c>
      <c r="B2793" s="10">
        <v>37</v>
      </c>
      <c r="C2793" s="10">
        <v>3</v>
      </c>
      <c r="D2793" s="10">
        <v>8</v>
      </c>
      <c r="E2793" s="10">
        <v>2</v>
      </c>
      <c r="F2793" s="10">
        <v>2</v>
      </c>
      <c r="L2793" s="1">
        <v>351</v>
      </c>
      <c r="M2793" s="1">
        <v>38</v>
      </c>
      <c r="N2793" s="1">
        <v>1</v>
      </c>
      <c r="O2793" s="1">
        <v>2</v>
      </c>
      <c r="P2793" s="2">
        <v>1</v>
      </c>
      <c r="Q2793" s="67">
        <v>2</v>
      </c>
    </row>
    <row r="2794" spans="1:17" x14ac:dyDescent="0.25">
      <c r="A2794" s="10">
        <v>438</v>
      </c>
      <c r="B2794" s="10">
        <v>47</v>
      </c>
      <c r="C2794" s="10">
        <v>3</v>
      </c>
      <c r="D2794" s="10">
        <v>1</v>
      </c>
      <c r="E2794" s="10">
        <v>4</v>
      </c>
      <c r="F2794" s="10">
        <v>4</v>
      </c>
      <c r="L2794" s="1">
        <v>352</v>
      </c>
      <c r="M2794" s="1">
        <v>38</v>
      </c>
      <c r="N2794" s="1">
        <v>1</v>
      </c>
      <c r="O2794" s="1">
        <v>2</v>
      </c>
      <c r="P2794" s="2">
        <v>1</v>
      </c>
      <c r="Q2794" s="68">
        <v>13</v>
      </c>
    </row>
    <row r="2795" spans="1:17" x14ac:dyDescent="0.25">
      <c r="A2795" s="10">
        <v>438</v>
      </c>
      <c r="B2795" s="10">
        <v>47</v>
      </c>
      <c r="C2795" s="10">
        <v>3</v>
      </c>
      <c r="D2795" s="10">
        <v>2</v>
      </c>
      <c r="E2795" s="10">
        <v>6</v>
      </c>
      <c r="F2795" s="10">
        <v>6</v>
      </c>
      <c r="L2795" s="1">
        <v>353</v>
      </c>
      <c r="M2795" s="1">
        <v>38</v>
      </c>
      <c r="N2795" s="1">
        <v>1</v>
      </c>
      <c r="O2795" s="1">
        <v>2</v>
      </c>
      <c r="P2795" s="2">
        <v>1</v>
      </c>
      <c r="Q2795" s="67">
        <v>1</v>
      </c>
    </row>
    <row r="2796" spans="1:17" x14ac:dyDescent="0.25">
      <c r="A2796" s="10">
        <v>438</v>
      </c>
      <c r="B2796" s="10">
        <v>47</v>
      </c>
      <c r="C2796" s="10">
        <v>3</v>
      </c>
      <c r="D2796" s="10">
        <v>3</v>
      </c>
      <c r="E2796" s="10">
        <v>1</v>
      </c>
      <c r="F2796" s="10">
        <v>1</v>
      </c>
      <c r="L2796" s="1">
        <v>354</v>
      </c>
      <c r="M2796" s="1">
        <v>38</v>
      </c>
      <c r="N2796" s="1">
        <v>1</v>
      </c>
      <c r="O2796" s="1">
        <v>2</v>
      </c>
      <c r="P2796" s="2">
        <v>1</v>
      </c>
      <c r="Q2796" s="68">
        <v>19</v>
      </c>
    </row>
    <row r="2797" spans="1:17" x14ac:dyDescent="0.25">
      <c r="A2797" s="10">
        <v>438</v>
      </c>
      <c r="B2797" s="10">
        <v>47</v>
      </c>
      <c r="C2797" s="10">
        <v>3</v>
      </c>
      <c r="D2797" s="10">
        <v>4</v>
      </c>
      <c r="E2797" s="10">
        <v>1</v>
      </c>
      <c r="F2797" s="10">
        <v>1</v>
      </c>
      <c r="L2797" s="1">
        <v>355</v>
      </c>
      <c r="M2797" s="1">
        <v>38</v>
      </c>
      <c r="N2797" s="1">
        <v>1</v>
      </c>
      <c r="O2797" s="1">
        <v>2</v>
      </c>
      <c r="P2797" s="2">
        <v>1</v>
      </c>
      <c r="Q2797" s="67">
        <v>3</v>
      </c>
    </row>
    <row r="2798" spans="1:17" x14ac:dyDescent="0.25">
      <c r="A2798" s="10">
        <v>248</v>
      </c>
      <c r="B2798" s="10">
        <v>27</v>
      </c>
      <c r="C2798" s="10">
        <v>1</v>
      </c>
      <c r="D2798" s="10">
        <v>1</v>
      </c>
      <c r="E2798" s="10">
        <v>23</v>
      </c>
      <c r="F2798" s="10">
        <v>23</v>
      </c>
      <c r="L2798" s="1">
        <v>356</v>
      </c>
      <c r="M2798" s="1">
        <v>38</v>
      </c>
      <c r="N2798" s="1">
        <v>1</v>
      </c>
      <c r="O2798" s="1">
        <v>2</v>
      </c>
      <c r="P2798" s="2">
        <v>1</v>
      </c>
      <c r="Q2798" s="68">
        <v>13</v>
      </c>
    </row>
    <row r="2799" spans="1:17" x14ac:dyDescent="0.25">
      <c r="A2799" s="10">
        <v>120</v>
      </c>
      <c r="B2799" s="10">
        <v>13</v>
      </c>
      <c r="C2799" s="10">
        <v>2</v>
      </c>
      <c r="D2799" s="10">
        <v>2</v>
      </c>
      <c r="E2799" s="10">
        <v>11</v>
      </c>
      <c r="F2799" s="10">
        <v>11</v>
      </c>
      <c r="L2799" s="1">
        <v>357</v>
      </c>
      <c r="M2799" s="1">
        <v>39</v>
      </c>
      <c r="N2799" s="1">
        <v>1</v>
      </c>
      <c r="O2799" s="1">
        <v>2</v>
      </c>
      <c r="P2799" s="2">
        <v>1</v>
      </c>
      <c r="Q2799" s="67">
        <v>2</v>
      </c>
    </row>
    <row r="2800" spans="1:17" x14ac:dyDescent="0.25">
      <c r="A2800" s="10">
        <v>120</v>
      </c>
      <c r="B2800" s="10">
        <v>13</v>
      </c>
      <c r="C2800" s="10">
        <v>2</v>
      </c>
      <c r="D2800" s="10">
        <v>3</v>
      </c>
      <c r="E2800" s="10">
        <v>5</v>
      </c>
      <c r="F2800" s="10">
        <v>5</v>
      </c>
      <c r="L2800" s="1">
        <v>358</v>
      </c>
      <c r="M2800" s="1">
        <v>39</v>
      </c>
      <c r="N2800" s="1">
        <v>1</v>
      </c>
      <c r="O2800" s="1">
        <v>2</v>
      </c>
      <c r="P2800" s="2">
        <v>1</v>
      </c>
      <c r="Q2800" s="68">
        <v>0</v>
      </c>
    </row>
    <row r="2801" spans="1:17" x14ac:dyDescent="0.25">
      <c r="A2801" s="10">
        <v>248</v>
      </c>
      <c r="B2801" s="10">
        <v>27</v>
      </c>
      <c r="C2801" s="10">
        <v>1</v>
      </c>
      <c r="D2801" s="10">
        <v>3</v>
      </c>
      <c r="E2801" s="10">
        <v>2</v>
      </c>
      <c r="F2801" s="10">
        <v>2</v>
      </c>
      <c r="L2801" s="1">
        <v>359</v>
      </c>
      <c r="M2801" s="1">
        <v>39</v>
      </c>
      <c r="N2801" s="1">
        <v>1</v>
      </c>
      <c r="O2801" s="1">
        <v>2</v>
      </c>
      <c r="P2801" s="2">
        <v>1</v>
      </c>
      <c r="Q2801" s="67">
        <v>2</v>
      </c>
    </row>
    <row r="2802" spans="1:17" x14ac:dyDescent="0.25">
      <c r="A2802" s="10">
        <v>248</v>
      </c>
      <c r="B2802" s="10">
        <v>27</v>
      </c>
      <c r="C2802" s="10">
        <v>1</v>
      </c>
      <c r="D2802" s="10">
        <v>4</v>
      </c>
      <c r="E2802" s="10">
        <v>5</v>
      </c>
      <c r="F2802" s="10">
        <v>5</v>
      </c>
      <c r="L2802" s="1">
        <v>360</v>
      </c>
      <c r="M2802" s="1">
        <v>39</v>
      </c>
      <c r="N2802" s="1">
        <v>1</v>
      </c>
      <c r="O2802" s="1">
        <v>2</v>
      </c>
      <c r="P2802" s="2">
        <v>1</v>
      </c>
      <c r="Q2802" s="68">
        <v>7</v>
      </c>
    </row>
    <row r="2803" spans="1:17" x14ac:dyDescent="0.25">
      <c r="A2803" s="10">
        <v>248</v>
      </c>
      <c r="B2803" s="10">
        <v>27</v>
      </c>
      <c r="C2803" s="10">
        <v>1</v>
      </c>
      <c r="D2803" s="10">
        <v>6</v>
      </c>
      <c r="E2803" s="10">
        <v>1</v>
      </c>
      <c r="F2803" s="10">
        <v>1</v>
      </c>
      <c r="L2803" s="1">
        <v>361</v>
      </c>
      <c r="M2803" s="1">
        <v>39</v>
      </c>
      <c r="N2803" s="1">
        <v>1</v>
      </c>
      <c r="O2803" s="1">
        <v>2</v>
      </c>
      <c r="P2803" s="2">
        <v>1</v>
      </c>
      <c r="Q2803" s="67">
        <v>3</v>
      </c>
    </row>
    <row r="2804" spans="1:17" x14ac:dyDescent="0.25">
      <c r="A2804" s="10">
        <v>421</v>
      </c>
      <c r="B2804" s="10">
        <v>45</v>
      </c>
      <c r="C2804" s="10">
        <v>3</v>
      </c>
      <c r="D2804" s="10">
        <v>1</v>
      </c>
      <c r="E2804" s="10">
        <v>24</v>
      </c>
      <c r="F2804" s="10">
        <v>24</v>
      </c>
      <c r="L2804" s="1">
        <v>362</v>
      </c>
      <c r="M2804" s="1">
        <v>39</v>
      </c>
      <c r="N2804" s="1">
        <v>1</v>
      </c>
      <c r="O2804" s="1">
        <v>2</v>
      </c>
      <c r="P2804" s="2">
        <v>1</v>
      </c>
      <c r="Q2804" s="68">
        <v>14</v>
      </c>
    </row>
    <row r="2805" spans="1:17" x14ac:dyDescent="0.25">
      <c r="A2805" s="10">
        <v>120</v>
      </c>
      <c r="B2805" s="10">
        <v>13</v>
      </c>
      <c r="C2805" s="10">
        <v>1</v>
      </c>
      <c r="D2805" s="10">
        <v>1</v>
      </c>
      <c r="E2805" s="10">
        <v>3</v>
      </c>
      <c r="F2805" s="10">
        <v>3</v>
      </c>
      <c r="L2805" s="1">
        <v>363</v>
      </c>
      <c r="M2805" s="1">
        <v>39</v>
      </c>
      <c r="N2805" s="1">
        <v>1</v>
      </c>
      <c r="O2805" s="1">
        <v>2</v>
      </c>
      <c r="P2805" s="2">
        <v>1</v>
      </c>
      <c r="Q2805" s="67">
        <v>0</v>
      </c>
    </row>
    <row r="2806" spans="1:17" x14ac:dyDescent="0.25">
      <c r="A2806" s="10">
        <v>421</v>
      </c>
      <c r="B2806" s="10">
        <v>45</v>
      </c>
      <c r="C2806" s="10">
        <v>3</v>
      </c>
      <c r="D2806" s="10">
        <v>2</v>
      </c>
      <c r="E2806" s="10">
        <v>20</v>
      </c>
      <c r="F2806" s="10">
        <v>20</v>
      </c>
      <c r="L2806" s="1">
        <v>364</v>
      </c>
      <c r="M2806" s="1">
        <v>39</v>
      </c>
      <c r="N2806" s="1">
        <v>1</v>
      </c>
      <c r="O2806" s="1">
        <v>2</v>
      </c>
      <c r="P2806" s="2">
        <v>1</v>
      </c>
      <c r="Q2806" s="68">
        <v>1</v>
      </c>
    </row>
    <row r="2807" spans="1:17" x14ac:dyDescent="0.25">
      <c r="A2807" s="10">
        <v>120</v>
      </c>
      <c r="B2807" s="10">
        <v>13</v>
      </c>
      <c r="C2807" s="10">
        <v>1</v>
      </c>
      <c r="D2807" s="10">
        <v>2</v>
      </c>
      <c r="E2807" s="10">
        <v>2</v>
      </c>
      <c r="F2807" s="10">
        <v>2</v>
      </c>
      <c r="L2807" s="1">
        <v>365</v>
      </c>
      <c r="M2807" s="1">
        <v>39</v>
      </c>
      <c r="N2807" s="1">
        <v>1</v>
      </c>
      <c r="O2807" s="1">
        <v>2</v>
      </c>
      <c r="P2807" s="2">
        <v>1</v>
      </c>
      <c r="Q2807" s="67">
        <v>2</v>
      </c>
    </row>
    <row r="2808" spans="1:17" x14ac:dyDescent="0.25">
      <c r="A2808" s="10">
        <v>441</v>
      </c>
      <c r="B2808" s="10">
        <v>47</v>
      </c>
      <c r="C2808" s="10">
        <v>3</v>
      </c>
      <c r="D2808" s="10">
        <v>1</v>
      </c>
      <c r="E2808" s="10">
        <v>9</v>
      </c>
      <c r="F2808" s="10">
        <v>9</v>
      </c>
      <c r="L2808" s="1">
        <v>366</v>
      </c>
      <c r="M2808" s="1">
        <v>39</v>
      </c>
      <c r="N2808" s="1">
        <v>1</v>
      </c>
      <c r="O2808" s="1">
        <v>2</v>
      </c>
      <c r="P2808" s="2">
        <v>1</v>
      </c>
      <c r="Q2808" s="68">
        <v>0</v>
      </c>
    </row>
    <row r="2809" spans="1:17" x14ac:dyDescent="0.25">
      <c r="A2809" s="10">
        <v>471</v>
      </c>
      <c r="B2809" s="10">
        <v>50</v>
      </c>
      <c r="C2809" s="10">
        <v>3</v>
      </c>
      <c r="D2809" s="10">
        <v>1</v>
      </c>
      <c r="E2809" s="10">
        <v>20</v>
      </c>
      <c r="F2809" s="10">
        <v>20</v>
      </c>
      <c r="L2809" s="1">
        <v>367</v>
      </c>
      <c r="M2809" s="1">
        <v>40</v>
      </c>
      <c r="N2809" s="1">
        <v>1</v>
      </c>
      <c r="O2809" s="1">
        <v>2</v>
      </c>
      <c r="P2809" s="2">
        <v>1</v>
      </c>
      <c r="Q2809" s="67">
        <v>0</v>
      </c>
    </row>
    <row r="2810" spans="1:17" x14ac:dyDescent="0.25">
      <c r="A2810" s="10">
        <v>437</v>
      </c>
      <c r="B2810" s="10">
        <v>47</v>
      </c>
      <c r="C2810" s="10">
        <v>3</v>
      </c>
      <c r="D2810" s="10">
        <v>1</v>
      </c>
      <c r="E2810" s="10">
        <v>23</v>
      </c>
      <c r="F2810" s="10">
        <v>23</v>
      </c>
      <c r="L2810" s="1">
        <v>368</v>
      </c>
      <c r="M2810" s="1">
        <v>40</v>
      </c>
      <c r="N2810" s="1">
        <v>1</v>
      </c>
      <c r="O2810" s="1">
        <v>2</v>
      </c>
      <c r="P2810" s="2">
        <v>1</v>
      </c>
      <c r="Q2810" s="68">
        <v>1</v>
      </c>
    </row>
    <row r="2811" spans="1:17" x14ac:dyDescent="0.25">
      <c r="A2811" s="10">
        <v>65</v>
      </c>
      <c r="B2811" s="10">
        <v>7</v>
      </c>
      <c r="C2811" s="10">
        <v>3</v>
      </c>
      <c r="D2811" s="10">
        <v>3</v>
      </c>
      <c r="E2811" s="10">
        <v>1</v>
      </c>
      <c r="F2811" s="10">
        <v>1</v>
      </c>
      <c r="L2811" s="1">
        <v>369</v>
      </c>
      <c r="M2811" s="1">
        <v>40</v>
      </c>
      <c r="N2811" s="1">
        <v>1</v>
      </c>
      <c r="O2811" s="1">
        <v>2</v>
      </c>
      <c r="P2811" s="2">
        <v>1</v>
      </c>
      <c r="Q2811" s="67">
        <v>4</v>
      </c>
    </row>
    <row r="2812" spans="1:17" x14ac:dyDescent="0.25">
      <c r="A2812" s="10">
        <v>343</v>
      </c>
      <c r="B2812" s="10">
        <v>37</v>
      </c>
      <c r="C2812" s="10">
        <v>3</v>
      </c>
      <c r="D2812" s="10">
        <v>5</v>
      </c>
      <c r="E2812" s="10">
        <v>6</v>
      </c>
      <c r="F2812" s="10">
        <v>6</v>
      </c>
      <c r="L2812" s="1">
        <v>370</v>
      </c>
      <c r="M2812" s="1">
        <v>40</v>
      </c>
      <c r="N2812" s="1">
        <v>1</v>
      </c>
      <c r="O2812" s="1">
        <v>2</v>
      </c>
      <c r="P2812" s="2">
        <v>1</v>
      </c>
      <c r="Q2812" s="68">
        <v>1</v>
      </c>
    </row>
    <row r="2813" spans="1:17" x14ac:dyDescent="0.25">
      <c r="A2813" s="10">
        <v>272</v>
      </c>
      <c r="B2813" s="10">
        <v>30</v>
      </c>
      <c r="C2813" s="10">
        <v>3</v>
      </c>
      <c r="D2813" s="10">
        <v>2</v>
      </c>
      <c r="E2813" s="10">
        <v>16</v>
      </c>
      <c r="F2813" s="10">
        <v>16</v>
      </c>
      <c r="L2813" s="1">
        <v>371</v>
      </c>
      <c r="M2813" s="1">
        <v>40</v>
      </c>
      <c r="N2813" s="1">
        <v>1</v>
      </c>
      <c r="O2813" s="1">
        <v>2</v>
      </c>
      <c r="P2813" s="2">
        <v>1</v>
      </c>
      <c r="Q2813" s="67">
        <v>5</v>
      </c>
    </row>
    <row r="2814" spans="1:17" x14ac:dyDescent="0.25">
      <c r="A2814" s="10">
        <v>413</v>
      </c>
      <c r="B2814" s="10">
        <v>44</v>
      </c>
      <c r="C2814" s="10">
        <v>3</v>
      </c>
      <c r="D2814" s="10">
        <v>2</v>
      </c>
      <c r="E2814" s="10">
        <v>3</v>
      </c>
      <c r="F2814" s="10">
        <v>3</v>
      </c>
      <c r="L2814" s="1">
        <v>372</v>
      </c>
      <c r="M2814" s="1">
        <v>40</v>
      </c>
      <c r="N2814" s="1">
        <v>1</v>
      </c>
      <c r="O2814" s="1">
        <v>2</v>
      </c>
      <c r="P2814" s="2">
        <v>1</v>
      </c>
      <c r="Q2814" s="68">
        <v>16</v>
      </c>
    </row>
    <row r="2815" spans="1:17" x14ac:dyDescent="0.25">
      <c r="A2815" s="10">
        <v>45</v>
      </c>
      <c r="B2815" s="10">
        <v>5</v>
      </c>
      <c r="C2815" s="10">
        <v>3</v>
      </c>
      <c r="D2815" s="10">
        <v>1</v>
      </c>
      <c r="E2815" s="10">
        <v>3</v>
      </c>
      <c r="F2815" s="10">
        <v>3</v>
      </c>
      <c r="L2815" s="1">
        <v>373</v>
      </c>
      <c r="M2815" s="1">
        <v>40</v>
      </c>
      <c r="N2815" s="1">
        <v>1</v>
      </c>
      <c r="O2815" s="1">
        <v>2</v>
      </c>
      <c r="P2815" s="2">
        <v>1</v>
      </c>
      <c r="Q2815" s="67">
        <v>14</v>
      </c>
    </row>
    <row r="2816" spans="1:17" x14ac:dyDescent="0.25">
      <c r="A2816" s="10">
        <v>274</v>
      </c>
      <c r="B2816" s="10">
        <v>30</v>
      </c>
      <c r="C2816" s="10">
        <v>1</v>
      </c>
      <c r="D2816" s="10">
        <v>3</v>
      </c>
      <c r="E2816" s="10">
        <v>1</v>
      </c>
      <c r="F2816" s="10">
        <v>1</v>
      </c>
      <c r="L2816" s="1">
        <v>374</v>
      </c>
      <c r="M2816" s="1">
        <v>40</v>
      </c>
      <c r="N2816" s="1">
        <v>1</v>
      </c>
      <c r="O2816" s="1">
        <v>2</v>
      </c>
      <c r="P2816" s="2">
        <v>1</v>
      </c>
      <c r="Q2816" s="68">
        <v>13</v>
      </c>
    </row>
    <row r="2817" spans="1:17" x14ac:dyDescent="0.25">
      <c r="A2817" s="10">
        <v>392</v>
      </c>
      <c r="B2817" s="10">
        <v>42</v>
      </c>
      <c r="C2817" s="10">
        <v>3</v>
      </c>
      <c r="D2817" s="10">
        <v>1</v>
      </c>
      <c r="E2817" s="10">
        <v>3</v>
      </c>
      <c r="F2817" s="10">
        <v>3</v>
      </c>
      <c r="L2817" s="1">
        <v>375</v>
      </c>
      <c r="M2817" s="1">
        <v>41</v>
      </c>
      <c r="N2817" s="1">
        <v>1</v>
      </c>
      <c r="O2817" s="1">
        <v>2</v>
      </c>
      <c r="P2817" s="2">
        <v>1</v>
      </c>
      <c r="Q2817" s="67">
        <v>15</v>
      </c>
    </row>
    <row r="2818" spans="1:17" x14ac:dyDescent="0.25">
      <c r="A2818" s="10">
        <v>420</v>
      </c>
      <c r="B2818" s="10">
        <v>45</v>
      </c>
      <c r="C2818" s="10">
        <v>3</v>
      </c>
      <c r="D2818" s="10">
        <v>2</v>
      </c>
      <c r="E2818" s="10">
        <v>10</v>
      </c>
      <c r="F2818" s="10">
        <v>10</v>
      </c>
      <c r="L2818" s="1">
        <v>376</v>
      </c>
      <c r="M2818" s="1">
        <v>41</v>
      </c>
      <c r="N2818" s="1">
        <v>1</v>
      </c>
      <c r="O2818" s="1">
        <v>2</v>
      </c>
      <c r="P2818" s="2">
        <v>1</v>
      </c>
      <c r="Q2818" s="68">
        <v>8</v>
      </c>
    </row>
    <row r="2819" spans="1:17" x14ac:dyDescent="0.25">
      <c r="A2819" s="10">
        <v>335</v>
      </c>
      <c r="B2819" s="10">
        <v>36</v>
      </c>
      <c r="C2819" s="10">
        <v>3</v>
      </c>
      <c r="D2819" s="10">
        <v>1</v>
      </c>
      <c r="E2819" s="10">
        <v>0</v>
      </c>
      <c r="F2819" s="10">
        <v>0</v>
      </c>
      <c r="L2819" s="1">
        <v>377</v>
      </c>
      <c r="M2819" s="1">
        <v>41</v>
      </c>
      <c r="N2819" s="1">
        <v>1</v>
      </c>
      <c r="O2819" s="1">
        <v>2</v>
      </c>
      <c r="P2819" s="2">
        <v>1</v>
      </c>
      <c r="Q2819" s="67">
        <v>11</v>
      </c>
    </row>
    <row r="2820" spans="1:17" x14ac:dyDescent="0.25">
      <c r="A2820" s="10">
        <v>206</v>
      </c>
      <c r="B2820" s="10">
        <v>22</v>
      </c>
      <c r="C2820" s="10">
        <v>3</v>
      </c>
      <c r="D2820" s="10">
        <v>1</v>
      </c>
      <c r="E2820" s="10">
        <v>14</v>
      </c>
      <c r="F2820" s="10">
        <v>14</v>
      </c>
      <c r="L2820" s="1">
        <v>378</v>
      </c>
      <c r="M2820" s="1">
        <v>41</v>
      </c>
      <c r="N2820" s="1">
        <v>1</v>
      </c>
      <c r="O2820" s="1">
        <v>2</v>
      </c>
      <c r="P2820" s="2">
        <v>1</v>
      </c>
      <c r="Q2820" s="68">
        <v>16</v>
      </c>
    </row>
    <row r="2821" spans="1:17" x14ac:dyDescent="0.25">
      <c r="A2821" s="10">
        <v>206</v>
      </c>
      <c r="B2821" s="10">
        <v>22</v>
      </c>
      <c r="C2821" s="10">
        <v>3</v>
      </c>
      <c r="D2821" s="10">
        <v>2</v>
      </c>
      <c r="E2821" s="10">
        <v>13</v>
      </c>
      <c r="F2821" s="10">
        <v>13</v>
      </c>
      <c r="L2821" s="1">
        <v>379</v>
      </c>
      <c r="M2821" s="1">
        <v>41</v>
      </c>
      <c r="N2821" s="1">
        <v>1</v>
      </c>
      <c r="O2821" s="1">
        <v>2</v>
      </c>
      <c r="P2821" s="2">
        <v>1</v>
      </c>
      <c r="Q2821" s="67">
        <v>12</v>
      </c>
    </row>
    <row r="2822" spans="1:17" x14ac:dyDescent="0.25">
      <c r="A2822" s="10">
        <v>12</v>
      </c>
      <c r="B2822" s="10">
        <v>2</v>
      </c>
      <c r="C2822" s="10">
        <v>3</v>
      </c>
      <c r="D2822" s="10">
        <v>1</v>
      </c>
      <c r="E2822" s="10">
        <v>10</v>
      </c>
      <c r="F2822" s="10">
        <v>10</v>
      </c>
      <c r="L2822" s="1">
        <v>380</v>
      </c>
      <c r="M2822" s="1">
        <v>41</v>
      </c>
      <c r="N2822" s="1">
        <v>1</v>
      </c>
      <c r="O2822" s="1">
        <v>2</v>
      </c>
      <c r="P2822" s="2">
        <v>1</v>
      </c>
      <c r="Q2822" s="68">
        <v>8</v>
      </c>
    </row>
    <row r="2823" spans="1:17" x14ac:dyDescent="0.25">
      <c r="A2823" s="10">
        <v>12</v>
      </c>
      <c r="B2823" s="10">
        <v>2</v>
      </c>
      <c r="C2823" s="10">
        <v>3</v>
      </c>
      <c r="D2823" s="10">
        <v>2</v>
      </c>
      <c r="E2823" s="10">
        <v>11</v>
      </c>
      <c r="F2823" s="10">
        <v>11</v>
      </c>
      <c r="L2823" s="1">
        <v>381</v>
      </c>
      <c r="M2823" s="1">
        <v>41</v>
      </c>
      <c r="N2823" s="1">
        <v>1</v>
      </c>
      <c r="O2823" s="1">
        <v>2</v>
      </c>
      <c r="P2823" s="2">
        <v>1</v>
      </c>
      <c r="Q2823" s="67">
        <v>14</v>
      </c>
    </row>
    <row r="2824" spans="1:17" x14ac:dyDescent="0.25">
      <c r="A2824" s="10">
        <v>12</v>
      </c>
      <c r="B2824" s="10">
        <v>2</v>
      </c>
      <c r="C2824" s="10">
        <v>3</v>
      </c>
      <c r="D2824" s="10">
        <v>4</v>
      </c>
      <c r="E2824" s="10">
        <v>1</v>
      </c>
      <c r="F2824" s="10">
        <v>1</v>
      </c>
      <c r="L2824" s="1">
        <v>382</v>
      </c>
      <c r="M2824" s="1">
        <v>41</v>
      </c>
      <c r="N2824" s="1">
        <v>1</v>
      </c>
      <c r="O2824" s="1">
        <v>2</v>
      </c>
      <c r="P2824" s="2">
        <v>1</v>
      </c>
      <c r="Q2824" s="68">
        <v>12</v>
      </c>
    </row>
    <row r="2825" spans="1:17" x14ac:dyDescent="0.25">
      <c r="A2825" s="10">
        <v>12</v>
      </c>
      <c r="B2825" s="10">
        <v>2</v>
      </c>
      <c r="C2825" s="10">
        <v>3</v>
      </c>
      <c r="D2825" s="10">
        <v>9</v>
      </c>
      <c r="E2825" s="10">
        <v>1</v>
      </c>
      <c r="F2825" s="10">
        <v>1</v>
      </c>
      <c r="L2825" s="1">
        <v>383</v>
      </c>
      <c r="M2825" s="1">
        <v>41</v>
      </c>
      <c r="N2825" s="1">
        <v>1</v>
      </c>
      <c r="O2825" s="1">
        <v>2</v>
      </c>
      <c r="P2825" s="2">
        <v>1</v>
      </c>
      <c r="Q2825" s="67">
        <v>20</v>
      </c>
    </row>
    <row r="2826" spans="1:17" x14ac:dyDescent="0.25">
      <c r="A2826" s="10">
        <v>13</v>
      </c>
      <c r="B2826" s="10">
        <v>2</v>
      </c>
      <c r="C2826" s="10">
        <v>3</v>
      </c>
      <c r="D2826" s="10">
        <v>1</v>
      </c>
      <c r="E2826" s="10">
        <v>463</v>
      </c>
      <c r="F2826" s="10">
        <v>463</v>
      </c>
      <c r="L2826" s="1">
        <v>384</v>
      </c>
      <c r="M2826" s="1">
        <v>41</v>
      </c>
      <c r="N2826" s="1">
        <v>1</v>
      </c>
      <c r="O2826" s="1">
        <v>2</v>
      </c>
      <c r="P2826" s="2">
        <v>1</v>
      </c>
      <c r="Q2826" s="68">
        <v>6</v>
      </c>
    </row>
    <row r="2827" spans="1:17" x14ac:dyDescent="0.25">
      <c r="A2827" s="10">
        <v>13</v>
      </c>
      <c r="B2827" s="10">
        <v>2</v>
      </c>
      <c r="C2827" s="10">
        <v>3</v>
      </c>
      <c r="D2827" s="10">
        <v>2</v>
      </c>
      <c r="E2827" s="10">
        <v>535</v>
      </c>
      <c r="F2827" s="10">
        <v>535</v>
      </c>
      <c r="L2827" s="1">
        <v>385</v>
      </c>
      <c r="M2827" s="1">
        <v>42</v>
      </c>
      <c r="N2827" s="1">
        <v>1</v>
      </c>
      <c r="O2827" s="1">
        <v>2</v>
      </c>
      <c r="P2827" s="2">
        <v>1</v>
      </c>
      <c r="Q2827" s="67">
        <v>12</v>
      </c>
    </row>
    <row r="2828" spans="1:17" x14ac:dyDescent="0.25">
      <c r="A2828" s="10">
        <v>13</v>
      </c>
      <c r="B2828" s="10">
        <v>2</v>
      </c>
      <c r="C2828" s="10">
        <v>3</v>
      </c>
      <c r="D2828" s="10">
        <v>3</v>
      </c>
      <c r="E2828" s="10">
        <v>2</v>
      </c>
      <c r="F2828" s="10">
        <v>2</v>
      </c>
      <c r="L2828" s="1">
        <v>386</v>
      </c>
      <c r="M2828" s="1">
        <v>42</v>
      </c>
      <c r="N2828" s="1">
        <v>1</v>
      </c>
      <c r="O2828" s="1">
        <v>2</v>
      </c>
      <c r="P2828" s="2">
        <v>1</v>
      </c>
      <c r="Q2828" s="68">
        <v>8</v>
      </c>
    </row>
    <row r="2829" spans="1:17" x14ac:dyDescent="0.25">
      <c r="A2829" s="10">
        <v>11</v>
      </c>
      <c r="B2829" s="10">
        <v>2</v>
      </c>
      <c r="C2829" s="10">
        <v>3</v>
      </c>
      <c r="D2829" s="10">
        <v>2</v>
      </c>
      <c r="E2829" s="10">
        <v>14</v>
      </c>
      <c r="F2829" s="10">
        <v>14</v>
      </c>
      <c r="L2829" s="1">
        <v>387</v>
      </c>
      <c r="M2829" s="1">
        <v>42</v>
      </c>
      <c r="N2829" s="1">
        <v>1</v>
      </c>
      <c r="O2829" s="1">
        <v>2</v>
      </c>
      <c r="P2829" s="2">
        <v>1</v>
      </c>
      <c r="Q2829" s="67">
        <v>14</v>
      </c>
    </row>
    <row r="2830" spans="1:17" x14ac:dyDescent="0.25">
      <c r="A2830" s="10">
        <v>11</v>
      </c>
      <c r="B2830" s="10">
        <v>2</v>
      </c>
      <c r="C2830" s="10">
        <v>3</v>
      </c>
      <c r="D2830" s="10">
        <v>10</v>
      </c>
      <c r="E2830" s="10">
        <v>1</v>
      </c>
      <c r="F2830" s="10">
        <v>1</v>
      </c>
      <c r="L2830" s="1">
        <v>388</v>
      </c>
      <c r="M2830" s="1">
        <v>42</v>
      </c>
      <c r="N2830" s="1">
        <v>1</v>
      </c>
      <c r="O2830" s="1">
        <v>2</v>
      </c>
      <c r="P2830" s="2">
        <v>1</v>
      </c>
      <c r="Q2830" s="68">
        <v>15</v>
      </c>
    </row>
    <row r="2831" spans="1:17" x14ac:dyDescent="0.25">
      <c r="A2831" s="10">
        <v>11</v>
      </c>
      <c r="B2831" s="10">
        <v>2</v>
      </c>
      <c r="C2831" s="10">
        <v>3</v>
      </c>
      <c r="D2831" s="10">
        <v>6</v>
      </c>
      <c r="E2831" s="10">
        <v>5</v>
      </c>
      <c r="F2831" s="10">
        <v>5</v>
      </c>
      <c r="L2831" s="1">
        <v>389</v>
      </c>
      <c r="M2831" s="1">
        <v>42</v>
      </c>
      <c r="N2831" s="1">
        <v>1</v>
      </c>
      <c r="O2831" s="1">
        <v>2</v>
      </c>
      <c r="P2831" s="2">
        <v>1</v>
      </c>
      <c r="Q2831" s="67">
        <v>14</v>
      </c>
    </row>
    <row r="2832" spans="1:17" x14ac:dyDescent="0.25">
      <c r="A2832" s="10">
        <v>5</v>
      </c>
      <c r="B2832" s="10">
        <v>1</v>
      </c>
      <c r="C2832" s="10">
        <v>3</v>
      </c>
      <c r="D2832" s="10">
        <v>1</v>
      </c>
      <c r="E2832" s="10">
        <v>542</v>
      </c>
      <c r="F2832" s="10">
        <v>542</v>
      </c>
      <c r="L2832" s="1">
        <v>390</v>
      </c>
      <c r="M2832" s="1">
        <v>42</v>
      </c>
      <c r="N2832" s="1">
        <v>1</v>
      </c>
      <c r="O2832" s="1">
        <v>2</v>
      </c>
      <c r="P2832" s="2">
        <v>1</v>
      </c>
      <c r="Q2832" s="68">
        <v>17</v>
      </c>
    </row>
    <row r="2833" spans="1:17" x14ac:dyDescent="0.25">
      <c r="A2833" s="10">
        <v>5</v>
      </c>
      <c r="B2833" s="10">
        <v>1</v>
      </c>
      <c r="C2833" s="10">
        <v>3</v>
      </c>
      <c r="D2833" s="10">
        <v>2</v>
      </c>
      <c r="E2833" s="10">
        <v>455</v>
      </c>
      <c r="F2833" s="10">
        <v>455</v>
      </c>
      <c r="L2833" s="1">
        <v>391</v>
      </c>
      <c r="M2833" s="1">
        <v>42</v>
      </c>
      <c r="N2833" s="1">
        <v>1</v>
      </c>
      <c r="O2833" s="1">
        <v>2</v>
      </c>
      <c r="P2833" s="2">
        <v>1</v>
      </c>
      <c r="Q2833" s="67">
        <v>15</v>
      </c>
    </row>
    <row r="2834" spans="1:17" x14ac:dyDescent="0.25">
      <c r="A2834" s="10">
        <v>208</v>
      </c>
      <c r="B2834" s="10">
        <v>22</v>
      </c>
      <c r="C2834" s="10">
        <v>3</v>
      </c>
      <c r="D2834" s="10">
        <v>1</v>
      </c>
      <c r="E2834" s="10">
        <v>5</v>
      </c>
      <c r="F2834" s="10">
        <v>5</v>
      </c>
      <c r="L2834" s="1">
        <v>392</v>
      </c>
      <c r="M2834" s="1">
        <v>42</v>
      </c>
      <c r="N2834" s="1">
        <v>1</v>
      </c>
      <c r="O2834" s="1">
        <v>2</v>
      </c>
      <c r="P2834" s="2">
        <v>1</v>
      </c>
      <c r="Q2834" s="68">
        <v>20</v>
      </c>
    </row>
    <row r="2835" spans="1:17" x14ac:dyDescent="0.25">
      <c r="A2835" s="10">
        <v>208</v>
      </c>
      <c r="B2835" s="10">
        <v>22</v>
      </c>
      <c r="C2835" s="10">
        <v>3</v>
      </c>
      <c r="D2835" s="10">
        <v>2</v>
      </c>
      <c r="E2835" s="10">
        <v>3</v>
      </c>
      <c r="F2835" s="10">
        <v>3</v>
      </c>
      <c r="L2835" s="1">
        <v>393</v>
      </c>
      <c r="M2835" s="1">
        <v>42</v>
      </c>
      <c r="N2835" s="1">
        <v>1</v>
      </c>
      <c r="O2835" s="1">
        <v>2</v>
      </c>
      <c r="P2835" s="2">
        <v>1</v>
      </c>
      <c r="Q2835" s="67">
        <v>15</v>
      </c>
    </row>
    <row r="2836" spans="1:17" x14ac:dyDescent="0.25">
      <c r="A2836" s="10">
        <v>7</v>
      </c>
      <c r="B2836" s="10">
        <v>1</v>
      </c>
      <c r="C2836" s="10">
        <v>3</v>
      </c>
      <c r="D2836" s="10">
        <v>1</v>
      </c>
      <c r="E2836" s="10">
        <v>455</v>
      </c>
      <c r="F2836" s="10">
        <v>455</v>
      </c>
      <c r="L2836" s="1">
        <v>394</v>
      </c>
      <c r="M2836" s="1">
        <v>42</v>
      </c>
      <c r="N2836" s="1">
        <v>1</v>
      </c>
      <c r="O2836" s="1">
        <v>2</v>
      </c>
      <c r="P2836" s="2">
        <v>1</v>
      </c>
      <c r="Q2836" s="68">
        <v>20</v>
      </c>
    </row>
    <row r="2837" spans="1:17" x14ac:dyDescent="0.25">
      <c r="A2837" s="10">
        <v>3</v>
      </c>
      <c r="B2837" s="10">
        <v>1</v>
      </c>
      <c r="C2837" s="10">
        <v>3</v>
      </c>
      <c r="D2837" s="10">
        <v>1</v>
      </c>
      <c r="E2837" s="10">
        <v>24</v>
      </c>
      <c r="F2837" s="10">
        <v>24</v>
      </c>
      <c r="L2837" s="1">
        <v>395</v>
      </c>
      <c r="M2837" s="1">
        <v>43</v>
      </c>
      <c r="N2837" s="1">
        <v>1</v>
      </c>
      <c r="O2837" s="1">
        <v>2</v>
      </c>
      <c r="P2837" s="2">
        <v>1</v>
      </c>
      <c r="Q2837" s="67">
        <v>9</v>
      </c>
    </row>
    <row r="2838" spans="1:17" x14ac:dyDescent="0.25">
      <c r="A2838" s="10">
        <v>7</v>
      </c>
      <c r="B2838" s="10">
        <v>1</v>
      </c>
      <c r="C2838" s="10">
        <v>3</v>
      </c>
      <c r="D2838" s="10">
        <v>2</v>
      </c>
      <c r="E2838" s="10">
        <v>542</v>
      </c>
      <c r="F2838" s="10">
        <v>542</v>
      </c>
      <c r="L2838" s="1">
        <v>396</v>
      </c>
      <c r="M2838" s="1">
        <v>43</v>
      </c>
      <c r="N2838" s="1">
        <v>1</v>
      </c>
      <c r="O2838" s="1">
        <v>2</v>
      </c>
      <c r="P2838" s="2">
        <v>1</v>
      </c>
      <c r="Q2838" s="68">
        <v>13</v>
      </c>
    </row>
    <row r="2839" spans="1:17" x14ac:dyDescent="0.25">
      <c r="A2839" s="10">
        <v>3</v>
      </c>
      <c r="B2839" s="10">
        <v>1</v>
      </c>
      <c r="C2839" s="10">
        <v>3</v>
      </c>
      <c r="D2839" s="10">
        <v>2</v>
      </c>
      <c r="E2839" s="10">
        <v>18</v>
      </c>
      <c r="F2839" s="10">
        <v>18</v>
      </c>
      <c r="L2839" s="1">
        <v>397</v>
      </c>
      <c r="M2839" s="1">
        <v>43</v>
      </c>
      <c r="N2839" s="1">
        <v>1</v>
      </c>
      <c r="O2839" s="1">
        <v>2</v>
      </c>
      <c r="P2839" s="2">
        <v>1</v>
      </c>
      <c r="Q2839" s="67">
        <v>18</v>
      </c>
    </row>
    <row r="2840" spans="1:17" x14ac:dyDescent="0.25">
      <c r="A2840" s="10">
        <v>7</v>
      </c>
      <c r="B2840" s="10">
        <v>1</v>
      </c>
      <c r="C2840" s="10">
        <v>3</v>
      </c>
      <c r="D2840" s="10">
        <v>7</v>
      </c>
      <c r="E2840" s="10">
        <v>2</v>
      </c>
      <c r="F2840" s="10">
        <v>2</v>
      </c>
      <c r="L2840" s="1">
        <v>398</v>
      </c>
      <c r="M2840" s="1">
        <v>43</v>
      </c>
      <c r="N2840" s="1">
        <v>1</v>
      </c>
      <c r="O2840" s="1">
        <v>2</v>
      </c>
      <c r="P2840" s="2">
        <v>1</v>
      </c>
      <c r="Q2840" s="68">
        <v>14</v>
      </c>
    </row>
    <row r="2841" spans="1:17" x14ac:dyDescent="0.25">
      <c r="A2841" s="10">
        <v>3</v>
      </c>
      <c r="B2841" s="10">
        <v>1</v>
      </c>
      <c r="C2841" s="10">
        <v>3</v>
      </c>
      <c r="D2841" s="10">
        <v>6</v>
      </c>
      <c r="E2841" s="10">
        <v>1</v>
      </c>
      <c r="F2841" s="10">
        <v>1</v>
      </c>
      <c r="L2841" s="1">
        <v>399</v>
      </c>
      <c r="M2841" s="1">
        <v>43</v>
      </c>
      <c r="N2841" s="1">
        <v>1</v>
      </c>
      <c r="O2841" s="1">
        <v>2</v>
      </c>
      <c r="P2841" s="2">
        <v>1</v>
      </c>
      <c r="Q2841" s="67">
        <v>6</v>
      </c>
    </row>
    <row r="2842" spans="1:17" x14ac:dyDescent="0.25">
      <c r="A2842" s="10">
        <v>9</v>
      </c>
      <c r="B2842" s="10">
        <v>1</v>
      </c>
      <c r="C2842" s="10">
        <v>3</v>
      </c>
      <c r="D2842" s="10">
        <v>2</v>
      </c>
      <c r="E2842" s="10">
        <v>45</v>
      </c>
      <c r="F2842" s="10">
        <v>45</v>
      </c>
      <c r="L2842" s="1">
        <v>400</v>
      </c>
      <c r="M2842" s="1">
        <v>43</v>
      </c>
      <c r="N2842" s="1">
        <v>1</v>
      </c>
      <c r="O2842" s="1">
        <v>2</v>
      </c>
      <c r="P2842" s="2">
        <v>1</v>
      </c>
      <c r="Q2842" s="68">
        <v>6</v>
      </c>
    </row>
    <row r="2843" spans="1:17" x14ac:dyDescent="0.25">
      <c r="A2843" s="10">
        <v>9</v>
      </c>
      <c r="B2843" s="10">
        <v>1</v>
      </c>
      <c r="C2843" s="10">
        <v>3</v>
      </c>
      <c r="D2843" s="10">
        <v>1</v>
      </c>
      <c r="E2843" s="10">
        <v>3</v>
      </c>
      <c r="F2843" s="10">
        <v>3</v>
      </c>
      <c r="L2843" s="1">
        <v>401</v>
      </c>
      <c r="M2843" s="1">
        <v>43</v>
      </c>
      <c r="N2843" s="1">
        <v>1</v>
      </c>
      <c r="O2843" s="1">
        <v>2</v>
      </c>
      <c r="P2843" s="2">
        <v>1</v>
      </c>
      <c r="Q2843" s="67">
        <v>12</v>
      </c>
    </row>
    <row r="2844" spans="1:17" x14ac:dyDescent="0.25">
      <c r="A2844" s="10">
        <v>116</v>
      </c>
      <c r="B2844" s="10">
        <v>13</v>
      </c>
      <c r="C2844" s="10">
        <v>3</v>
      </c>
      <c r="D2844" s="10">
        <v>2</v>
      </c>
      <c r="E2844" s="10">
        <v>10</v>
      </c>
      <c r="F2844" s="10">
        <v>10</v>
      </c>
      <c r="L2844" s="1">
        <v>402</v>
      </c>
      <c r="M2844" s="1">
        <v>43</v>
      </c>
      <c r="N2844" s="1">
        <v>1</v>
      </c>
      <c r="O2844" s="1">
        <v>2</v>
      </c>
      <c r="P2844" s="2">
        <v>1</v>
      </c>
      <c r="Q2844" s="68">
        <v>10</v>
      </c>
    </row>
    <row r="2845" spans="1:17" x14ac:dyDescent="0.25">
      <c r="A2845" s="10">
        <v>116</v>
      </c>
      <c r="B2845" s="10">
        <v>13</v>
      </c>
      <c r="C2845" s="10">
        <v>3</v>
      </c>
      <c r="D2845" s="10">
        <v>5</v>
      </c>
      <c r="E2845" s="10">
        <v>4</v>
      </c>
      <c r="F2845" s="10">
        <v>4</v>
      </c>
      <c r="L2845" s="1">
        <v>403</v>
      </c>
      <c r="M2845" s="1">
        <v>43</v>
      </c>
      <c r="N2845" s="1">
        <v>1</v>
      </c>
      <c r="O2845" s="1">
        <v>2</v>
      </c>
      <c r="P2845" s="2">
        <v>1</v>
      </c>
      <c r="Q2845" s="67">
        <v>8</v>
      </c>
    </row>
    <row r="2846" spans="1:17" x14ac:dyDescent="0.25">
      <c r="A2846" s="10">
        <v>116</v>
      </c>
      <c r="B2846" s="10">
        <v>13</v>
      </c>
      <c r="C2846" s="10">
        <v>3</v>
      </c>
      <c r="D2846" s="10">
        <v>6</v>
      </c>
      <c r="E2846" s="10">
        <v>6</v>
      </c>
      <c r="F2846" s="10">
        <v>6</v>
      </c>
      <c r="L2846" s="1">
        <v>404</v>
      </c>
      <c r="M2846" s="1">
        <v>43</v>
      </c>
      <c r="N2846" s="1">
        <v>1</v>
      </c>
      <c r="O2846" s="1">
        <v>2</v>
      </c>
      <c r="P2846" s="2">
        <v>1</v>
      </c>
      <c r="Q2846" s="68">
        <v>7</v>
      </c>
    </row>
    <row r="2847" spans="1:17" x14ac:dyDescent="0.25">
      <c r="A2847" s="10">
        <v>116</v>
      </c>
      <c r="B2847" s="10">
        <v>13</v>
      </c>
      <c r="C2847" s="10">
        <v>3</v>
      </c>
      <c r="D2847" s="10">
        <v>7</v>
      </c>
      <c r="E2847" s="10">
        <v>11</v>
      </c>
      <c r="F2847" s="10">
        <v>11</v>
      </c>
      <c r="L2847" s="1">
        <v>405</v>
      </c>
      <c r="M2847" s="1">
        <v>44</v>
      </c>
      <c r="N2847" s="1">
        <v>1</v>
      </c>
      <c r="O2847" s="1">
        <v>2</v>
      </c>
      <c r="P2847" s="2">
        <v>1</v>
      </c>
      <c r="Q2847" s="67">
        <v>7</v>
      </c>
    </row>
    <row r="2848" spans="1:17" x14ac:dyDescent="0.25">
      <c r="A2848" s="10">
        <v>42</v>
      </c>
      <c r="B2848" s="10">
        <v>5</v>
      </c>
      <c r="C2848" s="10">
        <v>3</v>
      </c>
      <c r="D2848" s="10">
        <v>1</v>
      </c>
      <c r="E2848" s="10">
        <v>12</v>
      </c>
      <c r="F2848" s="10">
        <v>12</v>
      </c>
      <c r="L2848" s="1">
        <v>406</v>
      </c>
      <c r="M2848" s="1">
        <v>44</v>
      </c>
      <c r="N2848" s="1">
        <v>1</v>
      </c>
      <c r="O2848" s="1">
        <v>2</v>
      </c>
      <c r="P2848" s="2">
        <v>1</v>
      </c>
      <c r="Q2848" s="68">
        <v>2</v>
      </c>
    </row>
    <row r="2849" spans="1:17" x14ac:dyDescent="0.25">
      <c r="A2849" s="10">
        <v>42</v>
      </c>
      <c r="B2849" s="10">
        <v>5</v>
      </c>
      <c r="C2849" s="10">
        <v>3</v>
      </c>
      <c r="D2849" s="10">
        <v>2</v>
      </c>
      <c r="E2849" s="10">
        <v>6</v>
      </c>
      <c r="F2849" s="10">
        <v>6</v>
      </c>
      <c r="L2849" s="1">
        <v>407</v>
      </c>
      <c r="M2849" s="1">
        <v>44</v>
      </c>
      <c r="N2849" s="1">
        <v>1</v>
      </c>
      <c r="O2849" s="1">
        <v>2</v>
      </c>
      <c r="P2849" s="2">
        <v>1</v>
      </c>
      <c r="Q2849" s="67">
        <v>8</v>
      </c>
    </row>
    <row r="2850" spans="1:17" x14ac:dyDescent="0.25">
      <c r="A2850" s="10">
        <v>15</v>
      </c>
      <c r="B2850" s="10">
        <v>2</v>
      </c>
      <c r="C2850" s="10">
        <v>3</v>
      </c>
      <c r="D2850" s="10">
        <v>3</v>
      </c>
      <c r="E2850" s="10">
        <v>1</v>
      </c>
      <c r="F2850" s="10">
        <v>1</v>
      </c>
      <c r="L2850" s="1">
        <v>408</v>
      </c>
      <c r="M2850" s="1">
        <v>44</v>
      </c>
      <c r="N2850" s="1">
        <v>1</v>
      </c>
      <c r="O2850" s="1">
        <v>2</v>
      </c>
      <c r="P2850" s="2">
        <v>1</v>
      </c>
      <c r="Q2850" s="68">
        <v>16</v>
      </c>
    </row>
    <row r="2851" spans="1:17" x14ac:dyDescent="0.25">
      <c r="A2851" s="10">
        <v>338</v>
      </c>
      <c r="B2851" s="10">
        <v>36</v>
      </c>
      <c r="C2851" s="10">
        <v>3</v>
      </c>
      <c r="D2851" s="10">
        <v>1</v>
      </c>
      <c r="E2851" s="10">
        <v>12</v>
      </c>
      <c r="F2851" s="10">
        <v>12</v>
      </c>
      <c r="L2851" s="1">
        <v>409</v>
      </c>
      <c r="M2851" s="1">
        <v>44</v>
      </c>
      <c r="N2851" s="1">
        <v>1</v>
      </c>
      <c r="O2851" s="1">
        <v>2</v>
      </c>
      <c r="P2851" s="2">
        <v>1</v>
      </c>
      <c r="Q2851" s="67">
        <v>4</v>
      </c>
    </row>
    <row r="2852" spans="1:17" x14ac:dyDescent="0.25">
      <c r="A2852" s="10">
        <v>338</v>
      </c>
      <c r="B2852" s="10">
        <v>36</v>
      </c>
      <c r="C2852" s="10">
        <v>3</v>
      </c>
      <c r="D2852" s="10">
        <v>2</v>
      </c>
      <c r="E2852" s="10">
        <v>11</v>
      </c>
      <c r="F2852" s="10">
        <v>11</v>
      </c>
      <c r="L2852" s="1">
        <v>410</v>
      </c>
      <c r="M2852" s="1">
        <v>44</v>
      </c>
      <c r="N2852" s="1">
        <v>1</v>
      </c>
      <c r="O2852" s="1">
        <v>2</v>
      </c>
      <c r="P2852" s="2">
        <v>1</v>
      </c>
      <c r="Q2852" s="68">
        <v>22</v>
      </c>
    </row>
    <row r="2853" spans="1:17" x14ac:dyDescent="0.25">
      <c r="A2853" s="10">
        <v>338</v>
      </c>
      <c r="B2853" s="10">
        <v>36</v>
      </c>
      <c r="C2853" s="10">
        <v>3</v>
      </c>
      <c r="D2853" s="10">
        <v>4</v>
      </c>
      <c r="E2853" s="10">
        <v>1</v>
      </c>
      <c r="F2853" s="10">
        <v>1</v>
      </c>
      <c r="L2853" s="1">
        <v>411</v>
      </c>
      <c r="M2853" s="1">
        <v>44</v>
      </c>
      <c r="N2853" s="1">
        <v>1</v>
      </c>
      <c r="O2853" s="1">
        <v>2</v>
      </c>
      <c r="P2853" s="2">
        <v>1</v>
      </c>
      <c r="Q2853" s="67">
        <v>17</v>
      </c>
    </row>
    <row r="2854" spans="1:17" x14ac:dyDescent="0.25">
      <c r="A2854" s="10">
        <v>38</v>
      </c>
      <c r="B2854" s="10">
        <v>5</v>
      </c>
      <c r="C2854" s="10">
        <v>3</v>
      </c>
      <c r="D2854" s="10">
        <v>1</v>
      </c>
      <c r="E2854" s="10">
        <v>4</v>
      </c>
      <c r="F2854" s="10">
        <v>4</v>
      </c>
      <c r="L2854" s="1">
        <v>412</v>
      </c>
      <c r="M2854" s="1">
        <v>44</v>
      </c>
      <c r="N2854" s="1">
        <v>1</v>
      </c>
      <c r="O2854" s="1">
        <v>2</v>
      </c>
      <c r="P2854" s="2">
        <v>1</v>
      </c>
      <c r="Q2854" s="68">
        <v>15</v>
      </c>
    </row>
    <row r="2855" spans="1:17" x14ac:dyDescent="0.25">
      <c r="A2855" s="10">
        <v>314</v>
      </c>
      <c r="B2855" s="10">
        <v>34</v>
      </c>
      <c r="C2855" s="10">
        <v>3</v>
      </c>
      <c r="D2855" s="10">
        <v>1</v>
      </c>
      <c r="E2855" s="10">
        <v>39</v>
      </c>
      <c r="F2855" s="10">
        <v>39</v>
      </c>
      <c r="L2855" s="1">
        <v>413</v>
      </c>
      <c r="M2855" s="1">
        <v>44</v>
      </c>
      <c r="N2855" s="1">
        <v>1</v>
      </c>
      <c r="O2855" s="1">
        <v>2</v>
      </c>
      <c r="P2855" s="2">
        <v>1</v>
      </c>
      <c r="Q2855" s="67">
        <v>5</v>
      </c>
    </row>
    <row r="2856" spans="1:17" x14ac:dyDescent="0.25">
      <c r="A2856" s="10">
        <v>44</v>
      </c>
      <c r="B2856" s="10">
        <v>5</v>
      </c>
      <c r="C2856" s="10">
        <v>3</v>
      </c>
      <c r="D2856" s="10">
        <v>1</v>
      </c>
      <c r="E2856" s="10">
        <v>5</v>
      </c>
      <c r="F2856" s="10">
        <v>5</v>
      </c>
      <c r="L2856" s="1">
        <v>414</v>
      </c>
      <c r="M2856" s="1">
        <v>44</v>
      </c>
      <c r="N2856" s="1">
        <v>1</v>
      </c>
      <c r="O2856" s="1">
        <v>2</v>
      </c>
      <c r="P2856" s="2">
        <v>1</v>
      </c>
      <c r="Q2856" s="68">
        <v>10</v>
      </c>
    </row>
    <row r="2857" spans="1:17" x14ac:dyDescent="0.25">
      <c r="A2857" s="10">
        <v>37</v>
      </c>
      <c r="B2857" s="10">
        <v>5</v>
      </c>
      <c r="C2857" s="10">
        <v>3</v>
      </c>
      <c r="D2857" s="10">
        <v>5</v>
      </c>
      <c r="E2857" s="10">
        <v>1</v>
      </c>
      <c r="F2857" s="10">
        <v>1</v>
      </c>
      <c r="L2857" s="1">
        <v>415</v>
      </c>
      <c r="M2857" s="1">
        <v>45</v>
      </c>
      <c r="N2857" s="1">
        <v>1</v>
      </c>
      <c r="O2857" s="1">
        <v>2</v>
      </c>
      <c r="P2857" s="2">
        <v>1</v>
      </c>
      <c r="Q2857" s="67">
        <v>10</v>
      </c>
    </row>
    <row r="2858" spans="1:17" x14ac:dyDescent="0.25">
      <c r="A2858" s="10">
        <v>247</v>
      </c>
      <c r="B2858" s="10">
        <v>27</v>
      </c>
      <c r="C2858" s="10">
        <v>3</v>
      </c>
      <c r="D2858" s="10">
        <v>4</v>
      </c>
      <c r="E2858" s="10">
        <v>6</v>
      </c>
      <c r="F2858" s="10">
        <v>6</v>
      </c>
      <c r="L2858" s="1">
        <v>416</v>
      </c>
      <c r="M2858" s="1">
        <v>45</v>
      </c>
      <c r="N2858" s="1">
        <v>1</v>
      </c>
      <c r="O2858" s="1">
        <v>2</v>
      </c>
      <c r="P2858" s="2">
        <v>1</v>
      </c>
      <c r="Q2858" s="68">
        <v>5</v>
      </c>
    </row>
    <row r="2859" spans="1:17" x14ac:dyDescent="0.25">
      <c r="A2859" s="10">
        <v>265</v>
      </c>
      <c r="B2859" s="10">
        <v>29</v>
      </c>
      <c r="C2859" s="10">
        <v>3</v>
      </c>
      <c r="D2859" s="10">
        <v>2</v>
      </c>
      <c r="E2859" s="10">
        <v>3</v>
      </c>
      <c r="F2859" s="10">
        <v>3</v>
      </c>
      <c r="L2859" s="1">
        <v>417</v>
      </c>
      <c r="M2859" s="1">
        <v>45</v>
      </c>
      <c r="N2859" s="1">
        <v>1</v>
      </c>
      <c r="O2859" s="1">
        <v>2</v>
      </c>
      <c r="P2859" s="2">
        <v>1</v>
      </c>
      <c r="Q2859" s="67">
        <v>5</v>
      </c>
    </row>
    <row r="2860" spans="1:17" x14ac:dyDescent="0.25">
      <c r="A2860" s="10">
        <v>436</v>
      </c>
      <c r="B2860" s="10">
        <v>47</v>
      </c>
      <c r="C2860" s="10">
        <v>3</v>
      </c>
      <c r="D2860" s="10">
        <v>1</v>
      </c>
      <c r="E2860" s="10">
        <v>15</v>
      </c>
      <c r="F2860" s="10">
        <v>15</v>
      </c>
      <c r="L2860" s="1">
        <v>418</v>
      </c>
      <c r="M2860" s="1">
        <v>45</v>
      </c>
      <c r="N2860" s="1">
        <v>1</v>
      </c>
      <c r="O2860" s="1">
        <v>2</v>
      </c>
      <c r="P2860" s="2">
        <v>1</v>
      </c>
      <c r="Q2860" s="68">
        <v>8</v>
      </c>
    </row>
    <row r="2861" spans="1:17" x14ac:dyDescent="0.25">
      <c r="A2861" s="10">
        <v>442</v>
      </c>
      <c r="B2861" s="10">
        <v>47</v>
      </c>
      <c r="C2861" s="10">
        <v>3</v>
      </c>
      <c r="D2861" s="10">
        <v>1</v>
      </c>
      <c r="E2861" s="10">
        <v>10</v>
      </c>
      <c r="F2861" s="10">
        <v>10</v>
      </c>
      <c r="L2861" s="1">
        <v>419</v>
      </c>
      <c r="M2861" s="1">
        <v>45</v>
      </c>
      <c r="N2861" s="1">
        <v>1</v>
      </c>
      <c r="O2861" s="1">
        <v>2</v>
      </c>
      <c r="P2861" s="2">
        <v>1</v>
      </c>
      <c r="Q2861" s="67">
        <v>15</v>
      </c>
    </row>
    <row r="2862" spans="1:17" x14ac:dyDescent="0.25">
      <c r="A2862" s="10">
        <v>341</v>
      </c>
      <c r="B2862" s="10">
        <v>37</v>
      </c>
      <c r="C2862" s="10">
        <v>3</v>
      </c>
      <c r="D2862" s="10">
        <v>5</v>
      </c>
      <c r="E2862" s="10">
        <v>7</v>
      </c>
      <c r="F2862" s="10">
        <v>7</v>
      </c>
      <c r="L2862" s="1">
        <v>420</v>
      </c>
      <c r="M2862" s="1">
        <v>45</v>
      </c>
      <c r="N2862" s="1">
        <v>1</v>
      </c>
      <c r="O2862" s="1">
        <v>2</v>
      </c>
      <c r="P2862" s="2">
        <v>1</v>
      </c>
      <c r="Q2862" s="68">
        <v>12</v>
      </c>
    </row>
    <row r="2863" spans="1:17" x14ac:dyDescent="0.25">
      <c r="A2863" s="10">
        <v>120</v>
      </c>
      <c r="B2863" s="10">
        <v>13</v>
      </c>
      <c r="C2863" s="10">
        <v>2</v>
      </c>
      <c r="D2863" s="10">
        <v>1</v>
      </c>
      <c r="E2863" s="10">
        <v>10</v>
      </c>
      <c r="F2863" s="10">
        <v>10</v>
      </c>
      <c r="L2863" s="1">
        <v>421</v>
      </c>
      <c r="M2863" s="1">
        <v>45</v>
      </c>
      <c r="N2863" s="1">
        <v>1</v>
      </c>
      <c r="O2863" s="1">
        <v>2</v>
      </c>
      <c r="P2863" s="2">
        <v>1</v>
      </c>
      <c r="Q2863" s="67">
        <v>14</v>
      </c>
    </row>
    <row r="2864" spans="1:17" x14ac:dyDescent="0.25">
      <c r="A2864" s="10">
        <v>248</v>
      </c>
      <c r="B2864" s="10">
        <v>27</v>
      </c>
      <c r="C2864" s="10">
        <v>1</v>
      </c>
      <c r="D2864" s="10">
        <v>2</v>
      </c>
      <c r="E2864" s="10">
        <v>21</v>
      </c>
      <c r="F2864" s="10">
        <v>21</v>
      </c>
      <c r="L2864" s="1">
        <v>422</v>
      </c>
      <c r="M2864" s="1">
        <v>45</v>
      </c>
      <c r="N2864" s="1">
        <v>1</v>
      </c>
      <c r="O2864" s="1">
        <v>2</v>
      </c>
      <c r="P2864" s="2">
        <v>1</v>
      </c>
      <c r="Q2864" s="68">
        <v>16</v>
      </c>
    </row>
    <row r="2865" spans="1:17" x14ac:dyDescent="0.25">
      <c r="A2865" s="10">
        <v>441</v>
      </c>
      <c r="B2865" s="10">
        <v>47</v>
      </c>
      <c r="C2865" s="10">
        <v>3</v>
      </c>
      <c r="D2865" s="10">
        <v>2</v>
      </c>
      <c r="E2865" s="10">
        <v>7</v>
      </c>
      <c r="F2865" s="10">
        <v>7</v>
      </c>
      <c r="L2865" s="1">
        <v>423</v>
      </c>
      <c r="M2865" s="1">
        <v>46</v>
      </c>
      <c r="N2865" s="1">
        <v>1</v>
      </c>
      <c r="O2865" s="1">
        <v>2</v>
      </c>
      <c r="P2865" s="2">
        <v>1</v>
      </c>
      <c r="Q2865" s="67">
        <v>15</v>
      </c>
    </row>
    <row r="2866" spans="1:17" x14ac:dyDescent="0.25">
      <c r="A2866" s="10">
        <v>11</v>
      </c>
      <c r="B2866" s="10">
        <v>2</v>
      </c>
      <c r="C2866" s="10">
        <v>3</v>
      </c>
      <c r="D2866" s="10">
        <v>1</v>
      </c>
      <c r="E2866" s="10">
        <v>15</v>
      </c>
      <c r="F2866" s="10">
        <v>15</v>
      </c>
      <c r="L2866" s="1">
        <v>424</v>
      </c>
      <c r="M2866" s="1">
        <v>46</v>
      </c>
      <c r="N2866" s="1">
        <v>1</v>
      </c>
      <c r="O2866" s="1">
        <v>2</v>
      </c>
      <c r="P2866" s="2">
        <v>1</v>
      </c>
      <c r="Q2866" s="68">
        <v>17</v>
      </c>
    </row>
    <row r="2867" spans="1:17" x14ac:dyDescent="0.25">
      <c r="A2867" s="10">
        <v>15</v>
      </c>
      <c r="B2867" s="10">
        <v>2</v>
      </c>
      <c r="C2867" s="10">
        <v>3</v>
      </c>
      <c r="D2867" s="10">
        <v>2</v>
      </c>
      <c r="E2867" s="10">
        <v>19</v>
      </c>
      <c r="F2867" s="10">
        <v>19</v>
      </c>
      <c r="L2867" s="1">
        <v>425</v>
      </c>
      <c r="M2867" s="1">
        <v>46</v>
      </c>
      <c r="N2867" s="1">
        <v>1</v>
      </c>
      <c r="O2867" s="1">
        <v>2</v>
      </c>
      <c r="P2867" s="2">
        <v>1</v>
      </c>
      <c r="Q2867" s="67">
        <v>13</v>
      </c>
    </row>
    <row r="2868" spans="1:17" x14ac:dyDescent="0.25">
      <c r="A2868" s="10">
        <v>15</v>
      </c>
      <c r="B2868" s="10">
        <v>2</v>
      </c>
      <c r="C2868" s="10">
        <v>3</v>
      </c>
      <c r="D2868" s="10">
        <v>1</v>
      </c>
      <c r="E2868" s="10">
        <v>27</v>
      </c>
      <c r="F2868" s="10">
        <v>27</v>
      </c>
      <c r="L2868" s="1">
        <v>426</v>
      </c>
      <c r="M2868" s="1">
        <v>46</v>
      </c>
      <c r="N2868" s="1">
        <v>1</v>
      </c>
      <c r="O2868" s="1">
        <v>2</v>
      </c>
      <c r="P2868" s="2">
        <v>1</v>
      </c>
      <c r="Q2868" s="68">
        <v>14</v>
      </c>
    </row>
    <row r="2869" spans="1:17" x14ac:dyDescent="0.25">
      <c r="A2869" s="10">
        <v>44</v>
      </c>
      <c r="B2869" s="10">
        <v>5</v>
      </c>
      <c r="C2869" s="10">
        <v>3</v>
      </c>
      <c r="D2869" s="10">
        <v>2</v>
      </c>
      <c r="E2869" s="10">
        <v>9</v>
      </c>
      <c r="F2869" s="10">
        <v>9</v>
      </c>
      <c r="L2869" s="1">
        <v>427</v>
      </c>
      <c r="M2869" s="1">
        <v>46</v>
      </c>
      <c r="N2869" s="1">
        <v>1</v>
      </c>
      <c r="O2869" s="1">
        <v>2</v>
      </c>
      <c r="P2869" s="2">
        <v>1</v>
      </c>
      <c r="Q2869" s="67">
        <v>14</v>
      </c>
    </row>
    <row r="2870" spans="1:17" x14ac:dyDescent="0.25">
      <c r="A2870" s="10">
        <v>312</v>
      </c>
      <c r="B2870" s="10">
        <v>34</v>
      </c>
      <c r="C2870" s="10">
        <v>3</v>
      </c>
      <c r="D2870" s="10">
        <v>1</v>
      </c>
      <c r="E2870" s="10">
        <v>1</v>
      </c>
      <c r="F2870" s="10">
        <v>1</v>
      </c>
      <c r="L2870" s="1">
        <v>428</v>
      </c>
      <c r="M2870" s="1">
        <v>46</v>
      </c>
      <c r="N2870" s="1">
        <v>1</v>
      </c>
      <c r="O2870" s="1">
        <v>2</v>
      </c>
      <c r="P2870" s="2">
        <v>1</v>
      </c>
      <c r="Q2870" s="68">
        <v>14</v>
      </c>
    </row>
    <row r="2871" spans="1:17" x14ac:dyDescent="0.25">
      <c r="A2871" s="10">
        <v>312</v>
      </c>
      <c r="B2871" s="10">
        <v>34</v>
      </c>
      <c r="C2871" s="10">
        <v>3</v>
      </c>
      <c r="D2871" s="10">
        <v>2</v>
      </c>
      <c r="E2871" s="10">
        <v>4</v>
      </c>
      <c r="F2871" s="10">
        <v>4</v>
      </c>
      <c r="L2871" s="1">
        <v>429</v>
      </c>
      <c r="M2871" s="1">
        <v>46</v>
      </c>
      <c r="N2871" s="1">
        <v>1</v>
      </c>
      <c r="O2871" s="1">
        <v>2</v>
      </c>
      <c r="P2871" s="2">
        <v>1</v>
      </c>
      <c r="Q2871" s="67">
        <v>15</v>
      </c>
    </row>
    <row r="2872" spans="1:17" x14ac:dyDescent="0.25">
      <c r="A2872" s="10">
        <v>36</v>
      </c>
      <c r="B2872" s="10">
        <v>4</v>
      </c>
      <c r="C2872" s="10">
        <v>3</v>
      </c>
      <c r="D2872" s="10">
        <v>1</v>
      </c>
      <c r="E2872" s="10">
        <v>16</v>
      </c>
      <c r="F2872" s="10">
        <v>16</v>
      </c>
      <c r="L2872" s="1">
        <v>430</v>
      </c>
      <c r="M2872" s="1">
        <v>46</v>
      </c>
      <c r="N2872" s="1">
        <v>1</v>
      </c>
      <c r="O2872" s="1">
        <v>2</v>
      </c>
      <c r="P2872" s="2">
        <v>1</v>
      </c>
      <c r="Q2872" s="68">
        <v>18</v>
      </c>
    </row>
    <row r="2873" spans="1:17" x14ac:dyDescent="0.25">
      <c r="A2873" s="10">
        <v>312</v>
      </c>
      <c r="B2873" s="10">
        <v>34</v>
      </c>
      <c r="C2873" s="10">
        <v>3</v>
      </c>
      <c r="D2873" s="10">
        <v>5</v>
      </c>
      <c r="E2873" s="10">
        <v>3</v>
      </c>
      <c r="F2873" s="10">
        <v>3</v>
      </c>
      <c r="L2873" s="1">
        <v>431</v>
      </c>
      <c r="M2873" s="1">
        <v>46</v>
      </c>
      <c r="N2873" s="1">
        <v>1</v>
      </c>
      <c r="O2873" s="1">
        <v>2</v>
      </c>
      <c r="P2873" s="2">
        <v>1</v>
      </c>
      <c r="Q2873" s="67">
        <v>19</v>
      </c>
    </row>
    <row r="2874" spans="1:17" x14ac:dyDescent="0.25">
      <c r="A2874" s="10">
        <v>312</v>
      </c>
      <c r="B2874" s="10">
        <v>34</v>
      </c>
      <c r="C2874" s="10">
        <v>3</v>
      </c>
      <c r="D2874" s="10">
        <v>9</v>
      </c>
      <c r="E2874" s="10">
        <v>2</v>
      </c>
      <c r="F2874" s="10">
        <v>2</v>
      </c>
      <c r="L2874" s="1">
        <v>432</v>
      </c>
      <c r="M2874" s="1">
        <v>46</v>
      </c>
      <c r="N2874" s="1">
        <v>1</v>
      </c>
      <c r="O2874" s="1">
        <v>2</v>
      </c>
      <c r="P2874" s="2">
        <v>1</v>
      </c>
      <c r="Q2874" s="68">
        <v>13</v>
      </c>
    </row>
    <row r="2875" spans="1:17" x14ac:dyDescent="0.25">
      <c r="A2875" s="10">
        <v>151</v>
      </c>
      <c r="B2875" s="10">
        <v>16</v>
      </c>
      <c r="C2875" s="10">
        <v>3</v>
      </c>
      <c r="D2875" s="10">
        <v>7</v>
      </c>
      <c r="E2875" s="10">
        <v>5</v>
      </c>
      <c r="F2875" s="10">
        <v>5</v>
      </c>
      <c r="L2875" s="1">
        <v>433</v>
      </c>
      <c r="M2875" s="1">
        <v>47</v>
      </c>
      <c r="N2875" s="1">
        <v>1</v>
      </c>
      <c r="O2875" s="1">
        <v>2</v>
      </c>
      <c r="P2875" s="2">
        <v>1</v>
      </c>
      <c r="Q2875" s="67">
        <v>17</v>
      </c>
    </row>
    <row r="2876" spans="1:17" x14ac:dyDescent="0.25">
      <c r="A2876" s="10">
        <v>182</v>
      </c>
      <c r="B2876" s="10">
        <v>19</v>
      </c>
      <c r="C2876" s="10">
        <v>3</v>
      </c>
      <c r="D2876" s="10">
        <v>2</v>
      </c>
      <c r="E2876" s="10">
        <v>12</v>
      </c>
      <c r="F2876" s="10">
        <v>12</v>
      </c>
      <c r="L2876" s="1">
        <v>434</v>
      </c>
      <c r="M2876" s="1">
        <v>47</v>
      </c>
      <c r="N2876" s="1">
        <v>1</v>
      </c>
      <c r="O2876" s="1">
        <v>2</v>
      </c>
      <c r="P2876" s="2">
        <v>1</v>
      </c>
      <c r="Q2876" s="68">
        <v>10</v>
      </c>
    </row>
    <row r="2877" spans="1:17" x14ac:dyDescent="0.25">
      <c r="A2877" s="10">
        <v>389</v>
      </c>
      <c r="B2877" s="10">
        <v>42</v>
      </c>
      <c r="C2877" s="10">
        <v>4</v>
      </c>
      <c r="D2877" s="10">
        <v>2</v>
      </c>
      <c r="E2877" s="10">
        <v>24</v>
      </c>
      <c r="F2877" s="10">
        <v>24</v>
      </c>
      <c r="L2877" s="1">
        <v>435</v>
      </c>
      <c r="M2877" s="1">
        <v>47</v>
      </c>
      <c r="N2877" s="1">
        <v>1</v>
      </c>
      <c r="O2877" s="1">
        <v>2</v>
      </c>
      <c r="P2877" s="2">
        <v>1</v>
      </c>
      <c r="Q2877" s="67">
        <v>12</v>
      </c>
    </row>
    <row r="2878" spans="1:17" x14ac:dyDescent="0.25">
      <c r="A2878" s="10">
        <v>417</v>
      </c>
      <c r="B2878" s="10">
        <v>45</v>
      </c>
      <c r="C2878" s="10">
        <v>4</v>
      </c>
      <c r="D2878" s="10">
        <v>1</v>
      </c>
      <c r="E2878" s="10">
        <v>21</v>
      </c>
      <c r="F2878" s="10">
        <v>21</v>
      </c>
      <c r="L2878" s="1">
        <v>436</v>
      </c>
      <c r="M2878" s="1">
        <v>47</v>
      </c>
      <c r="N2878" s="1">
        <v>1</v>
      </c>
      <c r="O2878" s="1">
        <v>2</v>
      </c>
      <c r="P2878" s="2">
        <v>1</v>
      </c>
      <c r="Q2878" s="68">
        <v>14</v>
      </c>
    </row>
    <row r="2879" spans="1:17" x14ac:dyDescent="0.25">
      <c r="A2879" s="10">
        <v>156</v>
      </c>
      <c r="B2879" s="10">
        <v>17</v>
      </c>
      <c r="C2879" s="10">
        <v>1</v>
      </c>
      <c r="D2879" s="10">
        <v>4</v>
      </c>
      <c r="E2879" s="10">
        <v>3</v>
      </c>
      <c r="F2879" s="10">
        <v>3</v>
      </c>
      <c r="L2879" s="1">
        <v>437</v>
      </c>
      <c r="M2879" s="1">
        <v>47</v>
      </c>
      <c r="N2879" s="1">
        <v>1</v>
      </c>
      <c r="O2879" s="1">
        <v>2</v>
      </c>
      <c r="P2879" s="2">
        <v>1</v>
      </c>
      <c r="Q2879" s="67">
        <v>15</v>
      </c>
    </row>
    <row r="2880" spans="1:17" x14ac:dyDescent="0.25">
      <c r="A2880" s="10">
        <v>156</v>
      </c>
      <c r="B2880" s="10">
        <v>17</v>
      </c>
      <c r="C2880" s="10">
        <v>1</v>
      </c>
      <c r="D2880" s="10">
        <v>7</v>
      </c>
      <c r="E2880" s="10">
        <v>10</v>
      </c>
      <c r="F2880" s="10">
        <v>10</v>
      </c>
      <c r="L2880" s="1">
        <v>438</v>
      </c>
      <c r="M2880" s="1">
        <v>47</v>
      </c>
      <c r="N2880" s="1">
        <v>1</v>
      </c>
      <c r="O2880" s="1">
        <v>2</v>
      </c>
      <c r="P2880" s="2">
        <v>1</v>
      </c>
      <c r="Q2880" s="68">
        <v>12</v>
      </c>
    </row>
    <row r="2881" spans="1:17" x14ac:dyDescent="0.25">
      <c r="A2881" s="10">
        <v>251</v>
      </c>
      <c r="B2881" s="10">
        <v>27</v>
      </c>
      <c r="C2881" s="10">
        <v>4</v>
      </c>
      <c r="D2881" s="10">
        <v>3</v>
      </c>
      <c r="E2881" s="10">
        <v>2</v>
      </c>
      <c r="F2881" s="10">
        <v>2</v>
      </c>
      <c r="L2881" s="1">
        <v>439</v>
      </c>
      <c r="M2881" s="1">
        <v>47</v>
      </c>
      <c r="N2881" s="1">
        <v>1</v>
      </c>
      <c r="O2881" s="1">
        <v>2</v>
      </c>
      <c r="P2881" s="2">
        <v>1</v>
      </c>
      <c r="Q2881" s="67">
        <v>8</v>
      </c>
    </row>
    <row r="2882" spans="1:17" x14ac:dyDescent="0.25">
      <c r="A2882" s="10">
        <v>43</v>
      </c>
      <c r="B2882" s="10">
        <v>5</v>
      </c>
      <c r="C2882" s="10">
        <v>4</v>
      </c>
      <c r="D2882" s="10">
        <v>3</v>
      </c>
      <c r="E2882" s="10">
        <v>1</v>
      </c>
      <c r="F2882" s="10">
        <v>1</v>
      </c>
      <c r="L2882" s="1">
        <v>440</v>
      </c>
      <c r="M2882" s="1">
        <v>47</v>
      </c>
      <c r="N2882" s="1">
        <v>1</v>
      </c>
      <c r="O2882" s="1">
        <v>2</v>
      </c>
      <c r="P2882" s="2">
        <v>1</v>
      </c>
      <c r="Q2882" s="68">
        <v>16</v>
      </c>
    </row>
    <row r="2883" spans="1:17" x14ac:dyDescent="0.25">
      <c r="A2883" s="10">
        <v>249</v>
      </c>
      <c r="B2883" s="10">
        <v>27</v>
      </c>
      <c r="C2883" s="10">
        <v>4</v>
      </c>
      <c r="D2883" s="10">
        <v>1</v>
      </c>
      <c r="E2883" s="10">
        <v>25</v>
      </c>
      <c r="F2883" s="10">
        <v>25</v>
      </c>
      <c r="L2883" s="1">
        <v>441</v>
      </c>
      <c r="M2883" s="1">
        <v>47</v>
      </c>
      <c r="N2883" s="1">
        <v>1</v>
      </c>
      <c r="O2883" s="1">
        <v>2</v>
      </c>
      <c r="P2883" s="2">
        <v>1</v>
      </c>
      <c r="Q2883" s="67">
        <v>15</v>
      </c>
    </row>
    <row r="2884" spans="1:17" x14ac:dyDescent="0.25">
      <c r="A2884" s="10">
        <v>249</v>
      </c>
      <c r="B2884" s="10">
        <v>27</v>
      </c>
      <c r="C2884" s="10">
        <v>4</v>
      </c>
      <c r="D2884" s="10">
        <v>2</v>
      </c>
      <c r="E2884" s="10">
        <v>5</v>
      </c>
      <c r="F2884" s="10">
        <v>5</v>
      </c>
      <c r="L2884" s="1">
        <v>442</v>
      </c>
      <c r="M2884" s="1">
        <v>47</v>
      </c>
      <c r="N2884" s="1">
        <v>1</v>
      </c>
      <c r="O2884" s="1">
        <v>2</v>
      </c>
      <c r="P2884" s="2">
        <v>1</v>
      </c>
      <c r="Q2884" s="68">
        <v>12</v>
      </c>
    </row>
    <row r="2885" spans="1:17" x14ac:dyDescent="0.25">
      <c r="A2885" s="10">
        <v>342</v>
      </c>
      <c r="B2885" s="10">
        <v>37</v>
      </c>
      <c r="C2885" s="10">
        <v>1</v>
      </c>
      <c r="D2885" s="10">
        <v>1</v>
      </c>
      <c r="E2885" s="10">
        <v>34</v>
      </c>
      <c r="F2885" s="10">
        <v>34</v>
      </c>
      <c r="L2885" s="1">
        <v>443</v>
      </c>
      <c r="M2885" s="1">
        <v>48</v>
      </c>
      <c r="N2885" s="1">
        <v>1</v>
      </c>
      <c r="O2885" s="1">
        <v>2</v>
      </c>
      <c r="P2885" s="2">
        <v>1</v>
      </c>
      <c r="Q2885" s="67">
        <v>17</v>
      </c>
    </row>
    <row r="2886" spans="1:17" x14ac:dyDescent="0.25">
      <c r="A2886" s="10">
        <v>265</v>
      </c>
      <c r="B2886" s="10">
        <v>29</v>
      </c>
      <c r="C2886" s="10">
        <v>4</v>
      </c>
      <c r="D2886" s="10">
        <v>1</v>
      </c>
      <c r="E2886" s="10">
        <v>8</v>
      </c>
      <c r="F2886" s="10">
        <v>8</v>
      </c>
      <c r="L2886" s="1">
        <v>444</v>
      </c>
      <c r="M2886" s="1">
        <v>48</v>
      </c>
      <c r="N2886" s="1">
        <v>1</v>
      </c>
      <c r="O2886" s="1">
        <v>2</v>
      </c>
      <c r="P2886" s="2">
        <v>1</v>
      </c>
      <c r="Q2886" s="68">
        <v>17</v>
      </c>
    </row>
    <row r="2887" spans="1:17" x14ac:dyDescent="0.25">
      <c r="A2887" s="10">
        <v>342</v>
      </c>
      <c r="B2887" s="10">
        <v>37</v>
      </c>
      <c r="C2887" s="10">
        <v>4</v>
      </c>
      <c r="D2887" s="10">
        <v>7</v>
      </c>
      <c r="E2887" s="10">
        <v>9</v>
      </c>
      <c r="F2887" s="10">
        <v>9</v>
      </c>
      <c r="L2887" s="1">
        <v>445</v>
      </c>
      <c r="M2887" s="1">
        <v>48</v>
      </c>
      <c r="N2887" s="1">
        <v>1</v>
      </c>
      <c r="O2887" s="1">
        <v>2</v>
      </c>
      <c r="P2887" s="2">
        <v>1</v>
      </c>
      <c r="Q2887" s="67">
        <v>17</v>
      </c>
    </row>
    <row r="2888" spans="1:17" x14ac:dyDescent="0.25">
      <c r="A2888" s="10">
        <v>65</v>
      </c>
      <c r="B2888" s="10">
        <v>7</v>
      </c>
      <c r="C2888" s="10">
        <v>4</v>
      </c>
      <c r="D2888" s="10">
        <v>4</v>
      </c>
      <c r="E2888" s="10">
        <v>1</v>
      </c>
      <c r="F2888" s="10">
        <v>1</v>
      </c>
      <c r="L2888" s="1">
        <v>446</v>
      </c>
      <c r="M2888" s="1">
        <v>48</v>
      </c>
      <c r="N2888" s="1">
        <v>1</v>
      </c>
      <c r="O2888" s="1">
        <v>2</v>
      </c>
      <c r="P2888" s="2">
        <v>1</v>
      </c>
      <c r="Q2888" s="68">
        <v>16</v>
      </c>
    </row>
    <row r="2889" spans="1:17" x14ac:dyDescent="0.25">
      <c r="A2889" s="10">
        <v>265</v>
      </c>
      <c r="B2889" s="10">
        <v>29</v>
      </c>
      <c r="C2889" s="10">
        <v>4</v>
      </c>
      <c r="D2889" s="10">
        <v>4</v>
      </c>
      <c r="E2889" s="10">
        <v>9</v>
      </c>
      <c r="F2889" s="10">
        <v>9</v>
      </c>
      <c r="L2889" s="1">
        <v>447</v>
      </c>
      <c r="M2889" s="1">
        <v>48</v>
      </c>
      <c r="N2889" s="1">
        <v>1</v>
      </c>
      <c r="O2889" s="1">
        <v>2</v>
      </c>
      <c r="P2889" s="2">
        <v>1</v>
      </c>
      <c r="Q2889" s="67">
        <v>15</v>
      </c>
    </row>
    <row r="2890" spans="1:17" x14ac:dyDescent="0.25">
      <c r="A2890" s="10">
        <v>265</v>
      </c>
      <c r="B2890" s="10">
        <v>29</v>
      </c>
      <c r="C2890" s="10">
        <v>4</v>
      </c>
      <c r="D2890" s="10">
        <v>6</v>
      </c>
      <c r="E2890" s="10">
        <v>9</v>
      </c>
      <c r="F2890" s="10">
        <v>9</v>
      </c>
      <c r="L2890" s="1">
        <v>448</v>
      </c>
      <c r="M2890" s="1">
        <v>48</v>
      </c>
      <c r="N2890" s="1">
        <v>1</v>
      </c>
      <c r="O2890" s="1">
        <v>2</v>
      </c>
      <c r="P2890" s="2">
        <v>1</v>
      </c>
      <c r="Q2890" s="68">
        <v>13</v>
      </c>
    </row>
    <row r="2891" spans="1:17" x14ac:dyDescent="0.25">
      <c r="A2891" s="10">
        <v>131</v>
      </c>
      <c r="B2891" s="10">
        <v>14</v>
      </c>
      <c r="C2891" s="10">
        <v>4</v>
      </c>
      <c r="D2891" s="10">
        <v>1</v>
      </c>
      <c r="E2891" s="10">
        <v>16</v>
      </c>
      <c r="F2891" s="10">
        <v>16</v>
      </c>
      <c r="L2891" s="1">
        <v>449</v>
      </c>
      <c r="M2891" s="1">
        <v>48</v>
      </c>
      <c r="N2891" s="1">
        <v>1</v>
      </c>
      <c r="O2891" s="1">
        <v>2</v>
      </c>
      <c r="P2891" s="2">
        <v>1</v>
      </c>
      <c r="Q2891" s="67">
        <v>16</v>
      </c>
    </row>
    <row r="2892" spans="1:17" x14ac:dyDescent="0.25">
      <c r="A2892" s="10">
        <v>131</v>
      </c>
      <c r="B2892" s="10">
        <v>14</v>
      </c>
      <c r="C2892" s="10">
        <v>4</v>
      </c>
      <c r="D2892" s="10">
        <v>2</v>
      </c>
      <c r="E2892" s="10">
        <v>14</v>
      </c>
      <c r="F2892" s="10">
        <v>14</v>
      </c>
      <c r="L2892" s="1">
        <v>450</v>
      </c>
      <c r="M2892" s="1">
        <v>48</v>
      </c>
      <c r="N2892" s="1">
        <v>1</v>
      </c>
      <c r="O2892" s="1">
        <v>2</v>
      </c>
      <c r="P2892" s="2">
        <v>1</v>
      </c>
      <c r="Q2892" s="68">
        <v>11</v>
      </c>
    </row>
    <row r="2893" spans="1:17" x14ac:dyDescent="0.25">
      <c r="A2893" s="10">
        <v>121</v>
      </c>
      <c r="B2893" s="10">
        <v>13</v>
      </c>
      <c r="C2893" s="10">
        <v>4</v>
      </c>
      <c r="D2893" s="10">
        <v>1</v>
      </c>
      <c r="E2893" s="10">
        <v>21</v>
      </c>
      <c r="F2893" s="10">
        <v>21</v>
      </c>
      <c r="L2893" s="1">
        <v>451</v>
      </c>
      <c r="M2893" s="1">
        <v>48</v>
      </c>
      <c r="N2893" s="1">
        <v>1</v>
      </c>
      <c r="O2893" s="1">
        <v>2</v>
      </c>
      <c r="P2893" s="2">
        <v>1</v>
      </c>
      <c r="Q2893" s="67">
        <v>9</v>
      </c>
    </row>
    <row r="2894" spans="1:17" x14ac:dyDescent="0.25">
      <c r="A2894" s="10">
        <v>121</v>
      </c>
      <c r="B2894" s="10">
        <v>13</v>
      </c>
      <c r="C2894" s="10">
        <v>4</v>
      </c>
      <c r="D2894" s="10">
        <v>2</v>
      </c>
      <c r="E2894" s="10">
        <v>23</v>
      </c>
      <c r="F2894" s="10">
        <v>23</v>
      </c>
      <c r="L2894" s="1">
        <v>452</v>
      </c>
      <c r="M2894" s="1">
        <v>48</v>
      </c>
      <c r="N2894" s="1">
        <v>1</v>
      </c>
      <c r="O2894" s="1">
        <v>2</v>
      </c>
      <c r="P2894" s="2">
        <v>1</v>
      </c>
      <c r="Q2894" s="68">
        <v>6</v>
      </c>
    </row>
    <row r="2895" spans="1:17" x14ac:dyDescent="0.25">
      <c r="A2895" s="10">
        <v>121</v>
      </c>
      <c r="B2895" s="10">
        <v>13</v>
      </c>
      <c r="C2895" s="10">
        <v>4</v>
      </c>
      <c r="D2895" s="10">
        <v>3</v>
      </c>
      <c r="E2895" s="10">
        <v>7</v>
      </c>
      <c r="F2895" s="10">
        <v>7</v>
      </c>
      <c r="L2895" s="1">
        <v>453</v>
      </c>
      <c r="M2895" s="1">
        <v>49</v>
      </c>
      <c r="N2895" s="1">
        <v>1</v>
      </c>
      <c r="O2895" s="1">
        <v>2</v>
      </c>
      <c r="P2895" s="2">
        <v>1</v>
      </c>
      <c r="Q2895" s="67">
        <v>13</v>
      </c>
    </row>
    <row r="2896" spans="1:17" x14ac:dyDescent="0.25">
      <c r="A2896" s="10">
        <v>45</v>
      </c>
      <c r="B2896" s="10">
        <v>5</v>
      </c>
      <c r="C2896" s="10">
        <v>4</v>
      </c>
      <c r="D2896" s="10">
        <v>1</v>
      </c>
      <c r="E2896" s="10">
        <v>3</v>
      </c>
      <c r="F2896" s="10">
        <v>3</v>
      </c>
      <c r="L2896" s="1">
        <v>454</v>
      </c>
      <c r="M2896" s="1">
        <v>49</v>
      </c>
      <c r="N2896" s="1">
        <v>1</v>
      </c>
      <c r="O2896" s="1">
        <v>2</v>
      </c>
      <c r="P2896" s="2">
        <v>1</v>
      </c>
      <c r="Q2896" s="68">
        <v>14</v>
      </c>
    </row>
    <row r="2897" spans="1:17" x14ac:dyDescent="0.25">
      <c r="A2897" s="10">
        <v>45</v>
      </c>
      <c r="B2897" s="10">
        <v>5</v>
      </c>
      <c r="C2897" s="10">
        <v>4</v>
      </c>
      <c r="D2897" s="10">
        <v>2</v>
      </c>
      <c r="E2897" s="10">
        <v>3</v>
      </c>
      <c r="F2897" s="10">
        <v>3</v>
      </c>
      <c r="L2897" s="1">
        <v>455</v>
      </c>
      <c r="M2897" s="1">
        <v>49</v>
      </c>
      <c r="N2897" s="1">
        <v>1</v>
      </c>
      <c r="O2897" s="1">
        <v>2</v>
      </c>
      <c r="P2897" s="2">
        <v>1</v>
      </c>
      <c r="Q2897" s="67">
        <v>14</v>
      </c>
    </row>
    <row r="2898" spans="1:17" x14ac:dyDescent="0.25">
      <c r="A2898" s="10">
        <v>45</v>
      </c>
      <c r="B2898" s="10">
        <v>5</v>
      </c>
      <c r="C2898" s="10">
        <v>4</v>
      </c>
      <c r="D2898" s="10">
        <v>3</v>
      </c>
      <c r="E2898" s="10">
        <v>1</v>
      </c>
      <c r="F2898" s="10">
        <v>1</v>
      </c>
      <c r="L2898" s="1">
        <v>456</v>
      </c>
      <c r="M2898" s="1">
        <v>49</v>
      </c>
      <c r="N2898" s="1">
        <v>1</v>
      </c>
      <c r="O2898" s="1">
        <v>2</v>
      </c>
      <c r="P2898" s="2">
        <v>1</v>
      </c>
      <c r="Q2898" s="68">
        <v>10</v>
      </c>
    </row>
    <row r="2899" spans="1:17" x14ac:dyDescent="0.25">
      <c r="A2899" s="10">
        <v>127</v>
      </c>
      <c r="B2899" s="10">
        <v>14</v>
      </c>
      <c r="C2899" s="10">
        <v>4</v>
      </c>
      <c r="D2899" s="10">
        <v>1</v>
      </c>
      <c r="E2899" s="10">
        <v>50</v>
      </c>
      <c r="F2899" s="10">
        <v>50</v>
      </c>
      <c r="L2899" s="1">
        <v>457</v>
      </c>
      <c r="M2899" s="1">
        <v>49</v>
      </c>
      <c r="N2899" s="1">
        <v>1</v>
      </c>
      <c r="O2899" s="1">
        <v>2</v>
      </c>
      <c r="P2899" s="2">
        <v>1</v>
      </c>
      <c r="Q2899" s="67">
        <v>9</v>
      </c>
    </row>
    <row r="2900" spans="1:17" x14ac:dyDescent="0.25">
      <c r="A2900" s="10">
        <v>127</v>
      </c>
      <c r="B2900" s="10">
        <v>14</v>
      </c>
      <c r="C2900" s="10">
        <v>4</v>
      </c>
      <c r="D2900" s="10">
        <v>2</v>
      </c>
      <c r="E2900" s="10">
        <v>43</v>
      </c>
      <c r="F2900" s="10">
        <v>43</v>
      </c>
      <c r="L2900" s="1">
        <v>458</v>
      </c>
      <c r="M2900" s="1">
        <v>49</v>
      </c>
      <c r="N2900" s="1">
        <v>1</v>
      </c>
      <c r="O2900" s="1">
        <v>2</v>
      </c>
      <c r="P2900" s="2">
        <v>1</v>
      </c>
      <c r="Q2900" s="68">
        <v>15</v>
      </c>
    </row>
    <row r="2901" spans="1:17" x14ac:dyDescent="0.25">
      <c r="A2901" s="10">
        <v>131</v>
      </c>
      <c r="B2901" s="10">
        <v>14</v>
      </c>
      <c r="C2901" s="10">
        <v>4</v>
      </c>
      <c r="D2901" s="10">
        <v>7</v>
      </c>
      <c r="E2901" s="10">
        <v>15</v>
      </c>
      <c r="F2901" s="10">
        <v>15</v>
      </c>
      <c r="L2901" s="1">
        <v>459</v>
      </c>
      <c r="M2901" s="1">
        <v>49</v>
      </c>
      <c r="N2901" s="1">
        <v>1</v>
      </c>
      <c r="O2901" s="1">
        <v>2</v>
      </c>
      <c r="P2901" s="2">
        <v>1</v>
      </c>
      <c r="Q2901" s="67">
        <v>5</v>
      </c>
    </row>
    <row r="2902" spans="1:17" x14ac:dyDescent="0.25">
      <c r="A2902" s="10">
        <v>131</v>
      </c>
      <c r="B2902" s="10">
        <v>14</v>
      </c>
      <c r="C2902" s="10">
        <v>4</v>
      </c>
      <c r="D2902" s="10">
        <v>11</v>
      </c>
      <c r="E2902" s="10">
        <v>5</v>
      </c>
      <c r="F2902" s="10">
        <v>5</v>
      </c>
      <c r="L2902" s="1">
        <v>460</v>
      </c>
      <c r="M2902" s="1">
        <v>49</v>
      </c>
      <c r="N2902" s="1">
        <v>1</v>
      </c>
      <c r="O2902" s="1">
        <v>2</v>
      </c>
      <c r="P2902" s="2">
        <v>1</v>
      </c>
      <c r="Q2902" s="68">
        <v>15</v>
      </c>
    </row>
    <row r="2903" spans="1:17" x14ac:dyDescent="0.25">
      <c r="A2903" s="10">
        <v>201</v>
      </c>
      <c r="B2903" s="10">
        <v>22</v>
      </c>
      <c r="C2903" s="10">
        <v>4</v>
      </c>
      <c r="D2903" s="10">
        <v>1</v>
      </c>
      <c r="E2903" s="10">
        <v>8</v>
      </c>
      <c r="F2903" s="10">
        <v>8</v>
      </c>
      <c r="L2903" s="1">
        <v>461</v>
      </c>
      <c r="M2903" s="1">
        <v>49</v>
      </c>
      <c r="N2903" s="1">
        <v>1</v>
      </c>
      <c r="O2903" s="1">
        <v>2</v>
      </c>
      <c r="P2903" s="2">
        <v>1</v>
      </c>
      <c r="Q2903" s="67">
        <v>10</v>
      </c>
    </row>
    <row r="2904" spans="1:17" x14ac:dyDescent="0.25">
      <c r="A2904" s="10">
        <v>201</v>
      </c>
      <c r="B2904" s="10">
        <v>22</v>
      </c>
      <c r="C2904" s="10">
        <v>4</v>
      </c>
      <c r="D2904" s="10">
        <v>2</v>
      </c>
      <c r="E2904" s="10">
        <v>1</v>
      </c>
      <c r="F2904" s="10">
        <v>1</v>
      </c>
      <c r="L2904" s="1">
        <v>462</v>
      </c>
      <c r="M2904" s="1">
        <v>49</v>
      </c>
      <c r="N2904" s="1">
        <v>1</v>
      </c>
      <c r="O2904" s="1">
        <v>2</v>
      </c>
      <c r="P2904" s="2">
        <v>1</v>
      </c>
      <c r="Q2904" s="68">
        <v>10</v>
      </c>
    </row>
    <row r="2905" spans="1:17" x14ac:dyDescent="0.25">
      <c r="A2905" s="10">
        <v>247</v>
      </c>
      <c r="B2905" s="10">
        <v>27</v>
      </c>
      <c r="C2905" s="10">
        <v>4</v>
      </c>
      <c r="D2905" s="10">
        <v>1</v>
      </c>
      <c r="E2905" s="10">
        <v>8</v>
      </c>
      <c r="F2905" s="10">
        <v>8</v>
      </c>
      <c r="L2905" s="1">
        <v>463</v>
      </c>
      <c r="M2905" s="1">
        <v>50</v>
      </c>
      <c r="N2905" s="1">
        <v>1</v>
      </c>
      <c r="O2905" s="1">
        <v>2</v>
      </c>
      <c r="P2905" s="2">
        <v>1</v>
      </c>
      <c r="Q2905" s="67">
        <v>10</v>
      </c>
    </row>
    <row r="2906" spans="1:17" x14ac:dyDescent="0.25">
      <c r="A2906" s="10">
        <v>247</v>
      </c>
      <c r="B2906" s="10">
        <v>27</v>
      </c>
      <c r="C2906" s="10">
        <v>4</v>
      </c>
      <c r="D2906" s="10">
        <v>4</v>
      </c>
      <c r="E2906" s="10">
        <v>9</v>
      </c>
      <c r="F2906" s="10">
        <v>9</v>
      </c>
      <c r="L2906" s="1">
        <v>464</v>
      </c>
      <c r="M2906" s="1">
        <v>50</v>
      </c>
      <c r="N2906" s="1">
        <v>1</v>
      </c>
      <c r="O2906" s="1">
        <v>2</v>
      </c>
      <c r="P2906" s="2">
        <v>1</v>
      </c>
      <c r="Q2906" s="68">
        <v>10</v>
      </c>
    </row>
    <row r="2907" spans="1:17" x14ac:dyDescent="0.25">
      <c r="A2907" s="10">
        <v>247</v>
      </c>
      <c r="B2907" s="10">
        <v>27</v>
      </c>
      <c r="C2907" s="10">
        <v>4</v>
      </c>
      <c r="D2907" s="10">
        <v>6</v>
      </c>
      <c r="E2907" s="10">
        <v>9</v>
      </c>
      <c r="F2907" s="10">
        <v>9</v>
      </c>
      <c r="L2907" s="1">
        <v>465</v>
      </c>
      <c r="M2907" s="1">
        <v>50</v>
      </c>
      <c r="N2907" s="1">
        <v>1</v>
      </c>
      <c r="O2907" s="1">
        <v>2</v>
      </c>
      <c r="P2907" s="2">
        <v>1</v>
      </c>
      <c r="Q2907" s="67">
        <v>17</v>
      </c>
    </row>
    <row r="2908" spans="1:17" x14ac:dyDescent="0.25">
      <c r="A2908" s="10">
        <v>35</v>
      </c>
      <c r="B2908" s="10">
        <v>4</v>
      </c>
      <c r="C2908" s="10">
        <v>4</v>
      </c>
      <c r="D2908" s="10">
        <v>1</v>
      </c>
      <c r="E2908" s="10">
        <v>20</v>
      </c>
      <c r="F2908" s="10">
        <v>20</v>
      </c>
      <c r="L2908" s="1">
        <v>466</v>
      </c>
      <c r="M2908" s="1">
        <v>50</v>
      </c>
      <c r="N2908" s="1">
        <v>1</v>
      </c>
      <c r="O2908" s="1">
        <v>2</v>
      </c>
      <c r="P2908" s="2">
        <v>1</v>
      </c>
      <c r="Q2908" s="68">
        <v>10</v>
      </c>
    </row>
    <row r="2909" spans="1:17" x14ac:dyDescent="0.25">
      <c r="A2909" s="10">
        <v>118</v>
      </c>
      <c r="B2909" s="10">
        <v>13</v>
      </c>
      <c r="C2909" s="10">
        <v>3</v>
      </c>
      <c r="D2909" s="10">
        <v>1</v>
      </c>
      <c r="E2909" s="10">
        <v>25</v>
      </c>
      <c r="F2909" s="10">
        <v>25</v>
      </c>
      <c r="L2909" s="1">
        <v>467</v>
      </c>
      <c r="M2909" s="1">
        <v>50</v>
      </c>
      <c r="N2909" s="1">
        <v>1</v>
      </c>
      <c r="O2909" s="1">
        <v>2</v>
      </c>
      <c r="P2909" s="2">
        <v>1</v>
      </c>
      <c r="Q2909" s="67">
        <v>10</v>
      </c>
    </row>
    <row r="2910" spans="1:17" x14ac:dyDescent="0.25">
      <c r="A2910" s="10">
        <v>35</v>
      </c>
      <c r="B2910" s="10">
        <v>4</v>
      </c>
      <c r="C2910" s="10">
        <v>4</v>
      </c>
      <c r="D2910" s="10">
        <v>2</v>
      </c>
      <c r="E2910" s="10">
        <v>18</v>
      </c>
      <c r="F2910" s="10">
        <v>18</v>
      </c>
      <c r="L2910" s="1">
        <v>468</v>
      </c>
      <c r="M2910" s="1">
        <v>50</v>
      </c>
      <c r="N2910" s="1">
        <v>1</v>
      </c>
      <c r="O2910" s="1">
        <v>2</v>
      </c>
      <c r="P2910" s="2">
        <v>1</v>
      </c>
      <c r="Q2910" s="68">
        <v>9</v>
      </c>
    </row>
    <row r="2911" spans="1:17" x14ac:dyDescent="0.25">
      <c r="A2911" s="10">
        <v>118</v>
      </c>
      <c r="B2911" s="10">
        <v>13</v>
      </c>
      <c r="C2911" s="10">
        <v>3</v>
      </c>
      <c r="D2911" s="10">
        <v>3</v>
      </c>
      <c r="E2911" s="10">
        <v>15</v>
      </c>
      <c r="F2911" s="10">
        <v>15</v>
      </c>
      <c r="L2911" s="1">
        <v>469</v>
      </c>
      <c r="M2911" s="1">
        <v>50</v>
      </c>
      <c r="N2911" s="1">
        <v>1</v>
      </c>
      <c r="O2911" s="1">
        <v>2</v>
      </c>
      <c r="P2911" s="2">
        <v>1</v>
      </c>
      <c r="Q2911" s="67">
        <v>5</v>
      </c>
    </row>
    <row r="2912" spans="1:17" x14ac:dyDescent="0.25">
      <c r="A2912" s="10">
        <v>434</v>
      </c>
      <c r="B2912" s="10">
        <v>47</v>
      </c>
      <c r="C2912" s="10">
        <v>4</v>
      </c>
      <c r="D2912" s="10">
        <v>1</v>
      </c>
      <c r="E2912" s="10">
        <v>13</v>
      </c>
      <c r="F2912" s="10">
        <v>13</v>
      </c>
      <c r="L2912" s="1">
        <v>470</v>
      </c>
      <c r="M2912" s="1">
        <v>50</v>
      </c>
      <c r="N2912" s="1">
        <v>1</v>
      </c>
      <c r="O2912" s="1">
        <v>2</v>
      </c>
      <c r="P2912" s="2">
        <v>1</v>
      </c>
      <c r="Q2912" s="68">
        <v>4</v>
      </c>
    </row>
    <row r="2913" spans="1:17" x14ac:dyDescent="0.25">
      <c r="A2913" s="10">
        <v>434</v>
      </c>
      <c r="B2913" s="10">
        <v>47</v>
      </c>
      <c r="C2913" s="10">
        <v>4</v>
      </c>
      <c r="D2913" s="10">
        <v>2</v>
      </c>
      <c r="E2913" s="10">
        <v>12</v>
      </c>
      <c r="F2913" s="10">
        <v>12</v>
      </c>
      <c r="L2913" s="1">
        <v>471</v>
      </c>
      <c r="M2913" s="1">
        <v>50</v>
      </c>
      <c r="N2913" s="1">
        <v>1</v>
      </c>
      <c r="O2913" s="1">
        <v>2</v>
      </c>
      <c r="P2913" s="2">
        <v>1</v>
      </c>
      <c r="Q2913" s="67">
        <v>8</v>
      </c>
    </row>
    <row r="2914" spans="1:17" x14ac:dyDescent="0.25">
      <c r="A2914" s="10">
        <v>39</v>
      </c>
      <c r="B2914" s="10">
        <v>5</v>
      </c>
      <c r="C2914" s="10">
        <v>4</v>
      </c>
      <c r="D2914" s="10">
        <v>1</v>
      </c>
      <c r="E2914" s="10">
        <v>10</v>
      </c>
      <c r="F2914" s="10">
        <v>10</v>
      </c>
      <c r="L2914" s="1">
        <v>472</v>
      </c>
      <c r="M2914" s="1">
        <v>50</v>
      </c>
      <c r="N2914" s="1">
        <v>1</v>
      </c>
      <c r="O2914" s="1">
        <v>2</v>
      </c>
      <c r="P2914" s="2">
        <v>1</v>
      </c>
      <c r="Q2914" s="68">
        <v>10</v>
      </c>
    </row>
    <row r="2915" spans="1:17" x14ac:dyDescent="0.25">
      <c r="A2915" s="10">
        <v>39</v>
      </c>
      <c r="B2915" s="10">
        <v>5</v>
      </c>
      <c r="C2915" s="10">
        <v>4</v>
      </c>
      <c r="D2915" s="10">
        <v>2</v>
      </c>
      <c r="E2915" s="10">
        <v>6</v>
      </c>
      <c r="F2915" s="10">
        <v>6</v>
      </c>
      <c r="L2915" s="1">
        <v>473</v>
      </c>
      <c r="M2915" s="1">
        <v>51</v>
      </c>
      <c r="N2915" s="1">
        <v>1</v>
      </c>
      <c r="O2915" s="1">
        <v>2</v>
      </c>
      <c r="P2915" s="2">
        <v>1</v>
      </c>
      <c r="Q2915" s="67">
        <v>7</v>
      </c>
    </row>
    <row r="2916" spans="1:17" x14ac:dyDescent="0.25">
      <c r="A2916" s="10">
        <v>120</v>
      </c>
      <c r="B2916" s="10">
        <v>13</v>
      </c>
      <c r="C2916" s="10">
        <v>3</v>
      </c>
      <c r="D2916" s="10">
        <v>1</v>
      </c>
      <c r="E2916" s="10">
        <v>11</v>
      </c>
      <c r="F2916" s="10">
        <v>11</v>
      </c>
      <c r="L2916" s="1">
        <v>474</v>
      </c>
      <c r="M2916" s="1">
        <v>51</v>
      </c>
      <c r="N2916" s="1">
        <v>1</v>
      </c>
      <c r="O2916" s="1">
        <v>2</v>
      </c>
      <c r="P2916" s="2">
        <v>1</v>
      </c>
      <c r="Q2916" s="68">
        <v>10</v>
      </c>
    </row>
    <row r="2917" spans="1:17" x14ac:dyDescent="0.25">
      <c r="A2917" s="10">
        <v>434</v>
      </c>
      <c r="B2917" s="10">
        <v>47</v>
      </c>
      <c r="C2917" s="10">
        <v>4</v>
      </c>
      <c r="D2917" s="10">
        <v>3</v>
      </c>
      <c r="E2917" s="10">
        <v>2</v>
      </c>
      <c r="F2917" s="10">
        <v>2</v>
      </c>
      <c r="L2917" s="1">
        <v>475</v>
      </c>
      <c r="M2917" s="1">
        <v>51</v>
      </c>
      <c r="N2917" s="1">
        <v>1</v>
      </c>
      <c r="O2917" s="1">
        <v>2</v>
      </c>
      <c r="P2917" s="2">
        <v>1</v>
      </c>
      <c r="Q2917" s="67">
        <v>6</v>
      </c>
    </row>
    <row r="2918" spans="1:17" x14ac:dyDescent="0.25">
      <c r="A2918" s="10">
        <v>434</v>
      </c>
      <c r="B2918" s="10">
        <v>47</v>
      </c>
      <c r="C2918" s="10">
        <v>4</v>
      </c>
      <c r="D2918" s="10">
        <v>7</v>
      </c>
      <c r="E2918" s="10">
        <v>5</v>
      </c>
      <c r="F2918" s="10">
        <v>5</v>
      </c>
      <c r="L2918" s="1">
        <v>476</v>
      </c>
      <c r="M2918" s="1">
        <v>51</v>
      </c>
      <c r="N2918" s="1">
        <v>1</v>
      </c>
      <c r="O2918" s="1">
        <v>2</v>
      </c>
      <c r="P2918" s="2">
        <v>1</v>
      </c>
      <c r="Q2918" s="68">
        <v>8</v>
      </c>
    </row>
    <row r="2919" spans="1:17" x14ac:dyDescent="0.25">
      <c r="A2919" s="10">
        <v>120</v>
      </c>
      <c r="B2919" s="10">
        <v>13</v>
      </c>
      <c r="C2919" s="10">
        <v>3</v>
      </c>
      <c r="D2919" s="10">
        <v>3</v>
      </c>
      <c r="E2919" s="10">
        <v>5</v>
      </c>
      <c r="F2919" s="10">
        <v>5</v>
      </c>
      <c r="L2919" s="1">
        <v>477</v>
      </c>
      <c r="M2919" s="1">
        <v>51</v>
      </c>
      <c r="N2919" s="1">
        <v>1</v>
      </c>
      <c r="O2919" s="1">
        <v>2</v>
      </c>
      <c r="P2919" s="2">
        <v>1</v>
      </c>
      <c r="Q2919" s="67">
        <v>4</v>
      </c>
    </row>
    <row r="2920" spans="1:17" x14ac:dyDescent="0.25">
      <c r="A2920" s="10">
        <v>118</v>
      </c>
      <c r="B2920" s="10">
        <v>13</v>
      </c>
      <c r="C2920" s="10">
        <v>4</v>
      </c>
      <c r="D2920" s="10">
        <v>1</v>
      </c>
      <c r="E2920" s="10">
        <v>15</v>
      </c>
      <c r="F2920" s="10">
        <v>15</v>
      </c>
      <c r="L2920" s="1">
        <v>478</v>
      </c>
      <c r="M2920" s="1">
        <v>51</v>
      </c>
      <c r="N2920" s="1">
        <v>1</v>
      </c>
      <c r="O2920" s="1">
        <v>2</v>
      </c>
      <c r="P2920" s="2">
        <v>1</v>
      </c>
      <c r="Q2920" s="68">
        <v>13</v>
      </c>
    </row>
    <row r="2921" spans="1:17" x14ac:dyDescent="0.25">
      <c r="A2921" s="10">
        <v>118</v>
      </c>
      <c r="B2921" s="10">
        <v>13</v>
      </c>
      <c r="C2921" s="10">
        <v>4</v>
      </c>
      <c r="D2921" s="10">
        <v>2</v>
      </c>
      <c r="E2921" s="10">
        <v>25</v>
      </c>
      <c r="F2921" s="10">
        <v>25</v>
      </c>
      <c r="L2921" s="1">
        <v>479</v>
      </c>
      <c r="M2921" s="1">
        <v>51</v>
      </c>
      <c r="N2921" s="1">
        <v>1</v>
      </c>
      <c r="O2921" s="1">
        <v>2</v>
      </c>
      <c r="P2921" s="2">
        <v>1</v>
      </c>
      <c r="Q2921" s="67">
        <v>4</v>
      </c>
    </row>
    <row r="2922" spans="1:17" x14ac:dyDescent="0.25">
      <c r="A2922" s="10">
        <v>118</v>
      </c>
      <c r="B2922" s="10">
        <v>13</v>
      </c>
      <c r="C2922" s="10">
        <v>4</v>
      </c>
      <c r="D2922" s="10">
        <v>3</v>
      </c>
      <c r="E2922" s="10">
        <v>9</v>
      </c>
      <c r="F2922" s="10">
        <v>9</v>
      </c>
      <c r="L2922" s="1">
        <v>480</v>
      </c>
      <c r="M2922" s="1">
        <v>51</v>
      </c>
      <c r="N2922" s="1">
        <v>1</v>
      </c>
      <c r="O2922" s="1">
        <v>2</v>
      </c>
      <c r="P2922" s="2">
        <v>1</v>
      </c>
      <c r="Q2922" s="68">
        <v>16</v>
      </c>
    </row>
    <row r="2923" spans="1:17" x14ac:dyDescent="0.25">
      <c r="A2923" s="10">
        <v>436</v>
      </c>
      <c r="B2923" s="10">
        <v>47</v>
      </c>
      <c r="C2923" s="10">
        <v>4</v>
      </c>
      <c r="D2923" s="10">
        <v>2</v>
      </c>
      <c r="E2923" s="10">
        <v>8</v>
      </c>
      <c r="F2923" s="10">
        <v>8</v>
      </c>
      <c r="L2923" s="1">
        <v>481</v>
      </c>
      <c r="M2923" s="1">
        <v>51</v>
      </c>
      <c r="N2923" s="1">
        <v>1</v>
      </c>
      <c r="O2923" s="1">
        <v>2</v>
      </c>
      <c r="P2923" s="2">
        <v>1</v>
      </c>
      <c r="Q2923" s="67">
        <v>13</v>
      </c>
    </row>
    <row r="2924" spans="1:17" x14ac:dyDescent="0.25">
      <c r="A2924" s="10">
        <v>343</v>
      </c>
      <c r="B2924" s="10">
        <v>37</v>
      </c>
      <c r="C2924" s="10">
        <v>4</v>
      </c>
      <c r="D2924" s="10">
        <v>3</v>
      </c>
      <c r="E2924" s="10">
        <v>3</v>
      </c>
      <c r="F2924" s="10">
        <v>3</v>
      </c>
      <c r="L2924" s="1">
        <v>482</v>
      </c>
      <c r="M2924" s="1">
        <v>51</v>
      </c>
      <c r="N2924" s="1">
        <v>1</v>
      </c>
      <c r="O2924" s="1">
        <v>2</v>
      </c>
      <c r="P2924" s="2">
        <v>1</v>
      </c>
      <c r="Q2924" s="68">
        <v>11</v>
      </c>
    </row>
    <row r="2925" spans="1:17" x14ac:dyDescent="0.25">
      <c r="A2925" s="10">
        <v>436</v>
      </c>
      <c r="B2925" s="10">
        <v>47</v>
      </c>
      <c r="C2925" s="10">
        <v>4</v>
      </c>
      <c r="D2925" s="10">
        <v>3</v>
      </c>
      <c r="E2925" s="10">
        <v>10</v>
      </c>
      <c r="F2925" s="10">
        <v>10</v>
      </c>
      <c r="L2925" s="1">
        <v>483</v>
      </c>
      <c r="M2925" s="1">
        <v>52</v>
      </c>
      <c r="N2925" s="1">
        <v>1</v>
      </c>
      <c r="O2925" s="1">
        <v>2</v>
      </c>
      <c r="P2925" s="2">
        <v>1</v>
      </c>
      <c r="Q2925" s="67">
        <v>8</v>
      </c>
    </row>
    <row r="2926" spans="1:17" x14ac:dyDescent="0.25">
      <c r="A2926" s="10">
        <v>37</v>
      </c>
      <c r="B2926" s="10">
        <v>5</v>
      </c>
      <c r="C2926" s="10">
        <v>4</v>
      </c>
      <c r="D2926" s="10">
        <v>1</v>
      </c>
      <c r="E2926" s="10">
        <v>18</v>
      </c>
      <c r="F2926" s="10">
        <v>18</v>
      </c>
      <c r="L2926" s="1">
        <v>484</v>
      </c>
      <c r="M2926" s="1">
        <v>52</v>
      </c>
      <c r="N2926" s="1">
        <v>1</v>
      </c>
      <c r="O2926" s="1">
        <v>2</v>
      </c>
      <c r="P2926" s="2">
        <v>1</v>
      </c>
      <c r="Q2926" s="68">
        <v>11</v>
      </c>
    </row>
    <row r="2927" spans="1:17" x14ac:dyDescent="0.25">
      <c r="A2927" s="10">
        <v>37</v>
      </c>
      <c r="B2927" s="10">
        <v>5</v>
      </c>
      <c r="C2927" s="10">
        <v>4</v>
      </c>
      <c r="D2927" s="10">
        <v>5</v>
      </c>
      <c r="E2927" s="10">
        <v>1</v>
      </c>
      <c r="F2927" s="10">
        <v>1</v>
      </c>
      <c r="L2927" s="1">
        <v>485</v>
      </c>
      <c r="M2927" s="1">
        <v>52</v>
      </c>
      <c r="N2927" s="1">
        <v>1</v>
      </c>
      <c r="O2927" s="1">
        <v>2</v>
      </c>
      <c r="P2927" s="2">
        <v>1</v>
      </c>
      <c r="Q2927" s="67">
        <v>9</v>
      </c>
    </row>
    <row r="2928" spans="1:17" x14ac:dyDescent="0.25">
      <c r="A2928" s="10">
        <v>17</v>
      </c>
      <c r="B2928" s="10">
        <v>2</v>
      </c>
      <c r="C2928" s="10">
        <v>4</v>
      </c>
      <c r="D2928" s="10">
        <v>1</v>
      </c>
      <c r="E2928" s="10">
        <v>601</v>
      </c>
      <c r="F2928" s="10">
        <v>601</v>
      </c>
      <c r="L2928" s="1">
        <v>486</v>
      </c>
      <c r="M2928" s="1">
        <v>52</v>
      </c>
      <c r="N2928" s="1">
        <v>1</v>
      </c>
      <c r="O2928" s="1">
        <v>2</v>
      </c>
      <c r="P2928" s="2">
        <v>1</v>
      </c>
      <c r="Q2928" s="68">
        <v>11</v>
      </c>
    </row>
    <row r="2929" spans="1:17" x14ac:dyDescent="0.25">
      <c r="A2929" s="10">
        <v>433</v>
      </c>
      <c r="B2929" s="10">
        <v>47</v>
      </c>
      <c r="C2929" s="10">
        <v>4</v>
      </c>
      <c r="D2929" s="10">
        <v>7</v>
      </c>
      <c r="E2929" s="10">
        <v>3</v>
      </c>
      <c r="F2929" s="10">
        <v>3</v>
      </c>
      <c r="L2929" s="1">
        <v>487</v>
      </c>
      <c r="M2929" s="1">
        <v>52</v>
      </c>
      <c r="N2929" s="1">
        <v>1</v>
      </c>
      <c r="O2929" s="1">
        <v>2</v>
      </c>
      <c r="P2929" s="2">
        <v>1</v>
      </c>
      <c r="Q2929" s="67">
        <v>17</v>
      </c>
    </row>
    <row r="2930" spans="1:17" x14ac:dyDescent="0.25">
      <c r="A2930" s="10">
        <v>433</v>
      </c>
      <c r="B2930" s="10">
        <v>47</v>
      </c>
      <c r="C2930" s="10">
        <v>4</v>
      </c>
      <c r="D2930" s="10">
        <v>6</v>
      </c>
      <c r="E2930" s="10">
        <v>2</v>
      </c>
      <c r="F2930" s="10">
        <v>2</v>
      </c>
      <c r="L2930" s="1">
        <v>488</v>
      </c>
      <c r="M2930" s="1">
        <v>52</v>
      </c>
      <c r="N2930" s="1">
        <v>1</v>
      </c>
      <c r="O2930" s="1">
        <v>2</v>
      </c>
      <c r="P2930" s="2">
        <v>1</v>
      </c>
      <c r="Q2930" s="68">
        <v>11</v>
      </c>
    </row>
    <row r="2931" spans="1:17" x14ac:dyDescent="0.25">
      <c r="A2931" s="10">
        <v>435</v>
      </c>
      <c r="B2931" s="10">
        <v>47</v>
      </c>
      <c r="C2931" s="10">
        <v>4</v>
      </c>
      <c r="D2931" s="10">
        <v>3</v>
      </c>
      <c r="E2931" s="10">
        <v>1</v>
      </c>
      <c r="F2931" s="10">
        <v>1</v>
      </c>
      <c r="L2931" s="4">
        <v>1</v>
      </c>
      <c r="M2931" s="4">
        <v>1</v>
      </c>
      <c r="N2931" s="4">
        <v>1</v>
      </c>
      <c r="O2931" s="4">
        <v>1</v>
      </c>
      <c r="P2931" s="5">
        <v>1</v>
      </c>
      <c r="Q2931" s="67">
        <v>10</v>
      </c>
    </row>
    <row r="2932" spans="1:17" x14ac:dyDescent="0.25">
      <c r="A2932" s="10">
        <v>421</v>
      </c>
      <c r="B2932" s="10">
        <v>45</v>
      </c>
      <c r="C2932" s="10">
        <v>4</v>
      </c>
      <c r="D2932" s="10">
        <v>1</v>
      </c>
      <c r="E2932" s="10">
        <v>50</v>
      </c>
      <c r="F2932" s="10">
        <v>50</v>
      </c>
      <c r="L2932" s="1">
        <v>2</v>
      </c>
      <c r="M2932" s="4">
        <v>1</v>
      </c>
      <c r="N2932" s="4">
        <v>1</v>
      </c>
      <c r="O2932" s="1">
        <v>1</v>
      </c>
      <c r="P2932" s="2">
        <v>1</v>
      </c>
      <c r="Q2932" s="68">
        <v>15</v>
      </c>
    </row>
    <row r="2933" spans="1:17" x14ac:dyDescent="0.25">
      <c r="A2933" s="10">
        <v>120</v>
      </c>
      <c r="B2933" s="10">
        <v>13</v>
      </c>
      <c r="C2933" s="10">
        <v>4</v>
      </c>
      <c r="D2933" s="10">
        <v>2</v>
      </c>
      <c r="E2933" s="10">
        <v>24</v>
      </c>
      <c r="F2933" s="10">
        <v>24</v>
      </c>
      <c r="L2933" s="4">
        <v>3</v>
      </c>
      <c r="M2933" s="4">
        <v>1</v>
      </c>
      <c r="N2933" s="4">
        <v>1</v>
      </c>
      <c r="O2933" s="4">
        <v>1</v>
      </c>
      <c r="P2933" s="5">
        <v>1</v>
      </c>
      <c r="Q2933" s="67">
        <v>9</v>
      </c>
    </row>
    <row r="2934" spans="1:17" x14ac:dyDescent="0.25">
      <c r="A2934" s="10">
        <v>12</v>
      </c>
      <c r="B2934" s="10">
        <v>2</v>
      </c>
      <c r="C2934" s="10">
        <v>4</v>
      </c>
      <c r="D2934" s="10">
        <v>3</v>
      </c>
      <c r="E2934" s="10">
        <v>1</v>
      </c>
      <c r="F2934" s="10">
        <v>1</v>
      </c>
      <c r="L2934" s="1">
        <v>4</v>
      </c>
      <c r="M2934" s="4">
        <v>1</v>
      </c>
      <c r="N2934" s="4">
        <v>1</v>
      </c>
      <c r="O2934" s="1">
        <v>1</v>
      </c>
      <c r="P2934" s="2">
        <v>1</v>
      </c>
      <c r="Q2934" s="68">
        <v>12</v>
      </c>
    </row>
    <row r="2935" spans="1:17" x14ac:dyDescent="0.25">
      <c r="A2935" s="10">
        <v>46</v>
      </c>
      <c r="B2935" s="10">
        <v>5</v>
      </c>
      <c r="C2935" s="10">
        <v>4</v>
      </c>
      <c r="D2935" s="10">
        <v>2</v>
      </c>
      <c r="E2935" s="10">
        <v>8</v>
      </c>
      <c r="F2935" s="10">
        <v>8</v>
      </c>
      <c r="L2935" s="4">
        <v>5</v>
      </c>
      <c r="M2935" s="4">
        <v>1</v>
      </c>
      <c r="N2935" s="4">
        <v>1</v>
      </c>
      <c r="O2935" s="4">
        <v>1</v>
      </c>
      <c r="P2935" s="5">
        <v>1</v>
      </c>
      <c r="Q2935" s="67">
        <v>10</v>
      </c>
    </row>
    <row r="2936" spans="1:17" x14ac:dyDescent="0.25">
      <c r="A2936" s="10">
        <v>208</v>
      </c>
      <c r="B2936" s="10">
        <v>22</v>
      </c>
      <c r="C2936" s="10">
        <v>4</v>
      </c>
      <c r="D2936" s="10">
        <v>3</v>
      </c>
      <c r="E2936" s="10">
        <v>1</v>
      </c>
      <c r="F2936" s="10">
        <v>1</v>
      </c>
      <c r="L2936" s="1">
        <v>6</v>
      </c>
      <c r="M2936" s="4">
        <v>1</v>
      </c>
      <c r="N2936" s="4">
        <v>1</v>
      </c>
      <c r="O2936" s="1">
        <v>1</v>
      </c>
      <c r="P2936" s="2">
        <v>1</v>
      </c>
      <c r="Q2936" s="68">
        <v>12</v>
      </c>
    </row>
    <row r="2937" spans="1:17" x14ac:dyDescent="0.25">
      <c r="A2937" s="10">
        <v>116</v>
      </c>
      <c r="B2937" s="10">
        <v>13</v>
      </c>
      <c r="C2937" s="10">
        <v>4</v>
      </c>
      <c r="D2937" s="10">
        <v>7</v>
      </c>
      <c r="E2937" s="10">
        <v>8</v>
      </c>
      <c r="F2937" s="10">
        <v>8</v>
      </c>
      <c r="L2937" s="4">
        <v>7</v>
      </c>
      <c r="M2937" s="4">
        <v>1</v>
      </c>
      <c r="N2937" s="4">
        <v>1</v>
      </c>
      <c r="O2937" s="4">
        <v>1</v>
      </c>
      <c r="P2937" s="5">
        <v>1</v>
      </c>
      <c r="Q2937" s="67">
        <v>9</v>
      </c>
    </row>
    <row r="2938" spans="1:17" x14ac:dyDescent="0.25">
      <c r="A2938" s="10">
        <v>19</v>
      </c>
      <c r="B2938" s="10">
        <v>2</v>
      </c>
      <c r="C2938" s="10">
        <v>4</v>
      </c>
      <c r="D2938" s="10">
        <v>1</v>
      </c>
      <c r="E2938" s="10">
        <v>441</v>
      </c>
      <c r="F2938" s="10">
        <v>441</v>
      </c>
      <c r="L2938" s="1">
        <v>8</v>
      </c>
      <c r="M2938" s="4">
        <v>1</v>
      </c>
      <c r="N2938" s="4">
        <v>1</v>
      </c>
      <c r="O2938" s="1">
        <v>1</v>
      </c>
      <c r="P2938" s="2">
        <v>1</v>
      </c>
      <c r="Q2938" s="68">
        <v>9</v>
      </c>
    </row>
    <row r="2939" spans="1:17" x14ac:dyDescent="0.25">
      <c r="A2939" s="10">
        <v>319</v>
      </c>
      <c r="B2939" s="10">
        <v>34</v>
      </c>
      <c r="C2939" s="10">
        <v>3</v>
      </c>
      <c r="D2939" s="10">
        <v>2</v>
      </c>
      <c r="E2939" s="10">
        <v>19</v>
      </c>
      <c r="F2939" s="10">
        <v>19</v>
      </c>
      <c r="L2939" s="4">
        <v>9</v>
      </c>
      <c r="M2939" s="4">
        <v>1</v>
      </c>
      <c r="N2939" s="4">
        <v>1</v>
      </c>
      <c r="O2939" s="4">
        <v>1</v>
      </c>
      <c r="P2939" s="2">
        <v>1</v>
      </c>
      <c r="Q2939" s="67">
        <v>11</v>
      </c>
    </row>
    <row r="2940" spans="1:17" x14ac:dyDescent="0.25">
      <c r="A2940" s="10">
        <v>392</v>
      </c>
      <c r="B2940" s="10">
        <v>42</v>
      </c>
      <c r="C2940" s="10">
        <v>4</v>
      </c>
      <c r="D2940" s="10">
        <v>2</v>
      </c>
      <c r="E2940" s="10">
        <v>29</v>
      </c>
      <c r="F2940" s="10">
        <v>29</v>
      </c>
      <c r="L2940" s="1">
        <v>10</v>
      </c>
      <c r="M2940" s="4">
        <v>1</v>
      </c>
      <c r="N2940" s="4">
        <v>1</v>
      </c>
      <c r="O2940" s="1">
        <v>1</v>
      </c>
      <c r="P2940" s="2">
        <v>1</v>
      </c>
      <c r="Q2940" s="68">
        <v>7</v>
      </c>
    </row>
    <row r="2941" spans="1:17" x14ac:dyDescent="0.25">
      <c r="A2941" s="10">
        <v>5</v>
      </c>
      <c r="B2941" s="10">
        <v>1</v>
      </c>
      <c r="C2941" s="10">
        <v>4</v>
      </c>
      <c r="D2941" s="10">
        <v>2</v>
      </c>
      <c r="E2941" s="10">
        <v>455</v>
      </c>
      <c r="F2941" s="10">
        <v>455</v>
      </c>
      <c r="L2941" s="4">
        <v>11</v>
      </c>
      <c r="M2941" s="4">
        <v>2</v>
      </c>
      <c r="N2941" s="4">
        <v>1</v>
      </c>
      <c r="O2941" s="4">
        <v>1</v>
      </c>
      <c r="P2941" s="2">
        <v>1</v>
      </c>
      <c r="Q2941" s="67">
        <v>6</v>
      </c>
    </row>
    <row r="2942" spans="1:17" x14ac:dyDescent="0.25">
      <c r="A2942" s="10">
        <v>5</v>
      </c>
      <c r="B2942" s="10">
        <v>1</v>
      </c>
      <c r="C2942" s="10">
        <v>4</v>
      </c>
      <c r="D2942" s="10">
        <v>1</v>
      </c>
      <c r="E2942" s="10">
        <v>542</v>
      </c>
      <c r="F2942" s="10">
        <v>542</v>
      </c>
      <c r="L2942" s="1">
        <v>12</v>
      </c>
      <c r="M2942" s="4">
        <v>2</v>
      </c>
      <c r="N2942" s="4">
        <v>1</v>
      </c>
      <c r="O2942" s="1">
        <v>1</v>
      </c>
      <c r="P2942" s="2">
        <v>1</v>
      </c>
      <c r="Q2942" s="68">
        <v>8</v>
      </c>
    </row>
    <row r="2943" spans="1:17" x14ac:dyDescent="0.25">
      <c r="A2943" s="10">
        <v>5</v>
      </c>
      <c r="B2943" s="10">
        <v>1</v>
      </c>
      <c r="C2943" s="10">
        <v>4</v>
      </c>
      <c r="D2943" s="10">
        <v>6</v>
      </c>
      <c r="E2943" s="10">
        <v>2</v>
      </c>
      <c r="F2943" s="10">
        <v>2</v>
      </c>
      <c r="L2943" s="4">
        <v>13</v>
      </c>
      <c r="M2943" s="4">
        <v>2</v>
      </c>
      <c r="N2943" s="4">
        <v>1</v>
      </c>
      <c r="O2943" s="4">
        <v>1</v>
      </c>
      <c r="P2943" s="5">
        <v>1</v>
      </c>
      <c r="Q2943" s="67">
        <v>7</v>
      </c>
    </row>
    <row r="2944" spans="1:17" x14ac:dyDescent="0.25">
      <c r="A2944" s="10">
        <v>19</v>
      </c>
      <c r="B2944" s="10">
        <v>2</v>
      </c>
      <c r="C2944" s="10">
        <v>2</v>
      </c>
      <c r="D2944" s="10">
        <v>8</v>
      </c>
      <c r="E2944" s="10">
        <v>2</v>
      </c>
      <c r="F2944" s="10">
        <v>2</v>
      </c>
      <c r="L2944" s="1">
        <v>14</v>
      </c>
      <c r="M2944" s="4">
        <v>2</v>
      </c>
      <c r="N2944" s="4">
        <v>1</v>
      </c>
      <c r="O2944" s="1">
        <v>1</v>
      </c>
      <c r="P2944" s="2">
        <v>1</v>
      </c>
      <c r="Q2944" s="68">
        <v>12</v>
      </c>
    </row>
    <row r="2945" spans="1:17" x14ac:dyDescent="0.25">
      <c r="A2945" s="10">
        <v>151</v>
      </c>
      <c r="B2945" s="10">
        <v>16</v>
      </c>
      <c r="C2945" s="10">
        <v>4</v>
      </c>
      <c r="D2945" s="10">
        <v>7</v>
      </c>
      <c r="E2945" s="10">
        <v>1</v>
      </c>
      <c r="F2945" s="10">
        <v>1</v>
      </c>
      <c r="L2945" s="4">
        <v>15</v>
      </c>
      <c r="M2945" s="4">
        <v>2</v>
      </c>
      <c r="N2945" s="4">
        <v>1</v>
      </c>
      <c r="O2945" s="4">
        <v>1</v>
      </c>
      <c r="P2945" s="2">
        <v>1</v>
      </c>
      <c r="Q2945" s="67">
        <v>13</v>
      </c>
    </row>
    <row r="2946" spans="1:17" x14ac:dyDescent="0.25">
      <c r="A2946" s="10">
        <v>151</v>
      </c>
      <c r="B2946" s="10">
        <v>16</v>
      </c>
      <c r="C2946" s="10">
        <v>4</v>
      </c>
      <c r="D2946" s="10">
        <v>8</v>
      </c>
      <c r="E2946" s="10">
        <v>1</v>
      </c>
      <c r="F2946" s="10">
        <v>1</v>
      </c>
      <c r="L2946" s="1">
        <v>16</v>
      </c>
      <c r="M2946" s="4">
        <v>2</v>
      </c>
      <c r="N2946" s="4">
        <v>1</v>
      </c>
      <c r="O2946" s="4">
        <v>1</v>
      </c>
      <c r="P2946" s="2">
        <v>1</v>
      </c>
      <c r="Q2946" s="68">
        <v>12</v>
      </c>
    </row>
    <row r="2947" spans="1:17" x14ac:dyDescent="0.25">
      <c r="A2947" s="10">
        <v>36</v>
      </c>
      <c r="B2947" s="10">
        <v>4</v>
      </c>
      <c r="C2947" s="10">
        <v>4</v>
      </c>
      <c r="D2947" s="10">
        <v>1</v>
      </c>
      <c r="E2947" s="10">
        <v>12</v>
      </c>
      <c r="F2947" s="10">
        <v>12</v>
      </c>
      <c r="L2947" s="4">
        <v>17</v>
      </c>
      <c r="M2947" s="4">
        <v>2</v>
      </c>
      <c r="N2947" s="4">
        <v>1</v>
      </c>
      <c r="O2947" s="1">
        <v>1</v>
      </c>
      <c r="P2947" s="2">
        <v>1</v>
      </c>
      <c r="Q2947" s="67">
        <v>9</v>
      </c>
    </row>
    <row r="2948" spans="1:17" x14ac:dyDescent="0.25">
      <c r="A2948" s="10">
        <v>7</v>
      </c>
      <c r="B2948" s="10">
        <v>1</v>
      </c>
      <c r="C2948" s="10">
        <v>4</v>
      </c>
      <c r="D2948" s="10">
        <v>1</v>
      </c>
      <c r="E2948" s="10">
        <v>455</v>
      </c>
      <c r="F2948" s="10">
        <v>455</v>
      </c>
      <c r="L2948" s="1">
        <v>18</v>
      </c>
      <c r="M2948" s="4">
        <v>2</v>
      </c>
      <c r="N2948" s="4">
        <v>1</v>
      </c>
      <c r="O2948" s="4">
        <v>1</v>
      </c>
      <c r="P2948" s="2">
        <v>1</v>
      </c>
      <c r="Q2948" s="68">
        <v>10</v>
      </c>
    </row>
    <row r="2949" spans="1:17" x14ac:dyDescent="0.25">
      <c r="A2949" s="10">
        <v>32</v>
      </c>
      <c r="B2949" s="10">
        <v>4</v>
      </c>
      <c r="C2949" s="10">
        <v>4</v>
      </c>
      <c r="D2949" s="10">
        <v>1</v>
      </c>
      <c r="E2949" s="10">
        <v>46</v>
      </c>
      <c r="F2949" s="10">
        <v>46</v>
      </c>
      <c r="L2949" s="4">
        <v>19</v>
      </c>
      <c r="M2949" s="4">
        <v>2</v>
      </c>
      <c r="N2949" s="4">
        <v>1</v>
      </c>
      <c r="O2949" s="1">
        <v>1</v>
      </c>
      <c r="P2949" s="5">
        <v>1</v>
      </c>
      <c r="Q2949" s="67">
        <v>14</v>
      </c>
    </row>
    <row r="2950" spans="1:17" x14ac:dyDescent="0.25">
      <c r="A2950" s="10">
        <v>32</v>
      </c>
      <c r="B2950" s="10">
        <v>4</v>
      </c>
      <c r="C2950" s="10">
        <v>4</v>
      </c>
      <c r="D2950" s="10">
        <v>2</v>
      </c>
      <c r="E2950" s="10">
        <v>4</v>
      </c>
      <c r="F2950" s="10">
        <v>4</v>
      </c>
      <c r="L2950" s="1">
        <v>20</v>
      </c>
      <c r="M2950" s="4">
        <v>2</v>
      </c>
      <c r="N2950" s="4">
        <v>1</v>
      </c>
      <c r="O2950" s="4">
        <v>1</v>
      </c>
      <c r="P2950" s="2">
        <v>1</v>
      </c>
      <c r="Q2950" s="68">
        <v>13</v>
      </c>
    </row>
    <row r="2951" spans="1:17" x14ac:dyDescent="0.25">
      <c r="A2951" s="10">
        <v>19</v>
      </c>
      <c r="B2951" s="10">
        <v>2</v>
      </c>
      <c r="C2951" s="10">
        <v>2</v>
      </c>
      <c r="D2951" s="10">
        <v>10</v>
      </c>
      <c r="E2951" s="10">
        <v>1</v>
      </c>
      <c r="F2951" s="10">
        <v>1</v>
      </c>
      <c r="L2951" s="4">
        <v>21</v>
      </c>
      <c r="M2951" s="4">
        <v>3</v>
      </c>
      <c r="N2951" s="4">
        <v>1</v>
      </c>
      <c r="O2951" s="1">
        <v>1</v>
      </c>
      <c r="P2951" s="2">
        <v>1</v>
      </c>
      <c r="Q2951" s="67">
        <v>12</v>
      </c>
    </row>
    <row r="2952" spans="1:17" x14ac:dyDescent="0.25">
      <c r="A2952" s="10">
        <v>319</v>
      </c>
      <c r="B2952" s="10">
        <v>34</v>
      </c>
      <c r="C2952" s="10">
        <v>1</v>
      </c>
      <c r="D2952" s="10">
        <v>1</v>
      </c>
      <c r="E2952" s="10">
        <v>1</v>
      </c>
      <c r="F2952" s="10">
        <v>1</v>
      </c>
      <c r="L2952" s="4">
        <v>22</v>
      </c>
      <c r="M2952" s="4">
        <v>3</v>
      </c>
      <c r="N2952" s="4">
        <v>1</v>
      </c>
      <c r="O2952" s="4">
        <v>1</v>
      </c>
      <c r="P2952" s="2">
        <v>1</v>
      </c>
      <c r="Q2952" s="68">
        <v>15</v>
      </c>
    </row>
    <row r="2953" spans="1:17" x14ac:dyDescent="0.25">
      <c r="A2953" s="10">
        <v>319</v>
      </c>
      <c r="B2953" s="10">
        <v>34</v>
      </c>
      <c r="C2953" s="10">
        <v>1</v>
      </c>
      <c r="D2953" s="10">
        <v>2</v>
      </c>
      <c r="E2953" s="10">
        <v>6</v>
      </c>
      <c r="F2953" s="10">
        <v>6</v>
      </c>
      <c r="L2953" s="1">
        <v>23</v>
      </c>
      <c r="M2953" s="4">
        <v>3</v>
      </c>
      <c r="N2953" s="4">
        <v>1</v>
      </c>
      <c r="O2953" s="1">
        <v>1</v>
      </c>
      <c r="P2953" s="2">
        <v>1</v>
      </c>
      <c r="Q2953" s="67">
        <v>15</v>
      </c>
    </row>
    <row r="2954" spans="1:17" x14ac:dyDescent="0.25">
      <c r="A2954" s="10">
        <v>19</v>
      </c>
      <c r="B2954" s="10">
        <v>2</v>
      </c>
      <c r="C2954" s="10">
        <v>1</v>
      </c>
      <c r="D2954" s="10">
        <v>2</v>
      </c>
      <c r="E2954" s="10">
        <v>556</v>
      </c>
      <c r="F2954" s="10">
        <v>556</v>
      </c>
      <c r="L2954" s="4">
        <v>24</v>
      </c>
      <c r="M2954" s="4">
        <v>3</v>
      </c>
      <c r="N2954" s="4">
        <v>1</v>
      </c>
      <c r="O2954" s="4">
        <v>1</v>
      </c>
      <c r="P2954" s="2">
        <v>1</v>
      </c>
      <c r="Q2954" s="68">
        <v>12</v>
      </c>
    </row>
    <row r="2955" spans="1:17" x14ac:dyDescent="0.25">
      <c r="A2955" s="10">
        <v>306</v>
      </c>
      <c r="B2955" s="10">
        <v>33</v>
      </c>
      <c r="C2955" s="10">
        <v>4</v>
      </c>
      <c r="D2955" s="10">
        <v>1</v>
      </c>
      <c r="E2955" s="10">
        <v>8</v>
      </c>
      <c r="F2955" s="10">
        <v>8</v>
      </c>
      <c r="L2955" s="1">
        <v>25</v>
      </c>
      <c r="M2955" s="4">
        <v>3</v>
      </c>
      <c r="N2955" s="4">
        <v>1</v>
      </c>
      <c r="O2955" s="1">
        <v>1</v>
      </c>
      <c r="P2955" s="5">
        <v>1</v>
      </c>
      <c r="Q2955" s="67">
        <v>10</v>
      </c>
    </row>
    <row r="2956" spans="1:17" x14ac:dyDescent="0.25">
      <c r="A2956" s="10">
        <v>306</v>
      </c>
      <c r="B2956" s="10">
        <v>33</v>
      </c>
      <c r="C2956" s="10">
        <v>4</v>
      </c>
      <c r="D2956" s="10">
        <v>2</v>
      </c>
      <c r="E2956" s="10">
        <v>4</v>
      </c>
      <c r="F2956" s="10">
        <v>4</v>
      </c>
      <c r="L2956" s="4">
        <v>26</v>
      </c>
      <c r="M2956" s="4">
        <v>3</v>
      </c>
      <c r="N2956" s="4">
        <v>1</v>
      </c>
      <c r="O2956" s="4">
        <v>1</v>
      </c>
      <c r="P2956" s="2">
        <v>1</v>
      </c>
      <c r="Q2956" s="68">
        <v>11</v>
      </c>
    </row>
    <row r="2957" spans="1:17" x14ac:dyDescent="0.25">
      <c r="A2957" s="10">
        <v>319</v>
      </c>
      <c r="B2957" s="10">
        <v>34</v>
      </c>
      <c r="C2957" s="10">
        <v>2</v>
      </c>
      <c r="D2957" s="10">
        <v>1</v>
      </c>
      <c r="E2957" s="10">
        <v>2</v>
      </c>
      <c r="F2957" s="10">
        <v>2</v>
      </c>
      <c r="L2957" s="1">
        <v>27</v>
      </c>
      <c r="M2957" s="4">
        <v>4</v>
      </c>
      <c r="N2957" s="4">
        <v>1</v>
      </c>
      <c r="O2957" s="1">
        <v>1</v>
      </c>
      <c r="P2957" s="2">
        <v>1</v>
      </c>
      <c r="Q2957" s="67">
        <v>4</v>
      </c>
    </row>
    <row r="2958" spans="1:17" x14ac:dyDescent="0.25">
      <c r="A2958" s="10">
        <v>319</v>
      </c>
      <c r="B2958" s="10">
        <v>34</v>
      </c>
      <c r="C2958" s="10">
        <v>2</v>
      </c>
      <c r="D2958" s="10">
        <v>2</v>
      </c>
      <c r="E2958" s="10">
        <v>16</v>
      </c>
      <c r="F2958" s="10">
        <v>16</v>
      </c>
      <c r="L2958" s="4">
        <v>28</v>
      </c>
      <c r="M2958" s="4">
        <v>4</v>
      </c>
      <c r="N2958" s="4">
        <v>1</v>
      </c>
      <c r="O2958" s="4">
        <v>1</v>
      </c>
      <c r="P2958" s="2">
        <v>1</v>
      </c>
      <c r="Q2958" s="68">
        <v>5</v>
      </c>
    </row>
    <row r="2959" spans="1:17" x14ac:dyDescent="0.25">
      <c r="A2959" s="10">
        <v>314</v>
      </c>
      <c r="B2959" s="10">
        <v>34</v>
      </c>
      <c r="C2959" s="10">
        <v>3</v>
      </c>
      <c r="D2959" s="10">
        <v>2</v>
      </c>
      <c r="E2959" s="10">
        <v>3</v>
      </c>
      <c r="F2959" s="10">
        <v>3</v>
      </c>
      <c r="L2959" s="1">
        <v>29</v>
      </c>
      <c r="M2959" s="4">
        <v>4</v>
      </c>
      <c r="N2959" s="4">
        <v>1</v>
      </c>
      <c r="O2959" s="1">
        <v>1</v>
      </c>
      <c r="P2959" s="2">
        <v>1</v>
      </c>
      <c r="Q2959" s="67">
        <v>10</v>
      </c>
    </row>
    <row r="2960" spans="1:17" x14ac:dyDescent="0.25">
      <c r="A2960" s="10">
        <v>386</v>
      </c>
      <c r="B2960" s="10">
        <v>42</v>
      </c>
      <c r="C2960" s="10">
        <v>3</v>
      </c>
      <c r="D2960" s="10">
        <v>2</v>
      </c>
      <c r="E2960" s="10">
        <v>23</v>
      </c>
      <c r="F2960" s="10">
        <v>23</v>
      </c>
      <c r="L2960" s="4">
        <v>30</v>
      </c>
      <c r="M2960" s="4">
        <v>4</v>
      </c>
      <c r="N2960" s="4">
        <v>1</v>
      </c>
      <c r="O2960" s="4">
        <v>1</v>
      </c>
      <c r="P2960" s="2">
        <v>1</v>
      </c>
      <c r="Q2960" s="68">
        <v>5</v>
      </c>
    </row>
    <row r="2961" spans="1:17" x14ac:dyDescent="0.25">
      <c r="A2961" s="10">
        <v>338</v>
      </c>
      <c r="B2961" s="10">
        <v>36</v>
      </c>
      <c r="C2961" s="10">
        <v>4</v>
      </c>
      <c r="D2961" s="10">
        <v>1</v>
      </c>
      <c r="E2961" s="10">
        <v>9</v>
      </c>
      <c r="F2961" s="10">
        <v>9</v>
      </c>
      <c r="L2961" s="1">
        <v>31</v>
      </c>
      <c r="M2961" s="4">
        <v>4</v>
      </c>
      <c r="N2961" s="4">
        <v>1</v>
      </c>
      <c r="O2961" s="4">
        <v>1</v>
      </c>
      <c r="P2961" s="5">
        <v>1</v>
      </c>
      <c r="Q2961" s="67">
        <v>4</v>
      </c>
    </row>
    <row r="2962" spans="1:17" x14ac:dyDescent="0.25">
      <c r="A2962" s="10">
        <v>338</v>
      </c>
      <c r="B2962" s="10">
        <v>36</v>
      </c>
      <c r="C2962" s="10">
        <v>4</v>
      </c>
      <c r="D2962" s="10">
        <v>2</v>
      </c>
      <c r="E2962" s="10">
        <v>5</v>
      </c>
      <c r="F2962" s="10">
        <v>5</v>
      </c>
      <c r="L2962" s="4">
        <v>32</v>
      </c>
      <c r="M2962" s="4">
        <v>4</v>
      </c>
      <c r="N2962" s="4">
        <v>1</v>
      </c>
      <c r="O2962" s="1">
        <v>1</v>
      </c>
      <c r="P2962" s="2">
        <v>1</v>
      </c>
      <c r="Q2962" s="68">
        <v>8</v>
      </c>
    </row>
    <row r="2963" spans="1:17" x14ac:dyDescent="0.25">
      <c r="A2963" s="10">
        <v>118</v>
      </c>
      <c r="B2963" s="10">
        <v>13</v>
      </c>
      <c r="C2963" s="10">
        <v>3</v>
      </c>
      <c r="D2963" s="10">
        <v>2</v>
      </c>
      <c r="E2963" s="10">
        <v>17</v>
      </c>
      <c r="F2963" s="10">
        <v>17</v>
      </c>
      <c r="L2963" s="1">
        <v>33</v>
      </c>
      <c r="M2963" s="4">
        <v>4</v>
      </c>
      <c r="N2963" s="4">
        <v>1</v>
      </c>
      <c r="O2963" s="4">
        <v>1</v>
      </c>
      <c r="P2963" s="2">
        <v>1</v>
      </c>
      <c r="Q2963" s="67">
        <v>7</v>
      </c>
    </row>
    <row r="2964" spans="1:17" x14ac:dyDescent="0.25">
      <c r="A2964" s="10">
        <v>120</v>
      </c>
      <c r="B2964" s="10">
        <v>13</v>
      </c>
      <c r="C2964" s="10">
        <v>3</v>
      </c>
      <c r="D2964" s="10">
        <v>2</v>
      </c>
      <c r="E2964" s="10">
        <v>13</v>
      </c>
      <c r="F2964" s="10">
        <v>13</v>
      </c>
      <c r="L2964" s="4">
        <v>34</v>
      </c>
      <c r="M2964" s="4">
        <v>4</v>
      </c>
      <c r="N2964" s="4">
        <v>1</v>
      </c>
      <c r="O2964" s="1">
        <v>1</v>
      </c>
      <c r="P2964" s="2">
        <v>1</v>
      </c>
      <c r="Q2964" s="68">
        <v>2</v>
      </c>
    </row>
    <row r="2965" spans="1:17" x14ac:dyDescent="0.25">
      <c r="A2965" s="10">
        <v>436</v>
      </c>
      <c r="B2965" s="10">
        <v>47</v>
      </c>
      <c r="C2965" s="10">
        <v>4</v>
      </c>
      <c r="D2965" s="10">
        <v>1</v>
      </c>
      <c r="E2965" s="10">
        <v>32</v>
      </c>
      <c r="F2965" s="10">
        <v>32</v>
      </c>
      <c r="L2965" s="1">
        <v>35</v>
      </c>
      <c r="M2965" s="4">
        <v>4</v>
      </c>
      <c r="N2965" s="4">
        <v>1</v>
      </c>
      <c r="O2965" s="1">
        <v>1</v>
      </c>
      <c r="P2965" s="2">
        <v>1</v>
      </c>
      <c r="Q2965" s="67">
        <v>3</v>
      </c>
    </row>
    <row r="2966" spans="1:17" x14ac:dyDescent="0.25">
      <c r="A2966" s="10">
        <v>29</v>
      </c>
      <c r="B2966" s="10">
        <v>4</v>
      </c>
      <c r="C2966" s="10">
        <v>4</v>
      </c>
      <c r="D2966" s="10">
        <v>1</v>
      </c>
      <c r="E2966" s="10">
        <v>20</v>
      </c>
      <c r="F2966" s="10">
        <v>20</v>
      </c>
      <c r="L2966" s="4">
        <v>36</v>
      </c>
      <c r="M2966" s="4">
        <v>4</v>
      </c>
      <c r="N2966" s="4">
        <v>1</v>
      </c>
      <c r="O2966" s="1">
        <v>1</v>
      </c>
      <c r="P2966" s="2">
        <v>1</v>
      </c>
      <c r="Q2966" s="68">
        <v>7</v>
      </c>
    </row>
    <row r="2967" spans="1:17" x14ac:dyDescent="0.25">
      <c r="A2967" s="10">
        <v>343</v>
      </c>
      <c r="B2967" s="10">
        <v>37</v>
      </c>
      <c r="C2967" s="10">
        <v>4</v>
      </c>
      <c r="D2967" s="10">
        <v>1</v>
      </c>
      <c r="E2967" s="10">
        <v>7</v>
      </c>
      <c r="F2967" s="10">
        <v>7</v>
      </c>
      <c r="L2967" s="1">
        <v>37</v>
      </c>
      <c r="M2967" s="4">
        <v>5</v>
      </c>
      <c r="N2967" s="4">
        <v>1</v>
      </c>
      <c r="O2967" s="1">
        <v>1</v>
      </c>
      <c r="P2967" s="5">
        <v>1</v>
      </c>
      <c r="Q2967" s="67">
        <v>1</v>
      </c>
    </row>
    <row r="2968" spans="1:17" x14ac:dyDescent="0.25">
      <c r="A2968" s="10">
        <v>29</v>
      </c>
      <c r="B2968" s="10">
        <v>4</v>
      </c>
      <c r="C2968" s="10">
        <v>4</v>
      </c>
      <c r="D2968" s="10">
        <v>2</v>
      </c>
      <c r="E2968" s="10">
        <v>24</v>
      </c>
      <c r="F2968" s="10">
        <v>24</v>
      </c>
      <c r="L2968" s="4">
        <v>38</v>
      </c>
      <c r="M2968" s="4">
        <v>5</v>
      </c>
      <c r="N2968" s="4">
        <v>1</v>
      </c>
      <c r="O2968" s="1">
        <v>1</v>
      </c>
      <c r="P2968" s="2">
        <v>1</v>
      </c>
      <c r="Q2968" s="68">
        <v>3</v>
      </c>
    </row>
    <row r="2969" spans="1:17" x14ac:dyDescent="0.25">
      <c r="A2969" s="10">
        <v>120</v>
      </c>
      <c r="B2969" s="10">
        <v>13</v>
      </c>
      <c r="C2969" s="10">
        <v>4</v>
      </c>
      <c r="D2969" s="10">
        <v>1</v>
      </c>
      <c r="E2969" s="10">
        <v>5</v>
      </c>
      <c r="F2969" s="10">
        <v>5</v>
      </c>
      <c r="L2969" s="1">
        <v>39</v>
      </c>
      <c r="M2969" s="4">
        <v>5</v>
      </c>
      <c r="N2969" s="4">
        <v>1</v>
      </c>
      <c r="O2969" s="4">
        <v>1</v>
      </c>
      <c r="P2969" s="2">
        <v>1</v>
      </c>
      <c r="Q2969" s="67">
        <v>4</v>
      </c>
    </row>
    <row r="2970" spans="1:17" x14ac:dyDescent="0.25">
      <c r="A2970" s="10">
        <v>278</v>
      </c>
      <c r="B2970" s="10">
        <v>30</v>
      </c>
      <c r="C2970" s="10">
        <v>4</v>
      </c>
      <c r="D2970" s="10">
        <v>1</v>
      </c>
      <c r="E2970" s="10">
        <v>12</v>
      </c>
      <c r="F2970" s="10">
        <v>12</v>
      </c>
      <c r="L2970" s="4">
        <v>40</v>
      </c>
      <c r="M2970" s="4">
        <v>5</v>
      </c>
      <c r="N2970" s="4">
        <v>1</v>
      </c>
      <c r="O2970" s="1">
        <v>1</v>
      </c>
      <c r="P2970" s="2">
        <v>1</v>
      </c>
      <c r="Q2970" s="68">
        <v>5</v>
      </c>
    </row>
    <row r="2971" spans="1:17" x14ac:dyDescent="0.25">
      <c r="A2971" s="10">
        <v>7</v>
      </c>
      <c r="B2971" s="10">
        <v>1</v>
      </c>
      <c r="C2971" s="10">
        <v>4</v>
      </c>
      <c r="D2971" s="10">
        <v>2</v>
      </c>
      <c r="E2971" s="10">
        <v>542</v>
      </c>
      <c r="F2971" s="10">
        <v>542</v>
      </c>
      <c r="L2971" s="1">
        <v>41</v>
      </c>
      <c r="M2971" s="4">
        <v>5</v>
      </c>
      <c r="N2971" s="1">
        <v>1</v>
      </c>
      <c r="O2971" s="4">
        <v>1</v>
      </c>
      <c r="P2971" s="2">
        <v>1</v>
      </c>
      <c r="Q2971" s="67">
        <v>3</v>
      </c>
    </row>
    <row r="2972" spans="1:17" x14ac:dyDescent="0.25">
      <c r="A2972" s="10">
        <v>19</v>
      </c>
      <c r="B2972" s="10">
        <v>2</v>
      </c>
      <c r="C2972" s="10">
        <v>1</v>
      </c>
      <c r="D2972" s="10">
        <v>10</v>
      </c>
      <c r="E2972" s="10">
        <v>3</v>
      </c>
      <c r="F2972" s="10">
        <v>3</v>
      </c>
      <c r="L2972" s="4">
        <v>42</v>
      </c>
      <c r="M2972" s="4">
        <v>5</v>
      </c>
      <c r="N2972" s="1">
        <v>1</v>
      </c>
      <c r="O2972" s="1">
        <v>1</v>
      </c>
      <c r="P2972" s="2">
        <v>1</v>
      </c>
      <c r="Q2972" s="68">
        <v>8</v>
      </c>
    </row>
    <row r="2973" spans="1:17" x14ac:dyDescent="0.25">
      <c r="A2973" s="10">
        <v>11</v>
      </c>
      <c r="B2973" s="10">
        <v>2</v>
      </c>
      <c r="C2973" s="10">
        <v>4</v>
      </c>
      <c r="D2973" s="10">
        <v>1</v>
      </c>
      <c r="E2973" s="10">
        <v>900</v>
      </c>
      <c r="F2973" s="10">
        <v>900</v>
      </c>
      <c r="L2973" s="4">
        <v>43</v>
      </c>
      <c r="M2973" s="4">
        <v>5</v>
      </c>
      <c r="N2973" s="1">
        <v>1</v>
      </c>
      <c r="O2973" s="1">
        <v>1</v>
      </c>
      <c r="P2973" s="5">
        <v>1</v>
      </c>
      <c r="Q2973" s="67">
        <v>6</v>
      </c>
    </row>
    <row r="2974" spans="1:17" x14ac:dyDescent="0.25">
      <c r="A2974" s="10">
        <v>11</v>
      </c>
      <c r="B2974" s="10">
        <v>2</v>
      </c>
      <c r="C2974" s="10">
        <v>4</v>
      </c>
      <c r="D2974" s="10">
        <v>2</v>
      </c>
      <c r="E2974" s="10">
        <v>10</v>
      </c>
      <c r="F2974" s="10">
        <v>10</v>
      </c>
      <c r="L2974" s="1">
        <v>44</v>
      </c>
      <c r="M2974" s="4">
        <v>5</v>
      </c>
      <c r="N2974" s="1">
        <v>1</v>
      </c>
      <c r="O2974" s="1">
        <v>1</v>
      </c>
      <c r="P2974" s="2">
        <v>1</v>
      </c>
      <c r="Q2974" s="68">
        <v>3</v>
      </c>
    </row>
    <row r="2975" spans="1:17" x14ac:dyDescent="0.25">
      <c r="A2975" s="10">
        <v>11</v>
      </c>
      <c r="B2975" s="10">
        <v>2</v>
      </c>
      <c r="C2975" s="10">
        <v>4</v>
      </c>
      <c r="D2975" s="10">
        <v>5</v>
      </c>
      <c r="E2975" s="10">
        <v>1</v>
      </c>
      <c r="F2975" s="10">
        <v>1</v>
      </c>
      <c r="L2975" s="4">
        <v>45</v>
      </c>
      <c r="M2975" s="4">
        <v>5</v>
      </c>
      <c r="N2975" s="1">
        <v>1</v>
      </c>
      <c r="O2975" s="1">
        <v>1</v>
      </c>
      <c r="P2975" s="2">
        <v>1</v>
      </c>
      <c r="Q2975" s="67">
        <v>3</v>
      </c>
    </row>
    <row r="2976" spans="1:17" x14ac:dyDescent="0.25">
      <c r="A2976" s="10">
        <v>156</v>
      </c>
      <c r="B2976" s="10">
        <v>17</v>
      </c>
      <c r="C2976" s="10">
        <v>5</v>
      </c>
      <c r="D2976" s="10">
        <v>1</v>
      </c>
      <c r="E2976" s="10">
        <v>40</v>
      </c>
      <c r="F2976" s="10">
        <v>40</v>
      </c>
      <c r="L2976" s="1">
        <v>46</v>
      </c>
      <c r="M2976" s="4">
        <v>5</v>
      </c>
      <c r="N2976" s="1">
        <v>1</v>
      </c>
      <c r="O2976" s="1">
        <v>1</v>
      </c>
      <c r="P2976" s="2">
        <v>1</v>
      </c>
      <c r="Q2976" s="68">
        <v>15</v>
      </c>
    </row>
    <row r="2977" spans="1:17" x14ac:dyDescent="0.25">
      <c r="A2977" s="10">
        <v>156</v>
      </c>
      <c r="B2977" s="10">
        <v>17</v>
      </c>
      <c r="C2977" s="10">
        <v>5</v>
      </c>
      <c r="D2977" s="10">
        <v>2</v>
      </c>
      <c r="E2977" s="10">
        <v>2</v>
      </c>
      <c r="F2977" s="10">
        <v>2</v>
      </c>
      <c r="L2977" s="4">
        <v>47</v>
      </c>
      <c r="M2977" s="4">
        <v>6</v>
      </c>
      <c r="N2977" s="1">
        <v>1</v>
      </c>
      <c r="O2977" s="4">
        <v>1</v>
      </c>
      <c r="P2977" s="2">
        <v>1</v>
      </c>
      <c r="Q2977" s="67">
        <v>16</v>
      </c>
    </row>
    <row r="2978" spans="1:17" x14ac:dyDescent="0.25">
      <c r="A2978" s="10">
        <v>15</v>
      </c>
      <c r="B2978" s="10">
        <v>2</v>
      </c>
      <c r="C2978" s="10">
        <v>4</v>
      </c>
      <c r="D2978" s="10">
        <v>1</v>
      </c>
      <c r="E2978" s="10">
        <v>28</v>
      </c>
      <c r="F2978" s="10">
        <v>28</v>
      </c>
      <c r="L2978" s="1">
        <v>48</v>
      </c>
      <c r="M2978" s="4">
        <v>6</v>
      </c>
      <c r="N2978" s="1">
        <v>1</v>
      </c>
      <c r="O2978" s="1">
        <v>1</v>
      </c>
      <c r="P2978" s="2">
        <v>1</v>
      </c>
      <c r="Q2978" s="68">
        <v>19</v>
      </c>
    </row>
    <row r="2979" spans="1:17" x14ac:dyDescent="0.25">
      <c r="A2979" s="10">
        <v>19</v>
      </c>
      <c r="B2979" s="10">
        <v>2</v>
      </c>
      <c r="C2979" s="10">
        <v>3</v>
      </c>
      <c r="D2979" s="10">
        <v>1</v>
      </c>
      <c r="E2979" s="10">
        <v>441</v>
      </c>
      <c r="F2979" s="10">
        <v>441</v>
      </c>
      <c r="L2979" s="4">
        <v>49</v>
      </c>
      <c r="M2979" s="4">
        <v>6</v>
      </c>
      <c r="N2979" s="1">
        <v>1</v>
      </c>
      <c r="O2979" s="4">
        <v>1</v>
      </c>
      <c r="P2979" s="5">
        <v>1</v>
      </c>
      <c r="Q2979" s="67">
        <v>11</v>
      </c>
    </row>
    <row r="2980" spans="1:17" x14ac:dyDescent="0.25">
      <c r="A2980" s="10">
        <v>156</v>
      </c>
      <c r="B2980" s="10">
        <v>17</v>
      </c>
      <c r="C2980" s="10">
        <v>5</v>
      </c>
      <c r="D2980" s="10">
        <v>4</v>
      </c>
      <c r="E2980" s="10">
        <v>10</v>
      </c>
      <c r="F2980" s="10">
        <v>10</v>
      </c>
      <c r="L2980" s="1">
        <v>50</v>
      </c>
      <c r="M2980" s="4">
        <v>6</v>
      </c>
      <c r="N2980" s="1">
        <v>1</v>
      </c>
      <c r="O2980" s="1">
        <v>1</v>
      </c>
      <c r="P2980" s="2">
        <v>1</v>
      </c>
      <c r="Q2980" s="68">
        <v>19</v>
      </c>
    </row>
    <row r="2981" spans="1:17" x14ac:dyDescent="0.25">
      <c r="A2981" s="10">
        <v>15</v>
      </c>
      <c r="B2981" s="10">
        <v>2</v>
      </c>
      <c r="C2981" s="10">
        <v>4</v>
      </c>
      <c r="D2981" s="10">
        <v>2</v>
      </c>
      <c r="E2981" s="10">
        <v>18</v>
      </c>
      <c r="F2981" s="10">
        <v>18</v>
      </c>
      <c r="L2981" s="1">
        <v>51</v>
      </c>
      <c r="M2981" s="4">
        <v>6</v>
      </c>
      <c r="N2981" s="1">
        <v>1</v>
      </c>
      <c r="O2981" s="1">
        <v>1</v>
      </c>
      <c r="P2981" s="2">
        <v>1</v>
      </c>
      <c r="Q2981" s="67">
        <v>12</v>
      </c>
    </row>
    <row r="2982" spans="1:17" x14ac:dyDescent="0.25">
      <c r="A2982" s="10">
        <v>242</v>
      </c>
      <c r="B2982" s="10">
        <v>26</v>
      </c>
      <c r="C2982" s="10">
        <v>4</v>
      </c>
      <c r="D2982" s="10">
        <v>1</v>
      </c>
      <c r="E2982" s="10">
        <v>3</v>
      </c>
      <c r="F2982" s="10">
        <v>3</v>
      </c>
      <c r="L2982" s="1">
        <v>52</v>
      </c>
      <c r="M2982" s="4">
        <v>6</v>
      </c>
      <c r="N2982" s="1">
        <v>1</v>
      </c>
      <c r="O2982" s="1">
        <v>1</v>
      </c>
      <c r="P2982" s="2">
        <v>1</v>
      </c>
      <c r="Q2982" s="68">
        <v>20</v>
      </c>
    </row>
    <row r="2983" spans="1:17" x14ac:dyDescent="0.25">
      <c r="A2983" s="10">
        <v>15</v>
      </c>
      <c r="B2983" s="10">
        <v>2</v>
      </c>
      <c r="C2983" s="10">
        <v>4</v>
      </c>
      <c r="D2983" s="10">
        <v>4</v>
      </c>
      <c r="E2983" s="10">
        <v>2</v>
      </c>
      <c r="F2983" s="10">
        <v>2</v>
      </c>
      <c r="L2983" s="1">
        <v>53</v>
      </c>
      <c r="M2983" s="4">
        <v>6</v>
      </c>
      <c r="N2983" s="1">
        <v>1</v>
      </c>
      <c r="O2983" s="1">
        <v>1</v>
      </c>
      <c r="P2983" s="2">
        <v>1</v>
      </c>
      <c r="Q2983" s="67">
        <v>14</v>
      </c>
    </row>
    <row r="2984" spans="1:17" x14ac:dyDescent="0.25">
      <c r="A2984" s="10">
        <v>156</v>
      </c>
      <c r="B2984" s="10">
        <v>17</v>
      </c>
      <c r="C2984" s="10">
        <v>5</v>
      </c>
      <c r="D2984" s="10">
        <v>5</v>
      </c>
      <c r="E2984" s="10">
        <v>10</v>
      </c>
      <c r="F2984" s="10">
        <v>10</v>
      </c>
      <c r="L2984" s="1">
        <v>54</v>
      </c>
      <c r="M2984" s="4">
        <v>6</v>
      </c>
      <c r="N2984" s="1">
        <v>1</v>
      </c>
      <c r="O2984" s="1">
        <v>1</v>
      </c>
      <c r="P2984" s="2">
        <v>1</v>
      </c>
      <c r="Q2984" s="68">
        <v>13</v>
      </c>
    </row>
    <row r="2985" spans="1:17" x14ac:dyDescent="0.25">
      <c r="A2985" s="10">
        <v>217</v>
      </c>
      <c r="B2985" s="10">
        <v>23</v>
      </c>
      <c r="C2985" s="10">
        <v>5</v>
      </c>
      <c r="D2985" s="10">
        <v>1</v>
      </c>
      <c r="E2985" s="10">
        <v>50</v>
      </c>
      <c r="F2985" s="10">
        <v>50</v>
      </c>
      <c r="L2985" s="1">
        <v>55</v>
      </c>
      <c r="M2985" s="4">
        <v>6</v>
      </c>
      <c r="N2985" s="1">
        <v>1</v>
      </c>
      <c r="O2985" s="1">
        <v>1</v>
      </c>
      <c r="P2985" s="2">
        <v>1</v>
      </c>
      <c r="Q2985" s="67">
        <v>10</v>
      </c>
    </row>
    <row r="2986" spans="1:17" x14ac:dyDescent="0.25">
      <c r="A2986" s="10">
        <v>156</v>
      </c>
      <c r="B2986" s="10">
        <v>17</v>
      </c>
      <c r="C2986" s="10">
        <v>5</v>
      </c>
      <c r="D2986" s="10">
        <v>7</v>
      </c>
      <c r="E2986" s="10">
        <v>15</v>
      </c>
      <c r="F2986" s="10">
        <v>15</v>
      </c>
      <c r="L2986" s="1">
        <v>56</v>
      </c>
      <c r="M2986" s="4">
        <v>6</v>
      </c>
      <c r="N2986" s="1">
        <v>1</v>
      </c>
      <c r="O2986" s="1">
        <v>1</v>
      </c>
      <c r="P2986" s="2">
        <v>1</v>
      </c>
      <c r="Q2986" s="68">
        <v>19</v>
      </c>
    </row>
    <row r="2987" spans="1:17" x14ac:dyDescent="0.25">
      <c r="A2987" s="10">
        <v>42</v>
      </c>
      <c r="B2987" s="10">
        <v>5</v>
      </c>
      <c r="C2987" s="10">
        <v>4</v>
      </c>
      <c r="D2987" s="10">
        <v>1</v>
      </c>
      <c r="E2987" s="10">
        <v>7</v>
      </c>
      <c r="F2987" s="10">
        <v>7</v>
      </c>
      <c r="L2987" s="1">
        <v>57</v>
      </c>
      <c r="M2987" s="4">
        <v>7</v>
      </c>
      <c r="N2987" s="1">
        <v>1</v>
      </c>
      <c r="O2987" s="1">
        <v>1</v>
      </c>
      <c r="P2987" s="2">
        <v>1</v>
      </c>
      <c r="Q2987" s="67">
        <v>8</v>
      </c>
    </row>
    <row r="2988" spans="1:17" x14ac:dyDescent="0.25">
      <c r="A2988" s="10">
        <v>242</v>
      </c>
      <c r="B2988" s="10">
        <v>26</v>
      </c>
      <c r="C2988" s="10">
        <v>4</v>
      </c>
      <c r="D2988" s="10">
        <v>2</v>
      </c>
      <c r="E2988" s="10">
        <v>4</v>
      </c>
      <c r="F2988" s="10">
        <v>4</v>
      </c>
      <c r="L2988" s="1">
        <v>58</v>
      </c>
      <c r="M2988" s="4">
        <v>7</v>
      </c>
      <c r="N2988" s="1">
        <v>1</v>
      </c>
      <c r="O2988" s="1">
        <v>1</v>
      </c>
      <c r="P2988" s="2">
        <v>1</v>
      </c>
      <c r="Q2988" s="68">
        <v>12</v>
      </c>
    </row>
    <row r="2989" spans="1:17" x14ac:dyDescent="0.25">
      <c r="A2989" s="10">
        <v>42</v>
      </c>
      <c r="B2989" s="10">
        <v>5</v>
      </c>
      <c r="C2989" s="10">
        <v>4</v>
      </c>
      <c r="D2989" s="10">
        <v>2</v>
      </c>
      <c r="E2989" s="10">
        <v>10</v>
      </c>
      <c r="F2989" s="10">
        <v>10</v>
      </c>
      <c r="L2989" s="1">
        <v>59</v>
      </c>
      <c r="M2989" s="4">
        <v>7</v>
      </c>
      <c r="N2989" s="1">
        <v>1</v>
      </c>
      <c r="O2989" s="1">
        <v>1</v>
      </c>
      <c r="P2989" s="2">
        <v>1</v>
      </c>
      <c r="Q2989" s="67">
        <v>5</v>
      </c>
    </row>
    <row r="2990" spans="1:17" x14ac:dyDescent="0.25">
      <c r="A2990" s="10">
        <v>242</v>
      </c>
      <c r="B2990" s="10">
        <v>26</v>
      </c>
      <c r="C2990" s="10">
        <v>4</v>
      </c>
      <c r="D2990" s="10">
        <v>3</v>
      </c>
      <c r="E2990" s="10">
        <v>5</v>
      </c>
      <c r="F2990" s="10">
        <v>5</v>
      </c>
      <c r="L2990" s="1">
        <v>60</v>
      </c>
      <c r="M2990" s="4">
        <v>7</v>
      </c>
      <c r="N2990" s="1">
        <v>1</v>
      </c>
      <c r="O2990" s="1">
        <v>1</v>
      </c>
      <c r="P2990" s="2">
        <v>1</v>
      </c>
      <c r="Q2990" s="68">
        <v>10</v>
      </c>
    </row>
    <row r="2991" spans="1:17" x14ac:dyDescent="0.25">
      <c r="A2991" s="10">
        <v>205</v>
      </c>
      <c r="B2991" s="10">
        <v>22</v>
      </c>
      <c r="C2991" s="10">
        <v>5</v>
      </c>
      <c r="D2991" s="10">
        <v>2</v>
      </c>
      <c r="E2991" s="10">
        <v>16</v>
      </c>
      <c r="F2991" s="10">
        <v>16</v>
      </c>
      <c r="L2991" s="4">
        <v>61</v>
      </c>
      <c r="M2991" s="4">
        <v>7</v>
      </c>
      <c r="N2991" s="1">
        <v>1</v>
      </c>
      <c r="O2991" s="1">
        <v>1</v>
      </c>
      <c r="P2991" s="2">
        <v>1</v>
      </c>
      <c r="Q2991" s="67">
        <v>7</v>
      </c>
    </row>
    <row r="2992" spans="1:17" x14ac:dyDescent="0.25">
      <c r="A2992" s="10">
        <v>242</v>
      </c>
      <c r="B2992" s="10">
        <v>26</v>
      </c>
      <c r="C2992" s="10">
        <v>4</v>
      </c>
      <c r="D2992" s="10">
        <v>4</v>
      </c>
      <c r="E2992" s="10">
        <v>3</v>
      </c>
      <c r="F2992" s="10">
        <v>3</v>
      </c>
      <c r="L2992" s="1">
        <v>62</v>
      </c>
      <c r="M2992" s="4">
        <v>7</v>
      </c>
      <c r="N2992" s="1">
        <v>1</v>
      </c>
      <c r="O2992" s="1">
        <v>1</v>
      </c>
      <c r="P2992" s="2">
        <v>1</v>
      </c>
      <c r="Q2992" s="68">
        <v>17</v>
      </c>
    </row>
    <row r="2993" spans="1:17" x14ac:dyDescent="0.25">
      <c r="A2993" s="10">
        <v>201</v>
      </c>
      <c r="B2993" s="10">
        <v>22</v>
      </c>
      <c r="C2993" s="10">
        <v>5</v>
      </c>
      <c r="D2993" s="10">
        <v>3</v>
      </c>
      <c r="E2993" s="10">
        <v>1</v>
      </c>
      <c r="F2993" s="10">
        <v>1</v>
      </c>
      <c r="L2993" s="4">
        <v>63</v>
      </c>
      <c r="M2993" s="4">
        <v>7</v>
      </c>
      <c r="N2993" s="1">
        <v>1</v>
      </c>
      <c r="O2993" s="1">
        <v>1</v>
      </c>
      <c r="P2993" s="2">
        <v>1</v>
      </c>
      <c r="Q2993" s="67">
        <v>4</v>
      </c>
    </row>
    <row r="2994" spans="1:17" x14ac:dyDescent="0.25">
      <c r="A2994" s="10">
        <v>205</v>
      </c>
      <c r="B2994" s="10">
        <v>22</v>
      </c>
      <c r="C2994" s="10">
        <v>4</v>
      </c>
      <c r="D2994" s="10">
        <v>2</v>
      </c>
      <c r="E2994" s="10">
        <v>15</v>
      </c>
      <c r="F2994" s="10">
        <v>15</v>
      </c>
      <c r="L2994" s="1">
        <v>64</v>
      </c>
      <c r="M2994" s="4">
        <v>7</v>
      </c>
      <c r="N2994" s="1">
        <v>1</v>
      </c>
      <c r="O2994" s="1">
        <v>1</v>
      </c>
      <c r="P2994" s="2">
        <v>1</v>
      </c>
      <c r="Q2994" s="68">
        <v>4</v>
      </c>
    </row>
    <row r="2995" spans="1:17" x14ac:dyDescent="0.25">
      <c r="A2995" s="10">
        <v>202</v>
      </c>
      <c r="B2995" s="10">
        <v>22</v>
      </c>
      <c r="C2995" s="10">
        <v>4</v>
      </c>
      <c r="D2995" s="10">
        <v>1</v>
      </c>
      <c r="E2995" s="10">
        <v>20</v>
      </c>
      <c r="F2995" s="10">
        <v>20</v>
      </c>
      <c r="L2995" s="4">
        <v>65</v>
      </c>
      <c r="M2995" s="4">
        <v>7</v>
      </c>
      <c r="N2995" s="1">
        <v>1</v>
      </c>
      <c r="O2995" s="4">
        <v>1</v>
      </c>
      <c r="P2995" s="5">
        <v>1</v>
      </c>
      <c r="Q2995" s="67">
        <v>8</v>
      </c>
    </row>
    <row r="2996" spans="1:17" x14ac:dyDescent="0.25">
      <c r="A2996" s="10">
        <v>131</v>
      </c>
      <c r="B2996" s="10">
        <v>14</v>
      </c>
      <c r="C2996" s="10">
        <v>5</v>
      </c>
      <c r="D2996" s="10">
        <v>3</v>
      </c>
      <c r="E2996" s="10">
        <v>2</v>
      </c>
      <c r="F2996" s="10">
        <v>2</v>
      </c>
      <c r="L2996" s="1">
        <v>66</v>
      </c>
      <c r="M2996" s="4">
        <v>7</v>
      </c>
      <c r="N2996" s="1">
        <v>1</v>
      </c>
      <c r="O2996" s="1">
        <v>1</v>
      </c>
      <c r="P2996" s="2">
        <v>1</v>
      </c>
      <c r="Q2996" s="68">
        <v>15</v>
      </c>
    </row>
    <row r="2997" spans="1:17" x14ac:dyDescent="0.25">
      <c r="A2997" s="10">
        <v>202</v>
      </c>
      <c r="B2997" s="10">
        <v>22</v>
      </c>
      <c r="C2997" s="10">
        <v>4</v>
      </c>
      <c r="D2997" s="10">
        <v>4</v>
      </c>
      <c r="E2997" s="10">
        <v>2</v>
      </c>
      <c r="F2997" s="10">
        <v>2</v>
      </c>
      <c r="L2997" s="4">
        <v>67</v>
      </c>
      <c r="M2997" s="4">
        <v>8</v>
      </c>
      <c r="N2997" s="1">
        <v>1</v>
      </c>
      <c r="O2997" s="1">
        <v>1</v>
      </c>
      <c r="P2997" s="2">
        <v>1</v>
      </c>
      <c r="Q2997" s="67">
        <v>15</v>
      </c>
    </row>
    <row r="2998" spans="1:17" x14ac:dyDescent="0.25">
      <c r="A2998" s="10">
        <v>266</v>
      </c>
      <c r="B2998" s="10">
        <v>29</v>
      </c>
      <c r="C2998" s="10">
        <v>4</v>
      </c>
      <c r="D2998" s="10">
        <v>1</v>
      </c>
      <c r="E2998" s="10">
        <v>27</v>
      </c>
      <c r="F2998" s="10">
        <v>27</v>
      </c>
      <c r="L2998" s="1">
        <v>68</v>
      </c>
      <c r="M2998" s="4">
        <v>8</v>
      </c>
      <c r="N2998" s="1">
        <v>1</v>
      </c>
      <c r="O2998" s="1">
        <v>1</v>
      </c>
      <c r="P2998" s="2">
        <v>1</v>
      </c>
      <c r="Q2998" s="68">
        <v>18</v>
      </c>
    </row>
    <row r="2999" spans="1:17" x14ac:dyDescent="0.25">
      <c r="A2999" s="10">
        <v>265</v>
      </c>
      <c r="B2999" s="10">
        <v>29</v>
      </c>
      <c r="C2999" s="10">
        <v>5</v>
      </c>
      <c r="D2999" s="10">
        <v>2</v>
      </c>
      <c r="E2999" s="10">
        <v>1</v>
      </c>
      <c r="F2999" s="10">
        <v>1</v>
      </c>
      <c r="L2999" s="4">
        <v>69</v>
      </c>
      <c r="M2999" s="4">
        <v>8</v>
      </c>
      <c r="N2999" s="1">
        <v>1</v>
      </c>
      <c r="O2999" s="1">
        <v>1</v>
      </c>
      <c r="P2999" s="2">
        <v>1</v>
      </c>
      <c r="Q2999" s="67">
        <v>7</v>
      </c>
    </row>
    <row r="3000" spans="1:17" x14ac:dyDescent="0.25">
      <c r="A3000" s="10">
        <v>5</v>
      </c>
      <c r="B3000" s="10">
        <v>1</v>
      </c>
      <c r="C3000" s="10">
        <v>5</v>
      </c>
      <c r="D3000" s="10">
        <v>2</v>
      </c>
      <c r="E3000" s="10">
        <v>455</v>
      </c>
      <c r="F3000" s="10">
        <v>455</v>
      </c>
      <c r="L3000" s="1">
        <v>70</v>
      </c>
      <c r="M3000" s="4">
        <v>8</v>
      </c>
      <c r="N3000" s="1">
        <v>1</v>
      </c>
      <c r="O3000" s="1">
        <v>1</v>
      </c>
      <c r="P3000" s="2">
        <v>1</v>
      </c>
      <c r="Q3000" s="68">
        <v>10</v>
      </c>
    </row>
    <row r="3001" spans="1:17" x14ac:dyDescent="0.25">
      <c r="A3001" s="10">
        <v>9</v>
      </c>
      <c r="B3001" s="10">
        <v>1</v>
      </c>
      <c r="C3001" s="10">
        <v>4</v>
      </c>
      <c r="D3001" s="10">
        <v>2</v>
      </c>
      <c r="E3001" s="10">
        <v>39</v>
      </c>
      <c r="F3001" s="10">
        <v>39</v>
      </c>
      <c r="L3001" s="4">
        <v>71</v>
      </c>
      <c r="M3001" s="4">
        <v>8</v>
      </c>
      <c r="N3001" s="4">
        <v>1</v>
      </c>
      <c r="O3001" s="4">
        <v>1</v>
      </c>
      <c r="P3001" s="5">
        <v>1</v>
      </c>
      <c r="Q3001" s="67">
        <v>14</v>
      </c>
    </row>
    <row r="3002" spans="1:17" x14ac:dyDescent="0.25">
      <c r="A3002" s="10">
        <v>35</v>
      </c>
      <c r="B3002" s="10">
        <v>4</v>
      </c>
      <c r="C3002" s="10">
        <v>5</v>
      </c>
      <c r="D3002" s="10">
        <v>2</v>
      </c>
      <c r="E3002" s="10">
        <v>25</v>
      </c>
      <c r="F3002" s="10">
        <v>25</v>
      </c>
      <c r="L3002" s="1">
        <v>72</v>
      </c>
      <c r="M3002" s="4">
        <v>8</v>
      </c>
      <c r="N3002" s="1">
        <v>1</v>
      </c>
      <c r="O3002" s="1">
        <v>1</v>
      </c>
      <c r="P3002" s="2">
        <v>1</v>
      </c>
      <c r="Q3002" s="68">
        <v>9</v>
      </c>
    </row>
    <row r="3003" spans="1:17" x14ac:dyDescent="0.25">
      <c r="A3003" s="10">
        <v>39</v>
      </c>
      <c r="B3003" s="10">
        <v>5</v>
      </c>
      <c r="C3003" s="10">
        <v>5</v>
      </c>
      <c r="D3003" s="10">
        <v>1</v>
      </c>
      <c r="E3003" s="10">
        <v>3</v>
      </c>
      <c r="F3003" s="10">
        <v>3</v>
      </c>
      <c r="L3003" s="1">
        <v>73</v>
      </c>
      <c r="M3003" s="4">
        <v>8</v>
      </c>
      <c r="N3003" s="1">
        <v>1</v>
      </c>
      <c r="O3003" s="1">
        <v>1</v>
      </c>
      <c r="P3003" s="2">
        <v>1</v>
      </c>
      <c r="Q3003" s="67">
        <v>18</v>
      </c>
    </row>
    <row r="3004" spans="1:17" x14ac:dyDescent="0.25">
      <c r="A3004" s="10">
        <v>417</v>
      </c>
      <c r="B3004" s="10">
        <v>45</v>
      </c>
      <c r="C3004" s="10">
        <v>5</v>
      </c>
      <c r="D3004" s="10">
        <v>3</v>
      </c>
      <c r="E3004" s="10">
        <v>1</v>
      </c>
      <c r="F3004" s="10">
        <v>1</v>
      </c>
      <c r="L3004" s="1">
        <v>74</v>
      </c>
      <c r="M3004" s="4">
        <v>8</v>
      </c>
      <c r="N3004" s="1">
        <v>1</v>
      </c>
      <c r="O3004" s="1">
        <v>1</v>
      </c>
      <c r="P3004" s="2">
        <v>1</v>
      </c>
      <c r="Q3004" s="68">
        <v>15</v>
      </c>
    </row>
    <row r="3005" spans="1:17" x14ac:dyDescent="0.25">
      <c r="A3005" s="10">
        <v>39</v>
      </c>
      <c r="B3005" s="10">
        <v>5</v>
      </c>
      <c r="C3005" s="10">
        <v>5</v>
      </c>
      <c r="D3005" s="10">
        <v>2</v>
      </c>
      <c r="E3005" s="10">
        <v>1</v>
      </c>
      <c r="F3005" s="10">
        <v>1</v>
      </c>
      <c r="L3005" s="1">
        <v>75</v>
      </c>
      <c r="M3005" s="4">
        <v>8</v>
      </c>
      <c r="N3005" s="1">
        <v>1</v>
      </c>
      <c r="O3005" s="1">
        <v>1</v>
      </c>
      <c r="P3005" s="2">
        <v>1</v>
      </c>
      <c r="Q3005" s="67">
        <v>15</v>
      </c>
    </row>
    <row r="3006" spans="1:17" x14ac:dyDescent="0.25">
      <c r="A3006" s="10">
        <v>312</v>
      </c>
      <c r="B3006" s="10">
        <v>34</v>
      </c>
      <c r="C3006" s="10">
        <v>5</v>
      </c>
      <c r="D3006" s="10">
        <v>1</v>
      </c>
      <c r="E3006" s="10">
        <v>6</v>
      </c>
      <c r="F3006" s="10">
        <v>6</v>
      </c>
      <c r="L3006" s="1">
        <v>76</v>
      </c>
      <c r="M3006" s="4">
        <v>8</v>
      </c>
      <c r="N3006" s="1">
        <v>1</v>
      </c>
      <c r="O3006" s="1">
        <v>1</v>
      </c>
      <c r="P3006" s="2">
        <v>1</v>
      </c>
      <c r="Q3006" s="68">
        <v>12</v>
      </c>
    </row>
    <row r="3007" spans="1:17" x14ac:dyDescent="0.25">
      <c r="A3007" s="10">
        <v>27</v>
      </c>
      <c r="B3007" s="10">
        <v>4</v>
      </c>
      <c r="C3007" s="10">
        <v>5</v>
      </c>
      <c r="D3007" s="10">
        <v>1</v>
      </c>
      <c r="E3007" s="10">
        <v>630</v>
      </c>
      <c r="F3007" s="10">
        <v>630</v>
      </c>
      <c r="L3007" s="4">
        <v>77</v>
      </c>
      <c r="M3007" s="4">
        <v>9</v>
      </c>
      <c r="N3007" s="4">
        <v>1</v>
      </c>
      <c r="O3007" s="4">
        <v>1</v>
      </c>
      <c r="P3007" s="5">
        <v>1</v>
      </c>
      <c r="Q3007" s="67">
        <v>14</v>
      </c>
    </row>
    <row r="3008" spans="1:17" x14ac:dyDescent="0.25">
      <c r="A3008" s="10">
        <v>27</v>
      </c>
      <c r="B3008" s="10">
        <v>4</v>
      </c>
      <c r="C3008" s="10">
        <v>5</v>
      </c>
      <c r="D3008" s="10">
        <v>2</v>
      </c>
      <c r="E3008" s="10">
        <v>367</v>
      </c>
      <c r="F3008" s="10">
        <v>367</v>
      </c>
      <c r="L3008" s="1">
        <v>78</v>
      </c>
      <c r="M3008" s="4">
        <v>9</v>
      </c>
      <c r="N3008" s="1">
        <v>1</v>
      </c>
      <c r="O3008" s="1">
        <v>1</v>
      </c>
      <c r="P3008" s="2">
        <v>1</v>
      </c>
      <c r="Q3008" s="68">
        <v>10</v>
      </c>
    </row>
    <row r="3009" spans="1:17" x14ac:dyDescent="0.25">
      <c r="A3009" s="10">
        <v>312</v>
      </c>
      <c r="B3009" s="10">
        <v>34</v>
      </c>
      <c r="C3009" s="10">
        <v>5</v>
      </c>
      <c r="D3009" s="10">
        <v>5</v>
      </c>
      <c r="E3009" s="10">
        <v>1</v>
      </c>
      <c r="F3009" s="10">
        <v>1</v>
      </c>
      <c r="L3009" s="1">
        <v>79</v>
      </c>
      <c r="M3009" s="4">
        <v>9</v>
      </c>
      <c r="N3009" s="1">
        <v>1</v>
      </c>
      <c r="O3009" s="1">
        <v>1</v>
      </c>
      <c r="P3009" s="2">
        <v>1</v>
      </c>
      <c r="Q3009" s="67">
        <v>8</v>
      </c>
    </row>
    <row r="3010" spans="1:17" x14ac:dyDescent="0.25">
      <c r="A3010" s="10">
        <v>312</v>
      </c>
      <c r="B3010" s="10">
        <v>34</v>
      </c>
      <c r="C3010" s="10">
        <v>5</v>
      </c>
      <c r="D3010" s="10">
        <v>9</v>
      </c>
      <c r="E3010" s="10">
        <v>1</v>
      </c>
      <c r="F3010" s="10">
        <v>1</v>
      </c>
      <c r="L3010" s="1">
        <v>80</v>
      </c>
      <c r="M3010" s="4">
        <v>9</v>
      </c>
      <c r="N3010" s="1">
        <v>1</v>
      </c>
      <c r="O3010" s="1">
        <v>1</v>
      </c>
      <c r="P3010" s="2">
        <v>1</v>
      </c>
      <c r="Q3010" s="68">
        <v>5</v>
      </c>
    </row>
    <row r="3011" spans="1:17" x14ac:dyDescent="0.25">
      <c r="A3011" s="10">
        <v>413</v>
      </c>
      <c r="B3011" s="10">
        <v>44</v>
      </c>
      <c r="C3011" s="10">
        <v>5</v>
      </c>
      <c r="D3011" s="10">
        <v>1</v>
      </c>
      <c r="E3011" s="10">
        <v>7</v>
      </c>
      <c r="F3011" s="10">
        <v>7</v>
      </c>
      <c r="L3011" s="1">
        <v>81</v>
      </c>
      <c r="M3011" s="4">
        <v>9</v>
      </c>
      <c r="N3011" s="1">
        <v>1</v>
      </c>
      <c r="O3011" s="1">
        <v>1</v>
      </c>
      <c r="P3011" s="2">
        <v>1</v>
      </c>
      <c r="Q3011" s="67">
        <v>15</v>
      </c>
    </row>
    <row r="3012" spans="1:17" x14ac:dyDescent="0.25">
      <c r="A3012" s="10">
        <v>413</v>
      </c>
      <c r="B3012" s="10">
        <v>44</v>
      </c>
      <c r="C3012" s="10">
        <v>5</v>
      </c>
      <c r="D3012" s="10">
        <v>2</v>
      </c>
      <c r="E3012" s="10">
        <v>2</v>
      </c>
      <c r="F3012" s="10">
        <v>2</v>
      </c>
      <c r="L3012" s="1">
        <v>82</v>
      </c>
      <c r="M3012" s="4">
        <v>9</v>
      </c>
      <c r="N3012" s="1">
        <v>1</v>
      </c>
      <c r="O3012" s="1">
        <v>1</v>
      </c>
      <c r="P3012" s="2">
        <v>1</v>
      </c>
      <c r="Q3012" s="68">
        <v>4</v>
      </c>
    </row>
    <row r="3013" spans="1:17" x14ac:dyDescent="0.25">
      <c r="A3013" s="10">
        <v>275</v>
      </c>
      <c r="B3013" s="10">
        <v>30</v>
      </c>
      <c r="C3013" s="10">
        <v>5</v>
      </c>
      <c r="D3013" s="10">
        <v>1</v>
      </c>
      <c r="E3013" s="10">
        <v>24</v>
      </c>
      <c r="F3013" s="10">
        <v>24</v>
      </c>
      <c r="L3013" s="1">
        <v>83</v>
      </c>
      <c r="M3013" s="4">
        <v>9</v>
      </c>
      <c r="N3013" s="1">
        <v>1</v>
      </c>
      <c r="O3013" s="1">
        <v>1</v>
      </c>
      <c r="P3013" s="2">
        <v>1</v>
      </c>
      <c r="Q3013" s="67">
        <v>13</v>
      </c>
    </row>
    <row r="3014" spans="1:17" x14ac:dyDescent="0.25">
      <c r="A3014" s="10">
        <v>275</v>
      </c>
      <c r="B3014" s="10">
        <v>30</v>
      </c>
      <c r="C3014" s="10">
        <v>5</v>
      </c>
      <c r="D3014" s="10">
        <v>2</v>
      </c>
      <c r="E3014" s="10">
        <v>18</v>
      </c>
      <c r="F3014" s="10">
        <v>18</v>
      </c>
      <c r="L3014" s="1">
        <v>84</v>
      </c>
      <c r="M3014" s="4">
        <v>9</v>
      </c>
      <c r="N3014" s="1">
        <v>1</v>
      </c>
      <c r="O3014" s="1">
        <v>1</v>
      </c>
      <c r="P3014" s="2">
        <v>1</v>
      </c>
      <c r="Q3014" s="68">
        <v>14</v>
      </c>
    </row>
    <row r="3015" spans="1:17" x14ac:dyDescent="0.25">
      <c r="A3015" s="10">
        <v>413</v>
      </c>
      <c r="B3015" s="10">
        <v>44</v>
      </c>
      <c r="C3015" s="10">
        <v>5</v>
      </c>
      <c r="D3015" s="10">
        <v>8</v>
      </c>
      <c r="E3015" s="10">
        <v>1</v>
      </c>
      <c r="F3015" s="10">
        <v>1</v>
      </c>
      <c r="L3015" s="1">
        <v>85</v>
      </c>
      <c r="M3015" s="4">
        <v>9</v>
      </c>
      <c r="N3015" s="1">
        <v>1</v>
      </c>
      <c r="O3015" s="1">
        <v>1</v>
      </c>
      <c r="P3015" s="2">
        <v>1</v>
      </c>
      <c r="Q3015" s="67">
        <v>16</v>
      </c>
    </row>
    <row r="3016" spans="1:17" x14ac:dyDescent="0.25">
      <c r="A3016" s="10">
        <v>421</v>
      </c>
      <c r="B3016" s="10">
        <v>45</v>
      </c>
      <c r="C3016" s="10">
        <v>5</v>
      </c>
      <c r="D3016" s="10">
        <v>1</v>
      </c>
      <c r="E3016" s="10">
        <v>25</v>
      </c>
      <c r="F3016" s="10">
        <v>25</v>
      </c>
      <c r="L3016" s="1">
        <v>86</v>
      </c>
      <c r="M3016" s="4">
        <v>9</v>
      </c>
      <c r="N3016" s="1">
        <v>1</v>
      </c>
      <c r="O3016" s="1">
        <v>1</v>
      </c>
      <c r="P3016" s="2">
        <v>1</v>
      </c>
      <c r="Q3016" s="68">
        <v>14</v>
      </c>
    </row>
    <row r="3017" spans="1:17" x14ac:dyDescent="0.25">
      <c r="A3017" s="10">
        <v>411</v>
      </c>
      <c r="B3017" s="10">
        <v>44</v>
      </c>
      <c r="C3017" s="10">
        <v>5</v>
      </c>
      <c r="D3017" s="10">
        <v>1</v>
      </c>
      <c r="E3017" s="10">
        <v>37</v>
      </c>
      <c r="F3017" s="10">
        <v>37</v>
      </c>
      <c r="L3017" s="1">
        <v>87</v>
      </c>
      <c r="M3017" s="1">
        <v>10</v>
      </c>
      <c r="N3017" s="1">
        <v>1</v>
      </c>
      <c r="O3017" s="1">
        <v>1</v>
      </c>
      <c r="P3017" s="2">
        <v>1</v>
      </c>
      <c r="Q3017" s="67">
        <v>11</v>
      </c>
    </row>
    <row r="3018" spans="1:17" x14ac:dyDescent="0.25">
      <c r="A3018" s="10">
        <v>421</v>
      </c>
      <c r="B3018" s="10">
        <v>45</v>
      </c>
      <c r="C3018" s="10">
        <v>5</v>
      </c>
      <c r="D3018" s="10">
        <v>4</v>
      </c>
      <c r="E3018" s="10">
        <v>8</v>
      </c>
      <c r="F3018" s="10">
        <v>8</v>
      </c>
      <c r="L3018" s="1">
        <v>88</v>
      </c>
      <c r="M3018" s="1">
        <v>10</v>
      </c>
      <c r="N3018" s="1">
        <v>1</v>
      </c>
      <c r="O3018" s="1">
        <v>1</v>
      </c>
      <c r="P3018" s="2">
        <v>1</v>
      </c>
      <c r="Q3018" s="68">
        <v>7</v>
      </c>
    </row>
    <row r="3019" spans="1:17" x14ac:dyDescent="0.25">
      <c r="A3019" s="10">
        <v>411</v>
      </c>
      <c r="B3019" s="10">
        <v>44</v>
      </c>
      <c r="C3019" s="10">
        <v>5</v>
      </c>
      <c r="D3019" s="10">
        <v>2</v>
      </c>
      <c r="E3019" s="10">
        <v>8</v>
      </c>
      <c r="F3019" s="10">
        <v>8</v>
      </c>
      <c r="L3019" s="1">
        <v>89</v>
      </c>
      <c r="M3019" s="1">
        <v>10</v>
      </c>
      <c r="N3019" s="1">
        <v>1</v>
      </c>
      <c r="O3019" s="1">
        <v>1</v>
      </c>
      <c r="P3019" s="2">
        <v>1</v>
      </c>
      <c r="Q3019" s="67">
        <v>10</v>
      </c>
    </row>
    <row r="3020" spans="1:17" x14ac:dyDescent="0.25">
      <c r="A3020" s="10">
        <v>419</v>
      </c>
      <c r="B3020" s="10">
        <v>45</v>
      </c>
      <c r="C3020" s="10">
        <v>5</v>
      </c>
      <c r="D3020" s="10">
        <v>1</v>
      </c>
      <c r="E3020" s="10">
        <v>10</v>
      </c>
      <c r="F3020" s="10">
        <v>10</v>
      </c>
      <c r="L3020" s="1">
        <v>90</v>
      </c>
      <c r="M3020" s="1">
        <v>10</v>
      </c>
      <c r="N3020" s="1">
        <v>1</v>
      </c>
      <c r="O3020" s="1">
        <v>1</v>
      </c>
      <c r="P3020" s="2">
        <v>1</v>
      </c>
      <c r="Q3020" s="68">
        <v>12</v>
      </c>
    </row>
    <row r="3021" spans="1:17" x14ac:dyDescent="0.25">
      <c r="A3021" s="10">
        <v>437</v>
      </c>
      <c r="B3021" s="10">
        <v>47</v>
      </c>
      <c r="C3021" s="10">
        <v>5</v>
      </c>
      <c r="D3021" s="10">
        <v>1</v>
      </c>
      <c r="E3021" s="10">
        <v>10</v>
      </c>
      <c r="F3021" s="10">
        <v>10</v>
      </c>
      <c r="L3021" s="1">
        <v>91</v>
      </c>
      <c r="M3021" s="1">
        <v>10</v>
      </c>
      <c r="N3021" s="1">
        <v>1</v>
      </c>
      <c r="O3021" s="1">
        <v>1</v>
      </c>
      <c r="P3021" s="2">
        <v>1</v>
      </c>
      <c r="Q3021" s="67">
        <v>11</v>
      </c>
    </row>
    <row r="3022" spans="1:17" x14ac:dyDescent="0.25">
      <c r="A3022" s="10">
        <v>389</v>
      </c>
      <c r="B3022" s="10">
        <v>42</v>
      </c>
      <c r="C3022" s="10">
        <v>5</v>
      </c>
      <c r="D3022" s="10">
        <v>1</v>
      </c>
      <c r="E3022" s="10">
        <v>3</v>
      </c>
      <c r="F3022" s="10">
        <v>3</v>
      </c>
      <c r="L3022" s="1">
        <v>92</v>
      </c>
      <c r="M3022" s="1">
        <v>10</v>
      </c>
      <c r="N3022" s="1">
        <v>1</v>
      </c>
      <c r="O3022" s="1">
        <v>1</v>
      </c>
      <c r="P3022" s="2">
        <v>1</v>
      </c>
      <c r="Q3022" s="68">
        <v>11</v>
      </c>
    </row>
    <row r="3023" spans="1:17" x14ac:dyDescent="0.25">
      <c r="A3023" s="10">
        <v>389</v>
      </c>
      <c r="B3023" s="10">
        <v>42</v>
      </c>
      <c r="C3023" s="10">
        <v>5</v>
      </c>
      <c r="D3023" s="10">
        <v>2</v>
      </c>
      <c r="E3023" s="10">
        <v>16</v>
      </c>
      <c r="F3023" s="10">
        <v>16</v>
      </c>
      <c r="L3023" s="1">
        <v>93</v>
      </c>
      <c r="M3023" s="1">
        <v>10</v>
      </c>
      <c r="N3023" s="1">
        <v>1</v>
      </c>
      <c r="O3023" s="1">
        <v>1</v>
      </c>
      <c r="P3023" s="2">
        <v>1</v>
      </c>
      <c r="Q3023" s="67">
        <v>14</v>
      </c>
    </row>
    <row r="3024" spans="1:17" x14ac:dyDescent="0.25">
      <c r="A3024" s="10">
        <v>314</v>
      </c>
      <c r="B3024" s="10">
        <v>34</v>
      </c>
      <c r="C3024" s="10">
        <v>5</v>
      </c>
      <c r="D3024" s="10">
        <v>1</v>
      </c>
      <c r="E3024" s="10">
        <v>23</v>
      </c>
      <c r="F3024" s="10">
        <v>23</v>
      </c>
      <c r="L3024" s="1">
        <v>94</v>
      </c>
      <c r="M3024" s="1">
        <v>10</v>
      </c>
      <c r="N3024" s="1">
        <v>1</v>
      </c>
      <c r="O3024" s="1">
        <v>1</v>
      </c>
      <c r="P3024" s="2">
        <v>1</v>
      </c>
      <c r="Q3024" s="68">
        <v>7</v>
      </c>
    </row>
    <row r="3025" spans="1:17" x14ac:dyDescent="0.25">
      <c r="A3025" s="10">
        <v>314</v>
      </c>
      <c r="B3025" s="10">
        <v>34</v>
      </c>
      <c r="C3025" s="10">
        <v>5</v>
      </c>
      <c r="D3025" s="10">
        <v>2</v>
      </c>
      <c r="E3025" s="10">
        <v>7</v>
      </c>
      <c r="F3025" s="10">
        <v>7</v>
      </c>
      <c r="L3025" s="1">
        <v>95</v>
      </c>
      <c r="M3025" s="1">
        <v>10</v>
      </c>
      <c r="N3025" s="1">
        <v>1</v>
      </c>
      <c r="O3025" s="1">
        <v>1</v>
      </c>
      <c r="P3025" s="2">
        <v>1</v>
      </c>
      <c r="Q3025" s="67">
        <v>14</v>
      </c>
    </row>
    <row r="3026" spans="1:17" x14ac:dyDescent="0.25">
      <c r="A3026" s="10">
        <v>419</v>
      </c>
      <c r="B3026" s="10">
        <v>45</v>
      </c>
      <c r="C3026" s="10">
        <v>5</v>
      </c>
      <c r="D3026" s="10">
        <v>2</v>
      </c>
      <c r="E3026" s="10">
        <v>40</v>
      </c>
      <c r="F3026" s="10">
        <v>40</v>
      </c>
      <c r="L3026" s="1">
        <v>96</v>
      </c>
      <c r="M3026" s="1">
        <v>10</v>
      </c>
      <c r="N3026" s="1">
        <v>1</v>
      </c>
      <c r="O3026" s="1">
        <v>1</v>
      </c>
      <c r="P3026" s="2">
        <v>1</v>
      </c>
      <c r="Q3026" s="68">
        <v>13</v>
      </c>
    </row>
    <row r="3027" spans="1:17" x14ac:dyDescent="0.25">
      <c r="A3027" s="10">
        <v>433</v>
      </c>
      <c r="B3027" s="10">
        <v>47</v>
      </c>
      <c r="C3027" s="10">
        <v>5</v>
      </c>
      <c r="D3027" s="10">
        <v>1</v>
      </c>
      <c r="E3027" s="10">
        <v>10</v>
      </c>
      <c r="F3027" s="10">
        <v>10</v>
      </c>
      <c r="L3027" s="1">
        <v>97</v>
      </c>
      <c r="M3027" s="1">
        <v>11</v>
      </c>
      <c r="N3027" s="1">
        <v>1</v>
      </c>
      <c r="O3027" s="1">
        <v>1</v>
      </c>
      <c r="P3027" s="2">
        <v>1</v>
      </c>
      <c r="Q3027" s="67">
        <v>11</v>
      </c>
    </row>
    <row r="3028" spans="1:17" x14ac:dyDescent="0.25">
      <c r="A3028" s="10">
        <v>439</v>
      </c>
      <c r="B3028" s="10">
        <v>47</v>
      </c>
      <c r="C3028" s="10">
        <v>5</v>
      </c>
      <c r="D3028" s="10">
        <v>1</v>
      </c>
      <c r="E3028" s="10">
        <v>21</v>
      </c>
      <c r="F3028" s="10">
        <v>21</v>
      </c>
      <c r="L3028" s="1">
        <v>98</v>
      </c>
      <c r="M3028" s="1">
        <v>11</v>
      </c>
      <c r="N3028" s="1">
        <v>1</v>
      </c>
      <c r="O3028" s="1">
        <v>1</v>
      </c>
      <c r="P3028" s="2">
        <v>1</v>
      </c>
      <c r="Q3028" s="68">
        <v>13</v>
      </c>
    </row>
    <row r="3029" spans="1:17" x14ac:dyDescent="0.25">
      <c r="A3029" s="10">
        <v>439</v>
      </c>
      <c r="B3029" s="10">
        <v>47</v>
      </c>
      <c r="C3029" s="10">
        <v>5</v>
      </c>
      <c r="D3029" s="10">
        <v>2</v>
      </c>
      <c r="E3029" s="10">
        <v>2</v>
      </c>
      <c r="F3029" s="10">
        <v>2</v>
      </c>
      <c r="L3029" s="1">
        <v>99</v>
      </c>
      <c r="M3029" s="1">
        <v>11</v>
      </c>
      <c r="N3029" s="1">
        <v>1</v>
      </c>
      <c r="O3029" s="1">
        <v>1</v>
      </c>
      <c r="P3029" s="2">
        <v>1</v>
      </c>
      <c r="Q3029" s="67">
        <v>15</v>
      </c>
    </row>
    <row r="3030" spans="1:17" x14ac:dyDescent="0.25">
      <c r="A3030" s="10">
        <v>433</v>
      </c>
      <c r="B3030" s="10">
        <v>47</v>
      </c>
      <c r="C3030" s="10">
        <v>5</v>
      </c>
      <c r="D3030" s="10">
        <v>3</v>
      </c>
      <c r="E3030" s="10">
        <v>3</v>
      </c>
      <c r="F3030" s="10">
        <v>3</v>
      </c>
      <c r="L3030" s="1">
        <v>100</v>
      </c>
      <c r="M3030" s="1">
        <v>11</v>
      </c>
      <c r="N3030" s="1">
        <v>1</v>
      </c>
      <c r="O3030" s="1">
        <v>1</v>
      </c>
      <c r="P3030" s="2">
        <v>1</v>
      </c>
      <c r="Q3030" s="68">
        <v>17</v>
      </c>
    </row>
    <row r="3031" spans="1:17" x14ac:dyDescent="0.25">
      <c r="A3031" s="10">
        <v>433</v>
      </c>
      <c r="B3031" s="10">
        <v>47</v>
      </c>
      <c r="C3031" s="10">
        <v>5</v>
      </c>
      <c r="D3031" s="10">
        <v>5</v>
      </c>
      <c r="E3031" s="10">
        <v>1</v>
      </c>
      <c r="F3031" s="10">
        <v>1</v>
      </c>
      <c r="L3031" s="1">
        <v>101</v>
      </c>
      <c r="M3031" s="1">
        <v>11</v>
      </c>
      <c r="N3031" s="1">
        <v>1</v>
      </c>
      <c r="O3031" s="1">
        <v>1</v>
      </c>
      <c r="P3031" s="2">
        <v>1</v>
      </c>
      <c r="Q3031" s="67">
        <v>13</v>
      </c>
    </row>
    <row r="3032" spans="1:17" x14ac:dyDescent="0.25">
      <c r="A3032" s="10">
        <v>441</v>
      </c>
      <c r="B3032" s="10">
        <v>47</v>
      </c>
      <c r="C3032" s="10">
        <v>5</v>
      </c>
      <c r="D3032" s="10">
        <v>1</v>
      </c>
      <c r="E3032" s="10">
        <v>5</v>
      </c>
      <c r="F3032" s="10">
        <v>5</v>
      </c>
      <c r="L3032" s="1">
        <v>102</v>
      </c>
      <c r="M3032" s="1">
        <v>11</v>
      </c>
      <c r="N3032" s="1">
        <v>1</v>
      </c>
      <c r="O3032" s="1">
        <v>1</v>
      </c>
      <c r="P3032" s="2">
        <v>1</v>
      </c>
      <c r="Q3032" s="68">
        <v>13</v>
      </c>
    </row>
    <row r="3033" spans="1:17" x14ac:dyDescent="0.25">
      <c r="A3033" s="10">
        <v>441</v>
      </c>
      <c r="B3033" s="10">
        <v>47</v>
      </c>
      <c r="C3033" s="10">
        <v>5</v>
      </c>
      <c r="D3033" s="10">
        <v>2</v>
      </c>
      <c r="E3033" s="10">
        <v>2</v>
      </c>
      <c r="F3033" s="10">
        <v>2</v>
      </c>
      <c r="L3033" s="1">
        <v>103</v>
      </c>
      <c r="M3033" s="1">
        <v>11</v>
      </c>
      <c r="N3033" s="1">
        <v>1</v>
      </c>
      <c r="O3033" s="1">
        <v>1</v>
      </c>
      <c r="P3033" s="2">
        <v>1</v>
      </c>
      <c r="Q3033" s="67">
        <v>10</v>
      </c>
    </row>
    <row r="3034" spans="1:17" x14ac:dyDescent="0.25">
      <c r="A3034" s="10">
        <v>30</v>
      </c>
      <c r="B3034" s="10">
        <v>4</v>
      </c>
      <c r="C3034" s="10">
        <v>5</v>
      </c>
      <c r="D3034" s="10">
        <v>1</v>
      </c>
      <c r="E3034" s="10">
        <v>23</v>
      </c>
      <c r="F3034" s="10">
        <v>23</v>
      </c>
      <c r="L3034" s="1">
        <v>104</v>
      </c>
      <c r="M3034" s="1">
        <v>11</v>
      </c>
      <c r="N3034" s="1">
        <v>1</v>
      </c>
      <c r="O3034" s="1">
        <v>1</v>
      </c>
      <c r="P3034" s="2">
        <v>1</v>
      </c>
      <c r="Q3034" s="68">
        <v>8</v>
      </c>
    </row>
    <row r="3035" spans="1:17" x14ac:dyDescent="0.25">
      <c r="A3035" s="10">
        <v>30</v>
      </c>
      <c r="B3035" s="10">
        <v>4</v>
      </c>
      <c r="C3035" s="10">
        <v>5</v>
      </c>
      <c r="D3035" s="10">
        <v>2</v>
      </c>
      <c r="E3035" s="10">
        <v>28</v>
      </c>
      <c r="F3035" s="10">
        <v>28</v>
      </c>
      <c r="L3035" s="1">
        <v>105</v>
      </c>
      <c r="M3035" s="1">
        <v>11</v>
      </c>
      <c r="N3035" s="1">
        <v>1</v>
      </c>
      <c r="O3035" s="1">
        <v>1</v>
      </c>
      <c r="P3035" s="2">
        <v>1</v>
      </c>
      <c r="Q3035" s="67">
        <v>6</v>
      </c>
    </row>
    <row r="3036" spans="1:17" x14ac:dyDescent="0.25">
      <c r="A3036" s="10">
        <v>179</v>
      </c>
      <c r="B3036" s="10">
        <v>19</v>
      </c>
      <c r="C3036" s="10">
        <v>5</v>
      </c>
      <c r="D3036" s="10">
        <v>1</v>
      </c>
      <c r="E3036" s="10">
        <v>49</v>
      </c>
      <c r="F3036" s="10">
        <v>49</v>
      </c>
      <c r="L3036" s="1">
        <v>106</v>
      </c>
      <c r="M3036" s="1">
        <v>11</v>
      </c>
      <c r="N3036" s="1">
        <v>1</v>
      </c>
      <c r="O3036" s="1">
        <v>1</v>
      </c>
      <c r="P3036" s="2">
        <v>1</v>
      </c>
      <c r="Q3036" s="68">
        <v>8</v>
      </c>
    </row>
    <row r="3037" spans="1:17" x14ac:dyDescent="0.25">
      <c r="A3037" s="10">
        <v>179</v>
      </c>
      <c r="B3037" s="10">
        <v>19</v>
      </c>
      <c r="C3037" s="10">
        <v>5</v>
      </c>
      <c r="D3037" s="10">
        <v>2</v>
      </c>
      <c r="E3037" s="10">
        <v>1</v>
      </c>
      <c r="F3037" s="10">
        <v>1</v>
      </c>
      <c r="L3037" s="1">
        <v>107</v>
      </c>
      <c r="M3037" s="1">
        <v>12</v>
      </c>
      <c r="N3037" s="1">
        <v>1</v>
      </c>
      <c r="O3037" s="1">
        <v>1</v>
      </c>
      <c r="P3037" s="2">
        <v>1</v>
      </c>
      <c r="Q3037" s="67">
        <v>4</v>
      </c>
    </row>
    <row r="3038" spans="1:17" x14ac:dyDescent="0.25">
      <c r="A3038" s="10">
        <v>318</v>
      </c>
      <c r="B3038" s="10">
        <v>34</v>
      </c>
      <c r="C3038" s="10">
        <v>5</v>
      </c>
      <c r="D3038" s="10">
        <v>1</v>
      </c>
      <c r="E3038" s="10">
        <v>16</v>
      </c>
      <c r="F3038" s="10">
        <v>16</v>
      </c>
      <c r="L3038" s="1">
        <v>108</v>
      </c>
      <c r="M3038" s="1">
        <v>12</v>
      </c>
      <c r="N3038" s="1">
        <v>1</v>
      </c>
      <c r="O3038" s="1">
        <v>1</v>
      </c>
      <c r="P3038" s="2">
        <v>1</v>
      </c>
      <c r="Q3038" s="68">
        <v>0</v>
      </c>
    </row>
    <row r="3039" spans="1:17" x14ac:dyDescent="0.25">
      <c r="A3039" s="10">
        <v>337</v>
      </c>
      <c r="B3039" s="10">
        <v>36</v>
      </c>
      <c r="C3039" s="10">
        <v>4</v>
      </c>
      <c r="D3039" s="10">
        <v>1</v>
      </c>
      <c r="E3039" s="10">
        <v>2</v>
      </c>
      <c r="F3039" s="10">
        <v>2</v>
      </c>
      <c r="L3039" s="1">
        <v>109</v>
      </c>
      <c r="M3039" s="1">
        <v>12</v>
      </c>
      <c r="N3039" s="1">
        <v>1</v>
      </c>
      <c r="O3039" s="1">
        <v>1</v>
      </c>
      <c r="P3039" s="2">
        <v>1</v>
      </c>
      <c r="Q3039" s="67">
        <v>5</v>
      </c>
    </row>
    <row r="3040" spans="1:17" x14ac:dyDescent="0.25">
      <c r="A3040" s="10">
        <v>318</v>
      </c>
      <c r="B3040" s="10">
        <v>34</v>
      </c>
      <c r="C3040" s="10">
        <v>5</v>
      </c>
      <c r="D3040" s="10">
        <v>2</v>
      </c>
      <c r="E3040" s="10">
        <v>7</v>
      </c>
      <c r="F3040" s="10">
        <v>7</v>
      </c>
      <c r="L3040" s="1">
        <v>110</v>
      </c>
      <c r="M3040" s="1">
        <v>12</v>
      </c>
      <c r="N3040" s="1">
        <v>1</v>
      </c>
      <c r="O3040" s="1">
        <v>1</v>
      </c>
      <c r="P3040" s="2">
        <v>1</v>
      </c>
      <c r="Q3040" s="68">
        <v>7</v>
      </c>
    </row>
    <row r="3041" spans="1:17" x14ac:dyDescent="0.25">
      <c r="A3041" s="10">
        <v>337</v>
      </c>
      <c r="B3041" s="10">
        <v>36</v>
      </c>
      <c r="C3041" s="10">
        <v>4</v>
      </c>
      <c r="D3041" s="10">
        <v>3</v>
      </c>
      <c r="E3041" s="10">
        <v>1</v>
      </c>
      <c r="F3041" s="10">
        <v>1</v>
      </c>
      <c r="L3041" s="1">
        <v>111</v>
      </c>
      <c r="M3041" s="1">
        <v>12</v>
      </c>
      <c r="N3041" s="1">
        <v>1</v>
      </c>
      <c r="O3041" s="1">
        <v>1</v>
      </c>
      <c r="P3041" s="2">
        <v>1</v>
      </c>
      <c r="Q3041" s="67">
        <v>2</v>
      </c>
    </row>
    <row r="3042" spans="1:17" x14ac:dyDescent="0.25">
      <c r="A3042" s="10">
        <v>332</v>
      </c>
      <c r="B3042" s="10">
        <v>36</v>
      </c>
      <c r="C3042" s="10">
        <v>5</v>
      </c>
      <c r="D3042" s="10">
        <v>1</v>
      </c>
      <c r="E3042" s="10">
        <v>1</v>
      </c>
      <c r="F3042" s="10">
        <v>1</v>
      </c>
      <c r="L3042" s="1">
        <v>112</v>
      </c>
      <c r="M3042" s="1">
        <v>12</v>
      </c>
      <c r="N3042" s="1">
        <v>1</v>
      </c>
      <c r="O3042" s="1">
        <v>1</v>
      </c>
      <c r="P3042" s="2">
        <v>1</v>
      </c>
      <c r="Q3042" s="68">
        <v>8</v>
      </c>
    </row>
    <row r="3043" spans="1:17" x14ac:dyDescent="0.25">
      <c r="A3043" s="10">
        <v>332</v>
      </c>
      <c r="B3043" s="10">
        <v>36</v>
      </c>
      <c r="C3043" s="10">
        <v>5</v>
      </c>
      <c r="D3043" s="10">
        <v>2</v>
      </c>
      <c r="E3043" s="10">
        <v>2</v>
      </c>
      <c r="F3043" s="10">
        <v>2</v>
      </c>
      <c r="L3043" s="1">
        <v>113</v>
      </c>
      <c r="M3043" s="1">
        <v>12</v>
      </c>
      <c r="N3043" s="1">
        <v>1</v>
      </c>
      <c r="O3043" s="1">
        <v>1</v>
      </c>
      <c r="P3043" s="2">
        <v>1</v>
      </c>
      <c r="Q3043" s="67">
        <v>10</v>
      </c>
    </row>
    <row r="3044" spans="1:17" x14ac:dyDescent="0.25">
      <c r="A3044" s="10">
        <v>318</v>
      </c>
      <c r="B3044" s="10">
        <v>34</v>
      </c>
      <c r="C3044" s="10">
        <v>5</v>
      </c>
      <c r="D3044" s="10">
        <v>5</v>
      </c>
      <c r="E3044" s="10">
        <v>1</v>
      </c>
      <c r="F3044" s="10">
        <v>1</v>
      </c>
      <c r="L3044" s="1">
        <v>114</v>
      </c>
      <c r="M3044" s="1">
        <v>12</v>
      </c>
      <c r="N3044" s="1">
        <v>1</v>
      </c>
      <c r="O3044" s="1">
        <v>1</v>
      </c>
      <c r="P3044" s="2">
        <v>1</v>
      </c>
      <c r="Q3044" s="68">
        <v>14</v>
      </c>
    </row>
    <row r="3045" spans="1:17" x14ac:dyDescent="0.25">
      <c r="A3045" s="10">
        <v>337</v>
      </c>
      <c r="B3045" s="10">
        <v>36</v>
      </c>
      <c r="C3045" s="10">
        <v>5</v>
      </c>
      <c r="D3045" s="10">
        <v>1</v>
      </c>
      <c r="E3045" s="10">
        <v>4</v>
      </c>
      <c r="F3045" s="10">
        <v>4</v>
      </c>
      <c r="L3045" s="1">
        <v>115</v>
      </c>
      <c r="M3045" s="1">
        <v>13</v>
      </c>
      <c r="N3045" s="1">
        <v>1</v>
      </c>
      <c r="O3045" s="1">
        <v>1</v>
      </c>
      <c r="P3045" s="2">
        <v>1</v>
      </c>
      <c r="Q3045" s="67">
        <v>10</v>
      </c>
    </row>
    <row r="3046" spans="1:17" x14ac:dyDescent="0.25">
      <c r="A3046" s="10">
        <v>337</v>
      </c>
      <c r="B3046" s="10">
        <v>36</v>
      </c>
      <c r="C3046" s="10">
        <v>5</v>
      </c>
      <c r="D3046" s="10">
        <v>2</v>
      </c>
      <c r="E3046" s="10">
        <v>13</v>
      </c>
      <c r="F3046" s="10">
        <v>13</v>
      </c>
      <c r="L3046" s="1">
        <v>116</v>
      </c>
      <c r="M3046" s="1">
        <v>13</v>
      </c>
      <c r="N3046" s="1">
        <v>1</v>
      </c>
      <c r="O3046" s="1">
        <v>1</v>
      </c>
      <c r="P3046" s="2">
        <v>1</v>
      </c>
      <c r="Q3046" s="68">
        <v>6</v>
      </c>
    </row>
    <row r="3047" spans="1:17" x14ac:dyDescent="0.25">
      <c r="A3047" s="10">
        <v>121</v>
      </c>
      <c r="B3047" s="10">
        <v>13</v>
      </c>
      <c r="C3047" s="10">
        <v>5</v>
      </c>
      <c r="D3047" s="10">
        <v>1</v>
      </c>
      <c r="E3047" s="10">
        <v>11</v>
      </c>
      <c r="F3047" s="10">
        <v>11</v>
      </c>
      <c r="L3047" s="1">
        <v>117</v>
      </c>
      <c r="M3047" s="1">
        <v>13</v>
      </c>
      <c r="N3047" s="1">
        <v>1</v>
      </c>
      <c r="O3047" s="1">
        <v>1</v>
      </c>
      <c r="P3047" s="2">
        <v>1</v>
      </c>
      <c r="Q3047" s="67">
        <v>16</v>
      </c>
    </row>
    <row r="3048" spans="1:17" x14ac:dyDescent="0.25">
      <c r="A3048" s="10">
        <v>335</v>
      </c>
      <c r="B3048" s="10">
        <v>36</v>
      </c>
      <c r="C3048" s="10">
        <v>5</v>
      </c>
      <c r="D3048" s="10">
        <v>1</v>
      </c>
      <c r="E3048" s="10">
        <v>4</v>
      </c>
      <c r="F3048" s="10">
        <v>4</v>
      </c>
      <c r="L3048" s="1">
        <v>118</v>
      </c>
      <c r="M3048" s="1">
        <v>13</v>
      </c>
      <c r="N3048" s="1">
        <v>1</v>
      </c>
      <c r="O3048" s="1">
        <v>1</v>
      </c>
      <c r="P3048" s="2">
        <v>1</v>
      </c>
      <c r="Q3048" s="68">
        <v>9</v>
      </c>
    </row>
    <row r="3049" spans="1:17" x14ac:dyDescent="0.25">
      <c r="A3049" s="10">
        <v>335</v>
      </c>
      <c r="B3049" s="10">
        <v>36</v>
      </c>
      <c r="C3049" s="10">
        <v>5</v>
      </c>
      <c r="D3049" s="10">
        <v>2</v>
      </c>
      <c r="E3049" s="10">
        <v>19</v>
      </c>
      <c r="F3049" s="10">
        <v>19</v>
      </c>
      <c r="L3049" s="1">
        <v>119</v>
      </c>
      <c r="M3049" s="1">
        <v>13</v>
      </c>
      <c r="N3049" s="1">
        <v>1</v>
      </c>
      <c r="O3049" s="1">
        <v>1</v>
      </c>
      <c r="P3049" s="2">
        <v>1</v>
      </c>
      <c r="Q3049" s="67">
        <v>9</v>
      </c>
    </row>
    <row r="3050" spans="1:17" x14ac:dyDescent="0.25">
      <c r="A3050" s="10">
        <v>121</v>
      </c>
      <c r="B3050" s="10">
        <v>13</v>
      </c>
      <c r="C3050" s="10">
        <v>5</v>
      </c>
      <c r="D3050" s="10">
        <v>3</v>
      </c>
      <c r="E3050" s="10">
        <v>8</v>
      </c>
      <c r="F3050" s="10">
        <v>8</v>
      </c>
      <c r="L3050" s="1">
        <v>120</v>
      </c>
      <c r="M3050" s="1">
        <v>13</v>
      </c>
      <c r="N3050" s="1">
        <v>1</v>
      </c>
      <c r="O3050" s="1">
        <v>1</v>
      </c>
      <c r="P3050" s="2">
        <v>1</v>
      </c>
      <c r="Q3050" s="68">
        <v>4</v>
      </c>
    </row>
    <row r="3051" spans="1:17" x14ac:dyDescent="0.25">
      <c r="A3051" s="10">
        <v>121</v>
      </c>
      <c r="B3051" s="10">
        <v>13</v>
      </c>
      <c r="C3051" s="10">
        <v>5</v>
      </c>
      <c r="D3051" s="10">
        <v>2</v>
      </c>
      <c r="E3051" s="10">
        <v>13</v>
      </c>
      <c r="F3051" s="10">
        <v>13</v>
      </c>
      <c r="L3051" s="1">
        <v>121</v>
      </c>
      <c r="M3051" s="1">
        <v>13</v>
      </c>
      <c r="N3051" s="1">
        <v>1</v>
      </c>
      <c r="O3051" s="1">
        <v>1</v>
      </c>
      <c r="P3051" s="2">
        <v>1</v>
      </c>
      <c r="Q3051" s="67">
        <v>10</v>
      </c>
    </row>
    <row r="3052" spans="1:17" x14ac:dyDescent="0.25">
      <c r="A3052" s="10">
        <v>121</v>
      </c>
      <c r="B3052" s="10">
        <v>13</v>
      </c>
      <c r="C3052" s="10">
        <v>5</v>
      </c>
      <c r="D3052" s="10">
        <v>7</v>
      </c>
      <c r="E3052" s="10">
        <v>2</v>
      </c>
      <c r="F3052" s="10">
        <v>2</v>
      </c>
      <c r="L3052" s="1">
        <v>122</v>
      </c>
      <c r="M3052" s="1">
        <v>13</v>
      </c>
      <c r="N3052" s="1">
        <v>1</v>
      </c>
      <c r="O3052" s="1">
        <v>1</v>
      </c>
      <c r="P3052" s="2">
        <v>1</v>
      </c>
      <c r="Q3052" s="68">
        <v>11</v>
      </c>
    </row>
    <row r="3053" spans="1:17" x14ac:dyDescent="0.25">
      <c r="A3053" s="10">
        <v>249</v>
      </c>
      <c r="B3053" s="10">
        <v>27</v>
      </c>
      <c r="C3053" s="10">
        <v>5</v>
      </c>
      <c r="D3053" s="10">
        <v>1</v>
      </c>
      <c r="E3053" s="10">
        <v>13</v>
      </c>
      <c r="F3053" s="10">
        <v>13</v>
      </c>
      <c r="L3053" s="1">
        <v>123</v>
      </c>
      <c r="M3053" s="1">
        <v>14</v>
      </c>
      <c r="N3053" s="1">
        <v>1</v>
      </c>
      <c r="O3053" s="1">
        <v>1</v>
      </c>
      <c r="P3053" s="2">
        <v>1</v>
      </c>
      <c r="Q3053" s="67">
        <v>2</v>
      </c>
    </row>
    <row r="3054" spans="1:17" x14ac:dyDescent="0.25">
      <c r="A3054" s="10">
        <v>43</v>
      </c>
      <c r="B3054" s="10">
        <v>5</v>
      </c>
      <c r="C3054" s="10">
        <v>5</v>
      </c>
      <c r="D3054" s="10">
        <v>1</v>
      </c>
      <c r="E3054" s="10">
        <v>3</v>
      </c>
      <c r="F3054" s="10">
        <v>3</v>
      </c>
      <c r="L3054" s="1">
        <v>124</v>
      </c>
      <c r="M3054" s="1">
        <v>14</v>
      </c>
      <c r="N3054" s="1">
        <v>1</v>
      </c>
      <c r="O3054" s="1">
        <v>1</v>
      </c>
      <c r="P3054" s="2">
        <v>1</v>
      </c>
      <c r="Q3054" s="68">
        <v>8</v>
      </c>
    </row>
    <row r="3055" spans="1:17" x14ac:dyDescent="0.25">
      <c r="A3055" s="10">
        <v>249</v>
      </c>
      <c r="B3055" s="10">
        <v>27</v>
      </c>
      <c r="C3055" s="10">
        <v>5</v>
      </c>
      <c r="D3055" s="10">
        <v>2</v>
      </c>
      <c r="E3055" s="10">
        <v>4</v>
      </c>
      <c r="F3055" s="10">
        <v>4</v>
      </c>
      <c r="L3055" s="1">
        <v>125</v>
      </c>
      <c r="M3055" s="1">
        <v>14</v>
      </c>
      <c r="N3055" s="1">
        <v>1</v>
      </c>
      <c r="O3055" s="1">
        <v>1</v>
      </c>
      <c r="P3055" s="2">
        <v>1</v>
      </c>
      <c r="Q3055" s="67">
        <v>16</v>
      </c>
    </row>
    <row r="3056" spans="1:17" x14ac:dyDescent="0.25">
      <c r="A3056" s="10">
        <v>43</v>
      </c>
      <c r="B3056" s="10">
        <v>5</v>
      </c>
      <c r="C3056" s="10">
        <v>5</v>
      </c>
      <c r="D3056" s="10">
        <v>2</v>
      </c>
      <c r="E3056" s="10">
        <v>2</v>
      </c>
      <c r="F3056" s="10">
        <v>2</v>
      </c>
      <c r="L3056" s="1">
        <v>126</v>
      </c>
      <c r="M3056" s="1">
        <v>14</v>
      </c>
      <c r="N3056" s="1">
        <v>1</v>
      </c>
      <c r="O3056" s="1">
        <v>1</v>
      </c>
      <c r="P3056" s="2">
        <v>1</v>
      </c>
      <c r="Q3056" s="68">
        <v>9</v>
      </c>
    </row>
    <row r="3057" spans="1:17" x14ac:dyDescent="0.25">
      <c r="A3057" s="10">
        <v>249</v>
      </c>
      <c r="B3057" s="10">
        <v>27</v>
      </c>
      <c r="C3057" s="10">
        <v>5</v>
      </c>
      <c r="D3057" s="10">
        <v>6</v>
      </c>
      <c r="E3057" s="10">
        <v>1</v>
      </c>
      <c r="F3057" s="10">
        <v>1</v>
      </c>
      <c r="L3057" s="1">
        <v>127</v>
      </c>
      <c r="M3057" s="1">
        <v>14</v>
      </c>
      <c r="N3057" s="1">
        <v>1</v>
      </c>
      <c r="O3057" s="1">
        <v>1</v>
      </c>
      <c r="P3057" s="2">
        <v>1</v>
      </c>
      <c r="Q3057" s="67">
        <v>10</v>
      </c>
    </row>
    <row r="3058" spans="1:17" x14ac:dyDescent="0.25">
      <c r="A3058" s="10">
        <v>45</v>
      </c>
      <c r="B3058" s="10">
        <v>5</v>
      </c>
      <c r="C3058" s="10">
        <v>6</v>
      </c>
      <c r="D3058" s="10">
        <v>2</v>
      </c>
      <c r="E3058" s="10">
        <v>2</v>
      </c>
      <c r="F3058" s="10">
        <v>2</v>
      </c>
      <c r="L3058" s="1">
        <v>128</v>
      </c>
      <c r="M3058" s="1">
        <v>14</v>
      </c>
      <c r="N3058" s="1">
        <v>1</v>
      </c>
      <c r="O3058" s="1">
        <v>1</v>
      </c>
      <c r="P3058" s="2">
        <v>1</v>
      </c>
      <c r="Q3058" s="68">
        <v>6</v>
      </c>
    </row>
    <row r="3059" spans="1:17" x14ac:dyDescent="0.25">
      <c r="A3059" s="10">
        <v>251</v>
      </c>
      <c r="B3059" s="10">
        <v>27</v>
      </c>
      <c r="C3059" s="10">
        <v>5</v>
      </c>
      <c r="D3059" s="10">
        <v>1</v>
      </c>
      <c r="E3059" s="10">
        <v>4</v>
      </c>
      <c r="F3059" s="10">
        <v>4</v>
      </c>
      <c r="L3059" s="1">
        <v>129</v>
      </c>
      <c r="M3059" s="1">
        <v>14</v>
      </c>
      <c r="N3059" s="1">
        <v>1</v>
      </c>
      <c r="O3059" s="1">
        <v>1</v>
      </c>
      <c r="P3059" s="2">
        <v>1</v>
      </c>
      <c r="Q3059" s="67">
        <v>7</v>
      </c>
    </row>
    <row r="3060" spans="1:17" x14ac:dyDescent="0.25">
      <c r="A3060" s="10">
        <v>251</v>
      </c>
      <c r="B3060" s="10">
        <v>27</v>
      </c>
      <c r="C3060" s="10">
        <v>5</v>
      </c>
      <c r="D3060" s="10">
        <v>2</v>
      </c>
      <c r="E3060" s="10">
        <v>5</v>
      </c>
      <c r="F3060" s="10">
        <v>5</v>
      </c>
      <c r="L3060" s="1">
        <v>130</v>
      </c>
      <c r="M3060" s="1">
        <v>14</v>
      </c>
      <c r="N3060" s="1">
        <v>1</v>
      </c>
      <c r="O3060" s="1">
        <v>1</v>
      </c>
      <c r="P3060" s="2">
        <v>1</v>
      </c>
      <c r="Q3060" s="68">
        <v>8</v>
      </c>
    </row>
    <row r="3061" spans="1:17" x14ac:dyDescent="0.25">
      <c r="A3061" s="10">
        <v>251</v>
      </c>
      <c r="B3061" s="10">
        <v>27</v>
      </c>
      <c r="C3061" s="10">
        <v>5</v>
      </c>
      <c r="D3061" s="10">
        <v>6</v>
      </c>
      <c r="E3061" s="10">
        <v>5</v>
      </c>
      <c r="F3061" s="10">
        <v>5</v>
      </c>
      <c r="L3061" s="1">
        <v>131</v>
      </c>
      <c r="M3061" s="1">
        <v>14</v>
      </c>
      <c r="N3061" s="1">
        <v>1</v>
      </c>
      <c r="O3061" s="1">
        <v>1</v>
      </c>
      <c r="P3061" s="2">
        <v>1</v>
      </c>
      <c r="Q3061" s="67">
        <v>4</v>
      </c>
    </row>
    <row r="3062" spans="1:17" x14ac:dyDescent="0.25">
      <c r="A3062" s="10">
        <v>343</v>
      </c>
      <c r="B3062" s="10">
        <v>37</v>
      </c>
      <c r="C3062" s="10">
        <v>6</v>
      </c>
      <c r="D3062" s="10">
        <v>1</v>
      </c>
      <c r="E3062" s="10">
        <v>5</v>
      </c>
      <c r="F3062" s="10">
        <v>5</v>
      </c>
      <c r="L3062" s="1">
        <v>132</v>
      </c>
      <c r="M3062" s="1">
        <v>14</v>
      </c>
      <c r="N3062" s="1">
        <v>1</v>
      </c>
      <c r="O3062" s="1">
        <v>1</v>
      </c>
      <c r="P3062" s="2">
        <v>1</v>
      </c>
      <c r="Q3062" s="68">
        <v>7</v>
      </c>
    </row>
    <row r="3063" spans="1:17" x14ac:dyDescent="0.25">
      <c r="A3063" s="10">
        <v>335</v>
      </c>
      <c r="B3063" s="10">
        <v>36</v>
      </c>
      <c r="C3063" s="10">
        <v>4</v>
      </c>
      <c r="D3063" s="10">
        <v>1</v>
      </c>
      <c r="E3063" s="10">
        <v>24</v>
      </c>
      <c r="F3063" s="10">
        <v>24</v>
      </c>
      <c r="L3063" s="1">
        <v>133</v>
      </c>
      <c r="M3063" s="1">
        <v>15</v>
      </c>
      <c r="N3063" s="1">
        <v>1</v>
      </c>
      <c r="O3063" s="1">
        <v>1</v>
      </c>
      <c r="P3063" s="2">
        <v>1</v>
      </c>
      <c r="Q3063" s="67">
        <v>5</v>
      </c>
    </row>
    <row r="3064" spans="1:17" x14ac:dyDescent="0.25">
      <c r="A3064" s="10">
        <v>156</v>
      </c>
      <c r="B3064" s="10">
        <v>17</v>
      </c>
      <c r="C3064" s="10">
        <v>5</v>
      </c>
      <c r="D3064" s="10">
        <v>3</v>
      </c>
      <c r="E3064" s="10">
        <v>10</v>
      </c>
      <c r="F3064" s="10">
        <v>10</v>
      </c>
      <c r="L3064" s="1">
        <v>134</v>
      </c>
      <c r="M3064" s="1">
        <v>15</v>
      </c>
      <c r="N3064" s="1">
        <v>1</v>
      </c>
      <c r="O3064" s="1">
        <v>1</v>
      </c>
      <c r="P3064" s="2">
        <v>1</v>
      </c>
      <c r="Q3064" s="68">
        <v>5</v>
      </c>
    </row>
    <row r="3065" spans="1:17" x14ac:dyDescent="0.25">
      <c r="A3065" s="10">
        <v>19</v>
      </c>
      <c r="B3065" s="10">
        <v>2</v>
      </c>
      <c r="C3065" s="10">
        <v>3</v>
      </c>
      <c r="D3065" s="10">
        <v>2</v>
      </c>
      <c r="E3065" s="10">
        <v>556</v>
      </c>
      <c r="F3065" s="10">
        <v>556</v>
      </c>
      <c r="L3065" s="1">
        <v>135</v>
      </c>
      <c r="M3065" s="1">
        <v>15</v>
      </c>
      <c r="N3065" s="1">
        <v>1</v>
      </c>
      <c r="O3065" s="1">
        <v>1</v>
      </c>
      <c r="P3065" s="2">
        <v>1</v>
      </c>
      <c r="Q3065" s="67">
        <v>25</v>
      </c>
    </row>
    <row r="3066" spans="1:17" x14ac:dyDescent="0.25">
      <c r="A3066" s="10">
        <v>19</v>
      </c>
      <c r="B3066" s="10">
        <v>2</v>
      </c>
      <c r="C3066" s="10">
        <v>3</v>
      </c>
      <c r="D3066" s="10">
        <v>5</v>
      </c>
      <c r="E3066" s="10">
        <v>1</v>
      </c>
      <c r="F3066" s="10">
        <v>1</v>
      </c>
      <c r="L3066" s="1">
        <v>136</v>
      </c>
      <c r="M3066" s="1">
        <v>15</v>
      </c>
      <c r="N3066" s="1">
        <v>1</v>
      </c>
      <c r="O3066" s="1">
        <v>1</v>
      </c>
      <c r="P3066" s="2">
        <v>1</v>
      </c>
      <c r="Q3066" s="68">
        <v>8</v>
      </c>
    </row>
    <row r="3067" spans="1:17" x14ac:dyDescent="0.25">
      <c r="A3067" s="10">
        <v>217</v>
      </c>
      <c r="B3067" s="10">
        <v>23</v>
      </c>
      <c r="C3067" s="10">
        <v>5</v>
      </c>
      <c r="D3067" s="10">
        <v>2</v>
      </c>
      <c r="E3067" s="10">
        <v>43</v>
      </c>
      <c r="F3067" s="10">
        <v>43</v>
      </c>
      <c r="L3067" s="1">
        <v>137</v>
      </c>
      <c r="M3067" s="1">
        <v>15</v>
      </c>
      <c r="N3067" s="1">
        <v>1</v>
      </c>
      <c r="O3067" s="1">
        <v>1</v>
      </c>
      <c r="P3067" s="2">
        <v>1</v>
      </c>
      <c r="Q3067" s="67">
        <v>6</v>
      </c>
    </row>
    <row r="3068" spans="1:17" x14ac:dyDescent="0.25">
      <c r="A3068" s="10">
        <v>205</v>
      </c>
      <c r="B3068" s="10">
        <v>22</v>
      </c>
      <c r="C3068" s="10">
        <v>5</v>
      </c>
      <c r="D3068" s="10">
        <v>1</v>
      </c>
      <c r="E3068" s="10">
        <v>23</v>
      </c>
      <c r="F3068" s="10">
        <v>23</v>
      </c>
      <c r="L3068" s="1">
        <v>138</v>
      </c>
      <c r="M3068" s="1">
        <v>15</v>
      </c>
      <c r="N3068" s="1">
        <v>1</v>
      </c>
      <c r="O3068" s="1">
        <v>1</v>
      </c>
      <c r="P3068" s="2">
        <v>1</v>
      </c>
      <c r="Q3068" s="68">
        <v>1</v>
      </c>
    </row>
    <row r="3069" spans="1:17" x14ac:dyDescent="0.25">
      <c r="A3069" s="10">
        <v>201</v>
      </c>
      <c r="B3069" s="10">
        <v>22</v>
      </c>
      <c r="C3069" s="10">
        <v>5</v>
      </c>
      <c r="D3069" s="10">
        <v>1</v>
      </c>
      <c r="E3069" s="10">
        <v>10</v>
      </c>
      <c r="F3069" s="10">
        <v>10</v>
      </c>
      <c r="L3069" s="1">
        <v>139</v>
      </c>
      <c r="M3069" s="1">
        <v>15</v>
      </c>
      <c r="N3069" s="1">
        <v>1</v>
      </c>
      <c r="O3069" s="1">
        <v>1</v>
      </c>
      <c r="P3069" s="2">
        <v>1</v>
      </c>
      <c r="Q3069" s="67">
        <v>8</v>
      </c>
    </row>
    <row r="3070" spans="1:17" x14ac:dyDescent="0.25">
      <c r="A3070" s="10">
        <v>5</v>
      </c>
      <c r="B3070" s="10">
        <v>1</v>
      </c>
      <c r="C3070" s="10">
        <v>5</v>
      </c>
      <c r="D3070" s="10">
        <v>6</v>
      </c>
      <c r="E3070" s="10">
        <v>2</v>
      </c>
      <c r="F3070" s="10">
        <v>2</v>
      </c>
      <c r="L3070" s="1">
        <v>140</v>
      </c>
      <c r="M3070" s="1">
        <v>15</v>
      </c>
      <c r="N3070" s="1">
        <v>1</v>
      </c>
      <c r="O3070" s="1">
        <v>1</v>
      </c>
      <c r="P3070" s="2">
        <v>1</v>
      </c>
      <c r="Q3070" s="68">
        <v>6</v>
      </c>
    </row>
    <row r="3071" spans="1:17" x14ac:dyDescent="0.25">
      <c r="A3071" s="10">
        <v>413</v>
      </c>
      <c r="B3071" s="10">
        <v>44</v>
      </c>
      <c r="C3071" s="10">
        <v>5</v>
      </c>
      <c r="D3071" s="10">
        <v>3</v>
      </c>
      <c r="E3071" s="10">
        <v>1</v>
      </c>
      <c r="F3071" s="10">
        <v>1</v>
      </c>
      <c r="L3071" s="1">
        <v>141</v>
      </c>
      <c r="M3071" s="1">
        <v>15</v>
      </c>
      <c r="N3071" s="1">
        <v>1</v>
      </c>
      <c r="O3071" s="1">
        <v>1</v>
      </c>
      <c r="P3071" s="2">
        <v>1</v>
      </c>
      <c r="Q3071" s="67">
        <v>5</v>
      </c>
    </row>
    <row r="3072" spans="1:17" x14ac:dyDescent="0.25">
      <c r="A3072" s="10">
        <v>421</v>
      </c>
      <c r="B3072" s="10">
        <v>45</v>
      </c>
      <c r="C3072" s="10">
        <v>5</v>
      </c>
      <c r="D3072" s="10">
        <v>2</v>
      </c>
      <c r="E3072" s="10">
        <v>10</v>
      </c>
      <c r="F3072" s="10">
        <v>10</v>
      </c>
      <c r="L3072" s="1">
        <v>142</v>
      </c>
      <c r="M3072" s="1">
        <v>15</v>
      </c>
      <c r="N3072" s="1">
        <v>1</v>
      </c>
      <c r="O3072" s="1">
        <v>1</v>
      </c>
      <c r="P3072" s="2">
        <v>1</v>
      </c>
      <c r="Q3072" s="68">
        <v>12</v>
      </c>
    </row>
    <row r="3073" spans="1:17" x14ac:dyDescent="0.25">
      <c r="A3073" s="10">
        <v>437</v>
      </c>
      <c r="B3073" s="10">
        <v>47</v>
      </c>
      <c r="C3073" s="10">
        <v>5</v>
      </c>
      <c r="D3073" s="10">
        <v>2</v>
      </c>
      <c r="E3073" s="10">
        <v>8</v>
      </c>
      <c r="F3073" s="10">
        <v>8</v>
      </c>
      <c r="L3073" s="1">
        <v>143</v>
      </c>
      <c r="M3073" s="1">
        <v>16</v>
      </c>
      <c r="N3073" s="1">
        <v>1</v>
      </c>
      <c r="O3073" s="1">
        <v>1</v>
      </c>
      <c r="P3073" s="2">
        <v>1</v>
      </c>
      <c r="Q3073" s="67">
        <v>2</v>
      </c>
    </row>
    <row r="3074" spans="1:17" x14ac:dyDescent="0.25">
      <c r="A3074" s="10">
        <v>433</v>
      </c>
      <c r="B3074" s="10">
        <v>47</v>
      </c>
      <c r="C3074" s="10">
        <v>5</v>
      </c>
      <c r="D3074" s="10">
        <v>2</v>
      </c>
      <c r="E3074" s="10">
        <v>6</v>
      </c>
      <c r="F3074" s="10">
        <v>6</v>
      </c>
      <c r="L3074" s="1">
        <v>144</v>
      </c>
      <c r="M3074" s="1">
        <v>16</v>
      </c>
      <c r="N3074" s="1">
        <v>1</v>
      </c>
      <c r="O3074" s="1">
        <v>1</v>
      </c>
      <c r="P3074" s="2">
        <v>1</v>
      </c>
      <c r="Q3074" s="68">
        <v>4</v>
      </c>
    </row>
    <row r="3075" spans="1:17" x14ac:dyDescent="0.25">
      <c r="A3075" s="10">
        <v>337</v>
      </c>
      <c r="B3075" s="10">
        <v>36</v>
      </c>
      <c r="C3075" s="10">
        <v>4</v>
      </c>
      <c r="D3075" s="10">
        <v>2</v>
      </c>
      <c r="E3075" s="10">
        <v>19</v>
      </c>
      <c r="F3075" s="10">
        <v>19</v>
      </c>
      <c r="L3075" s="1">
        <v>145</v>
      </c>
      <c r="M3075" s="1">
        <v>16</v>
      </c>
      <c r="N3075" s="1">
        <v>1</v>
      </c>
      <c r="O3075" s="1">
        <v>1</v>
      </c>
      <c r="P3075" s="2">
        <v>1</v>
      </c>
      <c r="Q3075" s="67">
        <v>3</v>
      </c>
    </row>
    <row r="3076" spans="1:17" x14ac:dyDescent="0.25">
      <c r="A3076" s="10">
        <v>318</v>
      </c>
      <c r="B3076" s="10">
        <v>34</v>
      </c>
      <c r="C3076" s="10">
        <v>5</v>
      </c>
      <c r="D3076" s="10">
        <v>3</v>
      </c>
      <c r="E3076" s="10">
        <v>2</v>
      </c>
      <c r="F3076" s="10">
        <v>2</v>
      </c>
      <c r="L3076" s="1">
        <v>146</v>
      </c>
      <c r="M3076" s="1">
        <v>16</v>
      </c>
      <c r="N3076" s="1">
        <v>1</v>
      </c>
      <c r="O3076" s="1">
        <v>1</v>
      </c>
      <c r="P3076" s="2">
        <v>1</v>
      </c>
      <c r="Q3076" s="68">
        <v>6</v>
      </c>
    </row>
    <row r="3077" spans="1:17" x14ac:dyDescent="0.25">
      <c r="A3077" s="10">
        <v>45</v>
      </c>
      <c r="B3077" s="10">
        <v>5</v>
      </c>
      <c r="C3077" s="10">
        <v>6</v>
      </c>
      <c r="D3077" s="10">
        <v>1</v>
      </c>
      <c r="E3077" s="10">
        <v>4</v>
      </c>
      <c r="F3077" s="10">
        <v>4</v>
      </c>
      <c r="L3077" s="1">
        <v>147</v>
      </c>
      <c r="M3077" s="1">
        <v>16</v>
      </c>
      <c r="N3077" s="1">
        <v>1</v>
      </c>
      <c r="O3077" s="1">
        <v>1</v>
      </c>
      <c r="P3077" s="2">
        <v>1</v>
      </c>
      <c r="Q3077" s="67">
        <v>25</v>
      </c>
    </row>
    <row r="3078" spans="1:17" x14ac:dyDescent="0.25">
      <c r="A3078" s="10">
        <v>343</v>
      </c>
      <c r="B3078" s="10">
        <v>37</v>
      </c>
      <c r="C3078" s="10">
        <v>6</v>
      </c>
      <c r="D3078" s="10">
        <v>5</v>
      </c>
      <c r="E3078" s="10">
        <v>7</v>
      </c>
      <c r="F3078" s="10">
        <v>7</v>
      </c>
      <c r="L3078" s="1">
        <v>148</v>
      </c>
      <c r="M3078" s="1">
        <v>16</v>
      </c>
      <c r="N3078" s="1">
        <v>1</v>
      </c>
      <c r="O3078" s="1">
        <v>1</v>
      </c>
      <c r="P3078" s="2">
        <v>1</v>
      </c>
      <c r="Q3078" s="68">
        <v>22</v>
      </c>
    </row>
    <row r="3079" spans="1:17" x14ac:dyDescent="0.25">
      <c r="A3079" s="10">
        <v>343</v>
      </c>
      <c r="B3079" s="10">
        <v>37</v>
      </c>
      <c r="C3079" s="10">
        <v>6</v>
      </c>
      <c r="D3079" s="10">
        <v>8</v>
      </c>
      <c r="E3079" s="10">
        <v>3</v>
      </c>
      <c r="F3079" s="10">
        <v>3</v>
      </c>
      <c r="L3079" s="1">
        <v>149</v>
      </c>
      <c r="M3079" s="1">
        <v>16</v>
      </c>
      <c r="N3079" s="1">
        <v>1</v>
      </c>
      <c r="O3079" s="1">
        <v>1</v>
      </c>
      <c r="P3079" s="2">
        <v>1</v>
      </c>
      <c r="Q3079" s="67">
        <v>11</v>
      </c>
    </row>
    <row r="3080" spans="1:17" x14ac:dyDescent="0.25">
      <c r="A3080" s="10">
        <v>174</v>
      </c>
      <c r="B3080" s="10">
        <v>19</v>
      </c>
      <c r="C3080" s="10">
        <v>5</v>
      </c>
      <c r="D3080" s="10">
        <v>1</v>
      </c>
      <c r="E3080" s="10">
        <v>15</v>
      </c>
      <c r="F3080" s="10">
        <v>15</v>
      </c>
      <c r="L3080" s="1">
        <v>150</v>
      </c>
      <c r="M3080" s="1">
        <v>16</v>
      </c>
      <c r="N3080" s="1">
        <v>1</v>
      </c>
      <c r="O3080" s="1">
        <v>1</v>
      </c>
      <c r="P3080" s="2">
        <v>1</v>
      </c>
      <c r="Q3080" s="68">
        <v>10</v>
      </c>
    </row>
    <row r="3081" spans="1:17" x14ac:dyDescent="0.25">
      <c r="A3081" s="10">
        <v>341</v>
      </c>
      <c r="B3081" s="10">
        <v>37</v>
      </c>
      <c r="C3081" s="10">
        <v>6</v>
      </c>
      <c r="D3081" s="10">
        <v>1</v>
      </c>
      <c r="E3081" s="10">
        <v>6</v>
      </c>
      <c r="F3081" s="10">
        <v>6</v>
      </c>
      <c r="L3081" s="1">
        <v>151</v>
      </c>
      <c r="M3081" s="1">
        <v>16</v>
      </c>
      <c r="N3081" s="1">
        <v>1</v>
      </c>
      <c r="O3081" s="1">
        <v>1</v>
      </c>
      <c r="P3081" s="2">
        <v>1</v>
      </c>
      <c r="Q3081" s="67">
        <v>18</v>
      </c>
    </row>
    <row r="3082" spans="1:17" x14ac:dyDescent="0.25">
      <c r="A3082" s="10">
        <v>174</v>
      </c>
      <c r="B3082" s="10">
        <v>19</v>
      </c>
      <c r="C3082" s="10">
        <v>5</v>
      </c>
      <c r="D3082" s="10">
        <v>2</v>
      </c>
      <c r="E3082" s="10">
        <v>15</v>
      </c>
      <c r="F3082" s="10">
        <v>15</v>
      </c>
      <c r="L3082" s="1">
        <v>152</v>
      </c>
      <c r="M3082" s="1">
        <v>16</v>
      </c>
      <c r="N3082" s="1">
        <v>1</v>
      </c>
      <c r="O3082" s="1">
        <v>1</v>
      </c>
      <c r="P3082" s="2">
        <v>1</v>
      </c>
      <c r="Q3082" s="68">
        <v>7</v>
      </c>
    </row>
    <row r="3083" spans="1:17" x14ac:dyDescent="0.25">
      <c r="A3083" s="10">
        <v>341</v>
      </c>
      <c r="B3083" s="10">
        <v>37</v>
      </c>
      <c r="C3083" s="10">
        <v>6</v>
      </c>
      <c r="D3083" s="10">
        <v>2</v>
      </c>
      <c r="E3083" s="10">
        <v>5</v>
      </c>
      <c r="F3083" s="10">
        <v>5</v>
      </c>
      <c r="L3083" s="1">
        <v>153</v>
      </c>
      <c r="M3083" s="1">
        <v>17</v>
      </c>
      <c r="N3083" s="1">
        <v>1</v>
      </c>
      <c r="O3083" s="1">
        <v>1</v>
      </c>
      <c r="P3083" s="2">
        <v>1</v>
      </c>
      <c r="Q3083" s="67">
        <v>5</v>
      </c>
    </row>
    <row r="3084" spans="1:17" x14ac:dyDescent="0.25">
      <c r="A3084" s="10">
        <v>341</v>
      </c>
      <c r="B3084" s="10">
        <v>37</v>
      </c>
      <c r="C3084" s="10">
        <v>6</v>
      </c>
      <c r="D3084" s="10">
        <v>5</v>
      </c>
      <c r="E3084" s="10">
        <v>6</v>
      </c>
      <c r="F3084" s="10">
        <v>6</v>
      </c>
      <c r="L3084" s="1">
        <v>154</v>
      </c>
      <c r="M3084" s="1">
        <v>17</v>
      </c>
      <c r="N3084" s="1">
        <v>1</v>
      </c>
      <c r="O3084" s="1">
        <v>1</v>
      </c>
      <c r="P3084" s="2">
        <v>1</v>
      </c>
      <c r="Q3084" s="68">
        <v>1</v>
      </c>
    </row>
    <row r="3085" spans="1:17" x14ac:dyDescent="0.25">
      <c r="A3085" s="10">
        <v>17</v>
      </c>
      <c r="B3085" s="10">
        <v>2</v>
      </c>
      <c r="C3085" s="10">
        <v>5</v>
      </c>
      <c r="D3085" s="10">
        <v>1</v>
      </c>
      <c r="E3085" s="10">
        <v>601</v>
      </c>
      <c r="F3085" s="10">
        <v>601</v>
      </c>
      <c r="L3085" s="1">
        <v>155</v>
      </c>
      <c r="M3085" s="1">
        <v>17</v>
      </c>
      <c r="N3085" s="1">
        <v>1</v>
      </c>
      <c r="O3085" s="1">
        <v>1</v>
      </c>
      <c r="P3085" s="2">
        <v>1</v>
      </c>
      <c r="Q3085" s="67">
        <v>12</v>
      </c>
    </row>
    <row r="3086" spans="1:17" x14ac:dyDescent="0.25">
      <c r="A3086" s="10">
        <v>17</v>
      </c>
      <c r="B3086" s="10">
        <v>2</v>
      </c>
      <c r="C3086" s="10">
        <v>5</v>
      </c>
      <c r="D3086" s="10">
        <v>2</v>
      </c>
      <c r="E3086" s="10">
        <v>396</v>
      </c>
      <c r="F3086" s="10">
        <v>396</v>
      </c>
      <c r="L3086" s="1">
        <v>156</v>
      </c>
      <c r="M3086" s="1">
        <v>17</v>
      </c>
      <c r="N3086" s="1">
        <v>1</v>
      </c>
      <c r="O3086" s="1">
        <v>1</v>
      </c>
      <c r="P3086" s="2">
        <v>1</v>
      </c>
      <c r="Q3086" s="68">
        <v>16</v>
      </c>
    </row>
    <row r="3087" spans="1:17" x14ac:dyDescent="0.25">
      <c r="A3087" s="10">
        <v>41</v>
      </c>
      <c r="B3087" s="10">
        <v>5</v>
      </c>
      <c r="C3087" s="10">
        <v>5</v>
      </c>
      <c r="D3087" s="10">
        <v>1</v>
      </c>
      <c r="E3087" s="10">
        <v>16</v>
      </c>
      <c r="F3087" s="10">
        <v>16</v>
      </c>
      <c r="L3087" s="1">
        <v>157</v>
      </c>
      <c r="M3087" s="1">
        <v>17</v>
      </c>
      <c r="N3087" s="1">
        <v>1</v>
      </c>
      <c r="O3087" s="1">
        <v>1</v>
      </c>
      <c r="P3087" s="2">
        <v>1</v>
      </c>
      <c r="Q3087" s="67">
        <v>17</v>
      </c>
    </row>
    <row r="3088" spans="1:17" x14ac:dyDescent="0.25">
      <c r="A3088" s="10">
        <v>41</v>
      </c>
      <c r="B3088" s="10">
        <v>5</v>
      </c>
      <c r="C3088" s="10">
        <v>5</v>
      </c>
      <c r="D3088" s="10">
        <v>2</v>
      </c>
      <c r="E3088" s="10">
        <v>2</v>
      </c>
      <c r="F3088" s="10">
        <v>2</v>
      </c>
      <c r="L3088" s="1">
        <v>158</v>
      </c>
      <c r="M3088" s="1">
        <v>17</v>
      </c>
      <c r="N3088" s="1">
        <v>1</v>
      </c>
      <c r="O3088" s="1">
        <v>1</v>
      </c>
      <c r="P3088" s="2">
        <v>1</v>
      </c>
      <c r="Q3088" s="68">
        <v>10</v>
      </c>
    </row>
    <row r="3089" spans="1:17" x14ac:dyDescent="0.25">
      <c r="A3089" s="10">
        <v>338</v>
      </c>
      <c r="B3089" s="10">
        <v>36</v>
      </c>
      <c r="C3089" s="10">
        <v>5</v>
      </c>
      <c r="D3089" s="10">
        <v>1</v>
      </c>
      <c r="E3089" s="10">
        <v>15</v>
      </c>
      <c r="F3089" s="10">
        <v>15</v>
      </c>
      <c r="L3089" s="1">
        <v>159</v>
      </c>
      <c r="M3089" s="1">
        <v>17</v>
      </c>
      <c r="N3089" s="1">
        <v>1</v>
      </c>
      <c r="O3089" s="1">
        <v>1</v>
      </c>
      <c r="P3089" s="2">
        <v>1</v>
      </c>
      <c r="Q3089" s="67">
        <v>8</v>
      </c>
    </row>
    <row r="3090" spans="1:17" x14ac:dyDescent="0.25">
      <c r="A3090" s="10">
        <v>338</v>
      </c>
      <c r="B3090" s="10">
        <v>36</v>
      </c>
      <c r="C3090" s="10">
        <v>5</v>
      </c>
      <c r="D3090" s="10">
        <v>2</v>
      </c>
      <c r="E3090" s="10">
        <v>5</v>
      </c>
      <c r="F3090" s="10">
        <v>5</v>
      </c>
      <c r="L3090" s="1">
        <v>160</v>
      </c>
      <c r="M3090" s="1">
        <v>17</v>
      </c>
      <c r="N3090" s="1">
        <v>1</v>
      </c>
      <c r="O3090" s="1">
        <v>1</v>
      </c>
      <c r="P3090" s="2">
        <v>1</v>
      </c>
      <c r="Q3090" s="68">
        <v>4</v>
      </c>
    </row>
    <row r="3091" spans="1:17" x14ac:dyDescent="0.25">
      <c r="A3091" s="10">
        <v>274</v>
      </c>
      <c r="B3091" s="10">
        <v>30</v>
      </c>
      <c r="C3091" s="10">
        <v>5</v>
      </c>
      <c r="D3091" s="10">
        <v>1</v>
      </c>
      <c r="E3091" s="10">
        <v>10</v>
      </c>
      <c r="F3091" s="10">
        <v>10</v>
      </c>
      <c r="L3091" s="1">
        <v>161</v>
      </c>
      <c r="M3091" s="1">
        <v>17</v>
      </c>
      <c r="N3091" s="1">
        <v>1</v>
      </c>
      <c r="O3091" s="1">
        <v>1</v>
      </c>
      <c r="P3091" s="2">
        <v>1</v>
      </c>
      <c r="Q3091" s="67">
        <v>8</v>
      </c>
    </row>
    <row r="3092" spans="1:17" x14ac:dyDescent="0.25">
      <c r="A3092" s="10">
        <v>274</v>
      </c>
      <c r="B3092" s="10">
        <v>30</v>
      </c>
      <c r="C3092" s="10">
        <v>5</v>
      </c>
      <c r="D3092" s="10">
        <v>2</v>
      </c>
      <c r="E3092" s="10">
        <v>12</v>
      </c>
      <c r="F3092" s="10">
        <v>12</v>
      </c>
      <c r="L3092" s="1">
        <v>162</v>
      </c>
      <c r="M3092" s="1">
        <v>17</v>
      </c>
      <c r="N3092" s="1">
        <v>1</v>
      </c>
      <c r="O3092" s="1">
        <v>1</v>
      </c>
      <c r="P3092" s="2">
        <v>1</v>
      </c>
      <c r="Q3092" s="68">
        <v>5</v>
      </c>
    </row>
    <row r="3093" spans="1:17" x14ac:dyDescent="0.25">
      <c r="A3093" s="10">
        <v>274</v>
      </c>
      <c r="B3093" s="10">
        <v>30</v>
      </c>
      <c r="C3093" s="10">
        <v>5</v>
      </c>
      <c r="D3093" s="10">
        <v>3</v>
      </c>
      <c r="E3093" s="10">
        <v>0</v>
      </c>
      <c r="F3093" s="10">
        <v>0</v>
      </c>
      <c r="L3093" s="1">
        <v>163</v>
      </c>
      <c r="M3093" s="1">
        <v>18</v>
      </c>
      <c r="N3093" s="1">
        <v>1</v>
      </c>
      <c r="O3093" s="1">
        <v>1</v>
      </c>
      <c r="P3093" s="2">
        <v>1</v>
      </c>
      <c r="Q3093" s="67">
        <v>6</v>
      </c>
    </row>
    <row r="3094" spans="1:17" x14ac:dyDescent="0.25">
      <c r="A3094" s="10">
        <v>272</v>
      </c>
      <c r="B3094" s="10">
        <v>30</v>
      </c>
      <c r="C3094" s="10">
        <v>5</v>
      </c>
      <c r="D3094" s="10">
        <v>1</v>
      </c>
      <c r="E3094" s="10">
        <v>22</v>
      </c>
      <c r="F3094" s="10">
        <v>22</v>
      </c>
      <c r="L3094" s="1">
        <v>164</v>
      </c>
      <c r="M3094" s="1">
        <v>18</v>
      </c>
      <c r="N3094" s="1">
        <v>1</v>
      </c>
      <c r="O3094" s="1">
        <v>1</v>
      </c>
      <c r="P3094" s="2">
        <v>1</v>
      </c>
      <c r="Q3094" s="68">
        <v>7</v>
      </c>
    </row>
    <row r="3095" spans="1:17" x14ac:dyDescent="0.25">
      <c r="A3095" s="10">
        <v>272</v>
      </c>
      <c r="B3095" s="10">
        <v>30</v>
      </c>
      <c r="C3095" s="10">
        <v>5</v>
      </c>
      <c r="D3095" s="10">
        <v>2</v>
      </c>
      <c r="E3095" s="10">
        <v>30</v>
      </c>
      <c r="F3095" s="10">
        <v>30</v>
      </c>
      <c r="L3095" s="1">
        <v>165</v>
      </c>
      <c r="M3095" s="1">
        <v>18</v>
      </c>
      <c r="N3095" s="1">
        <v>1</v>
      </c>
      <c r="O3095" s="1">
        <v>1</v>
      </c>
      <c r="P3095" s="2">
        <v>1</v>
      </c>
      <c r="Q3095" s="67">
        <v>5</v>
      </c>
    </row>
    <row r="3096" spans="1:17" x14ac:dyDescent="0.25">
      <c r="A3096" s="10">
        <v>169</v>
      </c>
      <c r="B3096" s="10">
        <v>18</v>
      </c>
      <c r="C3096" s="10">
        <v>1</v>
      </c>
      <c r="D3096" s="10">
        <v>1</v>
      </c>
      <c r="E3096" s="10">
        <v>130</v>
      </c>
      <c r="F3096" s="10">
        <v>130</v>
      </c>
      <c r="L3096" s="1">
        <v>166</v>
      </c>
      <c r="M3096" s="1">
        <v>18</v>
      </c>
      <c r="N3096" s="1">
        <v>1</v>
      </c>
      <c r="O3096" s="1">
        <v>1</v>
      </c>
      <c r="P3096" s="2">
        <v>1</v>
      </c>
      <c r="Q3096" s="68">
        <v>4</v>
      </c>
    </row>
    <row r="3097" spans="1:17" x14ac:dyDescent="0.25">
      <c r="A3097" s="10">
        <v>169</v>
      </c>
      <c r="B3097" s="10">
        <v>18</v>
      </c>
      <c r="C3097" s="10">
        <v>1</v>
      </c>
      <c r="D3097" s="10">
        <v>2</v>
      </c>
      <c r="E3097" s="10">
        <v>82</v>
      </c>
      <c r="F3097" s="10">
        <v>82</v>
      </c>
      <c r="L3097" s="1">
        <v>167</v>
      </c>
      <c r="M3097" s="1">
        <v>18</v>
      </c>
      <c r="N3097" s="1">
        <v>1</v>
      </c>
      <c r="O3097" s="1">
        <v>1</v>
      </c>
      <c r="P3097" s="2">
        <v>1</v>
      </c>
      <c r="Q3097" s="67">
        <v>9</v>
      </c>
    </row>
    <row r="3098" spans="1:17" x14ac:dyDescent="0.25">
      <c r="A3098" s="10">
        <v>386</v>
      </c>
      <c r="B3098" s="10">
        <v>42</v>
      </c>
      <c r="C3098" s="10">
        <v>4</v>
      </c>
      <c r="D3098" s="10">
        <v>2</v>
      </c>
      <c r="E3098" s="10">
        <v>22</v>
      </c>
      <c r="F3098" s="10">
        <v>22</v>
      </c>
      <c r="L3098" s="1">
        <v>168</v>
      </c>
      <c r="M3098" s="1">
        <v>18</v>
      </c>
      <c r="N3098" s="1">
        <v>1</v>
      </c>
      <c r="O3098" s="1">
        <v>1</v>
      </c>
      <c r="P3098" s="2">
        <v>1</v>
      </c>
      <c r="Q3098" s="68">
        <v>4</v>
      </c>
    </row>
    <row r="3099" spans="1:17" x14ac:dyDescent="0.25">
      <c r="A3099" s="10">
        <v>386</v>
      </c>
      <c r="B3099" s="10">
        <v>42</v>
      </c>
      <c r="C3099" s="10">
        <v>4</v>
      </c>
      <c r="D3099" s="10">
        <v>1</v>
      </c>
      <c r="E3099" s="10">
        <v>1</v>
      </c>
      <c r="F3099" s="10">
        <v>1</v>
      </c>
      <c r="L3099" s="1">
        <v>169</v>
      </c>
      <c r="M3099" s="1">
        <v>18</v>
      </c>
      <c r="N3099" s="1">
        <v>1</v>
      </c>
      <c r="O3099" s="1">
        <v>1</v>
      </c>
      <c r="P3099" s="2">
        <v>1</v>
      </c>
      <c r="Q3099" s="67">
        <v>10</v>
      </c>
    </row>
    <row r="3100" spans="1:17" x14ac:dyDescent="0.25">
      <c r="A3100" s="10">
        <v>388</v>
      </c>
      <c r="B3100" s="10">
        <v>42</v>
      </c>
      <c r="C3100" s="10">
        <v>5</v>
      </c>
      <c r="D3100" s="10">
        <v>1</v>
      </c>
      <c r="E3100" s="10">
        <v>6</v>
      </c>
      <c r="F3100" s="10">
        <v>6</v>
      </c>
      <c r="L3100" s="1">
        <v>170</v>
      </c>
      <c r="M3100" s="1">
        <v>18</v>
      </c>
      <c r="N3100" s="1">
        <v>1</v>
      </c>
      <c r="O3100" s="1">
        <v>1</v>
      </c>
      <c r="P3100" s="2">
        <v>1</v>
      </c>
      <c r="Q3100" s="68">
        <v>6</v>
      </c>
    </row>
    <row r="3101" spans="1:17" x14ac:dyDescent="0.25">
      <c r="A3101" s="10">
        <v>388</v>
      </c>
      <c r="B3101" s="10">
        <v>42</v>
      </c>
      <c r="C3101" s="10">
        <v>5</v>
      </c>
      <c r="D3101" s="10">
        <v>2</v>
      </c>
      <c r="E3101" s="10">
        <v>4</v>
      </c>
      <c r="F3101" s="10">
        <v>4</v>
      </c>
      <c r="L3101" s="1">
        <v>171</v>
      </c>
      <c r="M3101" s="1">
        <v>18</v>
      </c>
      <c r="N3101" s="1">
        <v>1</v>
      </c>
      <c r="O3101" s="1">
        <v>1</v>
      </c>
      <c r="P3101" s="2">
        <v>1</v>
      </c>
      <c r="Q3101" s="67">
        <v>8</v>
      </c>
    </row>
    <row r="3102" spans="1:17" x14ac:dyDescent="0.25">
      <c r="A3102" s="10">
        <v>248</v>
      </c>
      <c r="B3102" s="10">
        <v>27</v>
      </c>
      <c r="C3102" s="10">
        <v>4</v>
      </c>
      <c r="D3102" s="10">
        <v>6</v>
      </c>
      <c r="E3102" s="10">
        <v>1</v>
      </c>
      <c r="F3102" s="10">
        <v>1</v>
      </c>
      <c r="L3102" s="1">
        <v>172</v>
      </c>
      <c r="M3102" s="1">
        <v>18</v>
      </c>
      <c r="N3102" s="1">
        <v>1</v>
      </c>
      <c r="O3102" s="1">
        <v>1</v>
      </c>
      <c r="P3102" s="2">
        <v>1</v>
      </c>
      <c r="Q3102" s="68">
        <v>4</v>
      </c>
    </row>
    <row r="3103" spans="1:17" x14ac:dyDescent="0.25">
      <c r="A3103" s="10">
        <v>248</v>
      </c>
      <c r="B3103" s="10">
        <v>27</v>
      </c>
      <c r="C3103" s="10">
        <v>3</v>
      </c>
      <c r="D3103" s="10">
        <v>1</v>
      </c>
      <c r="E3103" s="10">
        <v>5</v>
      </c>
      <c r="F3103" s="10">
        <v>5</v>
      </c>
      <c r="L3103" s="1">
        <v>173</v>
      </c>
      <c r="M3103" s="1">
        <v>19</v>
      </c>
      <c r="N3103" s="1">
        <v>1</v>
      </c>
      <c r="O3103" s="1">
        <v>1</v>
      </c>
      <c r="P3103" s="2">
        <v>1</v>
      </c>
      <c r="Q3103" s="67">
        <v>5</v>
      </c>
    </row>
    <row r="3104" spans="1:17" x14ac:dyDescent="0.25">
      <c r="A3104" s="10">
        <v>248</v>
      </c>
      <c r="B3104" s="10">
        <v>27</v>
      </c>
      <c r="C3104" s="10">
        <v>3</v>
      </c>
      <c r="D3104" s="10">
        <v>2</v>
      </c>
      <c r="E3104" s="10">
        <v>6</v>
      </c>
      <c r="F3104" s="10">
        <v>6</v>
      </c>
      <c r="L3104" s="1">
        <v>174</v>
      </c>
      <c r="M3104" s="1">
        <v>19</v>
      </c>
      <c r="N3104" s="1">
        <v>1</v>
      </c>
      <c r="O3104" s="1">
        <v>1</v>
      </c>
      <c r="P3104" s="2">
        <v>1</v>
      </c>
      <c r="Q3104" s="68">
        <v>6</v>
      </c>
    </row>
    <row r="3105" spans="1:17" x14ac:dyDescent="0.25">
      <c r="A3105" s="10">
        <v>248</v>
      </c>
      <c r="B3105" s="10">
        <v>27</v>
      </c>
      <c r="C3105" s="10">
        <v>3</v>
      </c>
      <c r="D3105" s="10">
        <v>3</v>
      </c>
      <c r="E3105" s="10">
        <v>5</v>
      </c>
      <c r="F3105" s="10">
        <v>5</v>
      </c>
      <c r="L3105" s="1">
        <v>175</v>
      </c>
      <c r="M3105" s="1">
        <v>19</v>
      </c>
      <c r="N3105" s="1">
        <v>1</v>
      </c>
      <c r="O3105" s="1">
        <v>1</v>
      </c>
      <c r="P3105" s="2">
        <v>1</v>
      </c>
      <c r="Q3105" s="67">
        <v>3</v>
      </c>
    </row>
    <row r="3106" spans="1:17" x14ac:dyDescent="0.25">
      <c r="A3106" s="10">
        <v>248</v>
      </c>
      <c r="B3106" s="10">
        <v>27</v>
      </c>
      <c r="C3106" s="10">
        <v>3</v>
      </c>
      <c r="D3106" s="10">
        <v>4</v>
      </c>
      <c r="E3106" s="10">
        <v>5</v>
      </c>
      <c r="F3106" s="10">
        <v>5</v>
      </c>
      <c r="L3106" s="1">
        <v>176</v>
      </c>
      <c r="M3106" s="1">
        <v>19</v>
      </c>
      <c r="N3106" s="1">
        <v>1</v>
      </c>
      <c r="O3106" s="1">
        <v>1</v>
      </c>
      <c r="P3106" s="2">
        <v>1</v>
      </c>
      <c r="Q3106" s="68">
        <v>5</v>
      </c>
    </row>
    <row r="3107" spans="1:17" x14ac:dyDescent="0.25">
      <c r="A3107" s="10">
        <v>169</v>
      </c>
      <c r="B3107" s="10">
        <v>18</v>
      </c>
      <c r="C3107" s="10">
        <v>4</v>
      </c>
      <c r="D3107" s="10">
        <v>1</v>
      </c>
      <c r="E3107" s="10">
        <v>130</v>
      </c>
      <c r="F3107" s="10">
        <v>130</v>
      </c>
      <c r="L3107" s="1">
        <v>177</v>
      </c>
      <c r="M3107" s="1">
        <v>19</v>
      </c>
      <c r="N3107" s="1">
        <v>1</v>
      </c>
      <c r="O3107" s="1">
        <v>1</v>
      </c>
      <c r="P3107" s="2">
        <v>1</v>
      </c>
      <c r="Q3107" s="67">
        <v>7</v>
      </c>
    </row>
    <row r="3108" spans="1:17" x14ac:dyDescent="0.25">
      <c r="A3108" s="10">
        <v>169</v>
      </c>
      <c r="B3108" s="10">
        <v>18</v>
      </c>
      <c r="C3108" s="10">
        <v>4</v>
      </c>
      <c r="D3108" s="10">
        <v>2</v>
      </c>
      <c r="E3108" s="10">
        <v>82</v>
      </c>
      <c r="F3108" s="10">
        <v>82</v>
      </c>
      <c r="L3108" s="1">
        <v>178</v>
      </c>
      <c r="M3108" s="1">
        <v>19</v>
      </c>
      <c r="N3108" s="1">
        <v>1</v>
      </c>
      <c r="O3108" s="1">
        <v>1</v>
      </c>
      <c r="P3108" s="2">
        <v>1</v>
      </c>
      <c r="Q3108" s="68">
        <v>8</v>
      </c>
    </row>
    <row r="3109" spans="1:17" x14ac:dyDescent="0.25">
      <c r="A3109" s="10">
        <v>169</v>
      </c>
      <c r="B3109" s="10">
        <v>18</v>
      </c>
      <c r="C3109" s="10">
        <v>3</v>
      </c>
      <c r="D3109" s="10">
        <v>1</v>
      </c>
      <c r="E3109" s="10">
        <v>130</v>
      </c>
      <c r="F3109" s="10">
        <v>130</v>
      </c>
      <c r="L3109" s="1">
        <v>179</v>
      </c>
      <c r="M3109" s="1">
        <v>19</v>
      </c>
      <c r="N3109" s="1">
        <v>1</v>
      </c>
      <c r="O3109" s="1">
        <v>1</v>
      </c>
      <c r="P3109" s="2">
        <v>1</v>
      </c>
      <c r="Q3109" s="67">
        <v>10</v>
      </c>
    </row>
    <row r="3110" spans="1:17" x14ac:dyDescent="0.25">
      <c r="A3110" s="10">
        <v>169</v>
      </c>
      <c r="B3110" s="10">
        <v>18</v>
      </c>
      <c r="C3110" s="10">
        <v>3</v>
      </c>
      <c r="D3110" s="10">
        <v>2</v>
      </c>
      <c r="E3110" s="10">
        <v>82</v>
      </c>
      <c r="F3110" s="10">
        <v>82</v>
      </c>
      <c r="L3110" s="1">
        <v>180</v>
      </c>
      <c r="M3110" s="1">
        <v>19</v>
      </c>
      <c r="N3110" s="1">
        <v>1</v>
      </c>
      <c r="O3110" s="1">
        <v>1</v>
      </c>
      <c r="P3110" s="2">
        <v>1</v>
      </c>
      <c r="Q3110" s="68">
        <v>16</v>
      </c>
    </row>
    <row r="3111" spans="1:17" x14ac:dyDescent="0.25">
      <c r="A3111" s="10">
        <v>169</v>
      </c>
      <c r="B3111" s="10">
        <v>18</v>
      </c>
      <c r="C3111" s="10">
        <v>2</v>
      </c>
      <c r="D3111" s="10">
        <v>1</v>
      </c>
      <c r="E3111" s="10">
        <v>132</v>
      </c>
      <c r="F3111" s="10">
        <v>132</v>
      </c>
      <c r="L3111" s="1">
        <v>181</v>
      </c>
      <c r="M3111" s="1">
        <v>19</v>
      </c>
      <c r="N3111" s="1">
        <v>1</v>
      </c>
      <c r="O3111" s="1">
        <v>1</v>
      </c>
      <c r="P3111" s="2">
        <v>1</v>
      </c>
      <c r="Q3111" s="67">
        <v>12</v>
      </c>
    </row>
    <row r="3112" spans="1:17" x14ac:dyDescent="0.25">
      <c r="A3112" s="10">
        <v>169</v>
      </c>
      <c r="B3112" s="10">
        <v>18</v>
      </c>
      <c r="C3112" s="10">
        <v>2</v>
      </c>
      <c r="D3112" s="10">
        <v>2</v>
      </c>
      <c r="E3112" s="10">
        <v>82</v>
      </c>
      <c r="F3112" s="10">
        <v>82</v>
      </c>
      <c r="L3112" s="1">
        <v>182</v>
      </c>
      <c r="M3112" s="1">
        <v>19</v>
      </c>
      <c r="N3112" s="1">
        <v>1</v>
      </c>
      <c r="O3112" s="1">
        <v>1</v>
      </c>
      <c r="P3112" s="2">
        <v>1</v>
      </c>
      <c r="Q3112" s="68">
        <v>5</v>
      </c>
    </row>
    <row r="3113" spans="1:17" x14ac:dyDescent="0.25">
      <c r="A3113" s="10">
        <v>169</v>
      </c>
      <c r="B3113" s="10">
        <v>18</v>
      </c>
      <c r="C3113" s="10">
        <v>5</v>
      </c>
      <c r="D3113" s="10">
        <v>1</v>
      </c>
      <c r="E3113" s="10">
        <v>130</v>
      </c>
      <c r="F3113" s="10">
        <v>130</v>
      </c>
      <c r="L3113" s="1">
        <v>183</v>
      </c>
      <c r="M3113" s="1">
        <v>20</v>
      </c>
      <c r="N3113" s="1">
        <v>1</v>
      </c>
      <c r="O3113" s="1">
        <v>1</v>
      </c>
      <c r="P3113" s="2">
        <v>1</v>
      </c>
      <c r="Q3113" s="67">
        <v>5</v>
      </c>
    </row>
    <row r="3114" spans="1:17" x14ac:dyDescent="0.25">
      <c r="A3114" s="10">
        <v>169</v>
      </c>
      <c r="B3114" s="10">
        <v>18</v>
      </c>
      <c r="C3114" s="10">
        <v>5</v>
      </c>
      <c r="D3114" s="10">
        <v>2</v>
      </c>
      <c r="E3114" s="10">
        <v>82</v>
      </c>
      <c r="F3114" s="10">
        <v>82</v>
      </c>
      <c r="L3114" s="1">
        <v>184</v>
      </c>
      <c r="M3114" s="1">
        <v>20</v>
      </c>
      <c r="N3114" s="1">
        <v>1</v>
      </c>
      <c r="O3114" s="1">
        <v>1</v>
      </c>
      <c r="P3114" s="2">
        <v>1</v>
      </c>
      <c r="Q3114" s="68">
        <v>8</v>
      </c>
    </row>
    <row r="3115" spans="1:17" x14ac:dyDescent="0.25">
      <c r="A3115" s="10">
        <v>6</v>
      </c>
      <c r="B3115" s="10">
        <v>1</v>
      </c>
      <c r="C3115" s="10">
        <v>3</v>
      </c>
      <c r="D3115" s="10">
        <v>1</v>
      </c>
      <c r="E3115" s="10">
        <v>13</v>
      </c>
      <c r="F3115" s="10">
        <v>13</v>
      </c>
      <c r="L3115" s="1">
        <v>185</v>
      </c>
      <c r="M3115" s="1">
        <v>20</v>
      </c>
      <c r="N3115" s="1">
        <v>1</v>
      </c>
      <c r="O3115" s="1">
        <v>1</v>
      </c>
      <c r="P3115" s="2">
        <v>1</v>
      </c>
      <c r="Q3115" s="67">
        <v>8</v>
      </c>
    </row>
    <row r="3116" spans="1:17" x14ac:dyDescent="0.25">
      <c r="A3116" s="10">
        <v>6</v>
      </c>
      <c r="B3116" s="10">
        <v>1</v>
      </c>
      <c r="C3116" s="10">
        <v>3</v>
      </c>
      <c r="D3116" s="10">
        <v>2</v>
      </c>
      <c r="E3116" s="10">
        <v>9</v>
      </c>
      <c r="F3116" s="10">
        <v>9</v>
      </c>
      <c r="L3116" s="1">
        <v>186</v>
      </c>
      <c r="M3116" s="1">
        <v>20</v>
      </c>
      <c r="N3116" s="1">
        <v>1</v>
      </c>
      <c r="O3116" s="1">
        <v>1</v>
      </c>
      <c r="P3116" s="2">
        <v>1</v>
      </c>
      <c r="Q3116" s="68">
        <v>10</v>
      </c>
    </row>
    <row r="3117" spans="1:17" x14ac:dyDescent="0.25">
      <c r="A3117" s="10">
        <v>392</v>
      </c>
      <c r="B3117" s="10">
        <v>42</v>
      </c>
      <c r="C3117" s="10">
        <v>5</v>
      </c>
      <c r="D3117" s="10">
        <v>1</v>
      </c>
      <c r="E3117" s="10">
        <v>3</v>
      </c>
      <c r="F3117" s="10">
        <v>3</v>
      </c>
      <c r="L3117" s="1">
        <v>187</v>
      </c>
      <c r="M3117" s="1">
        <v>20</v>
      </c>
      <c r="N3117" s="1">
        <v>1</v>
      </c>
      <c r="O3117" s="1">
        <v>1</v>
      </c>
      <c r="P3117" s="2">
        <v>1</v>
      </c>
      <c r="Q3117" s="67">
        <v>10</v>
      </c>
    </row>
    <row r="3118" spans="1:17" x14ac:dyDescent="0.25">
      <c r="A3118" s="10">
        <v>392</v>
      </c>
      <c r="B3118" s="10">
        <v>42</v>
      </c>
      <c r="C3118" s="10">
        <v>5</v>
      </c>
      <c r="D3118" s="10">
        <v>2</v>
      </c>
      <c r="E3118" s="10">
        <v>31</v>
      </c>
      <c r="F3118" s="10">
        <v>31</v>
      </c>
      <c r="L3118" s="1">
        <v>188</v>
      </c>
      <c r="M3118" s="1">
        <v>20</v>
      </c>
      <c r="N3118" s="1">
        <v>1</v>
      </c>
      <c r="O3118" s="1">
        <v>1</v>
      </c>
      <c r="P3118" s="2">
        <v>1</v>
      </c>
      <c r="Q3118" s="68">
        <v>13</v>
      </c>
    </row>
    <row r="3119" spans="1:17" x14ac:dyDescent="0.25">
      <c r="A3119" s="10">
        <v>311</v>
      </c>
      <c r="B3119" s="10">
        <v>34</v>
      </c>
      <c r="C3119" s="10">
        <v>5</v>
      </c>
      <c r="D3119" s="10">
        <v>1</v>
      </c>
      <c r="E3119" s="10">
        <v>5</v>
      </c>
      <c r="F3119" s="10">
        <v>5</v>
      </c>
      <c r="L3119" s="1">
        <v>189</v>
      </c>
      <c r="M3119" s="1">
        <v>20</v>
      </c>
      <c r="N3119" s="1">
        <v>1</v>
      </c>
      <c r="O3119" s="1">
        <v>1</v>
      </c>
      <c r="P3119" s="2">
        <v>1</v>
      </c>
      <c r="Q3119" s="67">
        <v>13</v>
      </c>
    </row>
    <row r="3120" spans="1:17" x14ac:dyDescent="0.25">
      <c r="A3120" s="10">
        <v>311</v>
      </c>
      <c r="B3120" s="10">
        <v>34</v>
      </c>
      <c r="C3120" s="10">
        <v>5</v>
      </c>
      <c r="D3120" s="10">
        <v>2</v>
      </c>
      <c r="E3120" s="10">
        <v>6</v>
      </c>
      <c r="F3120" s="10">
        <v>6</v>
      </c>
      <c r="L3120" s="1">
        <v>190</v>
      </c>
      <c r="M3120" s="1">
        <v>20</v>
      </c>
      <c r="N3120" s="1">
        <v>1</v>
      </c>
      <c r="O3120" s="1">
        <v>1</v>
      </c>
      <c r="P3120" s="2">
        <v>1</v>
      </c>
      <c r="Q3120" s="68">
        <v>14</v>
      </c>
    </row>
    <row r="3121" spans="1:17" x14ac:dyDescent="0.25">
      <c r="A3121" s="10">
        <v>280</v>
      </c>
      <c r="B3121" s="10">
        <v>30</v>
      </c>
      <c r="C3121" s="10">
        <v>5</v>
      </c>
      <c r="D3121" s="10">
        <v>2</v>
      </c>
      <c r="E3121" s="10">
        <v>12</v>
      </c>
      <c r="F3121" s="10">
        <v>12</v>
      </c>
      <c r="L3121" s="1">
        <v>191</v>
      </c>
      <c r="M3121" s="1">
        <v>21</v>
      </c>
      <c r="N3121" s="1">
        <v>1</v>
      </c>
      <c r="O3121" s="1">
        <v>1</v>
      </c>
      <c r="P3121" s="2">
        <v>1</v>
      </c>
      <c r="Q3121" s="67">
        <v>10</v>
      </c>
    </row>
    <row r="3122" spans="1:17" x14ac:dyDescent="0.25">
      <c r="A3122" s="10">
        <v>280</v>
      </c>
      <c r="B3122" s="10">
        <v>30</v>
      </c>
      <c r="C3122" s="10">
        <v>5</v>
      </c>
      <c r="D3122" s="10">
        <v>3</v>
      </c>
      <c r="E3122" s="10">
        <v>3</v>
      </c>
      <c r="F3122" s="10">
        <v>3</v>
      </c>
      <c r="L3122" s="1">
        <v>192</v>
      </c>
      <c r="M3122" s="1">
        <v>21</v>
      </c>
      <c r="N3122" s="1">
        <v>1</v>
      </c>
      <c r="O3122" s="1">
        <v>1</v>
      </c>
      <c r="P3122" s="2">
        <v>1</v>
      </c>
      <c r="Q3122" s="68">
        <v>9</v>
      </c>
    </row>
    <row r="3123" spans="1:17" x14ac:dyDescent="0.25">
      <c r="A3123" s="10">
        <v>280</v>
      </c>
      <c r="B3123" s="10">
        <v>30</v>
      </c>
      <c r="C3123" s="10">
        <v>5</v>
      </c>
      <c r="D3123" s="10">
        <v>4</v>
      </c>
      <c r="E3123" s="10">
        <v>1</v>
      </c>
      <c r="F3123" s="10">
        <v>1</v>
      </c>
      <c r="L3123" s="1">
        <v>193</v>
      </c>
      <c r="M3123" s="1">
        <v>21</v>
      </c>
      <c r="N3123" s="1">
        <v>1</v>
      </c>
      <c r="O3123" s="1">
        <v>1</v>
      </c>
      <c r="P3123" s="2">
        <v>1</v>
      </c>
      <c r="Q3123" s="67">
        <v>15</v>
      </c>
    </row>
    <row r="3124" spans="1:17" x14ac:dyDescent="0.25">
      <c r="A3124" s="10">
        <v>278</v>
      </c>
      <c r="B3124" s="10">
        <v>30</v>
      </c>
      <c r="C3124" s="10">
        <v>5</v>
      </c>
      <c r="D3124" s="10">
        <v>1</v>
      </c>
      <c r="E3124" s="10">
        <v>9</v>
      </c>
      <c r="F3124" s="10">
        <v>9</v>
      </c>
      <c r="L3124" s="1">
        <v>194</v>
      </c>
      <c r="M3124" s="1">
        <v>21</v>
      </c>
      <c r="N3124" s="1">
        <v>1</v>
      </c>
      <c r="O3124" s="1">
        <v>1</v>
      </c>
      <c r="P3124" s="2">
        <v>1</v>
      </c>
      <c r="Q3124" s="68">
        <v>1</v>
      </c>
    </row>
    <row r="3125" spans="1:17" x14ac:dyDescent="0.25">
      <c r="A3125" s="10">
        <v>278</v>
      </c>
      <c r="B3125" s="10">
        <v>30</v>
      </c>
      <c r="C3125" s="10">
        <v>5</v>
      </c>
      <c r="D3125" s="10">
        <v>2</v>
      </c>
      <c r="E3125" s="10">
        <v>18</v>
      </c>
      <c r="F3125" s="10">
        <v>18</v>
      </c>
      <c r="L3125" s="1">
        <v>195</v>
      </c>
      <c r="M3125" s="1">
        <v>21</v>
      </c>
      <c r="N3125" s="1">
        <v>1</v>
      </c>
      <c r="O3125" s="1">
        <v>1</v>
      </c>
      <c r="P3125" s="2">
        <v>1</v>
      </c>
      <c r="Q3125" s="67">
        <v>17</v>
      </c>
    </row>
    <row r="3126" spans="1:17" x14ac:dyDescent="0.25">
      <c r="A3126" s="10">
        <v>394</v>
      </c>
      <c r="B3126" s="10">
        <v>42</v>
      </c>
      <c r="C3126" s="10">
        <v>5</v>
      </c>
      <c r="D3126" s="10">
        <v>1</v>
      </c>
      <c r="E3126" s="10">
        <v>6</v>
      </c>
      <c r="F3126" s="10">
        <v>6</v>
      </c>
      <c r="L3126" s="1">
        <v>196</v>
      </c>
      <c r="M3126" s="1">
        <v>21</v>
      </c>
      <c r="N3126" s="1">
        <v>1</v>
      </c>
      <c r="O3126" s="1">
        <v>1</v>
      </c>
      <c r="P3126" s="2">
        <v>1</v>
      </c>
      <c r="Q3126" s="68">
        <v>8</v>
      </c>
    </row>
    <row r="3127" spans="1:17" x14ac:dyDescent="0.25">
      <c r="A3127" s="10">
        <v>394</v>
      </c>
      <c r="B3127" s="10">
        <v>42</v>
      </c>
      <c r="C3127" s="10">
        <v>5</v>
      </c>
      <c r="D3127" s="10">
        <v>2</v>
      </c>
      <c r="E3127" s="10">
        <v>5</v>
      </c>
      <c r="F3127" s="10">
        <v>5</v>
      </c>
      <c r="L3127" s="1">
        <v>197</v>
      </c>
      <c r="M3127" s="1">
        <v>21</v>
      </c>
      <c r="N3127" s="1">
        <v>1</v>
      </c>
      <c r="O3127" s="1">
        <v>1</v>
      </c>
      <c r="P3127" s="2">
        <v>1</v>
      </c>
      <c r="Q3127" s="67">
        <v>16</v>
      </c>
    </row>
    <row r="3128" spans="1:17" x14ac:dyDescent="0.25">
      <c r="A3128" s="10">
        <v>394</v>
      </c>
      <c r="B3128" s="10">
        <v>42</v>
      </c>
      <c r="C3128" s="10">
        <v>5</v>
      </c>
      <c r="D3128" s="10">
        <v>3</v>
      </c>
      <c r="E3128" s="10">
        <v>1</v>
      </c>
      <c r="F3128" s="10">
        <v>1</v>
      </c>
      <c r="L3128" s="1">
        <v>198</v>
      </c>
      <c r="M3128" s="1">
        <v>21</v>
      </c>
      <c r="N3128" s="1">
        <v>1</v>
      </c>
      <c r="O3128" s="1">
        <v>1</v>
      </c>
      <c r="P3128" s="2">
        <v>1</v>
      </c>
      <c r="Q3128" s="68">
        <v>18</v>
      </c>
    </row>
    <row r="3129" spans="1:17" x14ac:dyDescent="0.25">
      <c r="A3129" s="10">
        <v>394</v>
      </c>
      <c r="B3129" s="10">
        <v>42</v>
      </c>
      <c r="C3129" s="10">
        <v>5</v>
      </c>
      <c r="D3129" s="10">
        <v>8</v>
      </c>
      <c r="E3129" s="10">
        <v>4</v>
      </c>
      <c r="F3129" s="10">
        <v>4</v>
      </c>
      <c r="L3129" s="1">
        <v>199</v>
      </c>
      <c r="M3129" s="1">
        <v>22</v>
      </c>
      <c r="N3129" s="1">
        <v>1</v>
      </c>
      <c r="O3129" s="1">
        <v>1</v>
      </c>
      <c r="P3129" s="2">
        <v>1</v>
      </c>
      <c r="Q3129" s="67">
        <v>9</v>
      </c>
    </row>
    <row r="3130" spans="1:17" x14ac:dyDescent="0.25">
      <c r="A3130" s="10">
        <v>7</v>
      </c>
      <c r="B3130" s="10">
        <v>1</v>
      </c>
      <c r="C3130" s="10">
        <v>5</v>
      </c>
      <c r="D3130" s="10">
        <v>1</v>
      </c>
      <c r="E3130" s="10">
        <v>455</v>
      </c>
      <c r="F3130" s="10">
        <v>455</v>
      </c>
      <c r="L3130" s="1">
        <v>200</v>
      </c>
      <c r="M3130" s="1">
        <v>22</v>
      </c>
      <c r="N3130" s="1">
        <v>1</v>
      </c>
      <c r="O3130" s="1">
        <v>1</v>
      </c>
      <c r="P3130" s="2">
        <v>1</v>
      </c>
      <c r="Q3130" s="68">
        <v>10</v>
      </c>
    </row>
    <row r="3131" spans="1:17" x14ac:dyDescent="0.25">
      <c r="A3131" s="10">
        <v>394</v>
      </c>
      <c r="B3131" s="10">
        <v>42</v>
      </c>
      <c r="C3131" s="10">
        <v>5</v>
      </c>
      <c r="D3131" s="10">
        <v>9</v>
      </c>
      <c r="E3131" s="10">
        <v>2</v>
      </c>
      <c r="F3131" s="10">
        <v>2</v>
      </c>
      <c r="L3131" s="1">
        <v>201</v>
      </c>
      <c r="M3131" s="1">
        <v>22</v>
      </c>
      <c r="N3131" s="1">
        <v>1</v>
      </c>
      <c r="O3131" s="1">
        <v>1</v>
      </c>
      <c r="P3131" s="2">
        <v>1</v>
      </c>
      <c r="Q3131" s="67">
        <v>2</v>
      </c>
    </row>
    <row r="3132" spans="1:17" x14ac:dyDescent="0.25">
      <c r="A3132" s="10">
        <v>7</v>
      </c>
      <c r="B3132" s="10">
        <v>1</v>
      </c>
      <c r="C3132" s="10">
        <v>5</v>
      </c>
      <c r="D3132" s="10">
        <v>2</v>
      </c>
      <c r="E3132" s="10">
        <v>542</v>
      </c>
      <c r="F3132" s="10">
        <v>542</v>
      </c>
      <c r="L3132" s="1">
        <v>202</v>
      </c>
      <c r="M3132" s="1">
        <v>22</v>
      </c>
      <c r="N3132" s="1">
        <v>1</v>
      </c>
      <c r="O3132" s="1">
        <v>1</v>
      </c>
      <c r="P3132" s="2">
        <v>1</v>
      </c>
      <c r="Q3132" s="68">
        <v>1</v>
      </c>
    </row>
    <row r="3133" spans="1:17" x14ac:dyDescent="0.25">
      <c r="A3133" s="10">
        <v>7</v>
      </c>
      <c r="B3133" s="10">
        <v>1</v>
      </c>
      <c r="C3133" s="10">
        <v>5</v>
      </c>
      <c r="D3133" s="10">
        <v>7</v>
      </c>
      <c r="E3133" s="10">
        <v>1</v>
      </c>
      <c r="F3133" s="10">
        <v>1</v>
      </c>
      <c r="L3133" s="1">
        <v>203</v>
      </c>
      <c r="M3133" s="1">
        <v>22</v>
      </c>
      <c r="N3133" s="1">
        <v>1</v>
      </c>
      <c r="O3133" s="1">
        <v>1</v>
      </c>
      <c r="P3133" s="2">
        <v>1</v>
      </c>
      <c r="Q3133" s="67">
        <v>5</v>
      </c>
    </row>
    <row r="3134" spans="1:17" x14ac:dyDescent="0.25">
      <c r="A3134" s="10">
        <v>390</v>
      </c>
      <c r="B3134" s="10">
        <v>42</v>
      </c>
      <c r="C3134" s="10">
        <v>5</v>
      </c>
      <c r="D3134" s="10">
        <v>1</v>
      </c>
      <c r="E3134" s="10">
        <v>27</v>
      </c>
      <c r="F3134" s="10">
        <v>27</v>
      </c>
      <c r="L3134" s="1">
        <v>204</v>
      </c>
      <c r="M3134" s="1">
        <v>22</v>
      </c>
      <c r="N3134" s="1">
        <v>1</v>
      </c>
      <c r="O3134" s="1">
        <v>1</v>
      </c>
      <c r="P3134" s="2">
        <v>1</v>
      </c>
      <c r="Q3134" s="68">
        <v>6</v>
      </c>
    </row>
    <row r="3135" spans="1:17" x14ac:dyDescent="0.25">
      <c r="A3135" s="10">
        <v>390</v>
      </c>
      <c r="B3135" s="10">
        <v>42</v>
      </c>
      <c r="C3135" s="10">
        <v>5</v>
      </c>
      <c r="D3135" s="10">
        <v>2</v>
      </c>
      <c r="E3135" s="10">
        <v>21</v>
      </c>
      <c r="F3135" s="10">
        <v>21</v>
      </c>
      <c r="L3135" s="1">
        <v>205</v>
      </c>
      <c r="M3135" s="1">
        <v>22</v>
      </c>
      <c r="N3135" s="1">
        <v>1</v>
      </c>
      <c r="O3135" s="1">
        <v>1</v>
      </c>
      <c r="P3135" s="2">
        <v>1</v>
      </c>
      <c r="Q3135" s="67">
        <v>3</v>
      </c>
    </row>
    <row r="3136" spans="1:17" x14ac:dyDescent="0.25">
      <c r="A3136" s="10">
        <v>342</v>
      </c>
      <c r="B3136" s="10">
        <v>37</v>
      </c>
      <c r="C3136" s="10">
        <v>5</v>
      </c>
      <c r="D3136" s="10">
        <v>1</v>
      </c>
      <c r="E3136" s="10">
        <v>12</v>
      </c>
      <c r="F3136" s="10">
        <v>12</v>
      </c>
      <c r="L3136" s="1">
        <v>206</v>
      </c>
      <c r="M3136" s="1">
        <v>22</v>
      </c>
      <c r="N3136" s="1">
        <v>1</v>
      </c>
      <c r="O3136" s="1">
        <v>1</v>
      </c>
      <c r="P3136" s="2">
        <v>1</v>
      </c>
      <c r="Q3136" s="68">
        <v>8</v>
      </c>
    </row>
    <row r="3137" spans="1:17" x14ac:dyDescent="0.25">
      <c r="A3137" s="10">
        <v>342</v>
      </c>
      <c r="B3137" s="10">
        <v>37</v>
      </c>
      <c r="C3137" s="10">
        <v>5</v>
      </c>
      <c r="D3137" s="10">
        <v>2</v>
      </c>
      <c r="E3137" s="10">
        <v>7</v>
      </c>
      <c r="F3137" s="10">
        <v>7</v>
      </c>
      <c r="L3137" s="1">
        <v>207</v>
      </c>
      <c r="M3137" s="1">
        <v>22</v>
      </c>
      <c r="N3137" s="1">
        <v>1</v>
      </c>
      <c r="O3137" s="1">
        <v>1</v>
      </c>
      <c r="P3137" s="2">
        <v>1</v>
      </c>
      <c r="Q3137" s="67">
        <v>9</v>
      </c>
    </row>
    <row r="3138" spans="1:17" x14ac:dyDescent="0.25">
      <c r="A3138" s="10">
        <v>342</v>
      </c>
      <c r="B3138" s="10">
        <v>37</v>
      </c>
      <c r="C3138" s="10">
        <v>5</v>
      </c>
      <c r="D3138" s="10">
        <v>4</v>
      </c>
      <c r="E3138" s="10">
        <v>2</v>
      </c>
      <c r="F3138" s="10">
        <v>2</v>
      </c>
      <c r="L3138" s="1">
        <v>208</v>
      </c>
      <c r="M3138" s="1">
        <v>22</v>
      </c>
      <c r="N3138" s="1">
        <v>1</v>
      </c>
      <c r="O3138" s="1">
        <v>1</v>
      </c>
      <c r="P3138" s="2">
        <v>1</v>
      </c>
      <c r="Q3138" s="68">
        <v>9</v>
      </c>
    </row>
    <row r="3139" spans="1:17" x14ac:dyDescent="0.25">
      <c r="A3139" s="10">
        <v>342</v>
      </c>
      <c r="B3139" s="10">
        <v>37</v>
      </c>
      <c r="C3139" s="10">
        <v>5</v>
      </c>
      <c r="D3139" s="10">
        <v>6</v>
      </c>
      <c r="E3139" s="10">
        <v>3</v>
      </c>
      <c r="F3139" s="10">
        <v>3</v>
      </c>
      <c r="L3139" s="1">
        <v>209</v>
      </c>
      <c r="M3139" s="1">
        <v>23</v>
      </c>
      <c r="N3139" s="1">
        <v>1</v>
      </c>
      <c r="O3139" s="1">
        <v>1</v>
      </c>
      <c r="P3139" s="2">
        <v>1</v>
      </c>
      <c r="Q3139" s="67">
        <v>9</v>
      </c>
    </row>
    <row r="3140" spans="1:17" x14ac:dyDescent="0.25">
      <c r="A3140" s="10">
        <v>342</v>
      </c>
      <c r="B3140" s="10">
        <v>37</v>
      </c>
      <c r="C3140" s="10">
        <v>5</v>
      </c>
      <c r="D3140" s="10">
        <v>7</v>
      </c>
      <c r="E3140" s="10">
        <v>1</v>
      </c>
      <c r="F3140" s="10">
        <v>1</v>
      </c>
      <c r="L3140" s="1">
        <v>210</v>
      </c>
      <c r="M3140" s="1">
        <v>23</v>
      </c>
      <c r="N3140" s="1">
        <v>1</v>
      </c>
      <c r="O3140" s="1">
        <v>1</v>
      </c>
      <c r="P3140" s="2">
        <v>1</v>
      </c>
      <c r="Q3140" s="68">
        <v>11</v>
      </c>
    </row>
    <row r="3141" spans="1:17" x14ac:dyDescent="0.25">
      <c r="A3141" s="10">
        <v>28</v>
      </c>
      <c r="B3141" s="10">
        <v>4</v>
      </c>
      <c r="C3141" s="10">
        <v>5</v>
      </c>
      <c r="D3141" s="10">
        <v>1</v>
      </c>
      <c r="E3141" s="10">
        <v>29</v>
      </c>
      <c r="F3141" s="10">
        <v>29</v>
      </c>
      <c r="L3141" s="1">
        <v>211</v>
      </c>
      <c r="M3141" s="1">
        <v>23</v>
      </c>
      <c r="N3141" s="1">
        <v>1</v>
      </c>
      <c r="O3141" s="1">
        <v>1</v>
      </c>
      <c r="P3141" s="2">
        <v>1</v>
      </c>
      <c r="Q3141" s="67">
        <v>7</v>
      </c>
    </row>
    <row r="3142" spans="1:17" x14ac:dyDescent="0.25">
      <c r="A3142" s="10">
        <v>28</v>
      </c>
      <c r="B3142" s="10">
        <v>4</v>
      </c>
      <c r="C3142" s="10">
        <v>5</v>
      </c>
      <c r="D3142" s="10">
        <v>2</v>
      </c>
      <c r="E3142" s="10">
        <v>21</v>
      </c>
      <c r="F3142" s="10">
        <v>21</v>
      </c>
      <c r="L3142" s="1">
        <v>212</v>
      </c>
      <c r="M3142" s="1">
        <v>23</v>
      </c>
      <c r="N3142" s="1">
        <v>1</v>
      </c>
      <c r="O3142" s="1">
        <v>1</v>
      </c>
      <c r="P3142" s="2">
        <v>1</v>
      </c>
      <c r="Q3142" s="68">
        <v>6</v>
      </c>
    </row>
    <row r="3143" spans="1:17" x14ac:dyDescent="0.25">
      <c r="A3143" s="10">
        <v>4</v>
      </c>
      <c r="B3143" s="10">
        <v>1</v>
      </c>
      <c r="C3143" s="10">
        <v>5</v>
      </c>
      <c r="D3143" s="10">
        <v>1</v>
      </c>
      <c r="E3143" s="10">
        <v>20</v>
      </c>
      <c r="F3143" s="10">
        <v>20</v>
      </c>
      <c r="L3143" s="1">
        <v>213</v>
      </c>
      <c r="M3143" s="1">
        <v>23</v>
      </c>
      <c r="N3143" s="1">
        <v>1</v>
      </c>
      <c r="O3143" s="1">
        <v>1</v>
      </c>
      <c r="P3143" s="2">
        <v>1</v>
      </c>
      <c r="Q3143" s="67">
        <v>2</v>
      </c>
    </row>
    <row r="3144" spans="1:17" x14ac:dyDescent="0.25">
      <c r="A3144" s="10">
        <v>4</v>
      </c>
      <c r="B3144" s="10">
        <v>1</v>
      </c>
      <c r="C3144" s="10">
        <v>5</v>
      </c>
      <c r="D3144" s="10">
        <v>2</v>
      </c>
      <c r="E3144" s="10">
        <v>20</v>
      </c>
      <c r="F3144" s="10">
        <v>20</v>
      </c>
      <c r="L3144" s="1">
        <v>214</v>
      </c>
      <c r="M3144" s="1">
        <v>23</v>
      </c>
      <c r="N3144" s="1">
        <v>1</v>
      </c>
      <c r="O3144" s="1">
        <v>1</v>
      </c>
      <c r="P3144" s="2">
        <v>1</v>
      </c>
      <c r="Q3144" s="68">
        <v>6</v>
      </c>
    </row>
    <row r="3145" spans="1:17" x14ac:dyDescent="0.25">
      <c r="A3145" s="10">
        <v>418</v>
      </c>
      <c r="B3145" s="10">
        <v>45</v>
      </c>
      <c r="C3145" s="10">
        <v>5</v>
      </c>
      <c r="D3145" s="10">
        <v>1</v>
      </c>
      <c r="E3145" s="10">
        <v>8</v>
      </c>
      <c r="F3145" s="10">
        <v>8</v>
      </c>
      <c r="L3145" s="1">
        <v>215</v>
      </c>
      <c r="M3145" s="1">
        <v>23</v>
      </c>
      <c r="N3145" s="1">
        <v>1</v>
      </c>
      <c r="O3145" s="1">
        <v>1</v>
      </c>
      <c r="P3145" s="2">
        <v>1</v>
      </c>
      <c r="Q3145" s="67">
        <v>4</v>
      </c>
    </row>
    <row r="3146" spans="1:17" x14ac:dyDescent="0.25">
      <c r="A3146" s="10">
        <v>418</v>
      </c>
      <c r="B3146" s="10">
        <v>45</v>
      </c>
      <c r="C3146" s="10">
        <v>5</v>
      </c>
      <c r="D3146" s="10">
        <v>2</v>
      </c>
      <c r="E3146" s="10">
        <v>14</v>
      </c>
      <c r="F3146" s="10">
        <v>14</v>
      </c>
      <c r="L3146" s="1">
        <v>216</v>
      </c>
      <c r="M3146" s="1">
        <v>23</v>
      </c>
      <c r="N3146" s="1">
        <v>1</v>
      </c>
      <c r="O3146" s="1">
        <v>1</v>
      </c>
      <c r="P3146" s="2">
        <v>1</v>
      </c>
      <c r="Q3146" s="68">
        <v>0</v>
      </c>
    </row>
    <row r="3147" spans="1:17" x14ac:dyDescent="0.25">
      <c r="A3147" s="10">
        <v>16</v>
      </c>
      <c r="B3147" s="10">
        <v>2</v>
      </c>
      <c r="C3147" s="10">
        <v>5</v>
      </c>
      <c r="D3147" s="10">
        <v>5</v>
      </c>
      <c r="E3147" s="10">
        <v>5</v>
      </c>
      <c r="F3147" s="10">
        <v>5</v>
      </c>
      <c r="L3147" s="1">
        <v>217</v>
      </c>
      <c r="M3147" s="1">
        <v>23</v>
      </c>
      <c r="N3147" s="1">
        <v>1</v>
      </c>
      <c r="O3147" s="1">
        <v>1</v>
      </c>
      <c r="P3147" s="2">
        <v>1</v>
      </c>
      <c r="Q3147" s="67">
        <v>0</v>
      </c>
    </row>
    <row r="3148" spans="1:17" x14ac:dyDescent="0.25">
      <c r="A3148" s="10">
        <v>6</v>
      </c>
      <c r="B3148" s="10">
        <v>1</v>
      </c>
      <c r="C3148" s="10">
        <v>5</v>
      </c>
      <c r="D3148" s="10">
        <v>1</v>
      </c>
      <c r="E3148" s="10">
        <v>15</v>
      </c>
      <c r="F3148" s="10">
        <v>15</v>
      </c>
      <c r="L3148" s="1">
        <v>218</v>
      </c>
      <c r="M3148" s="1">
        <v>23</v>
      </c>
      <c r="N3148" s="1">
        <v>1</v>
      </c>
      <c r="O3148" s="1">
        <v>1</v>
      </c>
      <c r="P3148" s="2">
        <v>1</v>
      </c>
      <c r="Q3148" s="68">
        <v>3</v>
      </c>
    </row>
    <row r="3149" spans="1:17" x14ac:dyDescent="0.25">
      <c r="A3149" s="10">
        <v>14</v>
      </c>
      <c r="B3149" s="10">
        <v>2</v>
      </c>
      <c r="C3149" s="10">
        <v>4</v>
      </c>
      <c r="D3149" s="10">
        <v>1</v>
      </c>
      <c r="E3149" s="10">
        <v>496</v>
      </c>
      <c r="F3149" s="10">
        <v>496</v>
      </c>
      <c r="L3149" s="1">
        <v>219</v>
      </c>
      <c r="M3149" s="1">
        <v>24</v>
      </c>
      <c r="N3149" s="1">
        <v>1</v>
      </c>
      <c r="O3149" s="1">
        <v>1</v>
      </c>
      <c r="P3149" s="2">
        <v>1</v>
      </c>
      <c r="Q3149" s="67">
        <v>1</v>
      </c>
    </row>
    <row r="3150" spans="1:17" x14ac:dyDescent="0.25">
      <c r="A3150" s="10">
        <v>6</v>
      </c>
      <c r="B3150" s="10">
        <v>1</v>
      </c>
      <c r="C3150" s="10">
        <v>5</v>
      </c>
      <c r="D3150" s="10">
        <v>2</v>
      </c>
      <c r="E3150" s="10">
        <v>16</v>
      </c>
      <c r="F3150" s="10">
        <v>16</v>
      </c>
      <c r="L3150" s="1">
        <v>220</v>
      </c>
      <c r="M3150" s="1">
        <v>24</v>
      </c>
      <c r="N3150" s="1">
        <v>1</v>
      </c>
      <c r="O3150" s="1">
        <v>1</v>
      </c>
      <c r="P3150" s="2">
        <v>1</v>
      </c>
      <c r="Q3150" s="68">
        <v>0</v>
      </c>
    </row>
    <row r="3151" spans="1:17" x14ac:dyDescent="0.25">
      <c r="A3151" s="10">
        <v>12</v>
      </c>
      <c r="B3151" s="10">
        <v>2</v>
      </c>
      <c r="C3151" s="10">
        <v>5</v>
      </c>
      <c r="D3151" s="10">
        <v>1</v>
      </c>
      <c r="E3151" s="10">
        <v>8</v>
      </c>
      <c r="F3151" s="10">
        <v>8</v>
      </c>
      <c r="L3151" s="1">
        <v>221</v>
      </c>
      <c r="M3151" s="1">
        <v>24</v>
      </c>
      <c r="N3151" s="1">
        <v>1</v>
      </c>
      <c r="O3151" s="1">
        <v>1</v>
      </c>
      <c r="P3151" s="2">
        <v>1</v>
      </c>
      <c r="Q3151" s="67">
        <v>0</v>
      </c>
    </row>
    <row r="3152" spans="1:17" x14ac:dyDescent="0.25">
      <c r="A3152" s="10">
        <v>438</v>
      </c>
      <c r="B3152" s="10">
        <v>47</v>
      </c>
      <c r="C3152" s="10">
        <v>5</v>
      </c>
      <c r="D3152" s="10">
        <v>1</v>
      </c>
      <c r="E3152" s="10">
        <v>30</v>
      </c>
      <c r="F3152" s="10">
        <v>30</v>
      </c>
      <c r="L3152" s="1">
        <v>222</v>
      </c>
      <c r="M3152" s="1">
        <v>24</v>
      </c>
      <c r="N3152" s="1">
        <v>1</v>
      </c>
      <c r="O3152" s="1">
        <v>1</v>
      </c>
      <c r="P3152" s="2">
        <v>1</v>
      </c>
      <c r="Q3152" s="68">
        <v>2</v>
      </c>
    </row>
    <row r="3153" spans="1:17" x14ac:dyDescent="0.25">
      <c r="A3153" s="10">
        <v>12</v>
      </c>
      <c r="B3153" s="10">
        <v>2</v>
      </c>
      <c r="C3153" s="10">
        <v>5</v>
      </c>
      <c r="D3153" s="10">
        <v>2</v>
      </c>
      <c r="E3153" s="10">
        <v>15</v>
      </c>
      <c r="F3153" s="10">
        <v>15</v>
      </c>
      <c r="L3153" s="1">
        <v>223</v>
      </c>
      <c r="M3153" s="1">
        <v>24</v>
      </c>
      <c r="N3153" s="1">
        <v>1</v>
      </c>
      <c r="O3153" s="1">
        <v>1</v>
      </c>
      <c r="P3153" s="2">
        <v>1</v>
      </c>
      <c r="Q3153" s="67">
        <v>5</v>
      </c>
    </row>
    <row r="3154" spans="1:17" x14ac:dyDescent="0.25">
      <c r="A3154" s="10">
        <v>434</v>
      </c>
      <c r="B3154" s="10">
        <v>47</v>
      </c>
      <c r="C3154" s="10">
        <v>5</v>
      </c>
      <c r="D3154" s="10">
        <v>1</v>
      </c>
      <c r="E3154" s="10">
        <v>14</v>
      </c>
      <c r="F3154" s="10">
        <v>14</v>
      </c>
      <c r="L3154" s="1">
        <v>224</v>
      </c>
      <c r="M3154" s="1">
        <v>24</v>
      </c>
      <c r="N3154" s="1">
        <v>1</v>
      </c>
      <c r="O3154" s="1">
        <v>1</v>
      </c>
      <c r="P3154" s="2">
        <v>1</v>
      </c>
      <c r="Q3154" s="68">
        <v>6</v>
      </c>
    </row>
    <row r="3155" spans="1:17" x14ac:dyDescent="0.25">
      <c r="A3155" s="10">
        <v>434</v>
      </c>
      <c r="B3155" s="10">
        <v>47</v>
      </c>
      <c r="C3155" s="10">
        <v>5</v>
      </c>
      <c r="D3155" s="10">
        <v>2</v>
      </c>
      <c r="E3155" s="10">
        <v>13</v>
      </c>
      <c r="F3155" s="10">
        <v>13</v>
      </c>
      <c r="L3155" s="1">
        <v>225</v>
      </c>
      <c r="M3155" s="1">
        <v>24</v>
      </c>
      <c r="N3155" s="1">
        <v>1</v>
      </c>
      <c r="O3155" s="1">
        <v>1</v>
      </c>
      <c r="P3155" s="2">
        <v>1</v>
      </c>
      <c r="Q3155" s="67">
        <v>15</v>
      </c>
    </row>
    <row r="3156" spans="1:17" x14ac:dyDescent="0.25">
      <c r="A3156" s="10">
        <v>434</v>
      </c>
      <c r="B3156" s="10">
        <v>47</v>
      </c>
      <c r="C3156" s="10">
        <v>5</v>
      </c>
      <c r="D3156" s="10">
        <v>5</v>
      </c>
      <c r="E3156" s="10">
        <v>3</v>
      </c>
      <c r="F3156" s="10">
        <v>3</v>
      </c>
      <c r="L3156" s="1">
        <v>226</v>
      </c>
      <c r="M3156" s="1">
        <v>24</v>
      </c>
      <c r="N3156" s="1">
        <v>1</v>
      </c>
      <c r="O3156" s="1">
        <v>1</v>
      </c>
      <c r="P3156" s="2">
        <v>1</v>
      </c>
      <c r="Q3156" s="68">
        <v>15</v>
      </c>
    </row>
    <row r="3157" spans="1:17" x14ac:dyDescent="0.25">
      <c r="A3157" s="10">
        <v>434</v>
      </c>
      <c r="B3157" s="10">
        <v>47</v>
      </c>
      <c r="C3157" s="10">
        <v>5</v>
      </c>
      <c r="D3157" s="10">
        <v>7</v>
      </c>
      <c r="E3157" s="10">
        <v>1</v>
      </c>
      <c r="F3157" s="10">
        <v>1</v>
      </c>
      <c r="L3157" s="1">
        <v>227</v>
      </c>
      <c r="M3157" s="1">
        <v>24</v>
      </c>
      <c r="N3157" s="1">
        <v>1</v>
      </c>
      <c r="O3157" s="1">
        <v>1</v>
      </c>
      <c r="P3157" s="2">
        <v>1</v>
      </c>
      <c r="Q3157" s="67">
        <v>7</v>
      </c>
    </row>
    <row r="3158" spans="1:17" x14ac:dyDescent="0.25">
      <c r="A3158" s="10">
        <v>420</v>
      </c>
      <c r="B3158" s="10">
        <v>45</v>
      </c>
      <c r="C3158" s="10">
        <v>5</v>
      </c>
      <c r="D3158" s="10">
        <v>1</v>
      </c>
      <c r="E3158" s="10">
        <v>11</v>
      </c>
      <c r="F3158" s="10">
        <v>11</v>
      </c>
      <c r="L3158" s="1">
        <v>228</v>
      </c>
      <c r="M3158" s="1">
        <v>24</v>
      </c>
      <c r="N3158" s="1">
        <v>1</v>
      </c>
      <c r="O3158" s="1">
        <v>1</v>
      </c>
      <c r="P3158" s="2">
        <v>1</v>
      </c>
      <c r="Q3158" s="68">
        <v>6</v>
      </c>
    </row>
    <row r="3159" spans="1:17" x14ac:dyDescent="0.25">
      <c r="A3159" s="10">
        <v>420</v>
      </c>
      <c r="B3159" s="10">
        <v>45</v>
      </c>
      <c r="C3159" s="10">
        <v>5</v>
      </c>
      <c r="D3159" s="10">
        <v>2</v>
      </c>
      <c r="E3159" s="10">
        <v>3</v>
      </c>
      <c r="F3159" s="10">
        <v>3</v>
      </c>
      <c r="L3159" s="1">
        <v>229</v>
      </c>
      <c r="M3159" s="1">
        <v>25</v>
      </c>
      <c r="N3159" s="1">
        <v>1</v>
      </c>
      <c r="O3159" s="1">
        <v>1</v>
      </c>
      <c r="P3159" s="2">
        <v>1</v>
      </c>
      <c r="Q3159" s="67">
        <v>3</v>
      </c>
    </row>
    <row r="3160" spans="1:17" x14ac:dyDescent="0.25">
      <c r="A3160" s="10">
        <v>420</v>
      </c>
      <c r="B3160" s="10">
        <v>45</v>
      </c>
      <c r="C3160" s="10">
        <v>5</v>
      </c>
      <c r="D3160" s="10">
        <v>3</v>
      </c>
      <c r="E3160" s="10">
        <v>2</v>
      </c>
      <c r="F3160" s="10">
        <v>2</v>
      </c>
      <c r="L3160" s="1">
        <v>230</v>
      </c>
      <c r="M3160" s="1">
        <v>25</v>
      </c>
      <c r="N3160" s="1">
        <v>1</v>
      </c>
      <c r="O3160" s="1">
        <v>1</v>
      </c>
      <c r="P3160" s="2">
        <v>1</v>
      </c>
      <c r="Q3160" s="68">
        <v>3</v>
      </c>
    </row>
    <row r="3161" spans="1:17" x14ac:dyDescent="0.25">
      <c r="A3161" s="10">
        <v>420</v>
      </c>
      <c r="B3161" s="10">
        <v>45</v>
      </c>
      <c r="C3161" s="10">
        <v>5</v>
      </c>
      <c r="D3161" s="10">
        <v>4</v>
      </c>
      <c r="E3161" s="10">
        <v>1</v>
      </c>
      <c r="F3161" s="10">
        <v>1</v>
      </c>
      <c r="L3161" s="1">
        <v>231</v>
      </c>
      <c r="M3161" s="1">
        <v>25</v>
      </c>
      <c r="N3161" s="1">
        <v>1</v>
      </c>
      <c r="O3161" s="1">
        <v>1</v>
      </c>
      <c r="P3161" s="2">
        <v>1</v>
      </c>
      <c r="Q3161" s="67">
        <v>4</v>
      </c>
    </row>
    <row r="3162" spans="1:17" x14ac:dyDescent="0.25">
      <c r="A3162" s="10">
        <v>441</v>
      </c>
      <c r="B3162" s="10">
        <v>47</v>
      </c>
      <c r="C3162" s="10">
        <v>5</v>
      </c>
      <c r="D3162" s="10">
        <v>7</v>
      </c>
      <c r="E3162" s="10">
        <v>3</v>
      </c>
      <c r="F3162" s="10">
        <v>3</v>
      </c>
      <c r="L3162" s="1">
        <v>232</v>
      </c>
      <c r="M3162" s="1">
        <v>25</v>
      </c>
      <c r="N3162" s="1">
        <v>1</v>
      </c>
      <c r="O3162" s="1">
        <v>1</v>
      </c>
      <c r="P3162" s="2">
        <v>1</v>
      </c>
      <c r="Q3162" s="68">
        <v>4</v>
      </c>
    </row>
    <row r="3163" spans="1:17" x14ac:dyDescent="0.25">
      <c r="A3163" s="10">
        <v>436</v>
      </c>
      <c r="B3163" s="10">
        <v>47</v>
      </c>
      <c r="C3163" s="10">
        <v>5</v>
      </c>
      <c r="D3163" s="10">
        <v>1</v>
      </c>
      <c r="E3163" s="10">
        <v>20</v>
      </c>
      <c r="F3163" s="10">
        <v>20</v>
      </c>
      <c r="L3163" s="1">
        <v>233</v>
      </c>
      <c r="M3163" s="1">
        <v>25</v>
      </c>
      <c r="N3163" s="1">
        <v>1</v>
      </c>
      <c r="O3163" s="1">
        <v>1</v>
      </c>
      <c r="P3163" s="2">
        <v>1</v>
      </c>
      <c r="Q3163" s="67">
        <v>4</v>
      </c>
    </row>
    <row r="3164" spans="1:17" x14ac:dyDescent="0.25">
      <c r="A3164" s="10">
        <v>436</v>
      </c>
      <c r="B3164" s="10">
        <v>47</v>
      </c>
      <c r="C3164" s="10">
        <v>5</v>
      </c>
      <c r="D3164" s="10">
        <v>2</v>
      </c>
      <c r="E3164" s="10">
        <v>20</v>
      </c>
      <c r="F3164" s="10">
        <v>20</v>
      </c>
      <c r="L3164" s="1">
        <v>234</v>
      </c>
      <c r="M3164" s="1">
        <v>25</v>
      </c>
      <c r="N3164" s="1">
        <v>1</v>
      </c>
      <c r="O3164" s="1">
        <v>1</v>
      </c>
      <c r="P3164" s="2">
        <v>1</v>
      </c>
      <c r="Q3164" s="68">
        <v>6</v>
      </c>
    </row>
    <row r="3165" spans="1:17" x14ac:dyDescent="0.25">
      <c r="A3165" s="10">
        <v>436</v>
      </c>
      <c r="B3165" s="10">
        <v>47</v>
      </c>
      <c r="C3165" s="10">
        <v>5</v>
      </c>
      <c r="D3165" s="10">
        <v>3</v>
      </c>
      <c r="E3165" s="10">
        <v>5</v>
      </c>
      <c r="F3165" s="10">
        <v>5</v>
      </c>
      <c r="L3165" s="1">
        <v>235</v>
      </c>
      <c r="M3165" s="1">
        <v>25</v>
      </c>
      <c r="N3165" s="1">
        <v>1</v>
      </c>
      <c r="O3165" s="1">
        <v>1</v>
      </c>
      <c r="P3165" s="2">
        <v>1</v>
      </c>
      <c r="Q3165" s="67">
        <v>4</v>
      </c>
    </row>
    <row r="3166" spans="1:17" x14ac:dyDescent="0.25">
      <c r="A3166" s="10">
        <v>17</v>
      </c>
      <c r="B3166" s="10">
        <v>2</v>
      </c>
      <c r="C3166" s="10">
        <v>5</v>
      </c>
      <c r="D3166" s="10">
        <v>10</v>
      </c>
      <c r="E3166" s="10">
        <v>6</v>
      </c>
      <c r="F3166" s="10">
        <v>6</v>
      </c>
      <c r="L3166" s="1">
        <v>236</v>
      </c>
      <c r="M3166" s="1">
        <v>25</v>
      </c>
      <c r="N3166" s="1">
        <v>1</v>
      </c>
      <c r="O3166" s="1">
        <v>1</v>
      </c>
      <c r="P3166" s="2">
        <v>1</v>
      </c>
      <c r="Q3166" s="68">
        <v>8</v>
      </c>
    </row>
    <row r="3167" spans="1:17" x14ac:dyDescent="0.25">
      <c r="A3167" s="10">
        <v>280</v>
      </c>
      <c r="B3167" s="10">
        <v>30</v>
      </c>
      <c r="C3167" s="10">
        <v>5</v>
      </c>
      <c r="D3167" s="10">
        <v>1</v>
      </c>
      <c r="E3167" s="10">
        <v>22</v>
      </c>
      <c r="F3167" s="10">
        <v>22</v>
      </c>
      <c r="L3167" s="1">
        <v>237</v>
      </c>
      <c r="M3167" s="1">
        <v>26</v>
      </c>
      <c r="N3167" s="1">
        <v>1</v>
      </c>
      <c r="O3167" s="1">
        <v>1</v>
      </c>
      <c r="P3167" s="2">
        <v>1</v>
      </c>
      <c r="Q3167" s="67">
        <v>6</v>
      </c>
    </row>
    <row r="3168" spans="1:17" x14ac:dyDescent="0.25">
      <c r="A3168" s="10">
        <v>14</v>
      </c>
      <c r="B3168" s="10">
        <v>2</v>
      </c>
      <c r="C3168" s="10">
        <v>3</v>
      </c>
      <c r="D3168" s="10">
        <v>1</v>
      </c>
      <c r="E3168" s="10">
        <v>496</v>
      </c>
      <c r="F3168" s="10">
        <v>496</v>
      </c>
      <c r="L3168" s="1">
        <v>238</v>
      </c>
      <c r="M3168" s="1">
        <v>26</v>
      </c>
      <c r="N3168" s="1">
        <v>1</v>
      </c>
      <c r="O3168" s="1">
        <v>1</v>
      </c>
      <c r="P3168" s="2">
        <v>1</v>
      </c>
      <c r="Q3168" s="68">
        <v>7</v>
      </c>
    </row>
    <row r="3169" spans="1:17" x14ac:dyDescent="0.25">
      <c r="A3169" s="10">
        <v>14</v>
      </c>
      <c r="B3169" s="10">
        <v>2</v>
      </c>
      <c r="C3169" s="10">
        <v>3</v>
      </c>
      <c r="D3169" s="10">
        <v>2</v>
      </c>
      <c r="E3169" s="10">
        <v>500</v>
      </c>
      <c r="F3169" s="10">
        <v>500</v>
      </c>
      <c r="L3169" s="1">
        <v>239</v>
      </c>
      <c r="M3169" s="1">
        <v>26</v>
      </c>
      <c r="N3169" s="1">
        <v>1</v>
      </c>
      <c r="O3169" s="1">
        <v>1</v>
      </c>
      <c r="P3169" s="2">
        <v>1</v>
      </c>
      <c r="Q3169" s="67">
        <v>16</v>
      </c>
    </row>
    <row r="3170" spans="1:17" x14ac:dyDescent="0.25">
      <c r="A3170" s="10">
        <v>16</v>
      </c>
      <c r="B3170" s="10">
        <v>2</v>
      </c>
      <c r="C3170" s="10">
        <v>5</v>
      </c>
      <c r="D3170" s="10">
        <v>2</v>
      </c>
      <c r="E3170" s="10">
        <v>496</v>
      </c>
      <c r="F3170" s="10">
        <v>496</v>
      </c>
      <c r="L3170" s="1">
        <v>240</v>
      </c>
      <c r="M3170" s="1">
        <v>26</v>
      </c>
      <c r="N3170" s="1">
        <v>1</v>
      </c>
      <c r="O3170" s="1">
        <v>1</v>
      </c>
      <c r="P3170" s="2">
        <v>1</v>
      </c>
      <c r="Q3170" s="68">
        <v>22</v>
      </c>
    </row>
    <row r="3171" spans="1:17" x14ac:dyDescent="0.25">
      <c r="A3171" s="10">
        <v>14</v>
      </c>
      <c r="B3171" s="10">
        <v>2</v>
      </c>
      <c r="C3171" s="10">
        <v>4</v>
      </c>
      <c r="D3171" s="10">
        <v>2</v>
      </c>
      <c r="E3171" s="10">
        <v>500</v>
      </c>
      <c r="F3171" s="10">
        <v>500</v>
      </c>
      <c r="L3171" s="1">
        <v>241</v>
      </c>
      <c r="M3171" s="1">
        <v>26</v>
      </c>
      <c r="N3171" s="1">
        <v>1</v>
      </c>
      <c r="O3171" s="1">
        <v>1</v>
      </c>
      <c r="P3171" s="2">
        <v>1</v>
      </c>
      <c r="Q3171" s="67">
        <v>22</v>
      </c>
    </row>
    <row r="3172" spans="1:17" x14ac:dyDescent="0.25">
      <c r="A3172" s="10">
        <v>438</v>
      </c>
      <c r="B3172" s="10">
        <v>47</v>
      </c>
      <c r="C3172" s="10">
        <v>5</v>
      </c>
      <c r="D3172" s="10">
        <v>2</v>
      </c>
      <c r="E3172" s="10">
        <v>15</v>
      </c>
      <c r="F3172" s="10">
        <v>15</v>
      </c>
      <c r="L3172" s="1">
        <v>242</v>
      </c>
      <c r="M3172" s="1">
        <v>26</v>
      </c>
      <c r="N3172" s="1">
        <v>1</v>
      </c>
      <c r="O3172" s="1">
        <v>1</v>
      </c>
      <c r="P3172" s="2">
        <v>1</v>
      </c>
      <c r="Q3172" s="68">
        <v>16</v>
      </c>
    </row>
    <row r="3173" spans="1:17" x14ac:dyDescent="0.25">
      <c r="A3173" s="10">
        <v>440</v>
      </c>
      <c r="B3173" s="10">
        <v>47</v>
      </c>
      <c r="C3173" s="10">
        <v>5</v>
      </c>
      <c r="D3173" s="10">
        <v>1</v>
      </c>
      <c r="E3173" s="10">
        <v>6</v>
      </c>
      <c r="F3173" s="10">
        <v>6</v>
      </c>
      <c r="L3173" s="1">
        <v>243</v>
      </c>
      <c r="M3173" s="1">
        <v>26</v>
      </c>
      <c r="N3173" s="1">
        <v>1</v>
      </c>
      <c r="O3173" s="1">
        <v>1</v>
      </c>
      <c r="P3173" s="2">
        <v>1</v>
      </c>
      <c r="Q3173" s="67">
        <v>14</v>
      </c>
    </row>
    <row r="3174" spans="1:17" x14ac:dyDescent="0.25">
      <c r="A3174" s="10">
        <v>440</v>
      </c>
      <c r="B3174" s="10">
        <v>47</v>
      </c>
      <c r="C3174" s="10">
        <v>5</v>
      </c>
      <c r="D3174" s="10">
        <v>2</v>
      </c>
      <c r="E3174" s="10">
        <v>4</v>
      </c>
      <c r="F3174" s="10">
        <v>4</v>
      </c>
      <c r="L3174" s="1">
        <v>244</v>
      </c>
      <c r="M3174" s="1">
        <v>26</v>
      </c>
      <c r="N3174" s="1">
        <v>1</v>
      </c>
      <c r="O3174" s="1">
        <v>1</v>
      </c>
      <c r="P3174" s="2">
        <v>1</v>
      </c>
      <c r="Q3174" s="68">
        <v>3</v>
      </c>
    </row>
    <row r="3175" spans="1:17" x14ac:dyDescent="0.25">
      <c r="A3175" s="10">
        <v>2</v>
      </c>
      <c r="B3175" s="10">
        <v>1</v>
      </c>
      <c r="C3175" s="10">
        <v>5</v>
      </c>
      <c r="D3175" s="10">
        <v>1</v>
      </c>
      <c r="E3175" s="10">
        <v>513</v>
      </c>
      <c r="F3175" s="10">
        <v>513</v>
      </c>
      <c r="L3175" s="1">
        <v>245</v>
      </c>
      <c r="M3175" s="1">
        <v>26</v>
      </c>
      <c r="N3175" s="1">
        <v>1</v>
      </c>
      <c r="O3175" s="1">
        <v>1</v>
      </c>
      <c r="P3175" s="2">
        <v>1</v>
      </c>
      <c r="Q3175" s="67">
        <v>10</v>
      </c>
    </row>
    <row r="3176" spans="1:17" x14ac:dyDescent="0.25">
      <c r="A3176" s="10">
        <v>2</v>
      </c>
      <c r="B3176" s="10">
        <v>1</v>
      </c>
      <c r="C3176" s="10">
        <v>5</v>
      </c>
      <c r="D3176" s="10">
        <v>2</v>
      </c>
      <c r="E3176" s="10">
        <v>481</v>
      </c>
      <c r="F3176" s="10">
        <v>481</v>
      </c>
      <c r="L3176" s="1">
        <v>246</v>
      </c>
      <c r="M3176" s="1">
        <v>26</v>
      </c>
      <c r="N3176" s="1">
        <v>1</v>
      </c>
      <c r="O3176" s="1">
        <v>1</v>
      </c>
      <c r="P3176" s="2">
        <v>1</v>
      </c>
      <c r="Q3176" s="68">
        <v>12</v>
      </c>
    </row>
    <row r="3177" spans="1:17" x14ac:dyDescent="0.25">
      <c r="A3177" s="10">
        <v>20</v>
      </c>
      <c r="B3177" s="10">
        <v>2</v>
      </c>
      <c r="C3177" s="10">
        <v>5</v>
      </c>
      <c r="D3177" s="10">
        <v>1</v>
      </c>
      <c r="E3177" s="10">
        <v>18</v>
      </c>
      <c r="F3177" s="10">
        <v>18</v>
      </c>
      <c r="L3177" s="1">
        <v>247</v>
      </c>
      <c r="M3177" s="1">
        <v>27</v>
      </c>
      <c r="N3177" s="1">
        <v>1</v>
      </c>
      <c r="O3177" s="1">
        <v>1</v>
      </c>
      <c r="P3177" s="2">
        <v>1</v>
      </c>
      <c r="Q3177" s="67">
        <v>8</v>
      </c>
    </row>
    <row r="3178" spans="1:17" x14ac:dyDescent="0.25">
      <c r="A3178" s="10">
        <v>20</v>
      </c>
      <c r="B3178" s="10">
        <v>2</v>
      </c>
      <c r="C3178" s="10">
        <v>5</v>
      </c>
      <c r="D3178" s="10">
        <v>2</v>
      </c>
      <c r="E3178" s="10">
        <v>13</v>
      </c>
      <c r="F3178" s="10">
        <v>13</v>
      </c>
      <c r="L3178" s="1">
        <v>248</v>
      </c>
      <c r="M3178" s="1">
        <v>27</v>
      </c>
      <c r="N3178" s="1">
        <v>1</v>
      </c>
      <c r="O3178" s="1">
        <v>1</v>
      </c>
      <c r="P3178" s="2">
        <v>1</v>
      </c>
      <c r="Q3178" s="68">
        <v>17</v>
      </c>
    </row>
    <row r="3179" spans="1:17" x14ac:dyDescent="0.25">
      <c r="A3179" s="10">
        <v>20</v>
      </c>
      <c r="B3179" s="10">
        <v>2</v>
      </c>
      <c r="C3179" s="10">
        <v>5</v>
      </c>
      <c r="D3179" s="10">
        <v>6</v>
      </c>
      <c r="E3179" s="10">
        <v>1</v>
      </c>
      <c r="F3179" s="10">
        <v>1</v>
      </c>
      <c r="L3179" s="1">
        <v>249</v>
      </c>
      <c r="M3179" s="1">
        <v>27</v>
      </c>
      <c r="N3179" s="1">
        <v>1</v>
      </c>
      <c r="O3179" s="1">
        <v>1</v>
      </c>
      <c r="P3179" s="2">
        <v>1</v>
      </c>
      <c r="Q3179" s="67">
        <v>22</v>
      </c>
    </row>
    <row r="3180" spans="1:17" x14ac:dyDescent="0.25">
      <c r="A3180" s="10">
        <v>20</v>
      </c>
      <c r="B3180" s="10">
        <v>2</v>
      </c>
      <c r="C3180" s="10">
        <v>5</v>
      </c>
      <c r="D3180" s="10">
        <v>10</v>
      </c>
      <c r="E3180" s="10">
        <v>4</v>
      </c>
      <c r="F3180" s="10">
        <v>4</v>
      </c>
      <c r="L3180" s="1">
        <v>250</v>
      </c>
      <c r="M3180" s="1">
        <v>27</v>
      </c>
      <c r="N3180" s="1">
        <v>1</v>
      </c>
      <c r="O3180" s="1">
        <v>1</v>
      </c>
      <c r="P3180" s="2">
        <v>1</v>
      </c>
      <c r="Q3180" s="68">
        <v>25</v>
      </c>
    </row>
    <row r="3181" spans="1:17" x14ac:dyDescent="0.25">
      <c r="A3181" s="10">
        <v>14</v>
      </c>
      <c r="B3181" s="10">
        <v>2</v>
      </c>
      <c r="C3181" s="10">
        <v>1</v>
      </c>
      <c r="D3181" s="10">
        <v>1</v>
      </c>
      <c r="E3181" s="10">
        <v>496</v>
      </c>
      <c r="F3181" s="10">
        <v>496</v>
      </c>
      <c r="L3181" s="1">
        <v>251</v>
      </c>
      <c r="M3181" s="1">
        <v>27</v>
      </c>
      <c r="N3181" s="1">
        <v>1</v>
      </c>
      <c r="O3181" s="1">
        <v>1</v>
      </c>
      <c r="P3181" s="2">
        <v>1</v>
      </c>
      <c r="Q3181" s="67">
        <v>11</v>
      </c>
    </row>
    <row r="3182" spans="1:17" x14ac:dyDescent="0.25">
      <c r="A3182" s="10">
        <v>14</v>
      </c>
      <c r="B3182" s="10">
        <v>2</v>
      </c>
      <c r="C3182" s="10">
        <v>1</v>
      </c>
      <c r="D3182" s="10">
        <v>2</v>
      </c>
      <c r="E3182" s="10">
        <v>500</v>
      </c>
      <c r="F3182" s="10">
        <v>500</v>
      </c>
      <c r="L3182" s="1">
        <v>252</v>
      </c>
      <c r="M3182" s="1">
        <v>27</v>
      </c>
      <c r="N3182" s="1">
        <v>1</v>
      </c>
      <c r="O3182" s="1">
        <v>1</v>
      </c>
      <c r="P3182" s="2">
        <v>1</v>
      </c>
      <c r="Q3182" s="68">
        <v>1</v>
      </c>
    </row>
    <row r="3183" spans="1:17" x14ac:dyDescent="0.25">
      <c r="A3183" s="10">
        <v>14</v>
      </c>
      <c r="B3183" s="10">
        <v>2</v>
      </c>
      <c r="C3183" s="10">
        <v>1</v>
      </c>
      <c r="D3183" s="10">
        <v>3</v>
      </c>
      <c r="E3183" s="10">
        <v>5</v>
      </c>
      <c r="F3183" s="10">
        <v>5</v>
      </c>
      <c r="L3183" s="1">
        <v>253</v>
      </c>
      <c r="M3183" s="1">
        <v>27</v>
      </c>
      <c r="N3183" s="1">
        <v>1</v>
      </c>
      <c r="O3183" s="1">
        <v>1</v>
      </c>
      <c r="P3183" s="2">
        <v>1</v>
      </c>
      <c r="Q3183" s="67">
        <v>2</v>
      </c>
    </row>
    <row r="3184" spans="1:17" x14ac:dyDescent="0.25">
      <c r="A3184" s="10">
        <v>14</v>
      </c>
      <c r="B3184" s="10">
        <v>2</v>
      </c>
      <c r="C3184" s="10">
        <v>2</v>
      </c>
      <c r="D3184" s="10">
        <v>1</v>
      </c>
      <c r="E3184" s="10">
        <v>496</v>
      </c>
      <c r="F3184" s="10">
        <v>496</v>
      </c>
      <c r="L3184" s="1">
        <v>254</v>
      </c>
      <c r="M3184" s="1">
        <v>27</v>
      </c>
      <c r="N3184" s="1">
        <v>1</v>
      </c>
      <c r="O3184" s="1">
        <v>1</v>
      </c>
      <c r="P3184" s="2">
        <v>1</v>
      </c>
      <c r="Q3184" s="68">
        <v>3</v>
      </c>
    </row>
    <row r="3185" spans="1:17" x14ac:dyDescent="0.25">
      <c r="A3185" s="10">
        <v>14</v>
      </c>
      <c r="B3185" s="10">
        <v>2</v>
      </c>
      <c r="C3185" s="10">
        <v>2</v>
      </c>
      <c r="D3185" s="10">
        <v>2</v>
      </c>
      <c r="E3185" s="10">
        <v>500</v>
      </c>
      <c r="F3185" s="10">
        <v>500</v>
      </c>
      <c r="L3185" s="1">
        <v>255</v>
      </c>
      <c r="M3185" s="1">
        <v>28</v>
      </c>
      <c r="N3185" s="1">
        <v>1</v>
      </c>
      <c r="O3185" s="1">
        <v>1</v>
      </c>
      <c r="P3185" s="2">
        <v>1</v>
      </c>
      <c r="Q3185" s="67">
        <v>2</v>
      </c>
    </row>
    <row r="3186" spans="1:17" x14ac:dyDescent="0.25">
      <c r="A3186" s="10">
        <v>386</v>
      </c>
      <c r="B3186" s="10">
        <v>42</v>
      </c>
      <c r="C3186" s="10">
        <v>5</v>
      </c>
      <c r="D3186" s="10">
        <v>2</v>
      </c>
      <c r="E3186" s="10">
        <v>10</v>
      </c>
      <c r="F3186" s="10">
        <v>10</v>
      </c>
      <c r="L3186" s="1">
        <v>256</v>
      </c>
      <c r="M3186" s="1">
        <v>28</v>
      </c>
      <c r="N3186" s="1">
        <v>1</v>
      </c>
      <c r="O3186" s="1">
        <v>1</v>
      </c>
      <c r="P3186" s="2">
        <v>1</v>
      </c>
      <c r="Q3186" s="68">
        <v>3</v>
      </c>
    </row>
    <row r="3187" spans="1:17" x14ac:dyDescent="0.25">
      <c r="A3187" s="10">
        <v>14</v>
      </c>
      <c r="B3187" s="10">
        <v>2</v>
      </c>
      <c r="C3187" s="10">
        <v>2</v>
      </c>
      <c r="D3187" s="10">
        <v>10</v>
      </c>
      <c r="E3187" s="10">
        <v>10</v>
      </c>
      <c r="F3187" s="10">
        <v>10</v>
      </c>
      <c r="L3187" s="1">
        <v>257</v>
      </c>
      <c r="M3187" s="1">
        <v>28</v>
      </c>
      <c r="N3187" s="1">
        <v>1</v>
      </c>
      <c r="O3187" s="1">
        <v>1</v>
      </c>
      <c r="P3187" s="2">
        <v>1</v>
      </c>
      <c r="Q3187" s="67">
        <v>2</v>
      </c>
    </row>
    <row r="3188" spans="1:17" x14ac:dyDescent="0.25">
      <c r="A3188" s="10">
        <v>386</v>
      </c>
      <c r="B3188" s="10">
        <v>42</v>
      </c>
      <c r="C3188" s="10">
        <v>5</v>
      </c>
      <c r="D3188" s="10">
        <v>8</v>
      </c>
      <c r="E3188" s="10">
        <v>2</v>
      </c>
      <c r="F3188" s="10">
        <v>2</v>
      </c>
      <c r="L3188" s="1">
        <v>258</v>
      </c>
      <c r="M3188" s="1">
        <v>28</v>
      </c>
      <c r="N3188" s="1">
        <v>1</v>
      </c>
      <c r="O3188" s="1">
        <v>1</v>
      </c>
      <c r="P3188" s="2">
        <v>1</v>
      </c>
      <c r="Q3188" s="68">
        <v>3</v>
      </c>
    </row>
    <row r="3189" spans="1:17" x14ac:dyDescent="0.25">
      <c r="A3189" s="10">
        <v>3</v>
      </c>
      <c r="B3189" s="10">
        <v>1</v>
      </c>
      <c r="C3189" s="10">
        <v>5</v>
      </c>
      <c r="D3189" s="10">
        <v>1</v>
      </c>
      <c r="E3189" s="10">
        <v>23</v>
      </c>
      <c r="F3189" s="10">
        <v>23</v>
      </c>
      <c r="L3189" s="1">
        <v>259</v>
      </c>
      <c r="M3189" s="1">
        <v>28</v>
      </c>
      <c r="N3189" s="1">
        <v>1</v>
      </c>
      <c r="O3189" s="1">
        <v>1</v>
      </c>
      <c r="P3189" s="2">
        <v>1</v>
      </c>
      <c r="Q3189" s="67">
        <v>4</v>
      </c>
    </row>
    <row r="3190" spans="1:17" x14ac:dyDescent="0.25">
      <c r="A3190" s="10">
        <v>319</v>
      </c>
      <c r="B3190" s="10">
        <v>34</v>
      </c>
      <c r="C3190" s="10">
        <v>5</v>
      </c>
      <c r="D3190" s="10">
        <v>1</v>
      </c>
      <c r="E3190" s="10">
        <v>1</v>
      </c>
      <c r="F3190" s="10">
        <v>1</v>
      </c>
      <c r="L3190" s="1">
        <v>260</v>
      </c>
      <c r="M3190" s="1">
        <v>28</v>
      </c>
      <c r="N3190" s="1">
        <v>1</v>
      </c>
      <c r="O3190" s="1">
        <v>1</v>
      </c>
      <c r="P3190" s="2">
        <v>1</v>
      </c>
      <c r="Q3190" s="68">
        <v>4</v>
      </c>
    </row>
    <row r="3191" spans="1:17" x14ac:dyDescent="0.25">
      <c r="A3191" s="10">
        <v>3</v>
      </c>
      <c r="B3191" s="10">
        <v>1</v>
      </c>
      <c r="C3191" s="10">
        <v>5</v>
      </c>
      <c r="D3191" s="10">
        <v>2</v>
      </c>
      <c r="E3191" s="10">
        <v>15</v>
      </c>
      <c r="F3191" s="10">
        <v>15</v>
      </c>
      <c r="L3191" s="1">
        <v>261</v>
      </c>
      <c r="M3191" s="1">
        <v>28</v>
      </c>
      <c r="N3191" s="1">
        <v>1</v>
      </c>
      <c r="O3191" s="1">
        <v>1</v>
      </c>
      <c r="P3191" s="2">
        <v>1</v>
      </c>
      <c r="Q3191" s="67">
        <v>4</v>
      </c>
    </row>
    <row r="3192" spans="1:17" x14ac:dyDescent="0.25">
      <c r="A3192" s="10">
        <v>319</v>
      </c>
      <c r="B3192" s="10">
        <v>34</v>
      </c>
      <c r="C3192" s="10">
        <v>5</v>
      </c>
      <c r="D3192" s="10">
        <v>2</v>
      </c>
      <c r="E3192" s="10">
        <v>36</v>
      </c>
      <c r="F3192" s="10">
        <v>36</v>
      </c>
      <c r="L3192" s="1">
        <v>262</v>
      </c>
      <c r="M3192" s="1">
        <v>28</v>
      </c>
      <c r="N3192" s="1">
        <v>1</v>
      </c>
      <c r="O3192" s="1">
        <v>1</v>
      </c>
      <c r="P3192" s="2">
        <v>1</v>
      </c>
      <c r="Q3192" s="68">
        <v>5</v>
      </c>
    </row>
    <row r="3193" spans="1:17" x14ac:dyDescent="0.25">
      <c r="A3193" s="10">
        <v>3</v>
      </c>
      <c r="B3193" s="10">
        <v>1</v>
      </c>
      <c r="C3193" s="10">
        <v>5</v>
      </c>
      <c r="D3193" s="10">
        <v>7</v>
      </c>
      <c r="E3193" s="10">
        <v>1</v>
      </c>
      <c r="F3193" s="10">
        <v>1</v>
      </c>
      <c r="L3193" s="1">
        <v>263</v>
      </c>
      <c r="M3193" s="1">
        <v>29</v>
      </c>
      <c r="N3193" s="1">
        <v>1</v>
      </c>
      <c r="O3193" s="1">
        <v>1</v>
      </c>
      <c r="P3193" s="2">
        <v>1</v>
      </c>
      <c r="Q3193" s="67">
        <v>5</v>
      </c>
    </row>
    <row r="3194" spans="1:17" x14ac:dyDescent="0.25">
      <c r="A3194" s="10">
        <v>3</v>
      </c>
      <c r="B3194" s="10">
        <v>1</v>
      </c>
      <c r="C3194" s="10">
        <v>5</v>
      </c>
      <c r="D3194" s="10">
        <v>8</v>
      </c>
      <c r="E3194" s="10">
        <v>1</v>
      </c>
      <c r="F3194" s="10">
        <v>1</v>
      </c>
      <c r="L3194" s="1">
        <v>264</v>
      </c>
      <c r="M3194" s="1">
        <v>29</v>
      </c>
      <c r="N3194" s="1">
        <v>1</v>
      </c>
      <c r="O3194" s="1">
        <v>1</v>
      </c>
      <c r="P3194" s="2">
        <v>1</v>
      </c>
      <c r="Q3194" s="68">
        <v>1</v>
      </c>
    </row>
    <row r="3195" spans="1:17" x14ac:dyDescent="0.25">
      <c r="A3195" s="10">
        <v>413</v>
      </c>
      <c r="B3195" s="10">
        <v>44</v>
      </c>
      <c r="C3195" s="10">
        <v>5</v>
      </c>
      <c r="D3195" s="10">
        <v>4</v>
      </c>
      <c r="E3195" s="10">
        <v>7</v>
      </c>
      <c r="F3195" s="10">
        <v>7</v>
      </c>
      <c r="L3195" s="1">
        <v>265</v>
      </c>
      <c r="M3195" s="1">
        <v>29</v>
      </c>
      <c r="N3195" s="1">
        <v>1</v>
      </c>
      <c r="O3195" s="1">
        <v>1</v>
      </c>
      <c r="P3195" s="2">
        <v>1</v>
      </c>
      <c r="Q3195" s="67">
        <v>2</v>
      </c>
    </row>
    <row r="3196" spans="1:17" x14ac:dyDescent="0.25">
      <c r="A3196" s="10">
        <v>413</v>
      </c>
      <c r="B3196" s="10">
        <v>44</v>
      </c>
      <c r="C3196" s="10">
        <v>5</v>
      </c>
      <c r="D3196" s="10">
        <v>5</v>
      </c>
      <c r="E3196" s="10">
        <v>2</v>
      </c>
      <c r="F3196" s="10">
        <v>2</v>
      </c>
      <c r="L3196" s="1">
        <v>266</v>
      </c>
      <c r="M3196" s="1">
        <v>29</v>
      </c>
      <c r="N3196" s="1">
        <v>1</v>
      </c>
      <c r="O3196" s="1">
        <v>1</v>
      </c>
      <c r="P3196" s="2">
        <v>1</v>
      </c>
      <c r="Q3196" s="68">
        <v>4</v>
      </c>
    </row>
    <row r="3197" spans="1:17" x14ac:dyDescent="0.25">
      <c r="A3197" s="10">
        <v>14</v>
      </c>
      <c r="B3197" s="10">
        <v>2</v>
      </c>
      <c r="C3197" s="10">
        <v>5</v>
      </c>
      <c r="D3197" s="10">
        <v>1</v>
      </c>
      <c r="E3197" s="10">
        <v>496</v>
      </c>
      <c r="F3197" s="10">
        <v>496</v>
      </c>
      <c r="L3197" s="1">
        <v>267</v>
      </c>
      <c r="M3197" s="1">
        <v>29</v>
      </c>
      <c r="N3197" s="1">
        <v>1</v>
      </c>
      <c r="O3197" s="1">
        <v>1</v>
      </c>
      <c r="P3197" s="2">
        <v>1</v>
      </c>
      <c r="Q3197" s="67">
        <v>10</v>
      </c>
    </row>
    <row r="3198" spans="1:17" x14ac:dyDescent="0.25">
      <c r="A3198" s="10">
        <v>14</v>
      </c>
      <c r="B3198" s="10">
        <v>2</v>
      </c>
      <c r="C3198" s="10">
        <v>5</v>
      </c>
      <c r="D3198" s="10">
        <v>2</v>
      </c>
      <c r="E3198" s="10">
        <v>500</v>
      </c>
      <c r="F3198" s="10">
        <v>500</v>
      </c>
      <c r="L3198" s="1">
        <v>268</v>
      </c>
      <c r="M3198" s="1">
        <v>29</v>
      </c>
      <c r="N3198" s="1">
        <v>1</v>
      </c>
      <c r="O3198" s="1">
        <v>1</v>
      </c>
      <c r="P3198" s="2">
        <v>1</v>
      </c>
      <c r="Q3198" s="68">
        <v>2</v>
      </c>
    </row>
    <row r="3199" spans="1:17" x14ac:dyDescent="0.25">
      <c r="A3199" s="10">
        <v>14</v>
      </c>
      <c r="B3199" s="10">
        <v>2</v>
      </c>
      <c r="C3199" s="10">
        <v>5</v>
      </c>
      <c r="D3199" s="10">
        <v>3</v>
      </c>
      <c r="E3199" s="10">
        <v>2</v>
      </c>
      <c r="F3199" s="10">
        <v>2</v>
      </c>
      <c r="L3199" s="1">
        <v>269</v>
      </c>
      <c r="M3199" s="1">
        <v>29</v>
      </c>
      <c r="N3199" s="1">
        <v>1</v>
      </c>
      <c r="O3199" s="1">
        <v>1</v>
      </c>
      <c r="P3199" s="2">
        <v>1</v>
      </c>
      <c r="Q3199" s="67">
        <v>2</v>
      </c>
    </row>
    <row r="3200" spans="1:17" x14ac:dyDescent="0.25">
      <c r="A3200" s="10">
        <v>19</v>
      </c>
      <c r="B3200" s="10">
        <v>2</v>
      </c>
      <c r="C3200" s="10">
        <v>5</v>
      </c>
      <c r="D3200" s="10">
        <v>1</v>
      </c>
      <c r="E3200" s="10">
        <v>441</v>
      </c>
      <c r="F3200" s="10">
        <v>441</v>
      </c>
      <c r="L3200" s="1">
        <v>270</v>
      </c>
      <c r="M3200" s="1">
        <v>29</v>
      </c>
      <c r="N3200" s="1">
        <v>1</v>
      </c>
      <c r="O3200" s="1">
        <v>1</v>
      </c>
      <c r="P3200" s="2">
        <v>1</v>
      </c>
      <c r="Q3200" s="68">
        <v>17</v>
      </c>
    </row>
    <row r="3201" spans="1:17" x14ac:dyDescent="0.25">
      <c r="A3201" s="10">
        <v>19</v>
      </c>
      <c r="B3201" s="10">
        <v>2</v>
      </c>
      <c r="C3201" s="10">
        <v>5</v>
      </c>
      <c r="D3201" s="10">
        <v>2</v>
      </c>
      <c r="E3201" s="10">
        <v>556</v>
      </c>
      <c r="F3201" s="10">
        <v>556</v>
      </c>
      <c r="L3201" s="1">
        <v>271</v>
      </c>
      <c r="M3201" s="1">
        <v>30</v>
      </c>
      <c r="N3201" s="1">
        <v>1</v>
      </c>
      <c r="O3201" s="1">
        <v>1</v>
      </c>
      <c r="P3201" s="2">
        <v>1</v>
      </c>
      <c r="Q3201" s="67">
        <v>13</v>
      </c>
    </row>
    <row r="3202" spans="1:17" x14ac:dyDescent="0.25">
      <c r="A3202" s="10">
        <v>19</v>
      </c>
      <c r="B3202" s="10">
        <v>2</v>
      </c>
      <c r="C3202" s="10">
        <v>5</v>
      </c>
      <c r="D3202" s="10">
        <v>10</v>
      </c>
      <c r="E3202" s="10">
        <v>2</v>
      </c>
      <c r="F3202" s="10">
        <v>2</v>
      </c>
      <c r="L3202" s="1">
        <v>272</v>
      </c>
      <c r="M3202" s="1">
        <v>30</v>
      </c>
      <c r="N3202" s="1">
        <v>1</v>
      </c>
      <c r="O3202" s="1">
        <v>1</v>
      </c>
      <c r="P3202" s="2">
        <v>1</v>
      </c>
      <c r="Q3202" s="68">
        <v>25</v>
      </c>
    </row>
    <row r="3203" spans="1:17" x14ac:dyDescent="0.25">
      <c r="A3203" s="10">
        <v>9</v>
      </c>
      <c r="B3203" s="10">
        <v>1</v>
      </c>
      <c r="C3203" s="10">
        <v>5</v>
      </c>
      <c r="D3203" s="10">
        <v>2</v>
      </c>
      <c r="E3203" s="10">
        <v>50</v>
      </c>
      <c r="F3203" s="10">
        <v>50</v>
      </c>
      <c r="L3203" s="1">
        <v>273</v>
      </c>
      <c r="M3203" s="1">
        <v>30</v>
      </c>
      <c r="N3203" s="1">
        <v>1</v>
      </c>
      <c r="O3203" s="1">
        <v>1</v>
      </c>
      <c r="P3203" s="2">
        <v>1</v>
      </c>
      <c r="Q3203" s="67">
        <v>21</v>
      </c>
    </row>
    <row r="3204" spans="1:17" x14ac:dyDescent="0.25">
      <c r="A3204" s="10">
        <v>9</v>
      </c>
      <c r="B3204" s="10">
        <v>1</v>
      </c>
      <c r="C3204" s="10">
        <v>5</v>
      </c>
      <c r="D3204" s="10">
        <v>1</v>
      </c>
      <c r="E3204" s="10">
        <v>0</v>
      </c>
      <c r="F3204" s="10">
        <v>0</v>
      </c>
      <c r="L3204" s="1">
        <v>274</v>
      </c>
      <c r="M3204" s="1">
        <v>30</v>
      </c>
      <c r="N3204" s="1">
        <v>1</v>
      </c>
      <c r="O3204" s="1">
        <v>1</v>
      </c>
      <c r="P3204" s="2">
        <v>1</v>
      </c>
      <c r="Q3204" s="68">
        <v>19</v>
      </c>
    </row>
    <row r="3205" spans="1:17" x14ac:dyDescent="0.25">
      <c r="A3205" s="10">
        <v>153</v>
      </c>
      <c r="B3205" s="10">
        <v>17</v>
      </c>
      <c r="C3205" s="10">
        <v>5</v>
      </c>
      <c r="D3205" s="10">
        <v>1</v>
      </c>
      <c r="E3205" s="10">
        <v>22</v>
      </c>
      <c r="F3205" s="10">
        <v>22</v>
      </c>
      <c r="L3205" s="1">
        <v>275</v>
      </c>
      <c r="M3205" s="1">
        <v>30</v>
      </c>
      <c r="N3205" s="1">
        <v>1</v>
      </c>
      <c r="O3205" s="1">
        <v>1</v>
      </c>
      <c r="P3205" s="2">
        <v>1</v>
      </c>
      <c r="Q3205" s="67">
        <v>18</v>
      </c>
    </row>
    <row r="3206" spans="1:17" x14ac:dyDescent="0.25">
      <c r="A3206" s="10">
        <v>153</v>
      </c>
      <c r="B3206" s="10">
        <v>17</v>
      </c>
      <c r="C3206" s="10">
        <v>5</v>
      </c>
      <c r="D3206" s="10">
        <v>2</v>
      </c>
      <c r="E3206" s="10">
        <v>16</v>
      </c>
      <c r="F3206" s="10">
        <v>16</v>
      </c>
      <c r="L3206" s="1">
        <v>276</v>
      </c>
      <c r="M3206" s="1">
        <v>30</v>
      </c>
      <c r="N3206" s="1">
        <v>1</v>
      </c>
      <c r="O3206" s="1">
        <v>1</v>
      </c>
      <c r="P3206" s="2">
        <v>1</v>
      </c>
      <c r="Q3206" s="68">
        <v>18</v>
      </c>
    </row>
    <row r="3207" spans="1:17" x14ac:dyDescent="0.25">
      <c r="A3207" s="10">
        <v>153</v>
      </c>
      <c r="B3207" s="10">
        <v>17</v>
      </c>
      <c r="C3207" s="10">
        <v>5</v>
      </c>
      <c r="D3207" s="10">
        <v>3</v>
      </c>
      <c r="E3207" s="10">
        <v>8</v>
      </c>
      <c r="F3207" s="10">
        <v>8</v>
      </c>
      <c r="L3207" s="1">
        <v>277</v>
      </c>
      <c r="M3207" s="1">
        <v>30</v>
      </c>
      <c r="N3207" s="1">
        <v>1</v>
      </c>
      <c r="O3207" s="1">
        <v>1</v>
      </c>
      <c r="P3207" s="2">
        <v>1</v>
      </c>
      <c r="Q3207" s="67">
        <v>16</v>
      </c>
    </row>
    <row r="3208" spans="1:17" x14ac:dyDescent="0.25">
      <c r="A3208" s="10">
        <v>9</v>
      </c>
      <c r="B3208" s="10">
        <v>1</v>
      </c>
      <c r="C3208" s="10">
        <v>5</v>
      </c>
      <c r="D3208" s="10">
        <v>3</v>
      </c>
      <c r="E3208" s="10">
        <v>10</v>
      </c>
      <c r="F3208" s="10">
        <v>10</v>
      </c>
      <c r="L3208" s="1">
        <v>278</v>
      </c>
      <c r="M3208" s="1">
        <v>30</v>
      </c>
      <c r="N3208" s="1">
        <v>1</v>
      </c>
      <c r="O3208" s="1">
        <v>1</v>
      </c>
      <c r="P3208" s="2">
        <v>1</v>
      </c>
      <c r="Q3208" s="68">
        <v>19</v>
      </c>
    </row>
    <row r="3209" spans="1:17" x14ac:dyDescent="0.25">
      <c r="A3209" s="10">
        <v>153</v>
      </c>
      <c r="B3209" s="10">
        <v>17</v>
      </c>
      <c r="C3209" s="10">
        <v>4</v>
      </c>
      <c r="D3209" s="10">
        <v>1</v>
      </c>
      <c r="E3209" s="10">
        <v>15</v>
      </c>
      <c r="F3209" s="10">
        <v>15</v>
      </c>
      <c r="L3209" s="1">
        <v>279</v>
      </c>
      <c r="M3209" s="1">
        <v>30</v>
      </c>
      <c r="N3209" s="1">
        <v>1</v>
      </c>
      <c r="O3209" s="1">
        <v>1</v>
      </c>
      <c r="P3209" s="2">
        <v>1</v>
      </c>
      <c r="Q3209" s="67">
        <v>10</v>
      </c>
    </row>
    <row r="3210" spans="1:17" x14ac:dyDescent="0.25">
      <c r="A3210" s="10">
        <v>153</v>
      </c>
      <c r="B3210" s="10">
        <v>17</v>
      </c>
      <c r="C3210" s="10">
        <v>4</v>
      </c>
      <c r="D3210" s="10">
        <v>2</v>
      </c>
      <c r="E3210" s="10">
        <v>13</v>
      </c>
      <c r="F3210" s="10">
        <v>13</v>
      </c>
      <c r="L3210" s="1">
        <v>280</v>
      </c>
      <c r="M3210" s="1">
        <v>30</v>
      </c>
      <c r="N3210" s="1">
        <v>1</v>
      </c>
      <c r="O3210" s="1">
        <v>1</v>
      </c>
      <c r="P3210" s="2">
        <v>1</v>
      </c>
      <c r="Q3210" s="68">
        <v>20</v>
      </c>
    </row>
    <row r="3211" spans="1:17" x14ac:dyDescent="0.25">
      <c r="A3211" s="10">
        <v>153</v>
      </c>
      <c r="B3211" s="10">
        <v>17</v>
      </c>
      <c r="C3211" s="10">
        <v>4</v>
      </c>
      <c r="D3211" s="10">
        <v>3</v>
      </c>
      <c r="E3211" s="10">
        <v>8</v>
      </c>
      <c r="F3211" s="10">
        <v>8</v>
      </c>
      <c r="L3211" s="1">
        <v>281</v>
      </c>
      <c r="M3211" s="1">
        <v>31</v>
      </c>
      <c r="N3211" s="1">
        <v>1</v>
      </c>
      <c r="O3211" s="1">
        <v>1</v>
      </c>
      <c r="P3211" s="2">
        <v>1</v>
      </c>
      <c r="Q3211" s="67">
        <v>21</v>
      </c>
    </row>
    <row r="3212" spans="1:17" x14ac:dyDescent="0.25">
      <c r="A3212" s="10">
        <v>151</v>
      </c>
      <c r="B3212" s="10">
        <v>16</v>
      </c>
      <c r="C3212" s="10">
        <v>5</v>
      </c>
      <c r="D3212" s="10">
        <v>1</v>
      </c>
      <c r="E3212" s="10">
        <v>5</v>
      </c>
      <c r="F3212" s="10">
        <v>5</v>
      </c>
      <c r="L3212" s="1">
        <v>282</v>
      </c>
      <c r="M3212" s="1">
        <v>31</v>
      </c>
      <c r="N3212" s="1">
        <v>1</v>
      </c>
      <c r="O3212" s="1">
        <v>1</v>
      </c>
      <c r="P3212" s="2">
        <v>1</v>
      </c>
      <c r="Q3212" s="68">
        <v>21</v>
      </c>
    </row>
    <row r="3213" spans="1:17" x14ac:dyDescent="0.25">
      <c r="A3213" s="10">
        <v>151</v>
      </c>
      <c r="B3213" s="10">
        <v>16</v>
      </c>
      <c r="C3213" s="10">
        <v>5</v>
      </c>
      <c r="D3213" s="10">
        <v>2</v>
      </c>
      <c r="E3213" s="10">
        <v>2</v>
      </c>
      <c r="F3213" s="10">
        <v>2</v>
      </c>
      <c r="L3213" s="1">
        <v>283</v>
      </c>
      <c r="M3213" s="1">
        <v>31</v>
      </c>
      <c r="N3213" s="1">
        <v>1</v>
      </c>
      <c r="O3213" s="1">
        <v>1</v>
      </c>
      <c r="P3213" s="2">
        <v>1</v>
      </c>
      <c r="Q3213" s="67">
        <v>24</v>
      </c>
    </row>
    <row r="3214" spans="1:17" x14ac:dyDescent="0.25">
      <c r="A3214" s="10">
        <v>65</v>
      </c>
      <c r="B3214" s="10">
        <v>7</v>
      </c>
      <c r="C3214" s="10">
        <v>5</v>
      </c>
      <c r="D3214" s="10">
        <v>1</v>
      </c>
      <c r="E3214" s="10">
        <v>9</v>
      </c>
      <c r="F3214" s="10">
        <v>9</v>
      </c>
      <c r="L3214" s="1">
        <v>284</v>
      </c>
      <c r="M3214" s="1">
        <v>31</v>
      </c>
      <c r="N3214" s="1">
        <v>1</v>
      </c>
      <c r="O3214" s="1">
        <v>1</v>
      </c>
      <c r="P3214" s="2">
        <v>1</v>
      </c>
      <c r="Q3214" s="68">
        <v>21</v>
      </c>
    </row>
    <row r="3215" spans="1:17" x14ac:dyDescent="0.25">
      <c r="A3215" s="10">
        <v>65</v>
      </c>
      <c r="B3215" s="10">
        <v>7</v>
      </c>
      <c r="C3215" s="10">
        <v>5</v>
      </c>
      <c r="D3215" s="10">
        <v>2</v>
      </c>
      <c r="E3215" s="10">
        <v>12</v>
      </c>
      <c r="F3215" s="10">
        <v>12</v>
      </c>
      <c r="L3215" s="1">
        <v>285</v>
      </c>
      <c r="M3215" s="1">
        <v>31</v>
      </c>
      <c r="N3215" s="1">
        <v>1</v>
      </c>
      <c r="O3215" s="1">
        <v>1</v>
      </c>
      <c r="P3215" s="2">
        <v>1</v>
      </c>
      <c r="Q3215" s="67">
        <v>23</v>
      </c>
    </row>
    <row r="3216" spans="1:17" x14ac:dyDescent="0.25">
      <c r="A3216" s="10">
        <v>65</v>
      </c>
      <c r="B3216" s="10">
        <v>7</v>
      </c>
      <c r="C3216" s="10">
        <v>5</v>
      </c>
      <c r="D3216" s="10">
        <v>4</v>
      </c>
      <c r="E3216" s="10">
        <v>2</v>
      </c>
      <c r="F3216" s="10">
        <v>2</v>
      </c>
      <c r="L3216" s="1">
        <v>286</v>
      </c>
      <c r="M3216" s="1">
        <v>31</v>
      </c>
      <c r="N3216" s="1">
        <v>1</v>
      </c>
      <c r="O3216" s="1">
        <v>1</v>
      </c>
      <c r="P3216" s="2">
        <v>1</v>
      </c>
      <c r="Q3216" s="68">
        <v>23</v>
      </c>
    </row>
    <row r="3217" spans="1:17" x14ac:dyDescent="0.25">
      <c r="A3217" s="10">
        <v>65</v>
      </c>
      <c r="B3217" s="10">
        <v>7</v>
      </c>
      <c r="C3217" s="10">
        <v>5</v>
      </c>
      <c r="D3217" s="10">
        <v>6</v>
      </c>
      <c r="E3217" s="10">
        <v>1</v>
      </c>
      <c r="F3217" s="10">
        <v>1</v>
      </c>
      <c r="L3217" s="1">
        <v>287</v>
      </c>
      <c r="M3217" s="1">
        <v>31</v>
      </c>
      <c r="N3217" s="1">
        <v>1</v>
      </c>
      <c r="O3217" s="1">
        <v>1</v>
      </c>
      <c r="P3217" s="2">
        <v>1</v>
      </c>
      <c r="Q3217" s="67">
        <v>9</v>
      </c>
    </row>
    <row r="3218" spans="1:17" x14ac:dyDescent="0.25">
      <c r="A3218" s="10">
        <v>65</v>
      </c>
      <c r="B3218" s="10">
        <v>7</v>
      </c>
      <c r="C3218" s="10">
        <v>5</v>
      </c>
      <c r="D3218" s="10">
        <v>3</v>
      </c>
      <c r="E3218" s="10">
        <v>1</v>
      </c>
      <c r="F3218" s="10">
        <v>1</v>
      </c>
      <c r="L3218" s="1">
        <v>288</v>
      </c>
      <c r="M3218" s="1">
        <v>31</v>
      </c>
      <c r="N3218" s="1">
        <v>1</v>
      </c>
      <c r="O3218" s="1">
        <v>1</v>
      </c>
      <c r="P3218" s="2">
        <v>1</v>
      </c>
      <c r="Q3218" s="68">
        <v>13</v>
      </c>
    </row>
    <row r="3219" spans="1:17" x14ac:dyDescent="0.25">
      <c r="A3219" s="10">
        <v>405</v>
      </c>
      <c r="B3219" s="10">
        <v>44</v>
      </c>
      <c r="C3219" s="10">
        <v>1</v>
      </c>
      <c r="D3219" s="10">
        <v>1</v>
      </c>
      <c r="E3219" s="10">
        <v>30</v>
      </c>
      <c r="F3219" s="10">
        <v>30</v>
      </c>
      <c r="L3219" s="1">
        <v>289</v>
      </c>
      <c r="M3219" s="1">
        <v>31</v>
      </c>
      <c r="N3219" s="1">
        <v>1</v>
      </c>
      <c r="O3219" s="1">
        <v>1</v>
      </c>
      <c r="P3219" s="2">
        <v>1</v>
      </c>
      <c r="Q3219" s="67">
        <v>15</v>
      </c>
    </row>
    <row r="3220" spans="1:17" x14ac:dyDescent="0.25">
      <c r="A3220" s="10">
        <v>405</v>
      </c>
      <c r="B3220" s="10">
        <v>44</v>
      </c>
      <c r="C3220" s="10">
        <v>2</v>
      </c>
      <c r="D3220" s="10">
        <v>1</v>
      </c>
      <c r="E3220" s="10">
        <v>18</v>
      </c>
      <c r="F3220" s="10">
        <v>18</v>
      </c>
      <c r="L3220" s="1">
        <v>290</v>
      </c>
      <c r="M3220" s="1">
        <v>31</v>
      </c>
      <c r="N3220" s="1">
        <v>1</v>
      </c>
      <c r="O3220" s="1">
        <v>1</v>
      </c>
      <c r="P3220" s="2">
        <v>1</v>
      </c>
      <c r="Q3220" s="68">
        <v>9</v>
      </c>
    </row>
    <row r="3221" spans="1:17" x14ac:dyDescent="0.25">
      <c r="A3221" s="10">
        <v>405</v>
      </c>
      <c r="B3221" s="10">
        <v>44</v>
      </c>
      <c r="C3221" s="10">
        <v>3</v>
      </c>
      <c r="D3221" s="10">
        <v>1</v>
      </c>
      <c r="E3221" s="10">
        <v>40</v>
      </c>
      <c r="F3221" s="10">
        <v>40</v>
      </c>
      <c r="L3221" s="1">
        <v>291</v>
      </c>
      <c r="M3221" s="1">
        <v>32</v>
      </c>
      <c r="N3221" s="1">
        <v>1</v>
      </c>
      <c r="O3221" s="1">
        <v>1</v>
      </c>
      <c r="P3221" s="2">
        <v>1</v>
      </c>
      <c r="Q3221" s="67">
        <v>6</v>
      </c>
    </row>
    <row r="3222" spans="1:17" x14ac:dyDescent="0.25">
      <c r="A3222" s="10">
        <v>405</v>
      </c>
      <c r="B3222" s="10">
        <v>44</v>
      </c>
      <c r="C3222" s="10">
        <v>4</v>
      </c>
      <c r="D3222" s="10">
        <v>1</v>
      </c>
      <c r="E3222" s="10">
        <v>20</v>
      </c>
      <c r="F3222" s="10">
        <v>20</v>
      </c>
      <c r="L3222" s="1">
        <v>292</v>
      </c>
      <c r="M3222" s="1">
        <v>32</v>
      </c>
      <c r="N3222" s="1">
        <v>1</v>
      </c>
      <c r="O3222" s="1">
        <v>1</v>
      </c>
      <c r="P3222" s="2">
        <v>1</v>
      </c>
      <c r="Q3222" s="68">
        <v>6</v>
      </c>
    </row>
    <row r="3223" spans="1:17" x14ac:dyDescent="0.25">
      <c r="A3223" s="10">
        <v>331</v>
      </c>
      <c r="B3223" s="10">
        <v>36</v>
      </c>
      <c r="C3223" s="10">
        <v>1</v>
      </c>
      <c r="D3223" s="10">
        <v>1</v>
      </c>
      <c r="E3223" s="10">
        <v>1</v>
      </c>
      <c r="F3223" s="10">
        <v>1</v>
      </c>
      <c r="L3223" s="1">
        <v>293</v>
      </c>
      <c r="M3223" s="1">
        <v>32</v>
      </c>
      <c r="N3223" s="1">
        <v>1</v>
      </c>
      <c r="O3223" s="1">
        <v>1</v>
      </c>
      <c r="P3223" s="2">
        <v>1</v>
      </c>
      <c r="Q3223" s="67">
        <v>4</v>
      </c>
    </row>
    <row r="3224" spans="1:17" x14ac:dyDescent="0.25">
      <c r="A3224" s="10">
        <v>120</v>
      </c>
      <c r="B3224" s="10">
        <v>13</v>
      </c>
      <c r="C3224" s="10">
        <v>5</v>
      </c>
      <c r="D3224" s="10">
        <v>1</v>
      </c>
      <c r="E3224" s="10">
        <v>11</v>
      </c>
      <c r="F3224" s="10">
        <v>11</v>
      </c>
      <c r="L3224" s="1">
        <v>294</v>
      </c>
      <c r="M3224" s="1">
        <v>32</v>
      </c>
      <c r="N3224" s="1">
        <v>1</v>
      </c>
      <c r="O3224" s="1">
        <v>1</v>
      </c>
      <c r="P3224" s="2">
        <v>1</v>
      </c>
      <c r="Q3224" s="68">
        <v>10</v>
      </c>
    </row>
    <row r="3225" spans="1:17" x14ac:dyDescent="0.25">
      <c r="A3225" s="10">
        <v>120</v>
      </c>
      <c r="B3225" s="10">
        <v>13</v>
      </c>
      <c r="C3225" s="10">
        <v>5</v>
      </c>
      <c r="D3225" s="10">
        <v>2</v>
      </c>
      <c r="E3225" s="10">
        <v>24</v>
      </c>
      <c r="F3225" s="10">
        <v>24</v>
      </c>
      <c r="L3225" s="1">
        <v>295</v>
      </c>
      <c r="M3225" s="1">
        <v>32</v>
      </c>
      <c r="N3225" s="1">
        <v>1</v>
      </c>
      <c r="O3225" s="1">
        <v>1</v>
      </c>
      <c r="P3225" s="2">
        <v>1</v>
      </c>
      <c r="Q3225" s="67">
        <v>5</v>
      </c>
    </row>
    <row r="3226" spans="1:17" x14ac:dyDescent="0.25">
      <c r="A3226" s="10">
        <v>120</v>
      </c>
      <c r="B3226" s="10">
        <v>13</v>
      </c>
      <c r="C3226" s="10">
        <v>5</v>
      </c>
      <c r="D3226" s="10">
        <v>3</v>
      </c>
      <c r="E3226" s="10">
        <v>15</v>
      </c>
      <c r="F3226" s="10">
        <v>15</v>
      </c>
      <c r="L3226" s="1">
        <v>296</v>
      </c>
      <c r="M3226" s="1">
        <v>32</v>
      </c>
      <c r="N3226" s="1">
        <v>1</v>
      </c>
      <c r="O3226" s="1">
        <v>1</v>
      </c>
      <c r="P3226" s="2">
        <v>1</v>
      </c>
      <c r="Q3226" s="68">
        <v>5</v>
      </c>
    </row>
    <row r="3227" spans="1:17" x14ac:dyDescent="0.25">
      <c r="A3227" s="10">
        <v>118</v>
      </c>
      <c r="B3227" s="10">
        <v>13</v>
      </c>
      <c r="C3227" s="10">
        <v>5</v>
      </c>
      <c r="D3227" s="10">
        <v>1</v>
      </c>
      <c r="E3227" s="10">
        <v>13</v>
      </c>
      <c r="F3227" s="10">
        <v>13</v>
      </c>
      <c r="L3227" s="1">
        <v>297</v>
      </c>
      <c r="M3227" s="1">
        <v>32</v>
      </c>
      <c r="N3227" s="1">
        <v>1</v>
      </c>
      <c r="O3227" s="1">
        <v>1</v>
      </c>
      <c r="P3227" s="2">
        <v>1</v>
      </c>
      <c r="Q3227" s="67">
        <v>9</v>
      </c>
    </row>
    <row r="3228" spans="1:17" x14ac:dyDescent="0.25">
      <c r="A3228" s="10">
        <v>118</v>
      </c>
      <c r="B3228" s="10">
        <v>13</v>
      </c>
      <c r="C3228" s="10">
        <v>5</v>
      </c>
      <c r="D3228" s="10">
        <v>2</v>
      </c>
      <c r="E3228" s="10">
        <v>10</v>
      </c>
      <c r="F3228" s="10">
        <v>10</v>
      </c>
      <c r="L3228" s="1">
        <v>298</v>
      </c>
      <c r="M3228" s="1">
        <v>32</v>
      </c>
      <c r="N3228" s="1">
        <v>1</v>
      </c>
      <c r="O3228" s="1">
        <v>1</v>
      </c>
      <c r="P3228" s="2">
        <v>1</v>
      </c>
      <c r="Q3228" s="68">
        <v>4</v>
      </c>
    </row>
    <row r="3229" spans="1:17" x14ac:dyDescent="0.25">
      <c r="A3229" s="10">
        <v>118</v>
      </c>
      <c r="B3229" s="10">
        <v>13</v>
      </c>
      <c r="C3229" s="10">
        <v>5</v>
      </c>
      <c r="D3229" s="10">
        <v>3</v>
      </c>
      <c r="E3229" s="10">
        <v>4</v>
      </c>
      <c r="F3229" s="10">
        <v>4</v>
      </c>
      <c r="L3229" s="1">
        <v>299</v>
      </c>
      <c r="M3229" s="1">
        <v>32</v>
      </c>
      <c r="N3229" s="1">
        <v>1</v>
      </c>
      <c r="O3229" s="1">
        <v>1</v>
      </c>
      <c r="P3229" s="2">
        <v>1</v>
      </c>
      <c r="Q3229" s="67">
        <v>9</v>
      </c>
    </row>
    <row r="3230" spans="1:17" x14ac:dyDescent="0.25">
      <c r="A3230" s="10">
        <v>118</v>
      </c>
      <c r="B3230" s="10">
        <v>13</v>
      </c>
      <c r="C3230" s="10">
        <v>5</v>
      </c>
      <c r="D3230" s="10">
        <v>6</v>
      </c>
      <c r="E3230" s="10">
        <v>2</v>
      </c>
      <c r="F3230" s="10">
        <v>2</v>
      </c>
      <c r="L3230" s="1">
        <v>300</v>
      </c>
      <c r="M3230" s="1">
        <v>32</v>
      </c>
      <c r="N3230" s="1">
        <v>1</v>
      </c>
      <c r="O3230" s="1">
        <v>1</v>
      </c>
      <c r="P3230" s="2">
        <v>1</v>
      </c>
      <c r="Q3230" s="68">
        <v>3</v>
      </c>
    </row>
    <row r="3231" spans="1:17" x14ac:dyDescent="0.25">
      <c r="A3231" s="10">
        <v>248</v>
      </c>
      <c r="B3231" s="10">
        <v>27</v>
      </c>
      <c r="C3231" s="10">
        <v>5</v>
      </c>
      <c r="D3231" s="10">
        <v>1</v>
      </c>
      <c r="E3231" s="10">
        <v>5</v>
      </c>
      <c r="F3231" s="10">
        <v>5</v>
      </c>
      <c r="L3231" s="1">
        <v>301</v>
      </c>
      <c r="M3231" s="1">
        <v>33</v>
      </c>
      <c r="N3231" s="1">
        <v>1</v>
      </c>
      <c r="O3231" s="1">
        <v>1</v>
      </c>
      <c r="P3231" s="2">
        <v>1</v>
      </c>
      <c r="Q3231" s="67">
        <v>1</v>
      </c>
    </row>
    <row r="3232" spans="1:17" x14ac:dyDescent="0.25">
      <c r="A3232" s="10">
        <v>248</v>
      </c>
      <c r="B3232" s="10">
        <v>27</v>
      </c>
      <c r="C3232" s="10">
        <v>5</v>
      </c>
      <c r="D3232" s="10">
        <v>2</v>
      </c>
      <c r="E3232" s="10">
        <v>3</v>
      </c>
      <c r="F3232" s="10">
        <v>3</v>
      </c>
      <c r="L3232" s="1">
        <v>302</v>
      </c>
      <c r="M3232" s="1">
        <v>33</v>
      </c>
      <c r="N3232" s="1">
        <v>1</v>
      </c>
      <c r="O3232" s="1">
        <v>1</v>
      </c>
      <c r="P3232" s="2">
        <v>1</v>
      </c>
      <c r="Q3232" s="68">
        <v>6</v>
      </c>
    </row>
    <row r="3233" spans="1:17" x14ac:dyDescent="0.25">
      <c r="A3233" s="10">
        <v>248</v>
      </c>
      <c r="B3233" s="10">
        <v>27</v>
      </c>
      <c r="C3233" s="10">
        <v>5</v>
      </c>
      <c r="D3233" s="10">
        <v>3</v>
      </c>
      <c r="E3233" s="10">
        <v>1</v>
      </c>
      <c r="F3233" s="10">
        <v>1</v>
      </c>
      <c r="L3233" s="1">
        <v>303</v>
      </c>
      <c r="M3233" s="1">
        <v>33</v>
      </c>
      <c r="N3233" s="1">
        <v>1</v>
      </c>
      <c r="O3233" s="1">
        <v>1</v>
      </c>
      <c r="P3233" s="2">
        <v>1</v>
      </c>
      <c r="Q3233" s="67">
        <v>1</v>
      </c>
    </row>
    <row r="3234" spans="1:17" x14ac:dyDescent="0.25">
      <c r="A3234" s="10">
        <v>266</v>
      </c>
      <c r="B3234" s="10">
        <v>29</v>
      </c>
      <c r="C3234" s="10">
        <v>5</v>
      </c>
      <c r="D3234" s="10">
        <v>1</v>
      </c>
      <c r="E3234" s="10">
        <v>3</v>
      </c>
      <c r="F3234" s="10">
        <v>3</v>
      </c>
      <c r="L3234" s="1">
        <v>304</v>
      </c>
      <c r="M3234" s="1">
        <v>33</v>
      </c>
      <c r="N3234" s="1">
        <v>1</v>
      </c>
      <c r="O3234" s="1">
        <v>1</v>
      </c>
      <c r="P3234" s="2">
        <v>1</v>
      </c>
      <c r="Q3234" s="68">
        <v>3</v>
      </c>
    </row>
    <row r="3235" spans="1:17" x14ac:dyDescent="0.25">
      <c r="A3235" s="10">
        <v>266</v>
      </c>
      <c r="B3235" s="10">
        <v>29</v>
      </c>
      <c r="C3235" s="10">
        <v>5</v>
      </c>
      <c r="D3235" s="10">
        <v>2</v>
      </c>
      <c r="E3235" s="10">
        <v>8</v>
      </c>
      <c r="F3235" s="10">
        <v>8</v>
      </c>
      <c r="L3235" s="1">
        <v>305</v>
      </c>
      <c r="M3235" s="1">
        <v>33</v>
      </c>
      <c r="N3235" s="1">
        <v>1</v>
      </c>
      <c r="O3235" s="1">
        <v>1</v>
      </c>
      <c r="P3235" s="2">
        <v>1</v>
      </c>
      <c r="Q3235" s="67">
        <v>0</v>
      </c>
    </row>
    <row r="3236" spans="1:17" x14ac:dyDescent="0.25">
      <c r="A3236" s="10">
        <v>266</v>
      </c>
      <c r="B3236" s="10">
        <v>29</v>
      </c>
      <c r="C3236" s="10">
        <v>5</v>
      </c>
      <c r="D3236" s="10">
        <v>3</v>
      </c>
      <c r="E3236" s="10">
        <v>2</v>
      </c>
      <c r="F3236" s="10">
        <v>2</v>
      </c>
      <c r="L3236" s="1">
        <v>306</v>
      </c>
      <c r="M3236" s="1">
        <v>33</v>
      </c>
      <c r="N3236" s="1">
        <v>1</v>
      </c>
      <c r="O3236" s="1">
        <v>1</v>
      </c>
      <c r="P3236" s="2">
        <v>1</v>
      </c>
      <c r="Q3236" s="68">
        <v>5</v>
      </c>
    </row>
    <row r="3237" spans="1:17" x14ac:dyDescent="0.25">
      <c r="A3237" s="10">
        <v>266</v>
      </c>
      <c r="B3237" s="10">
        <v>29</v>
      </c>
      <c r="C3237" s="10">
        <v>5</v>
      </c>
      <c r="D3237" s="10">
        <v>4</v>
      </c>
      <c r="E3237" s="10">
        <v>3</v>
      </c>
      <c r="F3237" s="10">
        <v>3</v>
      </c>
      <c r="L3237" s="1">
        <v>307</v>
      </c>
      <c r="M3237" s="1">
        <v>33</v>
      </c>
      <c r="N3237" s="1">
        <v>1</v>
      </c>
      <c r="O3237" s="1">
        <v>1</v>
      </c>
      <c r="P3237" s="2">
        <v>1</v>
      </c>
      <c r="Q3237" s="67">
        <v>4</v>
      </c>
    </row>
    <row r="3238" spans="1:17" x14ac:dyDescent="0.25">
      <c r="A3238" s="10">
        <v>266</v>
      </c>
      <c r="B3238" s="10">
        <v>29</v>
      </c>
      <c r="C3238" s="10">
        <v>5</v>
      </c>
      <c r="D3238" s="10">
        <v>5</v>
      </c>
      <c r="E3238" s="10">
        <v>8</v>
      </c>
      <c r="F3238" s="10">
        <v>8</v>
      </c>
      <c r="L3238" s="1">
        <v>308</v>
      </c>
      <c r="M3238" s="1">
        <v>33</v>
      </c>
      <c r="N3238" s="1">
        <v>1</v>
      </c>
      <c r="O3238" s="1">
        <v>1</v>
      </c>
      <c r="P3238" s="2">
        <v>1</v>
      </c>
      <c r="Q3238" s="68">
        <v>12</v>
      </c>
    </row>
    <row r="3239" spans="1:17" x14ac:dyDescent="0.25">
      <c r="A3239" s="10">
        <v>1</v>
      </c>
      <c r="B3239" s="10">
        <v>1</v>
      </c>
      <c r="C3239" s="10">
        <v>6</v>
      </c>
      <c r="D3239" s="10">
        <v>1</v>
      </c>
      <c r="E3239" s="10">
        <v>453</v>
      </c>
      <c r="F3239" s="10">
        <v>453</v>
      </c>
      <c r="L3239" s="1">
        <v>309</v>
      </c>
      <c r="M3239" s="1">
        <v>33</v>
      </c>
      <c r="N3239" s="1">
        <v>1</v>
      </c>
      <c r="O3239" s="1">
        <v>1</v>
      </c>
      <c r="P3239" s="2">
        <v>1</v>
      </c>
      <c r="Q3239" s="67">
        <v>5</v>
      </c>
    </row>
    <row r="3240" spans="1:17" x14ac:dyDescent="0.25">
      <c r="A3240" s="10">
        <v>1</v>
      </c>
      <c r="B3240" s="10">
        <v>1</v>
      </c>
      <c r="C3240" s="10">
        <v>6</v>
      </c>
      <c r="D3240" s="10">
        <v>2</v>
      </c>
      <c r="E3240" s="10">
        <v>544</v>
      </c>
      <c r="F3240" s="10">
        <v>544</v>
      </c>
      <c r="L3240" s="1">
        <v>310</v>
      </c>
      <c r="M3240" s="1">
        <v>33</v>
      </c>
      <c r="N3240" s="1">
        <v>1</v>
      </c>
      <c r="O3240" s="1">
        <v>1</v>
      </c>
      <c r="P3240" s="2">
        <v>1</v>
      </c>
      <c r="Q3240" s="68">
        <v>7</v>
      </c>
    </row>
    <row r="3241" spans="1:17" x14ac:dyDescent="0.25">
      <c r="A3241" s="10">
        <v>1</v>
      </c>
      <c r="B3241" s="10">
        <v>1</v>
      </c>
      <c r="C3241" s="10">
        <v>6</v>
      </c>
      <c r="D3241" s="10">
        <v>3</v>
      </c>
      <c r="E3241" s="10">
        <v>1</v>
      </c>
      <c r="F3241" s="10">
        <v>1</v>
      </c>
      <c r="L3241" s="1">
        <v>311</v>
      </c>
      <c r="M3241" s="1">
        <v>34</v>
      </c>
      <c r="N3241" s="1">
        <v>1</v>
      </c>
      <c r="O3241" s="1">
        <v>1</v>
      </c>
      <c r="P3241" s="2">
        <v>1</v>
      </c>
      <c r="Q3241" s="67">
        <v>7</v>
      </c>
    </row>
    <row r="3242" spans="1:17" x14ac:dyDescent="0.25">
      <c r="A3242" s="10">
        <v>115</v>
      </c>
      <c r="B3242" s="10">
        <v>13</v>
      </c>
      <c r="C3242" s="10">
        <v>1</v>
      </c>
      <c r="D3242" s="10">
        <v>1</v>
      </c>
      <c r="E3242" s="10">
        <v>10</v>
      </c>
      <c r="F3242" s="10">
        <v>10</v>
      </c>
      <c r="L3242" s="1">
        <v>312</v>
      </c>
      <c r="M3242" s="1">
        <v>34</v>
      </c>
      <c r="N3242" s="1">
        <v>1</v>
      </c>
      <c r="O3242" s="1">
        <v>1</v>
      </c>
      <c r="P3242" s="2">
        <v>1</v>
      </c>
      <c r="Q3242" s="68">
        <v>6</v>
      </c>
    </row>
    <row r="3243" spans="1:17" x14ac:dyDescent="0.25">
      <c r="A3243" s="10">
        <v>115</v>
      </c>
      <c r="B3243" s="10">
        <v>13</v>
      </c>
      <c r="C3243" s="10">
        <v>1</v>
      </c>
      <c r="D3243" s="10">
        <v>2</v>
      </c>
      <c r="E3243" s="10">
        <v>8</v>
      </c>
      <c r="F3243" s="10">
        <v>8</v>
      </c>
      <c r="L3243" s="1">
        <v>313</v>
      </c>
      <c r="M3243" s="1">
        <v>34</v>
      </c>
      <c r="N3243" s="1">
        <v>1</v>
      </c>
      <c r="O3243" s="1">
        <v>1</v>
      </c>
      <c r="P3243" s="2">
        <v>1</v>
      </c>
      <c r="Q3243" s="67">
        <v>12</v>
      </c>
    </row>
    <row r="3244" spans="1:17" x14ac:dyDescent="0.25">
      <c r="A3244" s="10">
        <v>115</v>
      </c>
      <c r="B3244" s="10">
        <v>13</v>
      </c>
      <c r="C3244" s="10">
        <v>1</v>
      </c>
      <c r="D3244" s="10">
        <v>5</v>
      </c>
      <c r="E3244" s="10">
        <v>6</v>
      </c>
      <c r="F3244" s="10">
        <v>6</v>
      </c>
      <c r="L3244" s="1">
        <v>314</v>
      </c>
      <c r="M3244" s="1">
        <v>34</v>
      </c>
      <c r="N3244" s="1">
        <v>1</v>
      </c>
      <c r="O3244" s="1">
        <v>1</v>
      </c>
      <c r="P3244" s="2">
        <v>1</v>
      </c>
      <c r="Q3244" s="68">
        <v>6</v>
      </c>
    </row>
    <row r="3245" spans="1:17" x14ac:dyDescent="0.25">
      <c r="A3245" s="10">
        <v>115</v>
      </c>
      <c r="B3245" s="10">
        <v>13</v>
      </c>
      <c r="C3245" s="10">
        <v>1</v>
      </c>
      <c r="D3245" s="10">
        <v>7</v>
      </c>
      <c r="E3245" s="10">
        <v>4</v>
      </c>
      <c r="F3245" s="10">
        <v>4</v>
      </c>
      <c r="L3245" s="1">
        <v>315</v>
      </c>
      <c r="M3245" s="1">
        <v>34</v>
      </c>
      <c r="N3245" s="1">
        <v>1</v>
      </c>
      <c r="O3245" s="1">
        <v>1</v>
      </c>
      <c r="P3245" s="2">
        <v>1</v>
      </c>
      <c r="Q3245" s="67">
        <v>9</v>
      </c>
    </row>
    <row r="3246" spans="1:17" x14ac:dyDescent="0.25">
      <c r="A3246" s="10">
        <v>115</v>
      </c>
      <c r="B3246" s="10">
        <v>13</v>
      </c>
      <c r="C3246" s="10">
        <v>2</v>
      </c>
      <c r="D3246" s="10">
        <v>1</v>
      </c>
      <c r="E3246" s="10">
        <v>20</v>
      </c>
      <c r="F3246" s="10">
        <v>20</v>
      </c>
      <c r="L3246" s="1">
        <v>316</v>
      </c>
      <c r="M3246" s="1">
        <v>34</v>
      </c>
      <c r="N3246" s="1">
        <v>1</v>
      </c>
      <c r="O3246" s="1">
        <v>1</v>
      </c>
      <c r="P3246" s="2">
        <v>1</v>
      </c>
      <c r="Q3246" s="68">
        <v>3</v>
      </c>
    </row>
    <row r="3247" spans="1:17" x14ac:dyDescent="0.25">
      <c r="A3247" s="10">
        <v>115</v>
      </c>
      <c r="B3247" s="10">
        <v>13</v>
      </c>
      <c r="C3247" s="10">
        <v>2</v>
      </c>
      <c r="D3247" s="10">
        <v>2</v>
      </c>
      <c r="E3247" s="10">
        <v>15</v>
      </c>
      <c r="F3247" s="10">
        <v>15</v>
      </c>
      <c r="L3247" s="1">
        <v>317</v>
      </c>
      <c r="M3247" s="1">
        <v>34</v>
      </c>
      <c r="N3247" s="1">
        <v>1</v>
      </c>
      <c r="O3247" s="1">
        <v>1</v>
      </c>
      <c r="P3247" s="2">
        <v>1</v>
      </c>
      <c r="Q3247" s="67">
        <v>4</v>
      </c>
    </row>
    <row r="3248" spans="1:17" x14ac:dyDescent="0.25">
      <c r="A3248" s="10">
        <v>249</v>
      </c>
      <c r="B3248" s="10">
        <v>27</v>
      </c>
      <c r="C3248" s="10">
        <v>6</v>
      </c>
      <c r="D3248" s="10">
        <v>1</v>
      </c>
      <c r="E3248" s="10">
        <v>24</v>
      </c>
      <c r="F3248" s="10">
        <v>24</v>
      </c>
      <c r="L3248" s="1">
        <v>318</v>
      </c>
      <c r="M3248" s="1">
        <v>34</v>
      </c>
      <c r="N3248" s="1">
        <v>1</v>
      </c>
      <c r="O3248" s="1">
        <v>1</v>
      </c>
      <c r="P3248" s="2">
        <v>1</v>
      </c>
      <c r="Q3248" s="68">
        <v>2</v>
      </c>
    </row>
    <row r="3249" spans="1:17" x14ac:dyDescent="0.25">
      <c r="A3249" s="10">
        <v>249</v>
      </c>
      <c r="B3249" s="10">
        <v>27</v>
      </c>
      <c r="C3249" s="10">
        <v>6</v>
      </c>
      <c r="D3249" s="10">
        <v>2</v>
      </c>
      <c r="E3249" s="10">
        <v>9</v>
      </c>
      <c r="F3249" s="10">
        <v>9</v>
      </c>
      <c r="L3249" s="1">
        <v>319</v>
      </c>
      <c r="M3249" s="1">
        <v>34</v>
      </c>
      <c r="N3249" s="1">
        <v>1</v>
      </c>
      <c r="O3249" s="1">
        <v>1</v>
      </c>
      <c r="P3249" s="2">
        <v>1</v>
      </c>
      <c r="Q3249" s="67">
        <v>1</v>
      </c>
    </row>
    <row r="3250" spans="1:17" x14ac:dyDescent="0.25">
      <c r="A3250" s="10">
        <v>156</v>
      </c>
      <c r="B3250" s="10">
        <v>17</v>
      </c>
      <c r="C3250" s="10">
        <v>6</v>
      </c>
      <c r="D3250" s="10">
        <v>1</v>
      </c>
      <c r="E3250" s="10">
        <v>35</v>
      </c>
      <c r="F3250" s="10">
        <v>35</v>
      </c>
      <c r="L3250" s="1">
        <v>320</v>
      </c>
      <c r="M3250" s="1">
        <v>34</v>
      </c>
      <c r="N3250" s="1">
        <v>1</v>
      </c>
      <c r="O3250" s="1">
        <v>1</v>
      </c>
      <c r="P3250" s="2">
        <v>1</v>
      </c>
      <c r="Q3250" s="68">
        <v>4</v>
      </c>
    </row>
    <row r="3251" spans="1:17" x14ac:dyDescent="0.25">
      <c r="A3251" s="10">
        <v>156</v>
      </c>
      <c r="B3251" s="10">
        <v>17</v>
      </c>
      <c r="C3251" s="10">
        <v>6</v>
      </c>
      <c r="D3251" s="10">
        <v>2</v>
      </c>
      <c r="E3251" s="10">
        <v>1</v>
      </c>
      <c r="F3251" s="10">
        <v>1</v>
      </c>
      <c r="L3251" s="1">
        <v>321</v>
      </c>
      <c r="M3251" s="1">
        <v>35</v>
      </c>
      <c r="N3251" s="1">
        <v>1</v>
      </c>
      <c r="O3251" s="1">
        <v>1</v>
      </c>
      <c r="P3251" s="2">
        <v>1</v>
      </c>
      <c r="Q3251" s="67">
        <v>15</v>
      </c>
    </row>
    <row r="3252" spans="1:17" x14ac:dyDescent="0.25">
      <c r="A3252" s="10">
        <v>249</v>
      </c>
      <c r="B3252" s="10">
        <v>27</v>
      </c>
      <c r="C3252" s="10">
        <v>6</v>
      </c>
      <c r="D3252" s="10">
        <v>6</v>
      </c>
      <c r="E3252" s="10">
        <v>1</v>
      </c>
      <c r="F3252" s="10">
        <v>1</v>
      </c>
      <c r="L3252" s="1">
        <v>322</v>
      </c>
      <c r="M3252" s="1">
        <v>35</v>
      </c>
      <c r="N3252" s="1">
        <v>1</v>
      </c>
      <c r="O3252" s="1">
        <v>1</v>
      </c>
      <c r="P3252" s="2">
        <v>1</v>
      </c>
      <c r="Q3252" s="68">
        <v>19</v>
      </c>
    </row>
    <row r="3253" spans="1:17" x14ac:dyDescent="0.25">
      <c r="A3253" s="10">
        <v>41</v>
      </c>
      <c r="B3253" s="10">
        <v>5</v>
      </c>
      <c r="C3253" s="10">
        <v>6</v>
      </c>
      <c r="D3253" s="10">
        <v>2</v>
      </c>
      <c r="E3253" s="10">
        <v>12</v>
      </c>
      <c r="F3253" s="10">
        <v>12</v>
      </c>
      <c r="L3253" s="1">
        <v>323</v>
      </c>
      <c r="M3253" s="1">
        <v>35</v>
      </c>
      <c r="N3253" s="1">
        <v>1</v>
      </c>
      <c r="O3253" s="1">
        <v>1</v>
      </c>
      <c r="P3253" s="2">
        <v>1</v>
      </c>
      <c r="Q3253" s="67">
        <v>17</v>
      </c>
    </row>
    <row r="3254" spans="1:17" x14ac:dyDescent="0.25">
      <c r="A3254" s="10">
        <v>156</v>
      </c>
      <c r="B3254" s="10">
        <v>17</v>
      </c>
      <c r="C3254" s="10">
        <v>6</v>
      </c>
      <c r="D3254" s="10">
        <v>3</v>
      </c>
      <c r="E3254" s="10">
        <v>7</v>
      </c>
      <c r="F3254" s="10">
        <v>7</v>
      </c>
      <c r="L3254" s="1">
        <v>324</v>
      </c>
      <c r="M3254" s="1">
        <v>35</v>
      </c>
      <c r="N3254" s="1">
        <v>1</v>
      </c>
      <c r="O3254" s="1">
        <v>1</v>
      </c>
      <c r="P3254" s="2">
        <v>1</v>
      </c>
      <c r="Q3254" s="68">
        <v>10</v>
      </c>
    </row>
    <row r="3255" spans="1:17" x14ac:dyDescent="0.25">
      <c r="A3255" s="10">
        <v>156</v>
      </c>
      <c r="B3255" s="10">
        <v>17</v>
      </c>
      <c r="C3255" s="10">
        <v>6</v>
      </c>
      <c r="D3255" s="10">
        <v>4</v>
      </c>
      <c r="E3255" s="10">
        <v>5</v>
      </c>
      <c r="F3255" s="10">
        <v>5</v>
      </c>
      <c r="L3255" s="1">
        <v>325</v>
      </c>
      <c r="M3255" s="1">
        <v>35</v>
      </c>
      <c r="N3255" s="1">
        <v>1</v>
      </c>
      <c r="O3255" s="1">
        <v>1</v>
      </c>
      <c r="P3255" s="2">
        <v>1</v>
      </c>
      <c r="Q3255" s="67">
        <v>14</v>
      </c>
    </row>
    <row r="3256" spans="1:17" x14ac:dyDescent="0.25">
      <c r="A3256" s="10">
        <v>247</v>
      </c>
      <c r="B3256" s="10">
        <v>27</v>
      </c>
      <c r="C3256" s="10">
        <v>6</v>
      </c>
      <c r="D3256" s="10">
        <v>1</v>
      </c>
      <c r="E3256" s="10">
        <v>2</v>
      </c>
      <c r="F3256" s="10">
        <v>2</v>
      </c>
      <c r="L3256" s="1">
        <v>326</v>
      </c>
      <c r="M3256" s="1">
        <v>35</v>
      </c>
      <c r="N3256" s="1">
        <v>1</v>
      </c>
      <c r="O3256" s="1">
        <v>1</v>
      </c>
      <c r="P3256" s="2">
        <v>1</v>
      </c>
      <c r="Q3256" s="68">
        <v>8</v>
      </c>
    </row>
    <row r="3257" spans="1:17" x14ac:dyDescent="0.25">
      <c r="A3257" s="10">
        <v>156</v>
      </c>
      <c r="B3257" s="10">
        <v>17</v>
      </c>
      <c r="C3257" s="10">
        <v>6</v>
      </c>
      <c r="D3257" s="10">
        <v>7</v>
      </c>
      <c r="E3257" s="10">
        <v>5</v>
      </c>
      <c r="F3257" s="10">
        <v>5</v>
      </c>
      <c r="L3257" s="1">
        <v>327</v>
      </c>
      <c r="M3257" s="1">
        <v>35</v>
      </c>
      <c r="N3257" s="1">
        <v>1</v>
      </c>
      <c r="O3257" s="1">
        <v>1</v>
      </c>
      <c r="P3257" s="2">
        <v>1</v>
      </c>
      <c r="Q3257" s="67">
        <v>14</v>
      </c>
    </row>
    <row r="3258" spans="1:17" x14ac:dyDescent="0.25">
      <c r="A3258" s="10">
        <v>201</v>
      </c>
      <c r="B3258" s="10">
        <v>22</v>
      </c>
      <c r="C3258" s="10">
        <v>6</v>
      </c>
      <c r="D3258" s="10">
        <v>1</v>
      </c>
      <c r="E3258" s="10">
        <v>15</v>
      </c>
      <c r="F3258" s="10">
        <v>15</v>
      </c>
      <c r="L3258" s="1">
        <v>328</v>
      </c>
      <c r="M3258" s="1">
        <v>35</v>
      </c>
      <c r="N3258" s="1">
        <v>1</v>
      </c>
      <c r="O3258" s="1">
        <v>1</v>
      </c>
      <c r="P3258" s="2">
        <v>1</v>
      </c>
      <c r="Q3258" s="68">
        <v>10</v>
      </c>
    </row>
    <row r="3259" spans="1:17" x14ac:dyDescent="0.25">
      <c r="A3259" s="10">
        <v>156</v>
      </c>
      <c r="B3259" s="10">
        <v>17</v>
      </c>
      <c r="C3259" s="10">
        <v>6</v>
      </c>
      <c r="D3259" s="10">
        <v>8</v>
      </c>
      <c r="E3259" s="10">
        <v>8</v>
      </c>
      <c r="F3259" s="10">
        <v>8</v>
      </c>
      <c r="L3259" s="1">
        <v>329</v>
      </c>
      <c r="M3259" s="1">
        <v>35</v>
      </c>
      <c r="N3259" s="1">
        <v>1</v>
      </c>
      <c r="O3259" s="1">
        <v>1</v>
      </c>
      <c r="P3259" s="2">
        <v>1</v>
      </c>
      <c r="Q3259" s="67">
        <v>16</v>
      </c>
    </row>
    <row r="3260" spans="1:17" x14ac:dyDescent="0.25">
      <c r="A3260" s="10">
        <v>201</v>
      </c>
      <c r="B3260" s="10">
        <v>22</v>
      </c>
      <c r="C3260" s="10">
        <v>6</v>
      </c>
      <c r="D3260" s="10">
        <v>2</v>
      </c>
      <c r="E3260" s="10">
        <v>2</v>
      </c>
      <c r="F3260" s="10">
        <v>2</v>
      </c>
      <c r="L3260" s="1">
        <v>330</v>
      </c>
      <c r="M3260" s="1">
        <v>35</v>
      </c>
      <c r="N3260" s="1">
        <v>1</v>
      </c>
      <c r="O3260" s="1">
        <v>1</v>
      </c>
      <c r="P3260" s="2">
        <v>1</v>
      </c>
      <c r="Q3260" s="68">
        <v>18</v>
      </c>
    </row>
    <row r="3261" spans="1:17" x14ac:dyDescent="0.25">
      <c r="A3261" s="10">
        <v>201</v>
      </c>
      <c r="B3261" s="10">
        <v>22</v>
      </c>
      <c r="C3261" s="10">
        <v>6</v>
      </c>
      <c r="D3261" s="10">
        <v>3</v>
      </c>
      <c r="E3261" s="10">
        <v>1</v>
      </c>
      <c r="F3261" s="10">
        <v>1</v>
      </c>
      <c r="L3261" s="1">
        <v>331</v>
      </c>
      <c r="M3261" s="1">
        <v>36</v>
      </c>
      <c r="N3261" s="1">
        <v>1</v>
      </c>
      <c r="O3261" s="1">
        <v>1</v>
      </c>
      <c r="P3261" s="2">
        <v>1</v>
      </c>
      <c r="Q3261" s="67">
        <v>14</v>
      </c>
    </row>
    <row r="3262" spans="1:17" x14ac:dyDescent="0.25">
      <c r="A3262" s="10">
        <v>115</v>
      </c>
      <c r="B3262" s="10">
        <v>13</v>
      </c>
      <c r="C3262" s="10">
        <v>2</v>
      </c>
      <c r="D3262" s="10">
        <v>5</v>
      </c>
      <c r="E3262" s="10">
        <v>4</v>
      </c>
      <c r="F3262" s="10">
        <v>4</v>
      </c>
      <c r="L3262" s="1">
        <v>332</v>
      </c>
      <c r="M3262" s="1">
        <v>36</v>
      </c>
      <c r="N3262" s="1">
        <v>1</v>
      </c>
      <c r="O3262" s="1">
        <v>1</v>
      </c>
      <c r="P3262" s="2">
        <v>1</v>
      </c>
      <c r="Q3262" s="68">
        <v>5</v>
      </c>
    </row>
    <row r="3263" spans="1:17" x14ac:dyDescent="0.25">
      <c r="A3263" s="10">
        <v>115</v>
      </c>
      <c r="B3263" s="10">
        <v>13</v>
      </c>
      <c r="C3263" s="10">
        <v>2</v>
      </c>
      <c r="D3263" s="10">
        <v>7</v>
      </c>
      <c r="E3263" s="10">
        <v>4</v>
      </c>
      <c r="F3263" s="10">
        <v>4</v>
      </c>
      <c r="L3263" s="1">
        <v>333</v>
      </c>
      <c r="M3263" s="1">
        <v>36</v>
      </c>
      <c r="N3263" s="1">
        <v>1</v>
      </c>
      <c r="O3263" s="1">
        <v>1</v>
      </c>
      <c r="P3263" s="2">
        <v>1</v>
      </c>
      <c r="Q3263" s="67">
        <v>19</v>
      </c>
    </row>
    <row r="3264" spans="1:17" x14ac:dyDescent="0.25">
      <c r="A3264" s="10">
        <v>115</v>
      </c>
      <c r="B3264" s="10">
        <v>13</v>
      </c>
      <c r="C3264" s="10">
        <v>5</v>
      </c>
      <c r="D3264" s="10">
        <v>1</v>
      </c>
      <c r="E3264" s="10">
        <v>20</v>
      </c>
      <c r="F3264" s="10">
        <v>20</v>
      </c>
      <c r="L3264" s="1">
        <v>334</v>
      </c>
      <c r="M3264" s="1">
        <v>36</v>
      </c>
      <c r="N3264" s="1">
        <v>1</v>
      </c>
      <c r="O3264" s="1">
        <v>1</v>
      </c>
      <c r="P3264" s="2">
        <v>1</v>
      </c>
      <c r="Q3264" s="68">
        <v>13</v>
      </c>
    </row>
    <row r="3265" spans="1:17" x14ac:dyDescent="0.25">
      <c r="A3265" s="10">
        <v>264</v>
      </c>
      <c r="B3265" s="10">
        <v>29</v>
      </c>
      <c r="C3265" s="10">
        <v>6</v>
      </c>
      <c r="D3265" s="10">
        <v>2</v>
      </c>
      <c r="E3265" s="10">
        <v>12</v>
      </c>
      <c r="F3265" s="10">
        <v>12</v>
      </c>
      <c r="L3265" s="1">
        <v>335</v>
      </c>
      <c r="M3265" s="1">
        <v>36</v>
      </c>
      <c r="N3265" s="1">
        <v>1</v>
      </c>
      <c r="O3265" s="1">
        <v>1</v>
      </c>
      <c r="P3265" s="2">
        <v>1</v>
      </c>
      <c r="Q3265" s="67">
        <v>5</v>
      </c>
    </row>
    <row r="3266" spans="1:17" x14ac:dyDescent="0.25">
      <c r="A3266" s="10">
        <v>115</v>
      </c>
      <c r="B3266" s="10">
        <v>13</v>
      </c>
      <c r="C3266" s="10">
        <v>5</v>
      </c>
      <c r="D3266" s="10">
        <v>2</v>
      </c>
      <c r="E3266" s="10">
        <v>17</v>
      </c>
      <c r="F3266" s="10">
        <v>17</v>
      </c>
      <c r="L3266" s="1">
        <v>336</v>
      </c>
      <c r="M3266" s="1">
        <v>36</v>
      </c>
      <c r="N3266" s="1">
        <v>1</v>
      </c>
      <c r="O3266" s="1">
        <v>1</v>
      </c>
      <c r="P3266" s="2">
        <v>1</v>
      </c>
      <c r="Q3266" s="68">
        <v>6</v>
      </c>
    </row>
    <row r="3267" spans="1:17" x14ac:dyDescent="0.25">
      <c r="A3267" s="10">
        <v>115</v>
      </c>
      <c r="B3267" s="10">
        <v>13</v>
      </c>
      <c r="C3267" s="10">
        <v>5</v>
      </c>
      <c r="D3267" s="10">
        <v>5</v>
      </c>
      <c r="E3267" s="10">
        <v>1</v>
      </c>
      <c r="F3267" s="10">
        <v>1</v>
      </c>
      <c r="L3267" s="1">
        <v>337</v>
      </c>
      <c r="M3267" s="1">
        <v>36</v>
      </c>
      <c r="N3267" s="1">
        <v>1</v>
      </c>
      <c r="O3267" s="1">
        <v>1</v>
      </c>
      <c r="P3267" s="2">
        <v>1</v>
      </c>
      <c r="Q3267" s="67">
        <v>5</v>
      </c>
    </row>
    <row r="3268" spans="1:17" x14ac:dyDescent="0.25">
      <c r="A3268" s="10">
        <v>115</v>
      </c>
      <c r="B3268" s="10">
        <v>13</v>
      </c>
      <c r="C3268" s="10">
        <v>5</v>
      </c>
      <c r="D3268" s="10">
        <v>6</v>
      </c>
      <c r="E3268" s="10">
        <v>1</v>
      </c>
      <c r="F3268" s="10">
        <v>1</v>
      </c>
      <c r="L3268" s="1">
        <v>338</v>
      </c>
      <c r="M3268" s="1">
        <v>36</v>
      </c>
      <c r="N3268" s="1">
        <v>1</v>
      </c>
      <c r="O3268" s="1">
        <v>1</v>
      </c>
      <c r="P3268" s="2">
        <v>1</v>
      </c>
      <c r="Q3268" s="68">
        <v>3</v>
      </c>
    </row>
    <row r="3269" spans="1:17" x14ac:dyDescent="0.25">
      <c r="A3269" s="10">
        <v>386</v>
      </c>
      <c r="B3269" s="10">
        <v>42</v>
      </c>
      <c r="C3269" s="10">
        <v>5</v>
      </c>
      <c r="D3269" s="10">
        <v>1</v>
      </c>
      <c r="E3269" s="10">
        <v>6</v>
      </c>
      <c r="F3269" s="10">
        <v>6</v>
      </c>
      <c r="L3269" s="1">
        <v>339</v>
      </c>
      <c r="M3269" s="1">
        <v>37</v>
      </c>
      <c r="N3269" s="1">
        <v>1</v>
      </c>
      <c r="O3269" s="1">
        <v>1</v>
      </c>
      <c r="P3269" s="2">
        <v>1</v>
      </c>
      <c r="Q3269" s="67">
        <v>6</v>
      </c>
    </row>
    <row r="3270" spans="1:17" x14ac:dyDescent="0.25">
      <c r="A3270" s="10">
        <v>41</v>
      </c>
      <c r="B3270" s="10">
        <v>5</v>
      </c>
      <c r="C3270" s="10">
        <v>6</v>
      </c>
      <c r="D3270" s="10">
        <v>1</v>
      </c>
      <c r="E3270" s="10">
        <v>10</v>
      </c>
      <c r="F3270" s="10">
        <v>10</v>
      </c>
      <c r="L3270" s="1">
        <v>340</v>
      </c>
      <c r="M3270" s="1">
        <v>37</v>
      </c>
      <c r="N3270" s="1">
        <v>1</v>
      </c>
      <c r="O3270" s="1">
        <v>1</v>
      </c>
      <c r="P3270" s="2">
        <v>1</v>
      </c>
      <c r="Q3270" s="68">
        <v>3</v>
      </c>
    </row>
    <row r="3271" spans="1:17" x14ac:dyDescent="0.25">
      <c r="A3271" s="10">
        <v>247</v>
      </c>
      <c r="B3271" s="10">
        <v>27</v>
      </c>
      <c r="C3271" s="10">
        <v>6</v>
      </c>
      <c r="D3271" s="10">
        <v>2</v>
      </c>
      <c r="E3271" s="10">
        <v>5</v>
      </c>
      <c r="F3271" s="10">
        <v>5</v>
      </c>
      <c r="L3271" s="1">
        <v>341</v>
      </c>
      <c r="M3271" s="1">
        <v>37</v>
      </c>
      <c r="N3271" s="1">
        <v>1</v>
      </c>
      <c r="O3271" s="1">
        <v>1</v>
      </c>
      <c r="P3271" s="2">
        <v>1</v>
      </c>
      <c r="Q3271" s="67">
        <v>5</v>
      </c>
    </row>
    <row r="3272" spans="1:17" x14ac:dyDescent="0.25">
      <c r="A3272" s="10">
        <v>247</v>
      </c>
      <c r="B3272" s="10">
        <v>27</v>
      </c>
      <c r="C3272" s="10">
        <v>6</v>
      </c>
      <c r="D3272" s="10">
        <v>6</v>
      </c>
      <c r="E3272" s="10">
        <v>3</v>
      </c>
      <c r="F3272" s="10">
        <v>3</v>
      </c>
      <c r="L3272" s="1">
        <v>342</v>
      </c>
      <c r="M3272" s="1">
        <v>37</v>
      </c>
      <c r="N3272" s="1">
        <v>1</v>
      </c>
      <c r="O3272" s="1">
        <v>1</v>
      </c>
      <c r="P3272" s="2">
        <v>1</v>
      </c>
      <c r="Q3272" s="68">
        <v>3</v>
      </c>
    </row>
    <row r="3273" spans="1:17" x14ac:dyDescent="0.25">
      <c r="A3273" s="10">
        <v>264</v>
      </c>
      <c r="B3273" s="10">
        <v>29</v>
      </c>
      <c r="C3273" s="10">
        <v>6</v>
      </c>
      <c r="D3273" s="10">
        <v>1</v>
      </c>
      <c r="E3273" s="10">
        <v>11</v>
      </c>
      <c r="F3273" s="10">
        <v>11</v>
      </c>
      <c r="L3273" s="1">
        <v>343</v>
      </c>
      <c r="M3273" s="1">
        <v>37</v>
      </c>
      <c r="N3273" s="1">
        <v>1</v>
      </c>
      <c r="O3273" s="1">
        <v>1</v>
      </c>
      <c r="P3273" s="2">
        <v>1</v>
      </c>
      <c r="Q3273" s="67">
        <v>9</v>
      </c>
    </row>
    <row r="3274" spans="1:17" x14ac:dyDescent="0.25">
      <c r="A3274" s="10">
        <v>115</v>
      </c>
      <c r="B3274" s="10">
        <v>13</v>
      </c>
      <c r="C3274" s="10">
        <v>3</v>
      </c>
      <c r="D3274" s="10">
        <v>7</v>
      </c>
      <c r="E3274" s="10">
        <v>5</v>
      </c>
      <c r="F3274" s="10">
        <v>5</v>
      </c>
      <c r="L3274" s="1">
        <v>344</v>
      </c>
      <c r="M3274" s="1">
        <v>37</v>
      </c>
      <c r="N3274" s="1">
        <v>1</v>
      </c>
      <c r="O3274" s="1">
        <v>1</v>
      </c>
      <c r="P3274" s="2">
        <v>1</v>
      </c>
      <c r="Q3274" s="68">
        <v>3</v>
      </c>
    </row>
    <row r="3275" spans="1:17" x14ac:dyDescent="0.25">
      <c r="A3275" s="10">
        <v>43</v>
      </c>
      <c r="B3275" s="10">
        <v>5</v>
      </c>
      <c r="C3275" s="10">
        <v>6</v>
      </c>
      <c r="D3275" s="10">
        <v>2</v>
      </c>
      <c r="E3275" s="10">
        <v>3</v>
      </c>
      <c r="F3275" s="10">
        <v>3</v>
      </c>
      <c r="L3275" s="1">
        <v>345</v>
      </c>
      <c r="M3275" s="1">
        <v>37</v>
      </c>
      <c r="N3275" s="1">
        <v>1</v>
      </c>
      <c r="O3275" s="1">
        <v>1</v>
      </c>
      <c r="P3275" s="2">
        <v>1</v>
      </c>
      <c r="Q3275" s="67">
        <v>11</v>
      </c>
    </row>
    <row r="3276" spans="1:17" x14ac:dyDescent="0.25">
      <c r="A3276" s="10">
        <v>205</v>
      </c>
      <c r="B3276" s="10">
        <v>22</v>
      </c>
      <c r="C3276" s="10">
        <v>6</v>
      </c>
      <c r="D3276" s="10">
        <v>5</v>
      </c>
      <c r="E3276" s="10">
        <v>3</v>
      </c>
      <c r="F3276" s="10">
        <v>3</v>
      </c>
      <c r="L3276" s="1">
        <v>346</v>
      </c>
      <c r="M3276" s="1">
        <v>37</v>
      </c>
      <c r="N3276" s="1">
        <v>1</v>
      </c>
      <c r="O3276" s="1">
        <v>1</v>
      </c>
      <c r="P3276" s="2">
        <v>1</v>
      </c>
      <c r="Q3276" s="68">
        <v>12</v>
      </c>
    </row>
    <row r="3277" spans="1:17" x14ac:dyDescent="0.25">
      <c r="A3277" s="10">
        <v>251</v>
      </c>
      <c r="B3277" s="10">
        <v>27</v>
      </c>
      <c r="C3277" s="10">
        <v>6</v>
      </c>
      <c r="D3277" s="10">
        <v>1</v>
      </c>
      <c r="E3277" s="10">
        <v>3</v>
      </c>
      <c r="F3277" s="10">
        <v>3</v>
      </c>
      <c r="L3277" s="1">
        <v>347</v>
      </c>
      <c r="M3277" s="1">
        <v>38</v>
      </c>
      <c r="N3277" s="1">
        <v>1</v>
      </c>
      <c r="O3277" s="1">
        <v>1</v>
      </c>
      <c r="P3277" s="2">
        <v>1</v>
      </c>
      <c r="Q3277" s="67">
        <v>10</v>
      </c>
    </row>
    <row r="3278" spans="1:17" x14ac:dyDescent="0.25">
      <c r="A3278" s="10">
        <v>273</v>
      </c>
      <c r="B3278" s="10">
        <v>30</v>
      </c>
      <c r="C3278" s="10">
        <v>6</v>
      </c>
      <c r="D3278" s="10">
        <v>2</v>
      </c>
      <c r="E3278" s="10">
        <v>28</v>
      </c>
      <c r="F3278" s="10">
        <v>28</v>
      </c>
      <c r="L3278" s="1">
        <v>348</v>
      </c>
      <c r="M3278" s="1">
        <v>38</v>
      </c>
      <c r="N3278" s="1">
        <v>1</v>
      </c>
      <c r="O3278" s="1">
        <v>1</v>
      </c>
      <c r="P3278" s="2">
        <v>1</v>
      </c>
      <c r="Q3278" s="68">
        <v>10</v>
      </c>
    </row>
    <row r="3279" spans="1:17" x14ac:dyDescent="0.25">
      <c r="A3279" s="10">
        <v>153</v>
      </c>
      <c r="B3279" s="10">
        <v>17</v>
      </c>
      <c r="C3279" s="10">
        <v>6</v>
      </c>
      <c r="D3279" s="10">
        <v>3</v>
      </c>
      <c r="E3279" s="10">
        <v>7</v>
      </c>
      <c r="F3279" s="10">
        <v>7</v>
      </c>
      <c r="L3279" s="1">
        <v>349</v>
      </c>
      <c r="M3279" s="1">
        <v>38</v>
      </c>
      <c r="N3279" s="1">
        <v>1</v>
      </c>
      <c r="O3279" s="1">
        <v>1</v>
      </c>
      <c r="P3279" s="2">
        <v>1</v>
      </c>
      <c r="Q3279" s="67">
        <v>10</v>
      </c>
    </row>
    <row r="3280" spans="1:17" x14ac:dyDescent="0.25">
      <c r="A3280" s="10">
        <v>202</v>
      </c>
      <c r="B3280" s="10">
        <v>22</v>
      </c>
      <c r="C3280" s="10">
        <v>6</v>
      </c>
      <c r="D3280" s="10">
        <v>2</v>
      </c>
      <c r="E3280" s="10">
        <v>9</v>
      </c>
      <c r="F3280" s="10">
        <v>9</v>
      </c>
      <c r="L3280" s="1">
        <v>350</v>
      </c>
      <c r="M3280" s="1">
        <v>38</v>
      </c>
      <c r="N3280" s="1">
        <v>1</v>
      </c>
      <c r="O3280" s="1">
        <v>1</v>
      </c>
      <c r="P3280" s="2">
        <v>1</v>
      </c>
      <c r="Q3280" s="68">
        <v>15</v>
      </c>
    </row>
    <row r="3281" spans="1:17" x14ac:dyDescent="0.25">
      <c r="A3281" s="10">
        <v>206</v>
      </c>
      <c r="B3281" s="10">
        <v>22</v>
      </c>
      <c r="C3281" s="10">
        <v>6</v>
      </c>
      <c r="D3281" s="10">
        <v>2</v>
      </c>
      <c r="E3281" s="10">
        <v>11</v>
      </c>
      <c r="F3281" s="10">
        <v>11</v>
      </c>
      <c r="L3281" s="1">
        <v>351</v>
      </c>
      <c r="M3281" s="1">
        <v>38</v>
      </c>
      <c r="N3281" s="1">
        <v>1</v>
      </c>
      <c r="O3281" s="1">
        <v>1</v>
      </c>
      <c r="P3281" s="2">
        <v>1</v>
      </c>
      <c r="Q3281" s="67">
        <v>13</v>
      </c>
    </row>
    <row r="3282" spans="1:17" x14ac:dyDescent="0.25">
      <c r="A3282" s="10">
        <v>11</v>
      </c>
      <c r="B3282" s="10">
        <v>2</v>
      </c>
      <c r="C3282" s="10">
        <v>6</v>
      </c>
      <c r="D3282" s="10">
        <v>2</v>
      </c>
      <c r="E3282" s="10">
        <v>12</v>
      </c>
      <c r="F3282" s="10">
        <v>12</v>
      </c>
      <c r="L3282" s="1">
        <v>352</v>
      </c>
      <c r="M3282" s="1">
        <v>38</v>
      </c>
      <c r="N3282" s="1">
        <v>1</v>
      </c>
      <c r="O3282" s="1">
        <v>1</v>
      </c>
      <c r="P3282" s="2">
        <v>1</v>
      </c>
      <c r="Q3282" s="68">
        <v>11</v>
      </c>
    </row>
    <row r="3283" spans="1:17" x14ac:dyDescent="0.25">
      <c r="A3283" s="10">
        <v>38</v>
      </c>
      <c r="B3283" s="10">
        <v>5</v>
      </c>
      <c r="C3283" s="10">
        <v>6</v>
      </c>
      <c r="D3283" s="10">
        <v>2</v>
      </c>
      <c r="E3283" s="10">
        <v>11</v>
      </c>
      <c r="F3283" s="10">
        <v>11</v>
      </c>
      <c r="L3283" s="1">
        <v>353</v>
      </c>
      <c r="M3283" s="1">
        <v>38</v>
      </c>
      <c r="N3283" s="1">
        <v>1</v>
      </c>
      <c r="O3283" s="1">
        <v>1</v>
      </c>
      <c r="P3283" s="2">
        <v>1</v>
      </c>
      <c r="Q3283" s="67">
        <v>10</v>
      </c>
    </row>
    <row r="3284" spans="1:17" x14ac:dyDescent="0.25">
      <c r="A3284" s="10">
        <v>36</v>
      </c>
      <c r="B3284" s="10">
        <v>4</v>
      </c>
      <c r="C3284" s="10">
        <v>6</v>
      </c>
      <c r="D3284" s="10">
        <v>1</v>
      </c>
      <c r="E3284" s="10">
        <v>22</v>
      </c>
      <c r="F3284" s="10">
        <v>22</v>
      </c>
      <c r="L3284" s="1">
        <v>354</v>
      </c>
      <c r="M3284" s="1">
        <v>38</v>
      </c>
      <c r="N3284" s="1">
        <v>1</v>
      </c>
      <c r="O3284" s="1">
        <v>1</v>
      </c>
      <c r="P3284" s="2">
        <v>1</v>
      </c>
      <c r="Q3284" s="68">
        <v>16</v>
      </c>
    </row>
    <row r="3285" spans="1:17" x14ac:dyDescent="0.25">
      <c r="A3285" s="10">
        <v>271</v>
      </c>
      <c r="B3285" s="10">
        <v>30</v>
      </c>
      <c r="C3285" s="10">
        <v>6</v>
      </c>
      <c r="D3285" s="10">
        <v>1</v>
      </c>
      <c r="E3285" s="10">
        <v>13</v>
      </c>
      <c r="F3285" s="10">
        <v>13</v>
      </c>
      <c r="L3285" s="1">
        <v>355</v>
      </c>
      <c r="M3285" s="1">
        <v>38</v>
      </c>
      <c r="N3285" s="1">
        <v>1</v>
      </c>
      <c r="O3285" s="1">
        <v>1</v>
      </c>
      <c r="P3285" s="2">
        <v>1</v>
      </c>
      <c r="Q3285" s="67">
        <v>6</v>
      </c>
    </row>
    <row r="3286" spans="1:17" x14ac:dyDescent="0.25">
      <c r="A3286" s="10">
        <v>413</v>
      </c>
      <c r="B3286" s="10">
        <v>44</v>
      </c>
      <c r="C3286" s="10">
        <v>6</v>
      </c>
      <c r="D3286" s="10">
        <v>3</v>
      </c>
      <c r="E3286" s="10">
        <v>2</v>
      </c>
      <c r="F3286" s="10">
        <v>2</v>
      </c>
      <c r="L3286" s="1">
        <v>356</v>
      </c>
      <c r="M3286" s="1">
        <v>38</v>
      </c>
      <c r="N3286" s="1">
        <v>1</v>
      </c>
      <c r="O3286" s="1">
        <v>1</v>
      </c>
      <c r="P3286" s="2">
        <v>1</v>
      </c>
      <c r="Q3286" s="68">
        <v>6</v>
      </c>
    </row>
    <row r="3287" spans="1:17" x14ac:dyDescent="0.25">
      <c r="A3287" s="10">
        <v>413</v>
      </c>
      <c r="B3287" s="10">
        <v>44</v>
      </c>
      <c r="C3287" s="10">
        <v>6</v>
      </c>
      <c r="D3287" s="10">
        <v>4</v>
      </c>
      <c r="E3287" s="10">
        <v>2</v>
      </c>
      <c r="F3287" s="10">
        <v>2</v>
      </c>
      <c r="L3287" s="1">
        <v>357</v>
      </c>
      <c r="M3287" s="1">
        <v>39</v>
      </c>
      <c r="N3287" s="1">
        <v>1</v>
      </c>
      <c r="O3287" s="1">
        <v>1</v>
      </c>
      <c r="P3287" s="2">
        <v>1</v>
      </c>
      <c r="Q3287" s="67">
        <v>2</v>
      </c>
    </row>
    <row r="3288" spans="1:17" x14ac:dyDescent="0.25">
      <c r="A3288" s="10">
        <v>413</v>
      </c>
      <c r="B3288" s="10">
        <v>44</v>
      </c>
      <c r="C3288" s="10">
        <v>6</v>
      </c>
      <c r="D3288" s="10">
        <v>8</v>
      </c>
      <c r="E3288" s="10">
        <v>1</v>
      </c>
      <c r="F3288" s="10">
        <v>1</v>
      </c>
      <c r="L3288" s="1">
        <v>358</v>
      </c>
      <c r="M3288" s="1">
        <v>39</v>
      </c>
      <c r="N3288" s="1">
        <v>1</v>
      </c>
      <c r="O3288" s="1">
        <v>1</v>
      </c>
      <c r="P3288" s="2">
        <v>1</v>
      </c>
      <c r="Q3288" s="68">
        <v>6</v>
      </c>
    </row>
    <row r="3289" spans="1:17" x14ac:dyDescent="0.25">
      <c r="A3289" s="10">
        <v>334</v>
      </c>
      <c r="B3289" s="10">
        <v>36</v>
      </c>
      <c r="C3289" s="10">
        <v>5</v>
      </c>
      <c r="D3289" s="10">
        <v>1</v>
      </c>
      <c r="E3289" s="10">
        <v>4</v>
      </c>
      <c r="F3289" s="10">
        <v>4</v>
      </c>
      <c r="L3289" s="1">
        <v>359</v>
      </c>
      <c r="M3289" s="1">
        <v>39</v>
      </c>
      <c r="N3289" s="1">
        <v>1</v>
      </c>
      <c r="O3289" s="1">
        <v>1</v>
      </c>
      <c r="P3289" s="2">
        <v>1</v>
      </c>
      <c r="Q3289" s="67">
        <v>1</v>
      </c>
    </row>
    <row r="3290" spans="1:17" x14ac:dyDescent="0.25">
      <c r="A3290" s="10">
        <v>27</v>
      </c>
      <c r="B3290" s="10">
        <v>4</v>
      </c>
      <c r="C3290" s="10">
        <v>6</v>
      </c>
      <c r="D3290" s="10">
        <v>2</v>
      </c>
      <c r="E3290" s="10">
        <v>367</v>
      </c>
      <c r="F3290" s="10">
        <v>367</v>
      </c>
      <c r="L3290" s="1">
        <v>360</v>
      </c>
      <c r="M3290" s="1">
        <v>39</v>
      </c>
      <c r="N3290" s="1">
        <v>1</v>
      </c>
      <c r="O3290" s="1">
        <v>1</v>
      </c>
      <c r="P3290" s="2">
        <v>1</v>
      </c>
      <c r="Q3290" s="68">
        <v>2</v>
      </c>
    </row>
    <row r="3291" spans="1:17" x14ac:dyDescent="0.25">
      <c r="A3291" s="10">
        <v>53</v>
      </c>
      <c r="B3291" s="10">
        <v>6</v>
      </c>
      <c r="C3291" s="10">
        <v>3</v>
      </c>
      <c r="D3291" s="10">
        <v>2</v>
      </c>
      <c r="E3291" s="10">
        <v>20</v>
      </c>
      <c r="F3291" s="10">
        <v>20</v>
      </c>
      <c r="L3291" s="1">
        <v>361</v>
      </c>
      <c r="M3291" s="1">
        <v>39</v>
      </c>
      <c r="N3291" s="1">
        <v>1</v>
      </c>
      <c r="O3291" s="1">
        <v>1</v>
      </c>
      <c r="P3291" s="2">
        <v>1</v>
      </c>
      <c r="Q3291" s="67">
        <v>4</v>
      </c>
    </row>
    <row r="3292" spans="1:17" x14ac:dyDescent="0.25">
      <c r="A3292" s="10">
        <v>29</v>
      </c>
      <c r="B3292" s="10">
        <v>4</v>
      </c>
      <c r="C3292" s="10">
        <v>6</v>
      </c>
      <c r="D3292" s="10">
        <v>1</v>
      </c>
      <c r="E3292" s="10">
        <v>28</v>
      </c>
      <c r="F3292" s="10">
        <v>28</v>
      </c>
      <c r="L3292" s="1">
        <v>362</v>
      </c>
      <c r="M3292" s="1">
        <v>39</v>
      </c>
      <c r="N3292" s="1">
        <v>1</v>
      </c>
      <c r="O3292" s="1">
        <v>1</v>
      </c>
      <c r="P3292" s="2">
        <v>1</v>
      </c>
      <c r="Q3292" s="68">
        <v>12</v>
      </c>
    </row>
    <row r="3293" spans="1:17" x14ac:dyDescent="0.25">
      <c r="A3293" s="10">
        <v>334</v>
      </c>
      <c r="B3293" s="10">
        <v>36</v>
      </c>
      <c r="C3293" s="10">
        <v>5</v>
      </c>
      <c r="D3293" s="10">
        <v>2</v>
      </c>
      <c r="E3293" s="10">
        <v>13</v>
      </c>
      <c r="F3293" s="10">
        <v>13</v>
      </c>
      <c r="L3293" s="1">
        <v>363</v>
      </c>
      <c r="M3293" s="1">
        <v>39</v>
      </c>
      <c r="N3293" s="1">
        <v>1</v>
      </c>
      <c r="O3293" s="1">
        <v>1</v>
      </c>
      <c r="P3293" s="2">
        <v>1</v>
      </c>
      <c r="Q3293" s="67">
        <v>10</v>
      </c>
    </row>
    <row r="3294" spans="1:17" x14ac:dyDescent="0.25">
      <c r="A3294" s="10">
        <v>29</v>
      </c>
      <c r="B3294" s="10">
        <v>4</v>
      </c>
      <c r="C3294" s="10">
        <v>6</v>
      </c>
      <c r="D3294" s="10">
        <v>2</v>
      </c>
      <c r="E3294" s="10">
        <v>22</v>
      </c>
      <c r="F3294" s="10">
        <v>22</v>
      </c>
      <c r="L3294" s="1">
        <v>364</v>
      </c>
      <c r="M3294" s="1">
        <v>39</v>
      </c>
      <c r="N3294" s="1">
        <v>1</v>
      </c>
      <c r="O3294" s="1">
        <v>1</v>
      </c>
      <c r="P3294" s="2">
        <v>1</v>
      </c>
      <c r="Q3294" s="68">
        <v>7</v>
      </c>
    </row>
    <row r="3295" spans="1:17" x14ac:dyDescent="0.25">
      <c r="A3295" s="10">
        <v>53</v>
      </c>
      <c r="B3295" s="10">
        <v>6</v>
      </c>
      <c r="C3295" s="10">
        <v>3</v>
      </c>
      <c r="D3295" s="10">
        <v>3</v>
      </c>
      <c r="E3295" s="10">
        <v>8</v>
      </c>
      <c r="F3295" s="10">
        <v>8</v>
      </c>
      <c r="L3295" s="1">
        <v>365</v>
      </c>
      <c r="M3295" s="1">
        <v>39</v>
      </c>
      <c r="N3295" s="1">
        <v>1</v>
      </c>
      <c r="O3295" s="1">
        <v>1</v>
      </c>
      <c r="P3295" s="2">
        <v>1</v>
      </c>
      <c r="Q3295" s="67">
        <v>9</v>
      </c>
    </row>
    <row r="3296" spans="1:17" x14ac:dyDescent="0.25">
      <c r="A3296" s="10">
        <v>117</v>
      </c>
      <c r="B3296" s="10">
        <v>13</v>
      </c>
      <c r="C3296" s="10">
        <v>1</v>
      </c>
      <c r="D3296" s="10">
        <v>1</v>
      </c>
      <c r="E3296" s="10">
        <v>6</v>
      </c>
      <c r="F3296" s="10">
        <v>6</v>
      </c>
      <c r="L3296" s="1">
        <v>366</v>
      </c>
      <c r="M3296" s="1">
        <v>39</v>
      </c>
      <c r="N3296" s="1">
        <v>1</v>
      </c>
      <c r="O3296" s="1">
        <v>1</v>
      </c>
      <c r="P3296" s="2">
        <v>1</v>
      </c>
      <c r="Q3296" s="68">
        <v>10</v>
      </c>
    </row>
    <row r="3297" spans="1:17" x14ac:dyDescent="0.25">
      <c r="A3297" s="10">
        <v>117</v>
      </c>
      <c r="B3297" s="10">
        <v>13</v>
      </c>
      <c r="C3297" s="10">
        <v>1</v>
      </c>
      <c r="D3297" s="10">
        <v>2</v>
      </c>
      <c r="E3297" s="10">
        <v>8</v>
      </c>
      <c r="F3297" s="10">
        <v>8</v>
      </c>
      <c r="L3297" s="1">
        <v>367</v>
      </c>
      <c r="M3297" s="1">
        <v>40</v>
      </c>
      <c r="N3297" s="1">
        <v>1</v>
      </c>
      <c r="O3297" s="1">
        <v>1</v>
      </c>
      <c r="P3297" s="2">
        <v>1</v>
      </c>
      <c r="Q3297" s="67">
        <v>6</v>
      </c>
    </row>
    <row r="3298" spans="1:17" x14ac:dyDescent="0.25">
      <c r="A3298" s="10">
        <v>117</v>
      </c>
      <c r="B3298" s="10">
        <v>13</v>
      </c>
      <c r="C3298" s="10">
        <v>1</v>
      </c>
      <c r="D3298" s="10">
        <v>5</v>
      </c>
      <c r="E3298" s="10">
        <v>1</v>
      </c>
      <c r="F3298" s="10">
        <v>1</v>
      </c>
      <c r="L3298" s="1">
        <v>368</v>
      </c>
      <c r="M3298" s="1">
        <v>40</v>
      </c>
      <c r="N3298" s="1">
        <v>1</v>
      </c>
      <c r="O3298" s="1">
        <v>1</v>
      </c>
      <c r="P3298" s="2">
        <v>1</v>
      </c>
      <c r="Q3298" s="68">
        <v>21</v>
      </c>
    </row>
    <row r="3299" spans="1:17" x14ac:dyDescent="0.25">
      <c r="A3299" s="10">
        <v>334</v>
      </c>
      <c r="B3299" s="10">
        <v>36</v>
      </c>
      <c r="C3299" s="10">
        <v>6</v>
      </c>
      <c r="D3299" s="10">
        <v>2</v>
      </c>
      <c r="E3299" s="10">
        <v>11</v>
      </c>
      <c r="F3299" s="10">
        <v>11</v>
      </c>
      <c r="L3299" s="1">
        <v>369</v>
      </c>
      <c r="M3299" s="1">
        <v>40</v>
      </c>
      <c r="N3299" s="1">
        <v>1</v>
      </c>
      <c r="O3299" s="1">
        <v>1</v>
      </c>
      <c r="P3299" s="2">
        <v>1</v>
      </c>
      <c r="Q3299" s="67">
        <v>22</v>
      </c>
    </row>
    <row r="3300" spans="1:17" x14ac:dyDescent="0.25">
      <c r="A3300" s="10">
        <v>53</v>
      </c>
      <c r="B3300" s="10">
        <v>6</v>
      </c>
      <c r="C3300" s="10">
        <v>4</v>
      </c>
      <c r="D3300" s="10">
        <v>1</v>
      </c>
      <c r="E3300" s="10">
        <v>9</v>
      </c>
      <c r="F3300" s="10">
        <v>9</v>
      </c>
      <c r="L3300" s="1">
        <v>370</v>
      </c>
      <c r="M3300" s="1">
        <v>40</v>
      </c>
      <c r="N3300" s="1">
        <v>1</v>
      </c>
      <c r="O3300" s="1">
        <v>1</v>
      </c>
      <c r="P3300" s="2">
        <v>1</v>
      </c>
      <c r="Q3300" s="68">
        <v>15</v>
      </c>
    </row>
    <row r="3301" spans="1:17" x14ac:dyDescent="0.25">
      <c r="A3301" s="10">
        <v>53</v>
      </c>
      <c r="B3301" s="10">
        <v>6</v>
      </c>
      <c r="C3301" s="10">
        <v>4</v>
      </c>
      <c r="D3301" s="10">
        <v>2</v>
      </c>
      <c r="E3301" s="10">
        <v>15</v>
      </c>
      <c r="F3301" s="10">
        <v>15</v>
      </c>
      <c r="L3301" s="1">
        <v>371</v>
      </c>
      <c r="M3301" s="1">
        <v>40</v>
      </c>
      <c r="N3301" s="1">
        <v>1</v>
      </c>
      <c r="O3301" s="1">
        <v>1</v>
      </c>
      <c r="P3301" s="2">
        <v>1</v>
      </c>
      <c r="Q3301" s="67">
        <v>18</v>
      </c>
    </row>
    <row r="3302" spans="1:17" x14ac:dyDescent="0.25">
      <c r="A3302" s="10">
        <v>17</v>
      </c>
      <c r="B3302" s="10">
        <v>2</v>
      </c>
      <c r="C3302" s="10">
        <v>6</v>
      </c>
      <c r="D3302" s="10">
        <v>1</v>
      </c>
      <c r="E3302" s="10">
        <v>601</v>
      </c>
      <c r="F3302" s="10">
        <v>601</v>
      </c>
      <c r="L3302" s="1">
        <v>372</v>
      </c>
      <c r="M3302" s="1">
        <v>40</v>
      </c>
      <c r="N3302" s="1">
        <v>1</v>
      </c>
      <c r="O3302" s="1">
        <v>1</v>
      </c>
      <c r="P3302" s="2">
        <v>1</v>
      </c>
      <c r="Q3302" s="68">
        <v>15</v>
      </c>
    </row>
    <row r="3303" spans="1:17" x14ac:dyDescent="0.25">
      <c r="A3303" s="10">
        <v>117</v>
      </c>
      <c r="B3303" s="10">
        <v>13</v>
      </c>
      <c r="C3303" s="10">
        <v>2</v>
      </c>
      <c r="D3303" s="10">
        <v>1</v>
      </c>
      <c r="E3303" s="10">
        <v>19</v>
      </c>
      <c r="F3303" s="10">
        <v>19</v>
      </c>
      <c r="L3303" s="1">
        <v>373</v>
      </c>
      <c r="M3303" s="1">
        <v>40</v>
      </c>
      <c r="N3303" s="1">
        <v>1</v>
      </c>
      <c r="O3303" s="1">
        <v>1</v>
      </c>
      <c r="P3303" s="2">
        <v>1</v>
      </c>
      <c r="Q3303" s="67">
        <v>10</v>
      </c>
    </row>
    <row r="3304" spans="1:17" x14ac:dyDescent="0.25">
      <c r="A3304" s="10">
        <v>53</v>
      </c>
      <c r="B3304" s="10">
        <v>6</v>
      </c>
      <c r="C3304" s="10">
        <v>4</v>
      </c>
      <c r="D3304" s="10">
        <v>3</v>
      </c>
      <c r="E3304" s="10">
        <v>6</v>
      </c>
      <c r="F3304" s="10">
        <v>6</v>
      </c>
      <c r="L3304" s="1">
        <v>374</v>
      </c>
      <c r="M3304" s="1">
        <v>40</v>
      </c>
      <c r="N3304" s="1">
        <v>1</v>
      </c>
      <c r="O3304" s="1">
        <v>1</v>
      </c>
      <c r="P3304" s="2">
        <v>1</v>
      </c>
      <c r="Q3304" s="68">
        <v>14</v>
      </c>
    </row>
    <row r="3305" spans="1:17" x14ac:dyDescent="0.25">
      <c r="A3305" s="10">
        <v>117</v>
      </c>
      <c r="B3305" s="10">
        <v>13</v>
      </c>
      <c r="C3305" s="10">
        <v>2</v>
      </c>
      <c r="D3305" s="10">
        <v>2</v>
      </c>
      <c r="E3305" s="10">
        <v>17</v>
      </c>
      <c r="F3305" s="10">
        <v>17</v>
      </c>
      <c r="L3305" s="1">
        <v>375</v>
      </c>
      <c r="M3305" s="1">
        <v>41</v>
      </c>
      <c r="N3305" s="1">
        <v>1</v>
      </c>
      <c r="O3305" s="1">
        <v>1</v>
      </c>
      <c r="P3305" s="2">
        <v>1</v>
      </c>
      <c r="Q3305" s="67">
        <v>8</v>
      </c>
    </row>
    <row r="3306" spans="1:17" x14ac:dyDescent="0.25">
      <c r="A3306" s="10">
        <v>117</v>
      </c>
      <c r="B3306" s="10">
        <v>13</v>
      </c>
      <c r="C3306" s="10">
        <v>2</v>
      </c>
      <c r="D3306" s="10">
        <v>5</v>
      </c>
      <c r="E3306" s="10">
        <v>2</v>
      </c>
      <c r="F3306" s="10">
        <v>2</v>
      </c>
      <c r="L3306" s="1">
        <v>376</v>
      </c>
      <c r="M3306" s="1">
        <v>41</v>
      </c>
      <c r="N3306" s="1">
        <v>1</v>
      </c>
      <c r="O3306" s="1">
        <v>1</v>
      </c>
      <c r="P3306" s="2">
        <v>1</v>
      </c>
      <c r="Q3306" s="68">
        <v>17</v>
      </c>
    </row>
    <row r="3307" spans="1:17" x14ac:dyDescent="0.25">
      <c r="A3307" s="10">
        <v>17</v>
      </c>
      <c r="B3307" s="10">
        <v>2</v>
      </c>
      <c r="C3307" s="10">
        <v>6</v>
      </c>
      <c r="D3307" s="10">
        <v>3</v>
      </c>
      <c r="E3307" s="10">
        <v>1</v>
      </c>
      <c r="F3307" s="10">
        <v>1</v>
      </c>
      <c r="L3307" s="1">
        <v>377</v>
      </c>
      <c r="M3307" s="1">
        <v>41</v>
      </c>
      <c r="N3307" s="1">
        <v>1</v>
      </c>
      <c r="O3307" s="1">
        <v>1</v>
      </c>
      <c r="P3307" s="2">
        <v>1</v>
      </c>
      <c r="Q3307" s="67">
        <v>15</v>
      </c>
    </row>
    <row r="3308" spans="1:17" x14ac:dyDescent="0.25">
      <c r="A3308" s="10">
        <v>17</v>
      </c>
      <c r="B3308" s="10">
        <v>2</v>
      </c>
      <c r="C3308" s="10">
        <v>6</v>
      </c>
      <c r="D3308" s="10">
        <v>10</v>
      </c>
      <c r="E3308" s="10">
        <v>4</v>
      </c>
      <c r="F3308" s="10">
        <v>4</v>
      </c>
      <c r="L3308" s="1">
        <v>378</v>
      </c>
      <c r="M3308" s="1">
        <v>41</v>
      </c>
      <c r="N3308" s="1">
        <v>1</v>
      </c>
      <c r="O3308" s="1">
        <v>1</v>
      </c>
      <c r="P3308" s="2">
        <v>1</v>
      </c>
      <c r="Q3308" s="68">
        <v>15</v>
      </c>
    </row>
    <row r="3309" spans="1:17" x14ac:dyDescent="0.25">
      <c r="A3309" s="10">
        <v>53</v>
      </c>
      <c r="B3309" s="10">
        <v>6</v>
      </c>
      <c r="C3309" s="10">
        <v>5</v>
      </c>
      <c r="D3309" s="10">
        <v>1</v>
      </c>
      <c r="E3309" s="10">
        <v>6</v>
      </c>
      <c r="F3309" s="10">
        <v>6</v>
      </c>
      <c r="L3309" s="1">
        <v>379</v>
      </c>
      <c r="M3309" s="1">
        <v>41</v>
      </c>
      <c r="N3309" s="1">
        <v>1</v>
      </c>
      <c r="O3309" s="1">
        <v>1</v>
      </c>
      <c r="P3309" s="2">
        <v>1</v>
      </c>
      <c r="Q3309" s="67">
        <v>6</v>
      </c>
    </row>
    <row r="3310" spans="1:17" x14ac:dyDescent="0.25">
      <c r="A3310" s="10">
        <v>53</v>
      </c>
      <c r="B3310" s="10">
        <v>6</v>
      </c>
      <c r="C3310" s="10">
        <v>1</v>
      </c>
      <c r="D3310" s="10">
        <v>1</v>
      </c>
      <c r="E3310" s="10">
        <v>4</v>
      </c>
      <c r="F3310" s="10">
        <v>4</v>
      </c>
      <c r="L3310" s="1">
        <v>380</v>
      </c>
      <c r="M3310" s="1">
        <v>41</v>
      </c>
      <c r="N3310" s="1">
        <v>1</v>
      </c>
      <c r="O3310" s="1">
        <v>1</v>
      </c>
      <c r="P3310" s="2">
        <v>1</v>
      </c>
      <c r="Q3310" s="68">
        <v>10</v>
      </c>
    </row>
    <row r="3311" spans="1:17" x14ac:dyDescent="0.25">
      <c r="A3311" s="10">
        <v>53</v>
      </c>
      <c r="B3311" s="10">
        <v>6</v>
      </c>
      <c r="C3311" s="10">
        <v>5</v>
      </c>
      <c r="D3311" s="10">
        <v>2</v>
      </c>
      <c r="E3311" s="10">
        <v>21</v>
      </c>
      <c r="F3311" s="10">
        <v>21</v>
      </c>
      <c r="L3311" s="1">
        <v>381</v>
      </c>
      <c r="M3311" s="1">
        <v>41</v>
      </c>
      <c r="N3311" s="1">
        <v>1</v>
      </c>
      <c r="O3311" s="1">
        <v>1</v>
      </c>
      <c r="P3311" s="2">
        <v>1</v>
      </c>
      <c r="Q3311" s="67">
        <v>14</v>
      </c>
    </row>
    <row r="3312" spans="1:17" x14ac:dyDescent="0.25">
      <c r="A3312" s="10">
        <v>53</v>
      </c>
      <c r="B3312" s="10">
        <v>6</v>
      </c>
      <c r="C3312" s="10">
        <v>5</v>
      </c>
      <c r="D3312" s="10">
        <v>3</v>
      </c>
      <c r="E3312" s="10">
        <v>5</v>
      </c>
      <c r="F3312" s="10">
        <v>5</v>
      </c>
      <c r="L3312" s="1">
        <v>382</v>
      </c>
      <c r="M3312" s="1">
        <v>41</v>
      </c>
      <c r="N3312" s="1">
        <v>1</v>
      </c>
      <c r="O3312" s="1">
        <v>1</v>
      </c>
      <c r="P3312" s="2">
        <v>1</v>
      </c>
      <c r="Q3312" s="68">
        <v>12</v>
      </c>
    </row>
    <row r="3313" spans="1:17" x14ac:dyDescent="0.25">
      <c r="A3313" s="10">
        <v>117</v>
      </c>
      <c r="B3313" s="10">
        <v>13</v>
      </c>
      <c r="C3313" s="10">
        <v>3</v>
      </c>
      <c r="D3313" s="10">
        <v>1</v>
      </c>
      <c r="E3313" s="10">
        <v>28</v>
      </c>
      <c r="F3313" s="10">
        <v>28</v>
      </c>
      <c r="L3313" s="1">
        <v>383</v>
      </c>
      <c r="M3313" s="1">
        <v>41</v>
      </c>
      <c r="N3313" s="1">
        <v>1</v>
      </c>
      <c r="O3313" s="1">
        <v>1</v>
      </c>
      <c r="P3313" s="2">
        <v>1</v>
      </c>
      <c r="Q3313" s="67">
        <v>11</v>
      </c>
    </row>
    <row r="3314" spans="1:17" x14ac:dyDescent="0.25">
      <c r="A3314" s="10">
        <v>117</v>
      </c>
      <c r="B3314" s="10">
        <v>13</v>
      </c>
      <c r="C3314" s="10">
        <v>3</v>
      </c>
      <c r="D3314" s="10">
        <v>2</v>
      </c>
      <c r="E3314" s="10">
        <v>15</v>
      </c>
      <c r="F3314" s="10">
        <v>15</v>
      </c>
      <c r="L3314" s="1">
        <v>384</v>
      </c>
      <c r="M3314" s="1">
        <v>41</v>
      </c>
      <c r="N3314" s="1">
        <v>1</v>
      </c>
      <c r="O3314" s="1">
        <v>1</v>
      </c>
      <c r="P3314" s="2">
        <v>1</v>
      </c>
      <c r="Q3314" s="68">
        <v>12</v>
      </c>
    </row>
    <row r="3315" spans="1:17" x14ac:dyDescent="0.25">
      <c r="A3315" s="10">
        <v>53</v>
      </c>
      <c r="B3315" s="10">
        <v>6</v>
      </c>
      <c r="C3315" s="10">
        <v>1</v>
      </c>
      <c r="D3315" s="10">
        <v>3</v>
      </c>
      <c r="E3315" s="10">
        <v>8</v>
      </c>
      <c r="F3315" s="10">
        <v>8</v>
      </c>
      <c r="L3315" s="1">
        <v>385</v>
      </c>
      <c r="M3315" s="1">
        <v>42</v>
      </c>
      <c r="N3315" s="1">
        <v>1</v>
      </c>
      <c r="O3315" s="1">
        <v>1</v>
      </c>
      <c r="P3315" s="2">
        <v>1</v>
      </c>
      <c r="Q3315" s="67">
        <v>12</v>
      </c>
    </row>
    <row r="3316" spans="1:17" x14ac:dyDescent="0.25">
      <c r="A3316" s="10">
        <v>188</v>
      </c>
      <c r="B3316" s="10">
        <v>20</v>
      </c>
      <c r="C3316" s="10">
        <v>1</v>
      </c>
      <c r="D3316" s="10">
        <v>1</v>
      </c>
      <c r="E3316" s="10">
        <v>3</v>
      </c>
      <c r="F3316" s="10">
        <v>3</v>
      </c>
      <c r="L3316" s="1">
        <v>386</v>
      </c>
      <c r="M3316" s="1">
        <v>42</v>
      </c>
      <c r="N3316" s="1">
        <v>1</v>
      </c>
      <c r="O3316" s="1">
        <v>1</v>
      </c>
      <c r="P3316" s="2">
        <v>1</v>
      </c>
      <c r="Q3316" s="68">
        <v>19</v>
      </c>
    </row>
    <row r="3317" spans="1:17" x14ac:dyDescent="0.25">
      <c r="A3317" s="10">
        <v>117</v>
      </c>
      <c r="B3317" s="10">
        <v>13</v>
      </c>
      <c r="C3317" s="10">
        <v>4</v>
      </c>
      <c r="D3317" s="10">
        <v>1</v>
      </c>
      <c r="E3317" s="10">
        <v>15</v>
      </c>
      <c r="F3317" s="10">
        <v>15</v>
      </c>
      <c r="L3317" s="1">
        <v>387</v>
      </c>
      <c r="M3317" s="1">
        <v>42</v>
      </c>
      <c r="N3317" s="1">
        <v>1</v>
      </c>
      <c r="O3317" s="1">
        <v>1</v>
      </c>
      <c r="P3317" s="2">
        <v>1</v>
      </c>
      <c r="Q3317" s="67">
        <v>22</v>
      </c>
    </row>
    <row r="3318" spans="1:17" x14ac:dyDescent="0.25">
      <c r="A3318" s="10">
        <v>117</v>
      </c>
      <c r="B3318" s="10">
        <v>13</v>
      </c>
      <c r="C3318" s="10">
        <v>4</v>
      </c>
      <c r="D3318" s="10">
        <v>2</v>
      </c>
      <c r="E3318" s="10">
        <v>10</v>
      </c>
      <c r="F3318" s="10">
        <v>10</v>
      </c>
      <c r="L3318" s="1">
        <v>388</v>
      </c>
      <c r="M3318" s="1">
        <v>42</v>
      </c>
      <c r="N3318" s="1">
        <v>1</v>
      </c>
      <c r="O3318" s="1">
        <v>1</v>
      </c>
      <c r="P3318" s="2">
        <v>1</v>
      </c>
      <c r="Q3318" s="68">
        <v>19</v>
      </c>
    </row>
    <row r="3319" spans="1:17" x14ac:dyDescent="0.25">
      <c r="A3319" s="10">
        <v>117</v>
      </c>
      <c r="B3319" s="10">
        <v>13</v>
      </c>
      <c r="C3319" s="10">
        <v>4</v>
      </c>
      <c r="D3319" s="10">
        <v>5</v>
      </c>
      <c r="E3319" s="10">
        <v>2</v>
      </c>
      <c r="F3319" s="10">
        <v>2</v>
      </c>
      <c r="L3319" s="1">
        <v>389</v>
      </c>
      <c r="M3319" s="1">
        <v>42</v>
      </c>
      <c r="N3319" s="1">
        <v>1</v>
      </c>
      <c r="O3319" s="1">
        <v>1</v>
      </c>
      <c r="P3319" s="2">
        <v>1</v>
      </c>
      <c r="Q3319" s="67">
        <v>11</v>
      </c>
    </row>
    <row r="3320" spans="1:17" x14ac:dyDescent="0.25">
      <c r="A3320" s="10">
        <v>266</v>
      </c>
      <c r="B3320" s="10">
        <v>29</v>
      </c>
      <c r="C3320" s="10">
        <v>6</v>
      </c>
      <c r="D3320" s="10">
        <v>2</v>
      </c>
      <c r="E3320" s="10">
        <v>9</v>
      </c>
      <c r="F3320" s="10">
        <v>9</v>
      </c>
      <c r="L3320" s="1">
        <v>390</v>
      </c>
      <c r="M3320" s="1">
        <v>42</v>
      </c>
      <c r="N3320" s="1">
        <v>1</v>
      </c>
      <c r="O3320" s="1">
        <v>1</v>
      </c>
      <c r="P3320" s="2">
        <v>1</v>
      </c>
      <c r="Q3320" s="68">
        <v>11</v>
      </c>
    </row>
    <row r="3321" spans="1:17" x14ac:dyDescent="0.25">
      <c r="A3321" s="10">
        <v>266</v>
      </c>
      <c r="B3321" s="10">
        <v>29</v>
      </c>
      <c r="C3321" s="10">
        <v>6</v>
      </c>
      <c r="D3321" s="10">
        <v>3</v>
      </c>
      <c r="E3321" s="10">
        <v>2</v>
      </c>
      <c r="F3321" s="10">
        <v>2</v>
      </c>
      <c r="L3321" s="1">
        <v>391</v>
      </c>
      <c r="M3321" s="1">
        <v>42</v>
      </c>
      <c r="N3321" s="1">
        <v>1</v>
      </c>
      <c r="O3321" s="1">
        <v>1</v>
      </c>
      <c r="P3321" s="2">
        <v>1</v>
      </c>
      <c r="Q3321" s="67">
        <v>16</v>
      </c>
    </row>
    <row r="3322" spans="1:17" x14ac:dyDescent="0.25">
      <c r="A3322" s="10">
        <v>266</v>
      </c>
      <c r="B3322" s="10">
        <v>29</v>
      </c>
      <c r="C3322" s="10">
        <v>6</v>
      </c>
      <c r="D3322" s="10">
        <v>4</v>
      </c>
      <c r="E3322" s="10">
        <v>6</v>
      </c>
      <c r="F3322" s="10">
        <v>6</v>
      </c>
      <c r="L3322" s="1">
        <v>392</v>
      </c>
      <c r="M3322" s="1">
        <v>42</v>
      </c>
      <c r="N3322" s="1">
        <v>1</v>
      </c>
      <c r="O3322" s="1">
        <v>1</v>
      </c>
      <c r="P3322" s="2">
        <v>1</v>
      </c>
      <c r="Q3322" s="68">
        <v>12</v>
      </c>
    </row>
    <row r="3323" spans="1:17" x14ac:dyDescent="0.25">
      <c r="A3323" s="10">
        <v>117</v>
      </c>
      <c r="B3323" s="10">
        <v>13</v>
      </c>
      <c r="C3323" s="10">
        <v>5</v>
      </c>
      <c r="D3323" s="10">
        <v>1</v>
      </c>
      <c r="E3323" s="10">
        <v>9</v>
      </c>
      <c r="F3323" s="10">
        <v>9</v>
      </c>
      <c r="L3323" s="1">
        <v>393</v>
      </c>
      <c r="M3323" s="1">
        <v>42</v>
      </c>
      <c r="N3323" s="1">
        <v>1</v>
      </c>
      <c r="O3323" s="1">
        <v>1</v>
      </c>
      <c r="P3323" s="2">
        <v>1</v>
      </c>
      <c r="Q3323" s="67">
        <v>13</v>
      </c>
    </row>
    <row r="3324" spans="1:17" x14ac:dyDescent="0.25">
      <c r="A3324" s="10">
        <v>188</v>
      </c>
      <c r="B3324" s="10">
        <v>20</v>
      </c>
      <c r="C3324" s="10">
        <v>2</v>
      </c>
      <c r="D3324" s="10">
        <v>2</v>
      </c>
      <c r="E3324" s="10">
        <v>7</v>
      </c>
      <c r="F3324" s="10">
        <v>7</v>
      </c>
      <c r="L3324" s="1">
        <v>394</v>
      </c>
      <c r="M3324" s="1">
        <v>42</v>
      </c>
      <c r="N3324" s="1">
        <v>1</v>
      </c>
      <c r="O3324" s="1">
        <v>1</v>
      </c>
      <c r="P3324" s="2">
        <v>1</v>
      </c>
      <c r="Q3324" s="68">
        <v>11</v>
      </c>
    </row>
    <row r="3325" spans="1:17" x14ac:dyDescent="0.25">
      <c r="A3325" s="10">
        <v>117</v>
      </c>
      <c r="B3325" s="10">
        <v>13</v>
      </c>
      <c r="C3325" s="10">
        <v>5</v>
      </c>
      <c r="D3325" s="10">
        <v>5</v>
      </c>
      <c r="E3325" s="10">
        <v>2</v>
      </c>
      <c r="F3325" s="10">
        <v>2</v>
      </c>
      <c r="L3325" s="1">
        <v>395</v>
      </c>
      <c r="M3325" s="1">
        <v>43</v>
      </c>
      <c r="N3325" s="1">
        <v>1</v>
      </c>
      <c r="O3325" s="1">
        <v>1</v>
      </c>
      <c r="P3325" s="2">
        <v>1</v>
      </c>
      <c r="Q3325" s="67">
        <v>10</v>
      </c>
    </row>
    <row r="3326" spans="1:17" x14ac:dyDescent="0.25">
      <c r="A3326" s="10">
        <v>117</v>
      </c>
      <c r="B3326" s="10">
        <v>13</v>
      </c>
      <c r="C3326" s="10">
        <v>5</v>
      </c>
      <c r="D3326" s="10">
        <v>7</v>
      </c>
      <c r="E3326" s="10">
        <v>3</v>
      </c>
      <c r="F3326" s="10">
        <v>3</v>
      </c>
      <c r="L3326" s="1">
        <v>396</v>
      </c>
      <c r="M3326" s="1">
        <v>43</v>
      </c>
      <c r="N3326" s="1">
        <v>1</v>
      </c>
      <c r="O3326" s="1">
        <v>1</v>
      </c>
      <c r="P3326" s="2">
        <v>1</v>
      </c>
      <c r="Q3326" s="68">
        <v>15</v>
      </c>
    </row>
    <row r="3327" spans="1:17" x14ac:dyDescent="0.25">
      <c r="A3327" s="10">
        <v>188</v>
      </c>
      <c r="B3327" s="10">
        <v>20</v>
      </c>
      <c r="C3327" s="10">
        <v>3</v>
      </c>
      <c r="D3327" s="10">
        <v>1</v>
      </c>
      <c r="E3327" s="10">
        <v>12</v>
      </c>
      <c r="F3327" s="10">
        <v>12</v>
      </c>
      <c r="L3327" s="1">
        <v>397</v>
      </c>
      <c r="M3327" s="1">
        <v>43</v>
      </c>
      <c r="N3327" s="1">
        <v>1</v>
      </c>
      <c r="O3327" s="1">
        <v>1</v>
      </c>
      <c r="P3327" s="2">
        <v>1</v>
      </c>
      <c r="Q3327" s="67">
        <v>16</v>
      </c>
    </row>
    <row r="3328" spans="1:17" x14ac:dyDescent="0.25">
      <c r="A3328" s="10">
        <v>117</v>
      </c>
      <c r="B3328" s="10">
        <v>13</v>
      </c>
      <c r="C3328" s="10">
        <v>6</v>
      </c>
      <c r="D3328" s="10">
        <v>1</v>
      </c>
      <c r="E3328" s="10">
        <v>7</v>
      </c>
      <c r="F3328" s="10">
        <v>7</v>
      </c>
      <c r="L3328" s="1">
        <v>398</v>
      </c>
      <c r="M3328" s="1">
        <v>43</v>
      </c>
      <c r="N3328" s="1">
        <v>1</v>
      </c>
      <c r="O3328" s="1">
        <v>1</v>
      </c>
      <c r="P3328" s="2">
        <v>1</v>
      </c>
      <c r="Q3328" s="68">
        <v>10</v>
      </c>
    </row>
    <row r="3329" spans="1:17" x14ac:dyDescent="0.25">
      <c r="A3329" s="10">
        <v>188</v>
      </c>
      <c r="B3329" s="10">
        <v>20</v>
      </c>
      <c r="C3329" s="10">
        <v>3</v>
      </c>
      <c r="D3329" s="10">
        <v>2</v>
      </c>
      <c r="E3329" s="10">
        <v>8</v>
      </c>
      <c r="F3329" s="10">
        <v>8</v>
      </c>
      <c r="L3329" s="1">
        <v>399</v>
      </c>
      <c r="M3329" s="1">
        <v>43</v>
      </c>
      <c r="N3329" s="1">
        <v>1</v>
      </c>
      <c r="O3329" s="1">
        <v>1</v>
      </c>
      <c r="P3329" s="2">
        <v>1</v>
      </c>
      <c r="Q3329" s="67">
        <v>5</v>
      </c>
    </row>
    <row r="3330" spans="1:17" x14ac:dyDescent="0.25">
      <c r="A3330" s="10">
        <v>117</v>
      </c>
      <c r="B3330" s="10">
        <v>13</v>
      </c>
      <c r="C3330" s="10">
        <v>6</v>
      </c>
      <c r="D3330" s="10">
        <v>4</v>
      </c>
      <c r="E3330" s="10">
        <v>3</v>
      </c>
      <c r="F3330" s="10">
        <v>3</v>
      </c>
      <c r="L3330" s="1">
        <v>400</v>
      </c>
      <c r="M3330" s="1">
        <v>43</v>
      </c>
      <c r="N3330" s="1">
        <v>1</v>
      </c>
      <c r="O3330" s="1">
        <v>1</v>
      </c>
      <c r="P3330" s="2">
        <v>1</v>
      </c>
      <c r="Q3330" s="68">
        <v>11</v>
      </c>
    </row>
    <row r="3331" spans="1:17" x14ac:dyDescent="0.25">
      <c r="A3331" s="10">
        <v>117</v>
      </c>
      <c r="B3331" s="10">
        <v>13</v>
      </c>
      <c r="C3331" s="10">
        <v>6</v>
      </c>
      <c r="D3331" s="10">
        <v>5</v>
      </c>
      <c r="E3331" s="10">
        <v>2</v>
      </c>
      <c r="F3331" s="10">
        <v>2</v>
      </c>
      <c r="L3331" s="1">
        <v>401</v>
      </c>
      <c r="M3331" s="1">
        <v>43</v>
      </c>
      <c r="N3331" s="1">
        <v>1</v>
      </c>
      <c r="O3331" s="1">
        <v>1</v>
      </c>
      <c r="P3331" s="2">
        <v>1</v>
      </c>
      <c r="Q3331" s="67">
        <v>8</v>
      </c>
    </row>
    <row r="3332" spans="1:17" x14ac:dyDescent="0.25">
      <c r="A3332" s="10">
        <v>117</v>
      </c>
      <c r="B3332" s="10">
        <v>13</v>
      </c>
      <c r="C3332" s="10">
        <v>6</v>
      </c>
      <c r="D3332" s="10">
        <v>7</v>
      </c>
      <c r="E3332" s="10">
        <v>2</v>
      </c>
      <c r="F3332" s="10">
        <v>2</v>
      </c>
      <c r="L3332" s="1">
        <v>402</v>
      </c>
      <c r="M3332" s="1">
        <v>43</v>
      </c>
      <c r="N3332" s="1">
        <v>1</v>
      </c>
      <c r="O3332" s="1">
        <v>1</v>
      </c>
      <c r="P3332" s="2">
        <v>1</v>
      </c>
      <c r="Q3332" s="68">
        <v>10</v>
      </c>
    </row>
    <row r="3333" spans="1:17" x14ac:dyDescent="0.25">
      <c r="A3333" s="10">
        <v>3</v>
      </c>
      <c r="B3333" s="10">
        <v>1</v>
      </c>
      <c r="C3333" s="10">
        <v>6</v>
      </c>
      <c r="D3333" s="10">
        <v>1</v>
      </c>
      <c r="E3333" s="10">
        <v>17</v>
      </c>
      <c r="F3333" s="10">
        <v>17</v>
      </c>
      <c r="L3333" s="1">
        <v>403</v>
      </c>
      <c r="M3333" s="1">
        <v>43</v>
      </c>
      <c r="N3333" s="1">
        <v>1</v>
      </c>
      <c r="O3333" s="1">
        <v>1</v>
      </c>
      <c r="P3333" s="2">
        <v>1</v>
      </c>
      <c r="Q3333" s="67">
        <v>15</v>
      </c>
    </row>
    <row r="3334" spans="1:17" x14ac:dyDescent="0.25">
      <c r="A3334" s="10">
        <v>3</v>
      </c>
      <c r="B3334" s="10">
        <v>1</v>
      </c>
      <c r="C3334" s="10">
        <v>6</v>
      </c>
      <c r="D3334" s="10">
        <v>2</v>
      </c>
      <c r="E3334" s="10">
        <v>8</v>
      </c>
      <c r="F3334" s="10">
        <v>8</v>
      </c>
      <c r="L3334" s="1">
        <v>404</v>
      </c>
      <c r="M3334" s="1">
        <v>43</v>
      </c>
      <c r="N3334" s="1">
        <v>1</v>
      </c>
      <c r="O3334" s="1">
        <v>1</v>
      </c>
      <c r="P3334" s="2">
        <v>1</v>
      </c>
      <c r="Q3334" s="68">
        <v>10</v>
      </c>
    </row>
    <row r="3335" spans="1:17" x14ac:dyDescent="0.25">
      <c r="A3335" s="10">
        <v>188</v>
      </c>
      <c r="B3335" s="10">
        <v>20</v>
      </c>
      <c r="C3335" s="10">
        <v>4</v>
      </c>
      <c r="D3335" s="10">
        <v>1</v>
      </c>
      <c r="E3335" s="10">
        <v>2</v>
      </c>
      <c r="F3335" s="10">
        <v>2</v>
      </c>
      <c r="L3335" s="1">
        <v>405</v>
      </c>
      <c r="M3335" s="1">
        <v>44</v>
      </c>
      <c r="N3335" s="1">
        <v>1</v>
      </c>
      <c r="O3335" s="1">
        <v>1</v>
      </c>
      <c r="P3335" s="2">
        <v>1</v>
      </c>
      <c r="Q3335" s="67">
        <v>7</v>
      </c>
    </row>
    <row r="3336" spans="1:17" x14ac:dyDescent="0.25">
      <c r="A3336" s="10">
        <v>3</v>
      </c>
      <c r="B3336" s="10">
        <v>1</v>
      </c>
      <c r="C3336" s="10">
        <v>6</v>
      </c>
      <c r="D3336" s="10">
        <v>7</v>
      </c>
      <c r="E3336" s="10">
        <v>2</v>
      </c>
      <c r="F3336" s="10">
        <v>2</v>
      </c>
      <c r="L3336" s="1">
        <v>406</v>
      </c>
      <c r="M3336" s="1">
        <v>44</v>
      </c>
      <c r="N3336" s="1">
        <v>1</v>
      </c>
      <c r="O3336" s="1">
        <v>1</v>
      </c>
      <c r="P3336" s="2">
        <v>1</v>
      </c>
      <c r="Q3336" s="68">
        <v>13</v>
      </c>
    </row>
    <row r="3337" spans="1:17" x14ac:dyDescent="0.25">
      <c r="A3337" s="10">
        <v>30</v>
      </c>
      <c r="B3337" s="10">
        <v>4</v>
      </c>
      <c r="C3337" s="10">
        <v>6</v>
      </c>
      <c r="D3337" s="10">
        <v>1</v>
      </c>
      <c r="E3337" s="10">
        <v>35</v>
      </c>
      <c r="F3337" s="10">
        <v>35</v>
      </c>
      <c r="L3337" s="1">
        <v>407</v>
      </c>
      <c r="M3337" s="1">
        <v>44</v>
      </c>
      <c r="N3337" s="1">
        <v>1</v>
      </c>
      <c r="O3337" s="1">
        <v>1</v>
      </c>
      <c r="P3337" s="2">
        <v>1</v>
      </c>
      <c r="Q3337" s="67">
        <v>17</v>
      </c>
    </row>
    <row r="3338" spans="1:17" x14ac:dyDescent="0.25">
      <c r="A3338" s="10">
        <v>30</v>
      </c>
      <c r="B3338" s="10">
        <v>4</v>
      </c>
      <c r="C3338" s="10">
        <v>6</v>
      </c>
      <c r="D3338" s="10">
        <v>2</v>
      </c>
      <c r="E3338" s="10">
        <v>28</v>
      </c>
      <c r="F3338" s="10">
        <v>28</v>
      </c>
      <c r="L3338" s="1">
        <v>408</v>
      </c>
      <c r="M3338" s="1">
        <v>44</v>
      </c>
      <c r="N3338" s="1">
        <v>1</v>
      </c>
      <c r="O3338" s="1">
        <v>1</v>
      </c>
      <c r="P3338" s="2">
        <v>1</v>
      </c>
      <c r="Q3338" s="68">
        <v>13</v>
      </c>
    </row>
    <row r="3339" spans="1:17" x14ac:dyDescent="0.25">
      <c r="A3339" s="10">
        <v>437</v>
      </c>
      <c r="B3339" s="10">
        <v>47</v>
      </c>
      <c r="C3339" s="10">
        <v>6</v>
      </c>
      <c r="D3339" s="10">
        <v>1</v>
      </c>
      <c r="E3339" s="10">
        <v>15</v>
      </c>
      <c r="F3339" s="10">
        <v>15</v>
      </c>
      <c r="L3339" s="1">
        <v>409</v>
      </c>
      <c r="M3339" s="1">
        <v>44</v>
      </c>
      <c r="N3339" s="1">
        <v>1</v>
      </c>
      <c r="O3339" s="1">
        <v>1</v>
      </c>
      <c r="P3339" s="2">
        <v>1</v>
      </c>
      <c r="Q3339" s="67">
        <v>8</v>
      </c>
    </row>
    <row r="3340" spans="1:17" x14ac:dyDescent="0.25">
      <c r="A3340" s="10">
        <v>437</v>
      </c>
      <c r="B3340" s="10">
        <v>47</v>
      </c>
      <c r="C3340" s="10">
        <v>6</v>
      </c>
      <c r="D3340" s="10">
        <v>2</v>
      </c>
      <c r="E3340" s="10">
        <v>13</v>
      </c>
      <c r="F3340" s="10">
        <v>13</v>
      </c>
      <c r="L3340" s="1">
        <v>410</v>
      </c>
      <c r="M3340" s="1">
        <v>44</v>
      </c>
      <c r="N3340" s="1">
        <v>1</v>
      </c>
      <c r="O3340" s="1">
        <v>1</v>
      </c>
      <c r="P3340" s="2">
        <v>1</v>
      </c>
      <c r="Q3340" s="68">
        <v>7</v>
      </c>
    </row>
    <row r="3341" spans="1:17" x14ac:dyDescent="0.25">
      <c r="A3341" s="10">
        <v>441</v>
      </c>
      <c r="B3341" s="10">
        <v>47</v>
      </c>
      <c r="C3341" s="10">
        <v>6</v>
      </c>
      <c r="D3341" s="10">
        <v>1</v>
      </c>
      <c r="E3341" s="10">
        <v>8</v>
      </c>
      <c r="F3341" s="10">
        <v>8</v>
      </c>
      <c r="L3341" s="1">
        <v>411</v>
      </c>
      <c r="M3341" s="1">
        <v>44</v>
      </c>
      <c r="N3341" s="1">
        <v>1</v>
      </c>
      <c r="O3341" s="1">
        <v>1</v>
      </c>
      <c r="P3341" s="2">
        <v>1</v>
      </c>
      <c r="Q3341" s="67">
        <v>4</v>
      </c>
    </row>
    <row r="3342" spans="1:17" x14ac:dyDescent="0.25">
      <c r="A3342" s="10">
        <v>441</v>
      </c>
      <c r="B3342" s="10">
        <v>47</v>
      </c>
      <c r="C3342" s="10">
        <v>6</v>
      </c>
      <c r="D3342" s="10">
        <v>2</v>
      </c>
      <c r="E3342" s="10">
        <v>1</v>
      </c>
      <c r="F3342" s="10">
        <v>1</v>
      </c>
      <c r="L3342" s="1">
        <v>412</v>
      </c>
      <c r="M3342" s="1">
        <v>44</v>
      </c>
      <c r="N3342" s="1">
        <v>1</v>
      </c>
      <c r="O3342" s="1">
        <v>1</v>
      </c>
      <c r="P3342" s="2">
        <v>1</v>
      </c>
      <c r="Q3342" s="68">
        <v>11</v>
      </c>
    </row>
    <row r="3343" spans="1:17" x14ac:dyDescent="0.25">
      <c r="A3343" s="10">
        <v>441</v>
      </c>
      <c r="B3343" s="10">
        <v>47</v>
      </c>
      <c r="C3343" s="10">
        <v>6</v>
      </c>
      <c r="D3343" s="10">
        <v>4</v>
      </c>
      <c r="E3343" s="10">
        <v>1</v>
      </c>
      <c r="F3343" s="10">
        <v>1</v>
      </c>
      <c r="L3343" s="1">
        <v>413</v>
      </c>
      <c r="M3343" s="1">
        <v>44</v>
      </c>
      <c r="N3343" s="1">
        <v>1</v>
      </c>
      <c r="O3343" s="1">
        <v>1</v>
      </c>
      <c r="P3343" s="2">
        <v>1</v>
      </c>
      <c r="Q3343" s="67">
        <v>3</v>
      </c>
    </row>
    <row r="3344" spans="1:17" x14ac:dyDescent="0.25">
      <c r="A3344" s="10">
        <v>7</v>
      </c>
      <c r="B3344" s="10">
        <v>1</v>
      </c>
      <c r="C3344" s="10">
        <v>6</v>
      </c>
      <c r="D3344" s="10">
        <v>2</v>
      </c>
      <c r="E3344" s="10">
        <v>542</v>
      </c>
      <c r="F3344" s="10">
        <v>542</v>
      </c>
      <c r="L3344" s="1">
        <v>414</v>
      </c>
      <c r="M3344" s="1">
        <v>44</v>
      </c>
      <c r="N3344" s="1">
        <v>1</v>
      </c>
      <c r="O3344" s="1">
        <v>1</v>
      </c>
      <c r="P3344" s="2">
        <v>1</v>
      </c>
      <c r="Q3344" s="68">
        <v>9</v>
      </c>
    </row>
    <row r="3345" spans="1:17" x14ac:dyDescent="0.25">
      <c r="A3345" s="10">
        <v>439</v>
      </c>
      <c r="B3345" s="10">
        <v>47</v>
      </c>
      <c r="C3345" s="10">
        <v>6</v>
      </c>
      <c r="D3345" s="10">
        <v>1</v>
      </c>
      <c r="E3345" s="10">
        <v>6</v>
      </c>
      <c r="F3345" s="10">
        <v>6</v>
      </c>
      <c r="L3345" s="1">
        <v>415</v>
      </c>
      <c r="M3345" s="1">
        <v>45</v>
      </c>
      <c r="N3345" s="1">
        <v>1</v>
      </c>
      <c r="O3345" s="1">
        <v>1</v>
      </c>
      <c r="P3345" s="2">
        <v>1</v>
      </c>
      <c r="Q3345" s="67">
        <v>7</v>
      </c>
    </row>
    <row r="3346" spans="1:17" x14ac:dyDescent="0.25">
      <c r="A3346" s="10">
        <v>439</v>
      </c>
      <c r="B3346" s="10">
        <v>47</v>
      </c>
      <c r="C3346" s="10">
        <v>6</v>
      </c>
      <c r="D3346" s="10">
        <v>2</v>
      </c>
      <c r="E3346" s="10">
        <v>10</v>
      </c>
      <c r="F3346" s="10">
        <v>10</v>
      </c>
      <c r="L3346" s="1">
        <v>416</v>
      </c>
      <c r="M3346" s="1">
        <v>45</v>
      </c>
      <c r="N3346" s="1">
        <v>1</v>
      </c>
      <c r="O3346" s="1">
        <v>1</v>
      </c>
      <c r="P3346" s="2">
        <v>1</v>
      </c>
      <c r="Q3346" s="68">
        <v>9</v>
      </c>
    </row>
    <row r="3347" spans="1:17" x14ac:dyDescent="0.25">
      <c r="A3347" s="10">
        <v>389</v>
      </c>
      <c r="B3347" s="10">
        <v>42</v>
      </c>
      <c r="C3347" s="10">
        <v>6</v>
      </c>
      <c r="D3347" s="10">
        <v>2</v>
      </c>
      <c r="E3347" s="10">
        <v>7</v>
      </c>
      <c r="F3347" s="10">
        <v>7</v>
      </c>
      <c r="L3347" s="1">
        <v>417</v>
      </c>
      <c r="M3347" s="1">
        <v>45</v>
      </c>
      <c r="N3347" s="1">
        <v>1</v>
      </c>
      <c r="O3347" s="1">
        <v>1</v>
      </c>
      <c r="P3347" s="2">
        <v>1</v>
      </c>
      <c r="Q3347" s="67">
        <v>1</v>
      </c>
    </row>
    <row r="3348" spans="1:17" x14ac:dyDescent="0.25">
      <c r="A3348" s="10">
        <v>275</v>
      </c>
      <c r="B3348" s="10">
        <v>30</v>
      </c>
      <c r="C3348" s="10">
        <v>6</v>
      </c>
      <c r="D3348" s="10">
        <v>1</v>
      </c>
      <c r="E3348" s="10">
        <v>18</v>
      </c>
      <c r="F3348" s="10">
        <v>18</v>
      </c>
      <c r="L3348" s="1">
        <v>418</v>
      </c>
      <c r="M3348" s="1">
        <v>45</v>
      </c>
      <c r="N3348" s="1">
        <v>1</v>
      </c>
      <c r="O3348" s="1">
        <v>1</v>
      </c>
      <c r="P3348" s="2">
        <v>1</v>
      </c>
      <c r="Q3348" s="68">
        <v>3</v>
      </c>
    </row>
    <row r="3349" spans="1:17" x14ac:dyDescent="0.25">
      <c r="A3349" s="10">
        <v>275</v>
      </c>
      <c r="B3349" s="10">
        <v>30</v>
      </c>
      <c r="C3349" s="10">
        <v>6</v>
      </c>
      <c r="D3349" s="10">
        <v>2</v>
      </c>
      <c r="E3349" s="10">
        <v>22</v>
      </c>
      <c r="F3349" s="10">
        <v>22</v>
      </c>
      <c r="L3349" s="1">
        <v>419</v>
      </c>
      <c r="M3349" s="1">
        <v>45</v>
      </c>
      <c r="N3349" s="1">
        <v>1</v>
      </c>
      <c r="O3349" s="1">
        <v>1</v>
      </c>
      <c r="P3349" s="2">
        <v>1</v>
      </c>
      <c r="Q3349" s="67">
        <v>13</v>
      </c>
    </row>
    <row r="3350" spans="1:17" x14ac:dyDescent="0.25">
      <c r="A3350" s="10">
        <v>275</v>
      </c>
      <c r="B3350" s="10">
        <v>30</v>
      </c>
      <c r="C3350" s="10">
        <v>6</v>
      </c>
      <c r="D3350" s="10">
        <v>3</v>
      </c>
      <c r="E3350" s="10">
        <v>4</v>
      </c>
      <c r="F3350" s="10">
        <v>4</v>
      </c>
      <c r="L3350" s="1">
        <v>420</v>
      </c>
      <c r="M3350" s="1">
        <v>45</v>
      </c>
      <c r="N3350" s="1">
        <v>1</v>
      </c>
      <c r="O3350" s="1">
        <v>1</v>
      </c>
      <c r="P3350" s="2">
        <v>1</v>
      </c>
      <c r="Q3350" s="68">
        <v>4</v>
      </c>
    </row>
    <row r="3351" spans="1:17" x14ac:dyDescent="0.25">
      <c r="A3351" s="10">
        <v>411</v>
      </c>
      <c r="B3351" s="10">
        <v>44</v>
      </c>
      <c r="C3351" s="10">
        <v>6</v>
      </c>
      <c r="D3351" s="10">
        <v>1</v>
      </c>
      <c r="E3351" s="10">
        <v>28</v>
      </c>
      <c r="F3351" s="10">
        <v>28</v>
      </c>
      <c r="L3351" s="1">
        <v>421</v>
      </c>
      <c r="M3351" s="1">
        <v>45</v>
      </c>
      <c r="N3351" s="1">
        <v>1</v>
      </c>
      <c r="O3351" s="1">
        <v>1</v>
      </c>
      <c r="P3351" s="2">
        <v>1</v>
      </c>
      <c r="Q3351" s="67">
        <v>7</v>
      </c>
    </row>
    <row r="3352" spans="1:17" x14ac:dyDescent="0.25">
      <c r="A3352" s="10">
        <v>411</v>
      </c>
      <c r="B3352" s="10">
        <v>44</v>
      </c>
      <c r="C3352" s="10">
        <v>6</v>
      </c>
      <c r="D3352" s="10">
        <v>2</v>
      </c>
      <c r="E3352" s="10">
        <v>22</v>
      </c>
      <c r="F3352" s="10">
        <v>22</v>
      </c>
      <c r="L3352" s="1">
        <v>422</v>
      </c>
      <c r="M3352" s="1">
        <v>45</v>
      </c>
      <c r="N3352" s="1">
        <v>1</v>
      </c>
      <c r="O3352" s="1">
        <v>1</v>
      </c>
      <c r="P3352" s="2">
        <v>1</v>
      </c>
      <c r="Q3352" s="68">
        <v>10</v>
      </c>
    </row>
    <row r="3353" spans="1:17" x14ac:dyDescent="0.25">
      <c r="A3353" s="10">
        <v>435</v>
      </c>
      <c r="B3353" s="10">
        <v>47</v>
      </c>
      <c r="C3353" s="10">
        <v>6</v>
      </c>
      <c r="D3353" s="10">
        <v>1</v>
      </c>
      <c r="E3353" s="10">
        <v>12</v>
      </c>
      <c r="F3353" s="10">
        <v>12</v>
      </c>
      <c r="L3353" s="1">
        <v>423</v>
      </c>
      <c r="M3353" s="1">
        <v>46</v>
      </c>
      <c r="N3353" s="1">
        <v>1</v>
      </c>
      <c r="O3353" s="1">
        <v>1</v>
      </c>
      <c r="P3353" s="2">
        <v>1</v>
      </c>
      <c r="Q3353" s="67">
        <v>5</v>
      </c>
    </row>
    <row r="3354" spans="1:17" x14ac:dyDescent="0.25">
      <c r="A3354" s="10">
        <v>435</v>
      </c>
      <c r="B3354" s="10">
        <v>47</v>
      </c>
      <c r="C3354" s="10">
        <v>6</v>
      </c>
      <c r="D3354" s="10">
        <v>2</v>
      </c>
      <c r="E3354" s="10">
        <v>8</v>
      </c>
      <c r="F3354" s="10">
        <v>8</v>
      </c>
      <c r="L3354" s="1">
        <v>424</v>
      </c>
      <c r="M3354" s="1">
        <v>46</v>
      </c>
      <c r="N3354" s="1">
        <v>1</v>
      </c>
      <c r="O3354" s="1">
        <v>1</v>
      </c>
      <c r="P3354" s="2">
        <v>1</v>
      </c>
      <c r="Q3354" s="68">
        <v>12</v>
      </c>
    </row>
    <row r="3355" spans="1:17" x14ac:dyDescent="0.25">
      <c r="A3355" s="10">
        <v>419</v>
      </c>
      <c r="B3355" s="10">
        <v>45</v>
      </c>
      <c r="C3355" s="10">
        <v>6</v>
      </c>
      <c r="D3355" s="10">
        <v>1</v>
      </c>
      <c r="E3355" s="10">
        <v>10</v>
      </c>
      <c r="F3355" s="10">
        <v>10</v>
      </c>
      <c r="L3355" s="1">
        <v>425</v>
      </c>
      <c r="M3355" s="1">
        <v>46</v>
      </c>
      <c r="N3355" s="1">
        <v>1</v>
      </c>
      <c r="O3355" s="1">
        <v>1</v>
      </c>
      <c r="P3355" s="2">
        <v>1</v>
      </c>
      <c r="Q3355" s="67">
        <v>6</v>
      </c>
    </row>
    <row r="3356" spans="1:17" x14ac:dyDescent="0.25">
      <c r="A3356" s="10">
        <v>419</v>
      </c>
      <c r="B3356" s="10">
        <v>45</v>
      </c>
      <c r="C3356" s="10">
        <v>6</v>
      </c>
      <c r="D3356" s="10">
        <v>2</v>
      </c>
      <c r="E3356" s="10">
        <v>30</v>
      </c>
      <c r="F3356" s="10">
        <v>30</v>
      </c>
      <c r="L3356" s="1">
        <v>426</v>
      </c>
      <c r="M3356" s="1">
        <v>46</v>
      </c>
      <c r="N3356" s="1">
        <v>1</v>
      </c>
      <c r="O3356" s="1">
        <v>1</v>
      </c>
      <c r="P3356" s="2">
        <v>1</v>
      </c>
      <c r="Q3356" s="68">
        <v>6</v>
      </c>
    </row>
    <row r="3357" spans="1:17" x14ac:dyDescent="0.25">
      <c r="A3357" s="10">
        <v>419</v>
      </c>
      <c r="B3357" s="10">
        <v>45</v>
      </c>
      <c r="C3357" s="10">
        <v>6</v>
      </c>
      <c r="D3357" s="10">
        <v>4</v>
      </c>
      <c r="E3357" s="10">
        <v>5</v>
      </c>
      <c r="F3357" s="10">
        <v>5</v>
      </c>
      <c r="L3357" s="1">
        <v>427</v>
      </c>
      <c r="M3357" s="1">
        <v>46</v>
      </c>
      <c r="N3357" s="1">
        <v>1</v>
      </c>
      <c r="O3357" s="1">
        <v>1</v>
      </c>
      <c r="P3357" s="2">
        <v>1</v>
      </c>
      <c r="Q3357" s="67">
        <v>6</v>
      </c>
    </row>
    <row r="3358" spans="1:17" x14ac:dyDescent="0.25">
      <c r="A3358" s="10">
        <v>433</v>
      </c>
      <c r="B3358" s="10">
        <v>47</v>
      </c>
      <c r="C3358" s="10">
        <v>6</v>
      </c>
      <c r="D3358" s="10">
        <v>1</v>
      </c>
      <c r="E3358" s="10">
        <v>6</v>
      </c>
      <c r="F3358" s="10">
        <v>6</v>
      </c>
      <c r="L3358" s="1">
        <v>428</v>
      </c>
      <c r="M3358" s="1">
        <v>46</v>
      </c>
      <c r="N3358" s="1">
        <v>1</v>
      </c>
      <c r="O3358" s="1">
        <v>1</v>
      </c>
      <c r="P3358" s="2">
        <v>1</v>
      </c>
      <c r="Q3358" s="68">
        <v>7</v>
      </c>
    </row>
    <row r="3359" spans="1:17" x14ac:dyDescent="0.25">
      <c r="A3359" s="10">
        <v>433</v>
      </c>
      <c r="B3359" s="10">
        <v>47</v>
      </c>
      <c r="C3359" s="10">
        <v>6</v>
      </c>
      <c r="D3359" s="10">
        <v>2</v>
      </c>
      <c r="E3359" s="10">
        <v>5</v>
      </c>
      <c r="F3359" s="10">
        <v>5</v>
      </c>
      <c r="L3359" s="1">
        <v>429</v>
      </c>
      <c r="M3359" s="1">
        <v>46</v>
      </c>
      <c r="N3359" s="1">
        <v>1</v>
      </c>
      <c r="O3359" s="1">
        <v>1</v>
      </c>
      <c r="P3359" s="2">
        <v>1</v>
      </c>
      <c r="Q3359" s="67">
        <v>6</v>
      </c>
    </row>
    <row r="3360" spans="1:17" x14ac:dyDescent="0.25">
      <c r="A3360" s="10">
        <v>433</v>
      </c>
      <c r="B3360" s="10">
        <v>47</v>
      </c>
      <c r="C3360" s="10">
        <v>6</v>
      </c>
      <c r="D3360" s="10">
        <v>3</v>
      </c>
      <c r="E3360" s="10">
        <v>2</v>
      </c>
      <c r="F3360" s="10">
        <v>2</v>
      </c>
      <c r="L3360" s="1">
        <v>430</v>
      </c>
      <c r="M3360" s="1">
        <v>46</v>
      </c>
      <c r="N3360" s="1">
        <v>1</v>
      </c>
      <c r="O3360" s="1">
        <v>1</v>
      </c>
      <c r="P3360" s="2">
        <v>1</v>
      </c>
      <c r="Q3360" s="68">
        <v>9</v>
      </c>
    </row>
    <row r="3361" spans="1:17" x14ac:dyDescent="0.25">
      <c r="A3361" s="10">
        <v>417</v>
      </c>
      <c r="B3361" s="10">
        <v>45</v>
      </c>
      <c r="C3361" s="10">
        <v>6</v>
      </c>
      <c r="D3361" s="10">
        <v>1</v>
      </c>
      <c r="E3361" s="10">
        <v>19</v>
      </c>
      <c r="F3361" s="10">
        <v>19</v>
      </c>
      <c r="L3361" s="1">
        <v>431</v>
      </c>
      <c r="M3361" s="1">
        <v>46</v>
      </c>
      <c r="N3361" s="1">
        <v>1</v>
      </c>
      <c r="O3361" s="1">
        <v>1</v>
      </c>
      <c r="P3361" s="2">
        <v>1</v>
      </c>
      <c r="Q3361" s="67">
        <v>2</v>
      </c>
    </row>
    <row r="3362" spans="1:17" x14ac:dyDescent="0.25">
      <c r="A3362" s="10">
        <v>417</v>
      </c>
      <c r="B3362" s="10">
        <v>45</v>
      </c>
      <c r="C3362" s="10">
        <v>6</v>
      </c>
      <c r="D3362" s="10">
        <v>2</v>
      </c>
      <c r="E3362" s="10">
        <v>6</v>
      </c>
      <c r="F3362" s="10">
        <v>6</v>
      </c>
      <c r="L3362" s="1">
        <v>432</v>
      </c>
      <c r="M3362" s="1">
        <v>46</v>
      </c>
      <c r="N3362" s="1">
        <v>1</v>
      </c>
      <c r="O3362" s="1">
        <v>1</v>
      </c>
      <c r="P3362" s="2">
        <v>1</v>
      </c>
      <c r="Q3362" s="68">
        <v>4</v>
      </c>
    </row>
    <row r="3363" spans="1:17" x14ac:dyDescent="0.25">
      <c r="A3363" s="10">
        <v>417</v>
      </c>
      <c r="B3363" s="10">
        <v>45</v>
      </c>
      <c r="C3363" s="10">
        <v>6</v>
      </c>
      <c r="D3363" s="10">
        <v>3</v>
      </c>
      <c r="E3363" s="10">
        <v>4</v>
      </c>
      <c r="F3363" s="10">
        <v>4</v>
      </c>
      <c r="L3363" s="1">
        <v>433</v>
      </c>
      <c r="M3363" s="1">
        <v>47</v>
      </c>
      <c r="N3363" s="1">
        <v>1</v>
      </c>
      <c r="O3363" s="1">
        <v>1</v>
      </c>
      <c r="P3363" s="2">
        <v>1</v>
      </c>
      <c r="Q3363" s="67">
        <v>6</v>
      </c>
    </row>
    <row r="3364" spans="1:17" x14ac:dyDescent="0.25">
      <c r="A3364" s="10">
        <v>417</v>
      </c>
      <c r="B3364" s="10">
        <v>45</v>
      </c>
      <c r="C3364" s="10">
        <v>6</v>
      </c>
      <c r="D3364" s="10">
        <v>4</v>
      </c>
      <c r="E3364" s="10">
        <v>6</v>
      </c>
      <c r="F3364" s="10">
        <v>6</v>
      </c>
      <c r="L3364" s="1">
        <v>434</v>
      </c>
      <c r="M3364" s="1">
        <v>47</v>
      </c>
      <c r="N3364" s="1">
        <v>1</v>
      </c>
      <c r="O3364" s="1">
        <v>1</v>
      </c>
      <c r="P3364" s="2">
        <v>1</v>
      </c>
      <c r="Q3364" s="68">
        <v>15</v>
      </c>
    </row>
    <row r="3365" spans="1:17" x14ac:dyDescent="0.25">
      <c r="A3365" s="10">
        <v>417</v>
      </c>
      <c r="B3365" s="10">
        <v>45</v>
      </c>
      <c r="C3365" s="10">
        <v>6</v>
      </c>
      <c r="D3365" s="10">
        <v>5</v>
      </c>
      <c r="E3365" s="10">
        <v>2</v>
      </c>
      <c r="F3365" s="10">
        <v>2</v>
      </c>
      <c r="L3365" s="1">
        <v>435</v>
      </c>
      <c r="M3365" s="1">
        <v>47</v>
      </c>
      <c r="N3365" s="1">
        <v>1</v>
      </c>
      <c r="O3365" s="1">
        <v>1</v>
      </c>
      <c r="P3365" s="2">
        <v>1</v>
      </c>
      <c r="Q3365" s="67">
        <v>6</v>
      </c>
    </row>
    <row r="3366" spans="1:17" x14ac:dyDescent="0.25">
      <c r="A3366" s="10">
        <v>115</v>
      </c>
      <c r="B3366" s="10">
        <v>13</v>
      </c>
      <c r="C3366" s="10">
        <v>6</v>
      </c>
      <c r="D3366" s="10">
        <v>1</v>
      </c>
      <c r="E3366" s="10">
        <v>15</v>
      </c>
      <c r="F3366" s="10">
        <v>15</v>
      </c>
      <c r="L3366" s="1">
        <v>436</v>
      </c>
      <c r="M3366" s="1">
        <v>47</v>
      </c>
      <c r="N3366" s="1">
        <v>1</v>
      </c>
      <c r="O3366" s="1">
        <v>1</v>
      </c>
      <c r="P3366" s="2">
        <v>1</v>
      </c>
      <c r="Q3366" s="68">
        <v>6</v>
      </c>
    </row>
    <row r="3367" spans="1:17" x14ac:dyDescent="0.25">
      <c r="A3367" s="10">
        <v>115</v>
      </c>
      <c r="B3367" s="10">
        <v>13</v>
      </c>
      <c r="C3367" s="10">
        <v>6</v>
      </c>
      <c r="D3367" s="10">
        <v>2</v>
      </c>
      <c r="E3367" s="10">
        <v>18</v>
      </c>
      <c r="F3367" s="10">
        <v>18</v>
      </c>
      <c r="L3367" s="1">
        <v>437</v>
      </c>
      <c r="M3367" s="1">
        <v>47</v>
      </c>
      <c r="N3367" s="1">
        <v>1</v>
      </c>
      <c r="O3367" s="1">
        <v>1</v>
      </c>
      <c r="P3367" s="2">
        <v>1</v>
      </c>
      <c r="Q3367" s="67">
        <v>1</v>
      </c>
    </row>
    <row r="3368" spans="1:17" x14ac:dyDescent="0.25">
      <c r="A3368" s="10">
        <v>115</v>
      </c>
      <c r="B3368" s="10">
        <v>13</v>
      </c>
      <c r="C3368" s="10">
        <v>6</v>
      </c>
      <c r="D3368" s="10">
        <v>5</v>
      </c>
      <c r="E3368" s="10">
        <v>5</v>
      </c>
      <c r="F3368" s="10">
        <v>5</v>
      </c>
      <c r="L3368" s="1">
        <v>438</v>
      </c>
      <c r="M3368" s="1">
        <v>47</v>
      </c>
      <c r="N3368" s="1">
        <v>1</v>
      </c>
      <c r="O3368" s="1">
        <v>1</v>
      </c>
      <c r="P3368" s="2">
        <v>1</v>
      </c>
      <c r="Q3368" s="68">
        <v>10</v>
      </c>
    </row>
    <row r="3369" spans="1:17" x14ac:dyDescent="0.25">
      <c r="A3369" s="10">
        <v>115</v>
      </c>
      <c r="B3369" s="10">
        <v>13</v>
      </c>
      <c r="C3369" s="10">
        <v>6</v>
      </c>
      <c r="D3369" s="10">
        <v>6</v>
      </c>
      <c r="E3369" s="10">
        <v>3</v>
      </c>
      <c r="F3369" s="10">
        <v>3</v>
      </c>
      <c r="L3369" s="1">
        <v>439</v>
      </c>
      <c r="M3369" s="1">
        <v>47</v>
      </c>
      <c r="N3369" s="1">
        <v>1</v>
      </c>
      <c r="O3369" s="1">
        <v>1</v>
      </c>
      <c r="P3369" s="2">
        <v>1</v>
      </c>
      <c r="Q3369" s="67">
        <v>5</v>
      </c>
    </row>
    <row r="3370" spans="1:17" x14ac:dyDescent="0.25">
      <c r="A3370" s="10">
        <v>336</v>
      </c>
      <c r="B3370" s="10">
        <v>36</v>
      </c>
      <c r="C3370" s="10">
        <v>5</v>
      </c>
      <c r="D3370" s="10">
        <v>1</v>
      </c>
      <c r="E3370" s="10">
        <v>3</v>
      </c>
      <c r="F3370" s="10">
        <v>3</v>
      </c>
      <c r="L3370" s="1">
        <v>440</v>
      </c>
      <c r="M3370" s="1">
        <v>47</v>
      </c>
      <c r="N3370" s="1">
        <v>1</v>
      </c>
      <c r="O3370" s="1">
        <v>1</v>
      </c>
      <c r="P3370" s="2">
        <v>1</v>
      </c>
      <c r="Q3370" s="68">
        <v>13</v>
      </c>
    </row>
    <row r="3371" spans="1:17" x14ac:dyDescent="0.25">
      <c r="A3371" s="10">
        <v>336</v>
      </c>
      <c r="B3371" s="10">
        <v>36</v>
      </c>
      <c r="C3371" s="10">
        <v>5</v>
      </c>
      <c r="D3371" s="10">
        <v>2</v>
      </c>
      <c r="E3371" s="10">
        <v>3</v>
      </c>
      <c r="F3371" s="10">
        <v>3</v>
      </c>
      <c r="L3371" s="1">
        <v>441</v>
      </c>
      <c r="M3371" s="1">
        <v>47</v>
      </c>
      <c r="N3371" s="1">
        <v>1</v>
      </c>
      <c r="O3371" s="1">
        <v>1</v>
      </c>
      <c r="P3371" s="2">
        <v>1</v>
      </c>
      <c r="Q3371" s="67">
        <v>17</v>
      </c>
    </row>
    <row r="3372" spans="1:17" x14ac:dyDescent="0.25">
      <c r="A3372" s="10">
        <v>336</v>
      </c>
      <c r="B3372" s="10">
        <v>36</v>
      </c>
      <c r="C3372" s="10">
        <v>3</v>
      </c>
      <c r="D3372" s="10">
        <v>1</v>
      </c>
      <c r="E3372" s="10">
        <v>4</v>
      </c>
      <c r="F3372" s="10">
        <v>4</v>
      </c>
      <c r="L3372" s="1">
        <v>442</v>
      </c>
      <c r="M3372" s="1">
        <v>47</v>
      </c>
      <c r="N3372" s="1">
        <v>1</v>
      </c>
      <c r="O3372" s="1">
        <v>1</v>
      </c>
      <c r="P3372" s="2">
        <v>1</v>
      </c>
      <c r="Q3372" s="68">
        <v>12</v>
      </c>
    </row>
    <row r="3373" spans="1:17" x14ac:dyDescent="0.25">
      <c r="A3373" s="10">
        <v>46</v>
      </c>
      <c r="B3373" s="10">
        <v>5</v>
      </c>
      <c r="C3373" s="10">
        <v>6</v>
      </c>
      <c r="D3373" s="10">
        <v>2</v>
      </c>
      <c r="E3373" s="10">
        <v>7</v>
      </c>
      <c r="F3373" s="10">
        <v>7</v>
      </c>
      <c r="L3373" s="1">
        <v>443</v>
      </c>
      <c r="M3373" s="1">
        <v>48</v>
      </c>
      <c r="N3373" s="1">
        <v>1</v>
      </c>
      <c r="O3373" s="1">
        <v>1</v>
      </c>
      <c r="P3373" s="2">
        <v>1</v>
      </c>
      <c r="Q3373" s="67">
        <v>14</v>
      </c>
    </row>
    <row r="3374" spans="1:17" x14ac:dyDescent="0.25">
      <c r="A3374" s="10">
        <v>27</v>
      </c>
      <c r="B3374" s="10">
        <v>4</v>
      </c>
      <c r="C3374" s="10">
        <v>6</v>
      </c>
      <c r="D3374" s="10">
        <v>1</v>
      </c>
      <c r="E3374" s="10">
        <v>630</v>
      </c>
      <c r="F3374" s="10">
        <v>630</v>
      </c>
      <c r="L3374" s="1">
        <v>444</v>
      </c>
      <c r="M3374" s="1">
        <v>48</v>
      </c>
      <c r="N3374" s="1">
        <v>1</v>
      </c>
      <c r="O3374" s="1">
        <v>1</v>
      </c>
      <c r="P3374" s="2">
        <v>1</v>
      </c>
      <c r="Q3374" s="68">
        <v>6</v>
      </c>
    </row>
    <row r="3375" spans="1:17" x14ac:dyDescent="0.25">
      <c r="A3375" s="10">
        <v>53</v>
      </c>
      <c r="B3375" s="10">
        <v>6</v>
      </c>
      <c r="C3375" s="10">
        <v>3</v>
      </c>
      <c r="D3375" s="10">
        <v>1</v>
      </c>
      <c r="E3375" s="10">
        <v>8</v>
      </c>
      <c r="F3375" s="10">
        <v>8</v>
      </c>
      <c r="L3375" s="1">
        <v>445</v>
      </c>
      <c r="M3375" s="1">
        <v>48</v>
      </c>
      <c r="N3375" s="1">
        <v>1</v>
      </c>
      <c r="O3375" s="1">
        <v>1</v>
      </c>
      <c r="P3375" s="2">
        <v>1</v>
      </c>
      <c r="Q3375" s="67">
        <v>9</v>
      </c>
    </row>
    <row r="3376" spans="1:17" x14ac:dyDescent="0.25">
      <c r="A3376" s="10">
        <v>334</v>
      </c>
      <c r="B3376" s="10">
        <v>36</v>
      </c>
      <c r="C3376" s="10">
        <v>6</v>
      </c>
      <c r="D3376" s="10">
        <v>1</v>
      </c>
      <c r="E3376" s="10">
        <v>2</v>
      </c>
      <c r="F3376" s="10">
        <v>2</v>
      </c>
      <c r="L3376" s="1">
        <v>446</v>
      </c>
      <c r="M3376" s="1">
        <v>48</v>
      </c>
      <c r="N3376" s="1">
        <v>1</v>
      </c>
      <c r="O3376" s="1">
        <v>1</v>
      </c>
      <c r="P3376" s="2">
        <v>1</v>
      </c>
      <c r="Q3376" s="68">
        <v>2</v>
      </c>
    </row>
    <row r="3377" spans="1:17" x14ac:dyDescent="0.25">
      <c r="A3377" s="10">
        <v>314</v>
      </c>
      <c r="B3377" s="10">
        <v>34</v>
      </c>
      <c r="C3377" s="10">
        <v>6</v>
      </c>
      <c r="D3377" s="10">
        <v>1</v>
      </c>
      <c r="E3377" s="10">
        <v>22</v>
      </c>
      <c r="F3377" s="10">
        <v>22</v>
      </c>
      <c r="L3377" s="1">
        <v>447</v>
      </c>
      <c r="M3377" s="1">
        <v>48</v>
      </c>
      <c r="N3377" s="1">
        <v>1</v>
      </c>
      <c r="O3377" s="1">
        <v>1</v>
      </c>
      <c r="P3377" s="2">
        <v>1</v>
      </c>
      <c r="Q3377" s="67">
        <v>4</v>
      </c>
    </row>
    <row r="3378" spans="1:17" x14ac:dyDescent="0.25">
      <c r="A3378" s="10">
        <v>314</v>
      </c>
      <c r="B3378" s="10">
        <v>34</v>
      </c>
      <c r="C3378" s="10">
        <v>6</v>
      </c>
      <c r="D3378" s="10">
        <v>2</v>
      </c>
      <c r="E3378" s="10">
        <v>26</v>
      </c>
      <c r="F3378" s="10">
        <v>26</v>
      </c>
      <c r="L3378" s="1">
        <v>448</v>
      </c>
      <c r="M3378" s="1">
        <v>48</v>
      </c>
      <c r="N3378" s="1">
        <v>1</v>
      </c>
      <c r="O3378" s="1">
        <v>1</v>
      </c>
      <c r="P3378" s="2">
        <v>1</v>
      </c>
      <c r="Q3378" s="68">
        <v>4</v>
      </c>
    </row>
    <row r="3379" spans="1:17" x14ac:dyDescent="0.25">
      <c r="A3379" s="10">
        <v>17</v>
      </c>
      <c r="B3379" s="10">
        <v>2</v>
      </c>
      <c r="C3379" s="10">
        <v>6</v>
      </c>
      <c r="D3379" s="10">
        <v>2</v>
      </c>
      <c r="E3379" s="10">
        <v>396</v>
      </c>
      <c r="F3379" s="10">
        <v>396</v>
      </c>
      <c r="L3379" s="1">
        <v>449</v>
      </c>
      <c r="M3379" s="1">
        <v>48</v>
      </c>
      <c r="N3379" s="1">
        <v>1</v>
      </c>
      <c r="O3379" s="1">
        <v>1</v>
      </c>
      <c r="P3379" s="2">
        <v>1</v>
      </c>
      <c r="Q3379" s="67">
        <v>13</v>
      </c>
    </row>
    <row r="3380" spans="1:17" x14ac:dyDescent="0.25">
      <c r="A3380" s="10">
        <v>53</v>
      </c>
      <c r="B3380" s="10">
        <v>6</v>
      </c>
      <c r="C3380" s="10">
        <v>4</v>
      </c>
      <c r="D3380" s="10">
        <v>4</v>
      </c>
      <c r="E3380" s="10">
        <v>1</v>
      </c>
      <c r="F3380" s="10">
        <v>1</v>
      </c>
      <c r="L3380" s="1">
        <v>450</v>
      </c>
      <c r="M3380" s="1">
        <v>48</v>
      </c>
      <c r="N3380" s="1">
        <v>1</v>
      </c>
      <c r="O3380" s="1">
        <v>1</v>
      </c>
      <c r="P3380" s="2">
        <v>1</v>
      </c>
      <c r="Q3380" s="68">
        <v>9</v>
      </c>
    </row>
    <row r="3381" spans="1:17" x14ac:dyDescent="0.25">
      <c r="A3381" s="10">
        <v>117</v>
      </c>
      <c r="B3381" s="10">
        <v>13</v>
      </c>
      <c r="C3381" s="10">
        <v>2</v>
      </c>
      <c r="D3381" s="10">
        <v>7</v>
      </c>
      <c r="E3381" s="10">
        <v>1</v>
      </c>
      <c r="F3381" s="10">
        <v>1</v>
      </c>
      <c r="L3381" s="1">
        <v>451</v>
      </c>
      <c r="M3381" s="1">
        <v>48</v>
      </c>
      <c r="N3381" s="1">
        <v>1</v>
      </c>
      <c r="O3381" s="1">
        <v>1</v>
      </c>
      <c r="P3381" s="2">
        <v>1</v>
      </c>
      <c r="Q3381" s="67">
        <v>3</v>
      </c>
    </row>
    <row r="3382" spans="1:17" x14ac:dyDescent="0.25">
      <c r="A3382" s="10">
        <v>53</v>
      </c>
      <c r="B3382" s="10">
        <v>6</v>
      </c>
      <c r="C3382" s="10">
        <v>1</v>
      </c>
      <c r="D3382" s="10">
        <v>2</v>
      </c>
      <c r="E3382" s="10">
        <v>22</v>
      </c>
      <c r="F3382" s="10">
        <v>22</v>
      </c>
      <c r="L3382" s="1">
        <v>452</v>
      </c>
      <c r="M3382" s="1">
        <v>48</v>
      </c>
      <c r="N3382" s="1">
        <v>1</v>
      </c>
      <c r="O3382" s="1">
        <v>1</v>
      </c>
      <c r="P3382" s="2">
        <v>1</v>
      </c>
      <c r="Q3382" s="68">
        <v>5</v>
      </c>
    </row>
    <row r="3383" spans="1:17" x14ac:dyDescent="0.25">
      <c r="A3383" s="10">
        <v>53</v>
      </c>
      <c r="B3383" s="10">
        <v>6</v>
      </c>
      <c r="C3383" s="10">
        <v>1</v>
      </c>
      <c r="D3383" s="10">
        <v>4</v>
      </c>
      <c r="E3383" s="10">
        <v>1</v>
      </c>
      <c r="F3383" s="10">
        <v>1</v>
      </c>
      <c r="L3383" s="1">
        <v>453</v>
      </c>
      <c r="M3383" s="1">
        <v>49</v>
      </c>
      <c r="N3383" s="1">
        <v>1</v>
      </c>
      <c r="O3383" s="1">
        <v>1</v>
      </c>
      <c r="P3383" s="2">
        <v>1</v>
      </c>
      <c r="Q3383" s="67">
        <v>4</v>
      </c>
    </row>
    <row r="3384" spans="1:17" x14ac:dyDescent="0.25">
      <c r="A3384" s="10">
        <v>188</v>
      </c>
      <c r="B3384" s="10">
        <v>20</v>
      </c>
      <c r="C3384" s="10">
        <v>1</v>
      </c>
      <c r="D3384" s="10">
        <v>2</v>
      </c>
      <c r="E3384" s="10">
        <v>4</v>
      </c>
      <c r="F3384" s="10">
        <v>4</v>
      </c>
      <c r="L3384" s="1">
        <v>454</v>
      </c>
      <c r="M3384" s="1">
        <v>49</v>
      </c>
      <c r="N3384" s="1">
        <v>1</v>
      </c>
      <c r="O3384" s="1">
        <v>1</v>
      </c>
      <c r="P3384" s="2">
        <v>1</v>
      </c>
      <c r="Q3384" s="68">
        <v>2</v>
      </c>
    </row>
    <row r="3385" spans="1:17" x14ac:dyDescent="0.25">
      <c r="A3385" s="10">
        <v>266</v>
      </c>
      <c r="B3385" s="10">
        <v>29</v>
      </c>
      <c r="C3385" s="10">
        <v>6</v>
      </c>
      <c r="D3385" s="10">
        <v>1</v>
      </c>
      <c r="E3385" s="10">
        <v>10</v>
      </c>
      <c r="F3385" s="10">
        <v>10</v>
      </c>
      <c r="L3385" s="1">
        <v>455</v>
      </c>
      <c r="M3385" s="1">
        <v>49</v>
      </c>
      <c r="N3385" s="1">
        <v>1</v>
      </c>
      <c r="O3385" s="1">
        <v>1</v>
      </c>
      <c r="P3385" s="2">
        <v>1</v>
      </c>
      <c r="Q3385" s="67">
        <v>4</v>
      </c>
    </row>
    <row r="3386" spans="1:17" x14ac:dyDescent="0.25">
      <c r="A3386" s="10">
        <v>117</v>
      </c>
      <c r="B3386" s="10">
        <v>13</v>
      </c>
      <c r="C3386" s="10">
        <v>4</v>
      </c>
      <c r="D3386" s="10">
        <v>7</v>
      </c>
      <c r="E3386" s="10">
        <v>1</v>
      </c>
      <c r="F3386" s="10">
        <v>1</v>
      </c>
      <c r="L3386" s="1">
        <v>456</v>
      </c>
      <c r="M3386" s="1">
        <v>49</v>
      </c>
      <c r="N3386" s="1">
        <v>1</v>
      </c>
      <c r="O3386" s="1">
        <v>1</v>
      </c>
      <c r="P3386" s="2">
        <v>1</v>
      </c>
      <c r="Q3386" s="68">
        <v>1</v>
      </c>
    </row>
    <row r="3387" spans="1:17" x14ac:dyDescent="0.25">
      <c r="A3387" s="10">
        <v>188</v>
      </c>
      <c r="B3387" s="10">
        <v>20</v>
      </c>
      <c r="C3387" s="10">
        <v>2</v>
      </c>
      <c r="D3387" s="10">
        <v>1</v>
      </c>
      <c r="E3387" s="10">
        <v>4</v>
      </c>
      <c r="F3387" s="10">
        <v>4</v>
      </c>
      <c r="L3387" s="1">
        <v>457</v>
      </c>
      <c r="M3387" s="1">
        <v>49</v>
      </c>
      <c r="N3387" s="1">
        <v>1</v>
      </c>
      <c r="O3387" s="1">
        <v>1</v>
      </c>
      <c r="P3387" s="2">
        <v>1</v>
      </c>
      <c r="Q3387" s="67">
        <v>0</v>
      </c>
    </row>
    <row r="3388" spans="1:17" x14ac:dyDescent="0.25">
      <c r="A3388" s="10">
        <v>266</v>
      </c>
      <c r="B3388" s="10">
        <v>29</v>
      </c>
      <c r="C3388" s="10">
        <v>6</v>
      </c>
      <c r="D3388" s="10">
        <v>5</v>
      </c>
      <c r="E3388" s="10">
        <v>8</v>
      </c>
      <c r="F3388" s="10">
        <v>8</v>
      </c>
      <c r="L3388" s="1">
        <v>458</v>
      </c>
      <c r="M3388" s="1">
        <v>49</v>
      </c>
      <c r="N3388" s="1">
        <v>1</v>
      </c>
      <c r="O3388" s="1">
        <v>1</v>
      </c>
      <c r="P3388" s="2">
        <v>1</v>
      </c>
      <c r="Q3388" s="68">
        <v>2</v>
      </c>
    </row>
    <row r="3389" spans="1:17" x14ac:dyDescent="0.25">
      <c r="A3389" s="10">
        <v>117</v>
      </c>
      <c r="B3389" s="10">
        <v>13</v>
      </c>
      <c r="C3389" s="10">
        <v>5</v>
      </c>
      <c r="D3389" s="10">
        <v>2</v>
      </c>
      <c r="E3389" s="10">
        <v>5</v>
      </c>
      <c r="F3389" s="10">
        <v>5</v>
      </c>
      <c r="L3389" s="1">
        <v>459</v>
      </c>
      <c r="M3389" s="1">
        <v>49</v>
      </c>
      <c r="N3389" s="1">
        <v>1</v>
      </c>
      <c r="O3389" s="1">
        <v>1</v>
      </c>
      <c r="P3389" s="2">
        <v>1</v>
      </c>
      <c r="Q3389" s="67">
        <v>2</v>
      </c>
    </row>
    <row r="3390" spans="1:17" x14ac:dyDescent="0.25">
      <c r="A3390" s="10">
        <v>117</v>
      </c>
      <c r="B3390" s="10">
        <v>13</v>
      </c>
      <c r="C3390" s="10">
        <v>6</v>
      </c>
      <c r="D3390" s="10">
        <v>2</v>
      </c>
      <c r="E3390" s="10">
        <v>5</v>
      </c>
      <c r="F3390" s="10">
        <v>5</v>
      </c>
      <c r="L3390" s="1">
        <v>460</v>
      </c>
      <c r="M3390" s="1">
        <v>49</v>
      </c>
      <c r="N3390" s="1">
        <v>1</v>
      </c>
      <c r="O3390" s="1">
        <v>1</v>
      </c>
      <c r="P3390" s="2">
        <v>1</v>
      </c>
      <c r="Q3390" s="68">
        <v>6</v>
      </c>
    </row>
    <row r="3391" spans="1:17" x14ac:dyDescent="0.25">
      <c r="A3391" s="10">
        <v>188</v>
      </c>
      <c r="B3391" s="10">
        <v>20</v>
      </c>
      <c r="C3391" s="10">
        <v>4</v>
      </c>
      <c r="D3391" s="10">
        <v>2</v>
      </c>
      <c r="E3391" s="10">
        <v>4</v>
      </c>
      <c r="F3391" s="10">
        <v>4</v>
      </c>
      <c r="L3391" s="1">
        <v>461</v>
      </c>
      <c r="M3391" s="1">
        <v>49</v>
      </c>
      <c r="N3391" s="1">
        <v>1</v>
      </c>
      <c r="O3391" s="1">
        <v>1</v>
      </c>
      <c r="P3391" s="2">
        <v>1</v>
      </c>
      <c r="Q3391" s="67">
        <v>5</v>
      </c>
    </row>
    <row r="3392" spans="1:17" x14ac:dyDescent="0.25">
      <c r="A3392" s="10">
        <v>7</v>
      </c>
      <c r="B3392" s="10">
        <v>1</v>
      </c>
      <c r="C3392" s="10">
        <v>6</v>
      </c>
      <c r="D3392" s="10">
        <v>1</v>
      </c>
      <c r="E3392" s="10">
        <v>455</v>
      </c>
      <c r="F3392" s="10">
        <v>455</v>
      </c>
      <c r="L3392" s="1">
        <v>462</v>
      </c>
      <c r="M3392" s="1">
        <v>49</v>
      </c>
      <c r="N3392" s="1">
        <v>1</v>
      </c>
      <c r="O3392" s="1">
        <v>1</v>
      </c>
      <c r="P3392" s="2">
        <v>1</v>
      </c>
      <c r="Q3392" s="68">
        <v>4</v>
      </c>
    </row>
    <row r="3393" spans="1:17" x14ac:dyDescent="0.25">
      <c r="A3393" s="10">
        <v>389</v>
      </c>
      <c r="B3393" s="10">
        <v>42</v>
      </c>
      <c r="C3393" s="10">
        <v>6</v>
      </c>
      <c r="D3393" s="10">
        <v>1</v>
      </c>
      <c r="E3393" s="10">
        <v>8</v>
      </c>
      <c r="F3393" s="10">
        <v>8</v>
      </c>
      <c r="L3393" s="1">
        <v>463</v>
      </c>
      <c r="M3393" s="1">
        <v>50</v>
      </c>
      <c r="N3393" s="1">
        <v>1</v>
      </c>
      <c r="O3393" s="1">
        <v>1</v>
      </c>
      <c r="P3393" s="2">
        <v>1</v>
      </c>
      <c r="Q3393" s="67">
        <v>0</v>
      </c>
    </row>
    <row r="3394" spans="1:17" x14ac:dyDescent="0.25">
      <c r="A3394" s="10">
        <v>115</v>
      </c>
      <c r="B3394" s="10">
        <v>13</v>
      </c>
      <c r="C3394" s="10">
        <v>6</v>
      </c>
      <c r="D3394" s="10">
        <v>7</v>
      </c>
      <c r="E3394" s="10">
        <v>3</v>
      </c>
      <c r="F3394" s="10">
        <v>3</v>
      </c>
      <c r="L3394" s="1">
        <v>464</v>
      </c>
      <c r="M3394" s="1">
        <v>50</v>
      </c>
      <c r="N3394" s="1">
        <v>1</v>
      </c>
      <c r="O3394" s="1">
        <v>1</v>
      </c>
      <c r="P3394" s="2">
        <v>1</v>
      </c>
      <c r="Q3394" s="68">
        <v>5</v>
      </c>
    </row>
    <row r="3395" spans="1:17" x14ac:dyDescent="0.25">
      <c r="A3395" s="10">
        <v>336</v>
      </c>
      <c r="B3395" s="10">
        <v>36</v>
      </c>
      <c r="C3395" s="10">
        <v>3</v>
      </c>
      <c r="D3395" s="10">
        <v>2</v>
      </c>
      <c r="E3395" s="10">
        <v>3</v>
      </c>
      <c r="F3395" s="10">
        <v>3</v>
      </c>
      <c r="L3395" s="1">
        <v>465</v>
      </c>
      <c r="M3395" s="1">
        <v>50</v>
      </c>
      <c r="N3395" s="1">
        <v>1</v>
      </c>
      <c r="O3395" s="1">
        <v>1</v>
      </c>
      <c r="P3395" s="2">
        <v>1</v>
      </c>
      <c r="Q3395" s="67">
        <v>13</v>
      </c>
    </row>
    <row r="3396" spans="1:17" x14ac:dyDescent="0.25">
      <c r="A3396" s="10">
        <v>336</v>
      </c>
      <c r="B3396" s="10">
        <v>36</v>
      </c>
      <c r="C3396" s="10">
        <v>6</v>
      </c>
      <c r="D3396" s="10">
        <v>1</v>
      </c>
      <c r="E3396" s="10">
        <v>5</v>
      </c>
      <c r="F3396" s="10">
        <v>5</v>
      </c>
      <c r="L3396" s="1">
        <v>466</v>
      </c>
      <c r="M3396" s="1">
        <v>50</v>
      </c>
      <c r="N3396" s="1">
        <v>1</v>
      </c>
      <c r="O3396" s="1">
        <v>1</v>
      </c>
      <c r="P3396" s="2">
        <v>1</v>
      </c>
      <c r="Q3396" s="68">
        <v>5</v>
      </c>
    </row>
    <row r="3397" spans="1:17" x14ac:dyDescent="0.25">
      <c r="A3397" s="10">
        <v>336</v>
      </c>
      <c r="B3397" s="10">
        <v>36</v>
      </c>
      <c r="C3397" s="10">
        <v>6</v>
      </c>
      <c r="D3397" s="10">
        <v>2</v>
      </c>
      <c r="E3397" s="10">
        <v>2</v>
      </c>
      <c r="F3397" s="10">
        <v>2</v>
      </c>
      <c r="L3397" s="1">
        <v>467</v>
      </c>
      <c r="M3397" s="1">
        <v>50</v>
      </c>
      <c r="N3397" s="1">
        <v>1</v>
      </c>
      <c r="O3397" s="1">
        <v>1</v>
      </c>
      <c r="P3397" s="2">
        <v>1</v>
      </c>
      <c r="Q3397" s="67">
        <v>1</v>
      </c>
    </row>
    <row r="3398" spans="1:17" x14ac:dyDescent="0.25">
      <c r="A3398" s="10">
        <v>336</v>
      </c>
      <c r="B3398" s="10">
        <v>36</v>
      </c>
      <c r="C3398" s="10">
        <v>4</v>
      </c>
      <c r="D3398" s="10">
        <v>1</v>
      </c>
      <c r="E3398" s="10">
        <v>13</v>
      </c>
      <c r="F3398" s="10">
        <v>13</v>
      </c>
      <c r="L3398" s="1">
        <v>468</v>
      </c>
      <c r="M3398" s="1">
        <v>50</v>
      </c>
      <c r="N3398" s="1">
        <v>1</v>
      </c>
      <c r="O3398" s="1">
        <v>1</v>
      </c>
      <c r="P3398" s="2">
        <v>1</v>
      </c>
      <c r="Q3398" s="68">
        <v>4</v>
      </c>
    </row>
    <row r="3399" spans="1:17" x14ac:dyDescent="0.25">
      <c r="A3399" s="10">
        <v>336</v>
      </c>
      <c r="B3399" s="10">
        <v>36</v>
      </c>
      <c r="C3399" s="10">
        <v>4</v>
      </c>
      <c r="D3399" s="10">
        <v>2</v>
      </c>
      <c r="E3399" s="10">
        <v>9</v>
      </c>
      <c r="F3399" s="10">
        <v>9</v>
      </c>
      <c r="L3399" s="1">
        <v>469</v>
      </c>
      <c r="M3399" s="1">
        <v>50</v>
      </c>
      <c r="N3399" s="1">
        <v>1</v>
      </c>
      <c r="O3399" s="1">
        <v>1</v>
      </c>
      <c r="P3399" s="2">
        <v>1</v>
      </c>
      <c r="Q3399" s="67">
        <v>0</v>
      </c>
    </row>
    <row r="3400" spans="1:17" x14ac:dyDescent="0.25">
      <c r="A3400" s="10">
        <v>442</v>
      </c>
      <c r="B3400" s="10">
        <v>47</v>
      </c>
      <c r="C3400" s="10">
        <v>6</v>
      </c>
      <c r="D3400" s="10">
        <v>1</v>
      </c>
      <c r="E3400" s="10">
        <v>18</v>
      </c>
      <c r="F3400" s="10">
        <v>18</v>
      </c>
      <c r="L3400" s="1">
        <v>470</v>
      </c>
      <c r="M3400" s="1">
        <v>50</v>
      </c>
      <c r="N3400" s="1">
        <v>1</v>
      </c>
      <c r="O3400" s="1">
        <v>1</v>
      </c>
      <c r="P3400" s="2">
        <v>1</v>
      </c>
      <c r="Q3400" s="68">
        <v>11</v>
      </c>
    </row>
    <row r="3401" spans="1:17" x14ac:dyDescent="0.25">
      <c r="A3401" s="10">
        <v>442</v>
      </c>
      <c r="B3401" s="10">
        <v>47</v>
      </c>
      <c r="C3401" s="10">
        <v>6</v>
      </c>
      <c r="D3401" s="10">
        <v>2</v>
      </c>
      <c r="E3401" s="10">
        <v>30</v>
      </c>
      <c r="F3401" s="10">
        <v>30</v>
      </c>
      <c r="L3401" s="1">
        <v>471</v>
      </c>
      <c r="M3401" s="1">
        <v>50</v>
      </c>
      <c r="N3401" s="1">
        <v>1</v>
      </c>
      <c r="O3401" s="1">
        <v>1</v>
      </c>
      <c r="P3401" s="2">
        <v>1</v>
      </c>
      <c r="Q3401" s="67">
        <v>5</v>
      </c>
    </row>
    <row r="3402" spans="1:17" x14ac:dyDescent="0.25">
      <c r="A3402" s="10">
        <v>442</v>
      </c>
      <c r="B3402" s="10">
        <v>47</v>
      </c>
      <c r="C3402" s="10">
        <v>6</v>
      </c>
      <c r="D3402" s="10">
        <v>7</v>
      </c>
      <c r="E3402" s="10">
        <v>1</v>
      </c>
      <c r="F3402" s="10">
        <v>1</v>
      </c>
      <c r="L3402" s="1">
        <v>472</v>
      </c>
      <c r="M3402" s="1">
        <v>50</v>
      </c>
      <c r="N3402" s="1">
        <v>1</v>
      </c>
      <c r="O3402" s="1">
        <v>1</v>
      </c>
      <c r="P3402" s="2">
        <v>1</v>
      </c>
      <c r="Q3402" s="68">
        <v>4</v>
      </c>
    </row>
    <row r="3403" spans="1:17" x14ac:dyDescent="0.25">
      <c r="A3403" s="10">
        <v>440</v>
      </c>
      <c r="B3403" s="10">
        <v>47</v>
      </c>
      <c r="C3403" s="10">
        <v>6</v>
      </c>
      <c r="D3403" s="10">
        <v>1</v>
      </c>
      <c r="E3403" s="10">
        <v>9</v>
      </c>
      <c r="F3403" s="10">
        <v>9</v>
      </c>
      <c r="L3403" s="1">
        <v>473</v>
      </c>
      <c r="M3403" s="1">
        <v>51</v>
      </c>
      <c r="N3403" s="1">
        <v>1</v>
      </c>
      <c r="O3403" s="1">
        <v>1</v>
      </c>
      <c r="P3403" s="2">
        <v>1</v>
      </c>
      <c r="Q3403" s="67">
        <v>0</v>
      </c>
    </row>
    <row r="3404" spans="1:17" x14ac:dyDescent="0.25">
      <c r="A3404" s="10">
        <v>440</v>
      </c>
      <c r="B3404" s="10">
        <v>47</v>
      </c>
      <c r="C3404" s="10">
        <v>6</v>
      </c>
      <c r="D3404" s="10">
        <v>2</v>
      </c>
      <c r="E3404" s="10">
        <v>9</v>
      </c>
      <c r="F3404" s="10">
        <v>9</v>
      </c>
      <c r="L3404" s="1">
        <v>474</v>
      </c>
      <c r="M3404" s="1">
        <v>51</v>
      </c>
      <c r="N3404" s="1">
        <v>1</v>
      </c>
      <c r="O3404" s="1">
        <v>1</v>
      </c>
      <c r="P3404" s="2">
        <v>1</v>
      </c>
      <c r="Q3404" s="68">
        <v>2</v>
      </c>
    </row>
    <row r="3405" spans="1:17" x14ac:dyDescent="0.25">
      <c r="A3405" s="10">
        <v>337</v>
      </c>
      <c r="B3405" s="10">
        <v>36</v>
      </c>
      <c r="C3405" s="10">
        <v>6</v>
      </c>
      <c r="D3405" s="10">
        <v>1</v>
      </c>
      <c r="E3405" s="10">
        <v>1</v>
      </c>
      <c r="F3405" s="10">
        <v>1</v>
      </c>
      <c r="L3405" s="1">
        <v>475</v>
      </c>
      <c r="M3405" s="1">
        <v>51</v>
      </c>
      <c r="N3405" s="1">
        <v>1</v>
      </c>
      <c r="O3405" s="1">
        <v>1</v>
      </c>
      <c r="P3405" s="2">
        <v>1</v>
      </c>
      <c r="Q3405" s="67">
        <v>1</v>
      </c>
    </row>
    <row r="3406" spans="1:17" x14ac:dyDescent="0.25">
      <c r="A3406" s="10">
        <v>337</v>
      </c>
      <c r="B3406" s="10">
        <v>36</v>
      </c>
      <c r="C3406" s="10">
        <v>6</v>
      </c>
      <c r="D3406" s="10">
        <v>2</v>
      </c>
      <c r="E3406" s="10">
        <v>2</v>
      </c>
      <c r="F3406" s="10">
        <v>2</v>
      </c>
      <c r="L3406" s="1">
        <v>476</v>
      </c>
      <c r="M3406" s="1">
        <v>51</v>
      </c>
      <c r="N3406" s="1">
        <v>1</v>
      </c>
      <c r="O3406" s="1">
        <v>1</v>
      </c>
      <c r="P3406" s="2">
        <v>1</v>
      </c>
      <c r="Q3406" s="68">
        <v>3</v>
      </c>
    </row>
    <row r="3407" spans="1:17" x14ac:dyDescent="0.25">
      <c r="A3407" s="10">
        <v>421</v>
      </c>
      <c r="B3407" s="10">
        <v>45</v>
      </c>
      <c r="C3407" s="10">
        <v>6</v>
      </c>
      <c r="D3407" s="10">
        <v>1</v>
      </c>
      <c r="E3407" s="10">
        <v>10</v>
      </c>
      <c r="F3407" s="10">
        <v>10</v>
      </c>
      <c r="L3407" s="1">
        <v>477</v>
      </c>
      <c r="M3407" s="1">
        <v>51</v>
      </c>
      <c r="N3407" s="1">
        <v>1</v>
      </c>
      <c r="O3407" s="1">
        <v>1</v>
      </c>
      <c r="P3407" s="2">
        <v>1</v>
      </c>
      <c r="Q3407" s="67">
        <v>3</v>
      </c>
    </row>
    <row r="3408" spans="1:17" x14ac:dyDescent="0.25">
      <c r="A3408" s="10">
        <v>421</v>
      </c>
      <c r="B3408" s="10">
        <v>45</v>
      </c>
      <c r="C3408" s="10">
        <v>6</v>
      </c>
      <c r="D3408" s="10">
        <v>2</v>
      </c>
      <c r="E3408" s="10">
        <v>3</v>
      </c>
      <c r="F3408" s="10">
        <v>3</v>
      </c>
      <c r="L3408" s="1">
        <v>478</v>
      </c>
      <c r="M3408" s="1">
        <v>51</v>
      </c>
      <c r="N3408" s="1">
        <v>1</v>
      </c>
      <c r="O3408" s="1">
        <v>1</v>
      </c>
      <c r="P3408" s="2">
        <v>1</v>
      </c>
      <c r="Q3408" s="68">
        <v>3</v>
      </c>
    </row>
    <row r="3409" spans="1:17" x14ac:dyDescent="0.25">
      <c r="A3409" s="10">
        <v>421</v>
      </c>
      <c r="B3409" s="10">
        <v>45</v>
      </c>
      <c r="C3409" s="10">
        <v>6</v>
      </c>
      <c r="D3409" s="10">
        <v>3</v>
      </c>
      <c r="E3409" s="10">
        <v>2</v>
      </c>
      <c r="F3409" s="10">
        <v>2</v>
      </c>
      <c r="L3409" s="1">
        <v>479</v>
      </c>
      <c r="M3409" s="1">
        <v>51</v>
      </c>
      <c r="N3409" s="1">
        <v>1</v>
      </c>
      <c r="O3409" s="1">
        <v>1</v>
      </c>
      <c r="P3409" s="2">
        <v>1</v>
      </c>
      <c r="Q3409" s="67">
        <v>2</v>
      </c>
    </row>
    <row r="3410" spans="1:17" x14ac:dyDescent="0.25">
      <c r="A3410" s="10">
        <v>421</v>
      </c>
      <c r="B3410" s="10">
        <v>45</v>
      </c>
      <c r="C3410" s="10">
        <v>6</v>
      </c>
      <c r="D3410" s="10">
        <v>4</v>
      </c>
      <c r="E3410" s="10">
        <v>2</v>
      </c>
      <c r="F3410" s="10">
        <v>2</v>
      </c>
      <c r="L3410" s="1">
        <v>480</v>
      </c>
      <c r="M3410" s="1">
        <v>51</v>
      </c>
      <c r="N3410" s="1">
        <v>1</v>
      </c>
      <c r="O3410" s="1">
        <v>1</v>
      </c>
      <c r="P3410" s="2">
        <v>1</v>
      </c>
      <c r="Q3410" s="68">
        <v>8</v>
      </c>
    </row>
    <row r="3411" spans="1:17" x14ac:dyDescent="0.25">
      <c r="A3411" s="10">
        <v>9</v>
      </c>
      <c r="B3411" s="10">
        <v>1</v>
      </c>
      <c r="C3411" s="10">
        <v>6</v>
      </c>
      <c r="D3411" s="10">
        <v>2</v>
      </c>
      <c r="E3411" s="10">
        <v>46</v>
      </c>
      <c r="F3411" s="10">
        <v>46</v>
      </c>
      <c r="L3411" s="1">
        <v>481</v>
      </c>
      <c r="M3411" s="1">
        <v>51</v>
      </c>
      <c r="N3411" s="1">
        <v>1</v>
      </c>
      <c r="O3411" s="1">
        <v>1</v>
      </c>
      <c r="P3411" s="2">
        <v>1</v>
      </c>
      <c r="Q3411" s="67">
        <v>1</v>
      </c>
    </row>
    <row r="3412" spans="1:17" x14ac:dyDescent="0.25">
      <c r="A3412" s="10">
        <v>9</v>
      </c>
      <c r="B3412" s="10">
        <v>1</v>
      </c>
      <c r="C3412" s="10">
        <v>6</v>
      </c>
      <c r="D3412" s="10">
        <v>1</v>
      </c>
      <c r="E3412" s="10">
        <v>4</v>
      </c>
      <c r="F3412" s="10">
        <v>4</v>
      </c>
      <c r="L3412" s="1">
        <v>482</v>
      </c>
      <c r="M3412" s="1">
        <v>51</v>
      </c>
      <c r="N3412" s="1">
        <v>1</v>
      </c>
      <c r="O3412" s="1">
        <v>1</v>
      </c>
      <c r="P3412" s="2">
        <v>1</v>
      </c>
      <c r="Q3412" s="68">
        <v>7</v>
      </c>
    </row>
    <row r="3413" spans="1:17" x14ac:dyDescent="0.25">
      <c r="A3413" s="10">
        <v>274</v>
      </c>
      <c r="B3413" s="10">
        <v>30</v>
      </c>
      <c r="C3413" s="10">
        <v>6</v>
      </c>
      <c r="D3413" s="10">
        <v>1</v>
      </c>
      <c r="E3413" s="10">
        <v>22</v>
      </c>
      <c r="F3413" s="10">
        <v>22</v>
      </c>
      <c r="L3413" s="1">
        <v>483</v>
      </c>
      <c r="M3413" s="1">
        <v>52</v>
      </c>
      <c r="N3413" s="1">
        <v>1</v>
      </c>
      <c r="O3413" s="1">
        <v>1</v>
      </c>
      <c r="P3413" s="2">
        <v>1</v>
      </c>
      <c r="Q3413" s="67">
        <v>1</v>
      </c>
    </row>
    <row r="3414" spans="1:17" x14ac:dyDescent="0.25">
      <c r="A3414" s="10">
        <v>274</v>
      </c>
      <c r="B3414" s="10">
        <v>30</v>
      </c>
      <c r="C3414" s="10">
        <v>6</v>
      </c>
      <c r="D3414" s="10">
        <v>2</v>
      </c>
      <c r="E3414" s="10">
        <v>33</v>
      </c>
      <c r="F3414" s="10">
        <v>33</v>
      </c>
      <c r="L3414" s="1">
        <v>484</v>
      </c>
      <c r="M3414" s="1">
        <v>52</v>
      </c>
      <c r="N3414" s="1">
        <v>1</v>
      </c>
      <c r="O3414" s="1">
        <v>1</v>
      </c>
      <c r="P3414" s="2">
        <v>1</v>
      </c>
      <c r="Q3414" s="68">
        <v>1</v>
      </c>
    </row>
    <row r="3415" spans="1:17" x14ac:dyDescent="0.25">
      <c r="A3415" s="10">
        <v>274</v>
      </c>
      <c r="B3415" s="10">
        <v>30</v>
      </c>
      <c r="C3415" s="10">
        <v>6</v>
      </c>
      <c r="D3415" s="10">
        <v>3</v>
      </c>
      <c r="E3415" s="10">
        <v>1</v>
      </c>
      <c r="F3415" s="10">
        <v>1</v>
      </c>
      <c r="L3415" s="1">
        <v>485</v>
      </c>
      <c r="M3415" s="1">
        <v>52</v>
      </c>
      <c r="N3415" s="1">
        <v>1</v>
      </c>
      <c r="O3415" s="1">
        <v>1</v>
      </c>
      <c r="P3415" s="2">
        <v>1</v>
      </c>
      <c r="Q3415" s="67">
        <v>3</v>
      </c>
    </row>
    <row r="3416" spans="1:17" x14ac:dyDescent="0.25">
      <c r="A3416" s="10">
        <v>394</v>
      </c>
      <c r="B3416" s="10">
        <v>42</v>
      </c>
      <c r="C3416" s="10">
        <v>6</v>
      </c>
      <c r="D3416" s="10">
        <v>1</v>
      </c>
      <c r="E3416" s="10">
        <v>14</v>
      </c>
      <c r="F3416" s="10">
        <v>14</v>
      </c>
      <c r="L3416" s="1">
        <v>486</v>
      </c>
      <c r="M3416" s="1">
        <v>52</v>
      </c>
      <c r="N3416" s="1">
        <v>1</v>
      </c>
      <c r="O3416" s="1">
        <v>1</v>
      </c>
      <c r="P3416" s="2">
        <v>1</v>
      </c>
      <c r="Q3416" s="68">
        <v>4</v>
      </c>
    </row>
    <row r="3417" spans="1:17" x14ac:dyDescent="0.25">
      <c r="A3417" s="10">
        <v>394</v>
      </c>
      <c r="B3417" s="10">
        <v>42</v>
      </c>
      <c r="C3417" s="10">
        <v>6</v>
      </c>
      <c r="D3417" s="10">
        <v>2</v>
      </c>
      <c r="E3417" s="10">
        <v>7</v>
      </c>
      <c r="F3417" s="10">
        <v>7</v>
      </c>
      <c r="L3417" s="1">
        <v>487</v>
      </c>
      <c r="M3417" s="1">
        <v>52</v>
      </c>
      <c r="N3417" s="1">
        <v>1</v>
      </c>
      <c r="O3417" s="1">
        <v>1</v>
      </c>
      <c r="P3417" s="2">
        <v>1</v>
      </c>
      <c r="Q3417" s="67">
        <v>1</v>
      </c>
    </row>
    <row r="3418" spans="1:17" x14ac:dyDescent="0.25">
      <c r="A3418" s="10">
        <v>272</v>
      </c>
      <c r="B3418" s="10">
        <v>30</v>
      </c>
      <c r="C3418" s="10">
        <v>6</v>
      </c>
      <c r="D3418" s="10">
        <v>1</v>
      </c>
      <c r="E3418" s="10">
        <v>20</v>
      </c>
      <c r="F3418" s="10">
        <v>20</v>
      </c>
      <c r="L3418" s="1">
        <v>488</v>
      </c>
      <c r="M3418" s="1">
        <v>52</v>
      </c>
      <c r="N3418" s="1">
        <v>1</v>
      </c>
      <c r="O3418" s="1">
        <v>1</v>
      </c>
      <c r="P3418" s="2">
        <v>1</v>
      </c>
      <c r="Q3418" s="68">
        <v>1</v>
      </c>
    </row>
    <row r="3419" spans="1:17" x14ac:dyDescent="0.25">
      <c r="A3419" s="10">
        <v>272</v>
      </c>
      <c r="B3419" s="10">
        <v>30</v>
      </c>
      <c r="C3419" s="10">
        <v>6</v>
      </c>
      <c r="D3419" s="10">
        <v>2</v>
      </c>
      <c r="E3419" s="10">
        <v>23</v>
      </c>
      <c r="F3419" s="10">
        <v>23</v>
      </c>
      <c r="L3419" s="1">
        <v>1</v>
      </c>
      <c r="M3419" s="1">
        <v>1</v>
      </c>
      <c r="N3419" s="1">
        <v>1</v>
      </c>
      <c r="O3419" s="1">
        <v>4</v>
      </c>
      <c r="P3419" s="2">
        <v>1</v>
      </c>
      <c r="Q3419" s="67">
        <v>27</v>
      </c>
    </row>
    <row r="3420" spans="1:17" x14ac:dyDescent="0.25">
      <c r="A3420" s="10">
        <v>392</v>
      </c>
      <c r="B3420" s="10">
        <v>42</v>
      </c>
      <c r="C3420" s="10">
        <v>6</v>
      </c>
      <c r="D3420" s="10">
        <v>1</v>
      </c>
      <c r="E3420" s="10">
        <v>3</v>
      </c>
      <c r="F3420" s="10">
        <v>3</v>
      </c>
      <c r="L3420" s="1">
        <v>2</v>
      </c>
      <c r="M3420" s="1">
        <v>1</v>
      </c>
      <c r="N3420" s="1">
        <v>1</v>
      </c>
      <c r="O3420" s="1">
        <v>4</v>
      </c>
      <c r="P3420" s="2">
        <v>1</v>
      </c>
      <c r="Q3420" s="68">
        <v>18</v>
      </c>
    </row>
    <row r="3421" spans="1:17" x14ac:dyDescent="0.25">
      <c r="A3421" s="10">
        <v>392</v>
      </c>
      <c r="B3421" s="10">
        <v>42</v>
      </c>
      <c r="C3421" s="10">
        <v>6</v>
      </c>
      <c r="D3421" s="10">
        <v>2</v>
      </c>
      <c r="E3421" s="10">
        <v>32</v>
      </c>
      <c r="F3421" s="10">
        <v>32</v>
      </c>
      <c r="L3421" s="1">
        <v>3</v>
      </c>
      <c r="M3421" s="1">
        <v>1</v>
      </c>
      <c r="N3421" s="1">
        <v>1</v>
      </c>
      <c r="O3421" s="1">
        <v>4</v>
      </c>
      <c r="P3421" s="2">
        <v>1</v>
      </c>
      <c r="Q3421" s="67">
        <v>0</v>
      </c>
    </row>
    <row r="3422" spans="1:17" x14ac:dyDescent="0.25">
      <c r="A3422" s="10">
        <v>390</v>
      </c>
      <c r="B3422" s="10">
        <v>42</v>
      </c>
      <c r="C3422" s="10">
        <v>6</v>
      </c>
      <c r="D3422" s="10">
        <v>1</v>
      </c>
      <c r="E3422" s="10">
        <v>11</v>
      </c>
      <c r="F3422" s="10">
        <v>11</v>
      </c>
      <c r="L3422" s="1">
        <v>4</v>
      </c>
      <c r="M3422" s="1">
        <v>1</v>
      </c>
      <c r="N3422" s="1">
        <v>1</v>
      </c>
      <c r="O3422" s="1">
        <v>4</v>
      </c>
      <c r="P3422" s="2">
        <v>1</v>
      </c>
      <c r="Q3422" s="68">
        <v>0</v>
      </c>
    </row>
    <row r="3423" spans="1:17" x14ac:dyDescent="0.25">
      <c r="A3423" s="10">
        <v>390</v>
      </c>
      <c r="B3423" s="10">
        <v>42</v>
      </c>
      <c r="C3423" s="10">
        <v>6</v>
      </c>
      <c r="D3423" s="10">
        <v>2</v>
      </c>
      <c r="E3423" s="10">
        <v>17</v>
      </c>
      <c r="F3423" s="10">
        <v>17</v>
      </c>
      <c r="L3423" s="1">
        <v>5</v>
      </c>
      <c r="M3423" s="1">
        <v>1</v>
      </c>
      <c r="N3423" s="1">
        <v>1</v>
      </c>
      <c r="O3423" s="1">
        <v>4</v>
      </c>
      <c r="P3423" s="2">
        <v>1</v>
      </c>
      <c r="Q3423" s="67">
        <v>5</v>
      </c>
    </row>
    <row r="3424" spans="1:17" x14ac:dyDescent="0.25">
      <c r="A3424" s="10">
        <v>131</v>
      </c>
      <c r="B3424" s="10">
        <v>14</v>
      </c>
      <c r="C3424" s="10">
        <v>7</v>
      </c>
      <c r="D3424" s="10">
        <v>1</v>
      </c>
      <c r="E3424" s="10">
        <v>10</v>
      </c>
      <c r="F3424" s="10">
        <v>10</v>
      </c>
      <c r="L3424" s="1">
        <v>6</v>
      </c>
      <c r="M3424" s="1">
        <v>1</v>
      </c>
      <c r="N3424" s="1">
        <v>1</v>
      </c>
      <c r="O3424" s="1">
        <v>4</v>
      </c>
      <c r="P3424" s="2">
        <v>1</v>
      </c>
      <c r="Q3424" s="68">
        <v>10</v>
      </c>
    </row>
    <row r="3425" spans="1:17" x14ac:dyDescent="0.25">
      <c r="A3425" s="10">
        <v>131</v>
      </c>
      <c r="B3425" s="10">
        <v>14</v>
      </c>
      <c r="C3425" s="10">
        <v>7</v>
      </c>
      <c r="D3425" s="10">
        <v>2</v>
      </c>
      <c r="E3425" s="10">
        <v>15</v>
      </c>
      <c r="F3425" s="10">
        <v>15</v>
      </c>
      <c r="L3425" s="1">
        <v>7</v>
      </c>
      <c r="M3425" s="1">
        <v>1</v>
      </c>
      <c r="N3425" s="1">
        <v>1</v>
      </c>
      <c r="O3425" s="1">
        <v>4</v>
      </c>
      <c r="P3425" s="2">
        <v>1</v>
      </c>
      <c r="Q3425" s="67">
        <v>24</v>
      </c>
    </row>
    <row r="3426" spans="1:17" x14ac:dyDescent="0.25">
      <c r="A3426" s="10">
        <v>153</v>
      </c>
      <c r="B3426" s="10">
        <v>17</v>
      </c>
      <c r="C3426" s="10">
        <v>7</v>
      </c>
      <c r="D3426" s="10">
        <v>1</v>
      </c>
      <c r="E3426" s="10">
        <v>20</v>
      </c>
      <c r="F3426" s="10">
        <v>20</v>
      </c>
      <c r="L3426" s="1">
        <v>8</v>
      </c>
      <c r="M3426" s="1">
        <v>1</v>
      </c>
      <c r="N3426" s="1">
        <v>1</v>
      </c>
      <c r="O3426" s="1">
        <v>4</v>
      </c>
      <c r="P3426" s="2">
        <v>1</v>
      </c>
      <c r="Q3426" s="68">
        <v>11</v>
      </c>
    </row>
    <row r="3427" spans="1:17" x14ac:dyDescent="0.25">
      <c r="A3427" s="10">
        <v>41</v>
      </c>
      <c r="B3427" s="10">
        <v>5</v>
      </c>
      <c r="C3427" s="10">
        <v>7</v>
      </c>
      <c r="D3427" s="10">
        <v>1</v>
      </c>
      <c r="E3427" s="10">
        <v>4</v>
      </c>
      <c r="F3427" s="10">
        <v>4</v>
      </c>
      <c r="L3427" s="1">
        <v>9</v>
      </c>
      <c r="M3427" s="1">
        <v>1</v>
      </c>
      <c r="N3427" s="1">
        <v>1</v>
      </c>
      <c r="O3427" s="1">
        <v>4</v>
      </c>
      <c r="P3427" s="2">
        <v>1</v>
      </c>
      <c r="Q3427" s="67">
        <v>16</v>
      </c>
    </row>
    <row r="3428" spans="1:17" x14ac:dyDescent="0.25">
      <c r="A3428" s="10">
        <v>41</v>
      </c>
      <c r="B3428" s="10">
        <v>5</v>
      </c>
      <c r="C3428" s="10">
        <v>7</v>
      </c>
      <c r="D3428" s="10">
        <v>2</v>
      </c>
      <c r="E3428" s="10">
        <v>1</v>
      </c>
      <c r="F3428" s="10">
        <v>1</v>
      </c>
      <c r="L3428" s="1">
        <v>10</v>
      </c>
      <c r="M3428" s="1">
        <v>1</v>
      </c>
      <c r="N3428" s="1">
        <v>1</v>
      </c>
      <c r="O3428" s="1">
        <v>4</v>
      </c>
      <c r="P3428" s="2">
        <v>1</v>
      </c>
      <c r="Q3428" s="68">
        <v>12</v>
      </c>
    </row>
    <row r="3429" spans="1:17" x14ac:dyDescent="0.25">
      <c r="A3429" s="10">
        <v>153</v>
      </c>
      <c r="B3429" s="10">
        <v>17</v>
      </c>
      <c r="C3429" s="10">
        <v>7</v>
      </c>
      <c r="D3429" s="10">
        <v>2</v>
      </c>
      <c r="E3429" s="10">
        <v>14</v>
      </c>
      <c r="F3429" s="10">
        <v>14</v>
      </c>
      <c r="L3429" s="1">
        <v>11</v>
      </c>
      <c r="M3429" s="1">
        <v>2</v>
      </c>
      <c r="N3429" s="1">
        <v>1</v>
      </c>
      <c r="O3429" s="1">
        <v>4</v>
      </c>
      <c r="P3429" s="2">
        <v>1</v>
      </c>
      <c r="Q3429" s="67">
        <v>17</v>
      </c>
    </row>
    <row r="3430" spans="1:17" x14ac:dyDescent="0.25">
      <c r="A3430" s="10">
        <v>153</v>
      </c>
      <c r="B3430" s="10">
        <v>17</v>
      </c>
      <c r="C3430" s="10">
        <v>7</v>
      </c>
      <c r="D3430" s="10">
        <v>3</v>
      </c>
      <c r="E3430" s="10">
        <v>9</v>
      </c>
      <c r="F3430" s="10">
        <v>9</v>
      </c>
      <c r="L3430" s="1">
        <v>12</v>
      </c>
      <c r="M3430" s="1">
        <v>2</v>
      </c>
      <c r="N3430" s="1">
        <v>1</v>
      </c>
      <c r="O3430" s="1">
        <v>4</v>
      </c>
      <c r="P3430" s="2">
        <v>1</v>
      </c>
      <c r="Q3430" s="68">
        <v>4</v>
      </c>
    </row>
    <row r="3431" spans="1:17" x14ac:dyDescent="0.25">
      <c r="A3431" s="10">
        <v>249</v>
      </c>
      <c r="B3431" s="10">
        <v>27</v>
      </c>
      <c r="C3431" s="10">
        <v>7</v>
      </c>
      <c r="D3431" s="10">
        <v>1</v>
      </c>
      <c r="E3431" s="10">
        <v>6</v>
      </c>
      <c r="F3431" s="10">
        <v>6</v>
      </c>
      <c r="L3431" s="1">
        <v>13</v>
      </c>
      <c r="M3431" s="1">
        <v>2</v>
      </c>
      <c r="N3431" s="1">
        <v>1</v>
      </c>
      <c r="O3431" s="1">
        <v>4</v>
      </c>
      <c r="P3431" s="2">
        <v>1</v>
      </c>
      <c r="Q3431" s="67">
        <v>12</v>
      </c>
    </row>
    <row r="3432" spans="1:17" x14ac:dyDescent="0.25">
      <c r="A3432" s="10">
        <v>249</v>
      </c>
      <c r="B3432" s="10">
        <v>27</v>
      </c>
      <c r="C3432" s="10">
        <v>7</v>
      </c>
      <c r="D3432" s="10">
        <v>2</v>
      </c>
      <c r="E3432" s="10">
        <v>8</v>
      </c>
      <c r="F3432" s="10">
        <v>8</v>
      </c>
      <c r="L3432" s="1">
        <v>14</v>
      </c>
      <c r="M3432" s="1">
        <v>2</v>
      </c>
      <c r="N3432" s="1">
        <v>1</v>
      </c>
      <c r="O3432" s="1">
        <v>4</v>
      </c>
      <c r="P3432" s="2">
        <v>1</v>
      </c>
      <c r="Q3432" s="68">
        <v>15</v>
      </c>
    </row>
    <row r="3433" spans="1:17" x14ac:dyDescent="0.25">
      <c r="A3433" s="10">
        <v>265</v>
      </c>
      <c r="B3433" s="10">
        <v>29</v>
      </c>
      <c r="C3433" s="10">
        <v>7</v>
      </c>
      <c r="D3433" s="10">
        <v>2</v>
      </c>
      <c r="E3433" s="10">
        <v>2</v>
      </c>
      <c r="F3433" s="10">
        <v>2</v>
      </c>
      <c r="L3433" s="1">
        <v>15</v>
      </c>
      <c r="M3433" s="1">
        <v>2</v>
      </c>
      <c r="N3433" s="1">
        <v>1</v>
      </c>
      <c r="O3433" s="1">
        <v>4</v>
      </c>
      <c r="P3433" s="2">
        <v>1</v>
      </c>
      <c r="Q3433" s="67">
        <v>12</v>
      </c>
    </row>
    <row r="3434" spans="1:17" x14ac:dyDescent="0.25">
      <c r="A3434" s="10">
        <v>127</v>
      </c>
      <c r="B3434" s="10">
        <v>14</v>
      </c>
      <c r="C3434" s="10">
        <v>7</v>
      </c>
      <c r="D3434" s="10">
        <v>1</v>
      </c>
      <c r="E3434" s="10">
        <v>36</v>
      </c>
      <c r="F3434" s="10">
        <v>36</v>
      </c>
      <c r="L3434" s="1">
        <v>16</v>
      </c>
      <c r="M3434" s="1">
        <v>2</v>
      </c>
      <c r="N3434" s="1">
        <v>1</v>
      </c>
      <c r="O3434" s="1">
        <v>4</v>
      </c>
      <c r="P3434" s="2">
        <v>1</v>
      </c>
      <c r="Q3434" s="68">
        <v>11</v>
      </c>
    </row>
    <row r="3435" spans="1:17" x14ac:dyDescent="0.25">
      <c r="A3435" s="10">
        <v>127</v>
      </c>
      <c r="B3435" s="10">
        <v>14</v>
      </c>
      <c r="C3435" s="10">
        <v>7</v>
      </c>
      <c r="D3435" s="10">
        <v>2</v>
      </c>
      <c r="E3435" s="10">
        <v>27</v>
      </c>
      <c r="F3435" s="10">
        <v>27</v>
      </c>
      <c r="L3435" s="1">
        <v>17</v>
      </c>
      <c r="M3435" s="1">
        <v>2</v>
      </c>
      <c r="N3435" s="1">
        <v>1</v>
      </c>
      <c r="O3435" s="1">
        <v>4</v>
      </c>
      <c r="P3435" s="2">
        <v>1</v>
      </c>
      <c r="Q3435" s="67">
        <v>18</v>
      </c>
    </row>
    <row r="3436" spans="1:17" x14ac:dyDescent="0.25">
      <c r="A3436" s="10">
        <v>201</v>
      </c>
      <c r="B3436" s="10">
        <v>22</v>
      </c>
      <c r="C3436" s="10">
        <v>7</v>
      </c>
      <c r="D3436" s="10">
        <v>1</v>
      </c>
      <c r="E3436" s="10">
        <v>26</v>
      </c>
      <c r="F3436" s="10">
        <v>26</v>
      </c>
      <c r="L3436" s="1">
        <v>18</v>
      </c>
      <c r="M3436" s="1">
        <v>2</v>
      </c>
      <c r="N3436" s="1">
        <v>1</v>
      </c>
      <c r="O3436" s="1">
        <v>4</v>
      </c>
      <c r="P3436" s="2">
        <v>1</v>
      </c>
      <c r="Q3436" s="68">
        <v>11</v>
      </c>
    </row>
    <row r="3437" spans="1:17" x14ac:dyDescent="0.25">
      <c r="A3437" s="10">
        <v>201</v>
      </c>
      <c r="B3437" s="10">
        <v>22</v>
      </c>
      <c r="C3437" s="10">
        <v>7</v>
      </c>
      <c r="D3437" s="10">
        <v>2</v>
      </c>
      <c r="E3437" s="10">
        <v>10</v>
      </c>
      <c r="F3437" s="10">
        <v>10</v>
      </c>
      <c r="L3437" s="1">
        <v>19</v>
      </c>
      <c r="M3437" s="1">
        <v>2</v>
      </c>
      <c r="N3437" s="1">
        <v>1</v>
      </c>
      <c r="O3437" s="1">
        <v>4</v>
      </c>
      <c r="P3437" s="2">
        <v>1</v>
      </c>
      <c r="Q3437" s="67">
        <v>12</v>
      </c>
    </row>
    <row r="3438" spans="1:17" x14ac:dyDescent="0.25">
      <c r="A3438" s="10">
        <v>121</v>
      </c>
      <c r="B3438" s="10">
        <v>13</v>
      </c>
      <c r="C3438" s="10">
        <v>7</v>
      </c>
      <c r="D3438" s="10">
        <v>1</v>
      </c>
      <c r="E3438" s="10">
        <v>7</v>
      </c>
      <c r="F3438" s="10">
        <v>7</v>
      </c>
      <c r="L3438" s="1">
        <v>20</v>
      </c>
      <c r="M3438" s="1">
        <v>2</v>
      </c>
      <c r="N3438" s="1">
        <v>1</v>
      </c>
      <c r="O3438" s="1">
        <v>4</v>
      </c>
      <c r="P3438" s="2">
        <v>1</v>
      </c>
      <c r="Q3438" s="68">
        <v>10</v>
      </c>
    </row>
    <row r="3439" spans="1:17" x14ac:dyDescent="0.25">
      <c r="A3439" s="10">
        <v>121</v>
      </c>
      <c r="B3439" s="10">
        <v>13</v>
      </c>
      <c r="C3439" s="10">
        <v>7</v>
      </c>
      <c r="D3439" s="10">
        <v>2</v>
      </c>
      <c r="E3439" s="10">
        <v>4</v>
      </c>
      <c r="F3439" s="10">
        <v>4</v>
      </c>
      <c r="L3439" s="1">
        <v>21</v>
      </c>
      <c r="M3439" s="1">
        <v>3</v>
      </c>
      <c r="N3439" s="1">
        <v>1</v>
      </c>
      <c r="O3439" s="1">
        <v>4</v>
      </c>
      <c r="P3439" s="2">
        <v>1</v>
      </c>
      <c r="Q3439" s="67">
        <v>12</v>
      </c>
    </row>
    <row r="3440" spans="1:17" x14ac:dyDescent="0.25">
      <c r="A3440" s="10">
        <v>121</v>
      </c>
      <c r="B3440" s="10">
        <v>13</v>
      </c>
      <c r="C3440" s="10">
        <v>7</v>
      </c>
      <c r="D3440" s="10">
        <v>3</v>
      </c>
      <c r="E3440" s="10">
        <v>6</v>
      </c>
      <c r="F3440" s="10">
        <v>6</v>
      </c>
      <c r="L3440" s="1">
        <v>22</v>
      </c>
      <c r="M3440" s="1">
        <v>3</v>
      </c>
      <c r="N3440" s="1">
        <v>1</v>
      </c>
      <c r="O3440" s="1">
        <v>4</v>
      </c>
      <c r="P3440" s="2">
        <v>1</v>
      </c>
      <c r="Q3440" s="68">
        <v>3</v>
      </c>
    </row>
    <row r="3441" spans="1:17" x14ac:dyDescent="0.25">
      <c r="A3441" s="10">
        <v>201</v>
      </c>
      <c r="B3441" s="10">
        <v>22</v>
      </c>
      <c r="C3441" s="10">
        <v>7</v>
      </c>
      <c r="D3441" s="10">
        <v>3</v>
      </c>
      <c r="E3441" s="10">
        <v>2</v>
      </c>
      <c r="F3441" s="10">
        <v>2</v>
      </c>
      <c r="L3441" s="1">
        <v>23</v>
      </c>
      <c r="M3441" s="1">
        <v>3</v>
      </c>
      <c r="N3441" s="1">
        <v>1</v>
      </c>
      <c r="O3441" s="1">
        <v>4</v>
      </c>
      <c r="P3441" s="2">
        <v>1</v>
      </c>
      <c r="Q3441" s="67">
        <v>2</v>
      </c>
    </row>
    <row r="3442" spans="1:17" x14ac:dyDescent="0.25">
      <c r="A3442" s="10">
        <v>319</v>
      </c>
      <c r="B3442" s="10">
        <v>34</v>
      </c>
      <c r="C3442" s="10">
        <v>6</v>
      </c>
      <c r="D3442" s="10">
        <v>1</v>
      </c>
      <c r="E3442" s="10">
        <v>1</v>
      </c>
      <c r="F3442" s="10">
        <v>1</v>
      </c>
      <c r="L3442" s="1">
        <v>24</v>
      </c>
      <c r="M3442" s="1">
        <v>3</v>
      </c>
      <c r="N3442" s="1">
        <v>1</v>
      </c>
      <c r="O3442" s="1">
        <v>4</v>
      </c>
      <c r="P3442" s="2">
        <v>1</v>
      </c>
      <c r="Q3442" s="68">
        <v>0</v>
      </c>
    </row>
    <row r="3443" spans="1:17" x14ac:dyDescent="0.25">
      <c r="A3443" s="10">
        <v>319</v>
      </c>
      <c r="B3443" s="10">
        <v>34</v>
      </c>
      <c r="C3443" s="10">
        <v>6</v>
      </c>
      <c r="D3443" s="10">
        <v>2</v>
      </c>
      <c r="E3443" s="10">
        <v>21</v>
      </c>
      <c r="F3443" s="10">
        <v>21</v>
      </c>
      <c r="L3443" s="1">
        <v>25</v>
      </c>
      <c r="M3443" s="1">
        <v>3</v>
      </c>
      <c r="N3443" s="1">
        <v>1</v>
      </c>
      <c r="O3443" s="1">
        <v>4</v>
      </c>
      <c r="P3443" s="2">
        <v>1</v>
      </c>
      <c r="Q3443" s="67">
        <v>3</v>
      </c>
    </row>
    <row r="3444" spans="1:17" x14ac:dyDescent="0.25">
      <c r="A3444" s="10">
        <v>248</v>
      </c>
      <c r="B3444" s="10">
        <v>27</v>
      </c>
      <c r="C3444" s="10">
        <v>7</v>
      </c>
      <c r="D3444" s="10">
        <v>2</v>
      </c>
      <c r="E3444" s="10">
        <v>1</v>
      </c>
      <c r="F3444" s="10">
        <v>1</v>
      </c>
      <c r="L3444" s="1">
        <v>26</v>
      </c>
      <c r="M3444" s="1">
        <v>3</v>
      </c>
      <c r="N3444" s="1">
        <v>1</v>
      </c>
      <c r="O3444" s="1">
        <v>4</v>
      </c>
      <c r="P3444" s="2">
        <v>1</v>
      </c>
      <c r="Q3444" s="68">
        <v>6</v>
      </c>
    </row>
    <row r="3445" spans="1:17" x14ac:dyDescent="0.25">
      <c r="A3445" s="10">
        <v>434</v>
      </c>
      <c r="B3445" s="10">
        <v>47</v>
      </c>
      <c r="C3445" s="10">
        <v>7</v>
      </c>
      <c r="D3445" s="10">
        <v>1</v>
      </c>
      <c r="E3445" s="10">
        <v>10</v>
      </c>
      <c r="F3445" s="10">
        <v>10</v>
      </c>
      <c r="L3445" s="1">
        <v>27</v>
      </c>
      <c r="M3445" s="1">
        <v>4</v>
      </c>
      <c r="N3445" s="1">
        <v>1</v>
      </c>
      <c r="O3445" s="1">
        <v>4</v>
      </c>
      <c r="P3445" s="2">
        <v>1</v>
      </c>
      <c r="Q3445" s="67">
        <v>1</v>
      </c>
    </row>
    <row r="3446" spans="1:17" x14ac:dyDescent="0.25">
      <c r="A3446" s="10">
        <v>434</v>
      </c>
      <c r="B3446" s="10">
        <v>47</v>
      </c>
      <c r="C3446" s="10">
        <v>7</v>
      </c>
      <c r="D3446" s="10">
        <v>2</v>
      </c>
      <c r="E3446" s="10">
        <v>14</v>
      </c>
      <c r="F3446" s="10">
        <v>14</v>
      </c>
      <c r="L3446" s="1">
        <v>28</v>
      </c>
      <c r="M3446" s="1">
        <v>4</v>
      </c>
      <c r="N3446" s="1">
        <v>1</v>
      </c>
      <c r="O3446" s="1">
        <v>4</v>
      </c>
      <c r="P3446" s="2">
        <v>1</v>
      </c>
      <c r="Q3446" s="68">
        <v>7</v>
      </c>
    </row>
    <row r="3447" spans="1:17" x14ac:dyDescent="0.25">
      <c r="A3447" s="10">
        <v>418</v>
      </c>
      <c r="B3447" s="10">
        <v>45</v>
      </c>
      <c r="C3447" s="10">
        <v>7</v>
      </c>
      <c r="D3447" s="10">
        <v>1</v>
      </c>
      <c r="E3447" s="10">
        <v>9</v>
      </c>
      <c r="F3447" s="10">
        <v>9</v>
      </c>
      <c r="L3447" s="1">
        <v>29</v>
      </c>
      <c r="M3447" s="1">
        <v>4</v>
      </c>
      <c r="N3447" s="1">
        <v>1</v>
      </c>
      <c r="O3447" s="1">
        <v>4</v>
      </c>
      <c r="P3447" s="2">
        <v>1</v>
      </c>
      <c r="Q3447" s="67">
        <v>2</v>
      </c>
    </row>
    <row r="3448" spans="1:17" x14ac:dyDescent="0.25">
      <c r="A3448" s="10">
        <v>418</v>
      </c>
      <c r="B3448" s="10">
        <v>45</v>
      </c>
      <c r="C3448" s="10">
        <v>7</v>
      </c>
      <c r="D3448" s="10">
        <v>2</v>
      </c>
      <c r="E3448" s="10">
        <v>4</v>
      </c>
      <c r="F3448" s="10">
        <v>4</v>
      </c>
      <c r="L3448" s="1">
        <v>30</v>
      </c>
      <c r="M3448" s="1">
        <v>4</v>
      </c>
      <c r="N3448" s="1">
        <v>1</v>
      </c>
      <c r="O3448" s="1">
        <v>4</v>
      </c>
      <c r="P3448" s="2">
        <v>1</v>
      </c>
      <c r="Q3448" s="68">
        <v>1</v>
      </c>
    </row>
    <row r="3449" spans="1:17" x14ac:dyDescent="0.25">
      <c r="A3449" s="10">
        <v>131</v>
      </c>
      <c r="B3449" s="10">
        <v>14</v>
      </c>
      <c r="C3449" s="10">
        <v>8</v>
      </c>
      <c r="D3449" s="10">
        <v>1</v>
      </c>
      <c r="E3449" s="10">
        <v>25</v>
      </c>
      <c r="F3449" s="10">
        <v>25</v>
      </c>
      <c r="L3449" s="1">
        <v>31</v>
      </c>
      <c r="M3449" s="1">
        <v>4</v>
      </c>
      <c r="N3449" s="1">
        <v>1</v>
      </c>
      <c r="O3449" s="1">
        <v>4</v>
      </c>
      <c r="P3449" s="2">
        <v>1</v>
      </c>
      <c r="Q3449" s="67">
        <v>2</v>
      </c>
    </row>
    <row r="3450" spans="1:17" x14ac:dyDescent="0.25">
      <c r="A3450" s="10">
        <v>436</v>
      </c>
      <c r="B3450" s="10">
        <v>47</v>
      </c>
      <c r="C3450" s="10">
        <v>7</v>
      </c>
      <c r="D3450" s="10">
        <v>1</v>
      </c>
      <c r="E3450" s="10">
        <v>25</v>
      </c>
      <c r="F3450" s="10">
        <v>25</v>
      </c>
      <c r="L3450" s="1">
        <v>32</v>
      </c>
      <c r="M3450" s="1">
        <v>4</v>
      </c>
      <c r="N3450" s="1">
        <v>1</v>
      </c>
      <c r="O3450" s="1">
        <v>4</v>
      </c>
      <c r="P3450" s="2">
        <v>1</v>
      </c>
      <c r="Q3450" s="68">
        <v>3</v>
      </c>
    </row>
    <row r="3451" spans="1:17" x14ac:dyDescent="0.25">
      <c r="A3451" s="10">
        <v>131</v>
      </c>
      <c r="B3451" s="10">
        <v>14</v>
      </c>
      <c r="C3451" s="10">
        <v>8</v>
      </c>
      <c r="D3451" s="10">
        <v>2</v>
      </c>
      <c r="E3451" s="10">
        <v>3</v>
      </c>
      <c r="F3451" s="10">
        <v>3</v>
      </c>
      <c r="L3451" s="1">
        <v>33</v>
      </c>
      <c r="M3451" s="1">
        <v>4</v>
      </c>
      <c r="N3451" s="1">
        <v>1</v>
      </c>
      <c r="O3451" s="1">
        <v>4</v>
      </c>
      <c r="P3451" s="2">
        <v>1</v>
      </c>
      <c r="Q3451" s="67">
        <v>0</v>
      </c>
    </row>
    <row r="3452" spans="1:17" x14ac:dyDescent="0.25">
      <c r="A3452" s="10">
        <v>436</v>
      </c>
      <c r="B3452" s="10">
        <v>47</v>
      </c>
      <c r="C3452" s="10">
        <v>7</v>
      </c>
      <c r="D3452" s="10">
        <v>2</v>
      </c>
      <c r="E3452" s="10">
        <v>25</v>
      </c>
      <c r="F3452" s="10">
        <v>25</v>
      </c>
      <c r="L3452" s="1">
        <v>34</v>
      </c>
      <c r="M3452" s="1">
        <v>4</v>
      </c>
      <c r="N3452" s="1">
        <v>1</v>
      </c>
      <c r="O3452" s="1">
        <v>4</v>
      </c>
      <c r="P3452" s="2">
        <v>1</v>
      </c>
      <c r="Q3452" s="68">
        <v>2</v>
      </c>
    </row>
    <row r="3453" spans="1:17" x14ac:dyDescent="0.25">
      <c r="A3453" s="10">
        <v>33</v>
      </c>
      <c r="B3453" s="10">
        <v>4</v>
      </c>
      <c r="C3453" s="10">
        <v>7</v>
      </c>
      <c r="D3453" s="10">
        <v>1</v>
      </c>
      <c r="E3453" s="10">
        <v>21</v>
      </c>
      <c r="F3453" s="10">
        <v>21</v>
      </c>
      <c r="L3453" s="1">
        <v>35</v>
      </c>
      <c r="M3453" s="1">
        <v>4</v>
      </c>
      <c r="N3453" s="1">
        <v>1</v>
      </c>
      <c r="O3453" s="1">
        <v>4</v>
      </c>
      <c r="P3453" s="2">
        <v>1</v>
      </c>
      <c r="Q3453" s="67">
        <v>0</v>
      </c>
    </row>
    <row r="3454" spans="1:17" x14ac:dyDescent="0.25">
      <c r="A3454" s="10">
        <v>33</v>
      </c>
      <c r="B3454" s="10">
        <v>4</v>
      </c>
      <c r="C3454" s="10">
        <v>7</v>
      </c>
      <c r="D3454" s="10">
        <v>2</v>
      </c>
      <c r="E3454" s="10">
        <v>13</v>
      </c>
      <c r="F3454" s="10">
        <v>13</v>
      </c>
      <c r="L3454" s="1">
        <v>36</v>
      </c>
      <c r="M3454" s="1">
        <v>4</v>
      </c>
      <c r="N3454" s="1">
        <v>1</v>
      </c>
      <c r="O3454" s="1">
        <v>4</v>
      </c>
      <c r="P3454" s="2">
        <v>1</v>
      </c>
      <c r="Q3454" s="68">
        <v>0</v>
      </c>
    </row>
    <row r="3455" spans="1:17" x14ac:dyDescent="0.25">
      <c r="A3455" s="10">
        <v>53</v>
      </c>
      <c r="B3455" s="10">
        <v>6</v>
      </c>
      <c r="C3455" s="10">
        <v>7</v>
      </c>
      <c r="D3455" s="10">
        <v>1</v>
      </c>
      <c r="E3455" s="10">
        <v>5</v>
      </c>
      <c r="F3455" s="10">
        <v>5</v>
      </c>
      <c r="L3455" s="1">
        <v>37</v>
      </c>
      <c r="M3455" s="1">
        <v>5</v>
      </c>
      <c r="N3455" s="1">
        <v>1</v>
      </c>
      <c r="O3455" s="1">
        <v>4</v>
      </c>
      <c r="P3455" s="2">
        <v>1</v>
      </c>
      <c r="Q3455" s="67">
        <v>1</v>
      </c>
    </row>
    <row r="3456" spans="1:17" x14ac:dyDescent="0.25">
      <c r="A3456" s="10">
        <v>53</v>
      </c>
      <c r="B3456" s="10">
        <v>6</v>
      </c>
      <c r="C3456" s="10">
        <v>7</v>
      </c>
      <c r="D3456" s="10">
        <v>2</v>
      </c>
      <c r="E3456" s="10">
        <v>10</v>
      </c>
      <c r="F3456" s="10">
        <v>10</v>
      </c>
      <c r="L3456" s="1">
        <v>38</v>
      </c>
      <c r="M3456" s="1">
        <v>5</v>
      </c>
      <c r="N3456" s="1">
        <v>1</v>
      </c>
      <c r="O3456" s="1">
        <v>4</v>
      </c>
      <c r="P3456" s="2">
        <v>1</v>
      </c>
      <c r="Q3456" s="68">
        <v>12</v>
      </c>
    </row>
    <row r="3457" spans="1:17" x14ac:dyDescent="0.25">
      <c r="A3457" s="10">
        <v>131</v>
      </c>
      <c r="B3457" s="10">
        <v>14</v>
      </c>
      <c r="C3457" s="10">
        <v>8</v>
      </c>
      <c r="D3457" s="10">
        <v>3</v>
      </c>
      <c r="E3457" s="10">
        <v>1</v>
      </c>
      <c r="F3457" s="10">
        <v>1</v>
      </c>
      <c r="L3457" s="1">
        <v>39</v>
      </c>
      <c r="M3457" s="1">
        <v>5</v>
      </c>
      <c r="N3457" s="1">
        <v>1</v>
      </c>
      <c r="O3457" s="1">
        <v>4</v>
      </c>
      <c r="P3457" s="2">
        <v>1</v>
      </c>
      <c r="Q3457" s="67">
        <v>0</v>
      </c>
    </row>
    <row r="3458" spans="1:17" x14ac:dyDescent="0.25">
      <c r="A3458" s="10">
        <v>53</v>
      </c>
      <c r="B3458" s="10">
        <v>6</v>
      </c>
      <c r="C3458" s="10">
        <v>7</v>
      </c>
      <c r="D3458" s="10">
        <v>3</v>
      </c>
      <c r="E3458" s="10">
        <v>4</v>
      </c>
      <c r="F3458" s="10">
        <v>4</v>
      </c>
      <c r="L3458" s="1">
        <v>40</v>
      </c>
      <c r="M3458" s="1">
        <v>5</v>
      </c>
      <c r="N3458" s="1">
        <v>1</v>
      </c>
      <c r="O3458" s="1">
        <v>4</v>
      </c>
      <c r="P3458" s="2">
        <v>1</v>
      </c>
      <c r="Q3458" s="68">
        <v>2</v>
      </c>
    </row>
    <row r="3459" spans="1:17" x14ac:dyDescent="0.25">
      <c r="A3459" s="10">
        <v>336</v>
      </c>
      <c r="B3459" s="10">
        <v>36</v>
      </c>
      <c r="C3459" s="10">
        <v>7</v>
      </c>
      <c r="D3459" s="10">
        <v>1</v>
      </c>
      <c r="E3459" s="10">
        <v>12</v>
      </c>
      <c r="F3459" s="10">
        <v>12</v>
      </c>
      <c r="L3459" s="1">
        <v>41</v>
      </c>
      <c r="M3459" s="1">
        <v>5</v>
      </c>
      <c r="N3459" s="1">
        <v>1</v>
      </c>
      <c r="O3459" s="1">
        <v>4</v>
      </c>
      <c r="P3459" s="2">
        <v>1</v>
      </c>
      <c r="Q3459" s="67">
        <v>0</v>
      </c>
    </row>
    <row r="3460" spans="1:17" x14ac:dyDescent="0.25">
      <c r="A3460" s="10">
        <v>336</v>
      </c>
      <c r="B3460" s="10">
        <v>36</v>
      </c>
      <c r="C3460" s="10">
        <v>7</v>
      </c>
      <c r="D3460" s="10">
        <v>2</v>
      </c>
      <c r="E3460" s="10">
        <v>2</v>
      </c>
      <c r="F3460" s="10">
        <v>2</v>
      </c>
      <c r="L3460" s="1">
        <v>42</v>
      </c>
      <c r="M3460" s="1">
        <v>5</v>
      </c>
      <c r="N3460" s="1">
        <v>1</v>
      </c>
      <c r="O3460" s="1">
        <v>4</v>
      </c>
      <c r="P3460" s="2">
        <v>1</v>
      </c>
      <c r="Q3460" s="68">
        <v>6</v>
      </c>
    </row>
    <row r="3461" spans="1:17" x14ac:dyDescent="0.25">
      <c r="A3461" s="10">
        <v>28</v>
      </c>
      <c r="B3461" s="10">
        <v>4</v>
      </c>
      <c r="C3461" s="10">
        <v>6</v>
      </c>
      <c r="D3461" s="10">
        <v>1</v>
      </c>
      <c r="E3461" s="10">
        <v>28</v>
      </c>
      <c r="F3461" s="10">
        <v>28</v>
      </c>
      <c r="L3461" s="1">
        <v>43</v>
      </c>
      <c r="M3461" s="1">
        <v>5</v>
      </c>
      <c r="N3461" s="1">
        <v>1</v>
      </c>
      <c r="O3461" s="1">
        <v>4</v>
      </c>
      <c r="P3461" s="2">
        <v>1</v>
      </c>
      <c r="Q3461" s="67">
        <v>5</v>
      </c>
    </row>
    <row r="3462" spans="1:17" x14ac:dyDescent="0.25">
      <c r="A3462" s="10">
        <v>28</v>
      </c>
      <c r="B3462" s="10">
        <v>4</v>
      </c>
      <c r="C3462" s="10">
        <v>6</v>
      </c>
      <c r="D3462" s="10">
        <v>2</v>
      </c>
      <c r="E3462" s="10">
        <v>22</v>
      </c>
      <c r="F3462" s="10">
        <v>22</v>
      </c>
      <c r="L3462" s="1">
        <v>44</v>
      </c>
      <c r="M3462" s="1">
        <v>5</v>
      </c>
      <c r="N3462" s="1">
        <v>1</v>
      </c>
      <c r="O3462" s="1">
        <v>4</v>
      </c>
      <c r="P3462" s="2">
        <v>1</v>
      </c>
      <c r="Q3462" s="68">
        <v>2</v>
      </c>
    </row>
    <row r="3463" spans="1:17" x14ac:dyDescent="0.25">
      <c r="A3463" s="10">
        <v>131</v>
      </c>
      <c r="B3463" s="10">
        <v>14</v>
      </c>
      <c r="C3463" s="10">
        <v>8</v>
      </c>
      <c r="D3463" s="10">
        <v>7</v>
      </c>
      <c r="E3463" s="10">
        <v>1</v>
      </c>
      <c r="F3463" s="10">
        <v>1</v>
      </c>
      <c r="L3463" s="1">
        <v>45</v>
      </c>
      <c r="M3463" s="1">
        <v>5</v>
      </c>
      <c r="N3463" s="1">
        <v>1</v>
      </c>
      <c r="O3463" s="1">
        <v>4</v>
      </c>
      <c r="P3463" s="2">
        <v>1</v>
      </c>
      <c r="Q3463" s="67">
        <v>0</v>
      </c>
    </row>
    <row r="3464" spans="1:17" x14ac:dyDescent="0.25">
      <c r="A3464" s="10">
        <v>33</v>
      </c>
      <c r="B3464" s="10">
        <v>4</v>
      </c>
      <c r="C3464" s="10">
        <v>1</v>
      </c>
      <c r="D3464" s="10">
        <v>1</v>
      </c>
      <c r="E3464" s="10">
        <v>16</v>
      </c>
      <c r="F3464" s="10">
        <v>16</v>
      </c>
      <c r="L3464" s="1">
        <v>46</v>
      </c>
      <c r="M3464" s="1">
        <v>5</v>
      </c>
      <c r="N3464" s="1">
        <v>1</v>
      </c>
      <c r="O3464" s="1">
        <v>4</v>
      </c>
      <c r="P3464" s="2">
        <v>1</v>
      </c>
      <c r="Q3464" s="68">
        <v>13</v>
      </c>
    </row>
    <row r="3465" spans="1:17" x14ac:dyDescent="0.25">
      <c r="A3465" s="10">
        <v>153</v>
      </c>
      <c r="B3465" s="10">
        <v>17</v>
      </c>
      <c r="C3465" s="10">
        <v>8</v>
      </c>
      <c r="D3465" s="10">
        <v>1</v>
      </c>
      <c r="E3465" s="10">
        <v>23</v>
      </c>
      <c r="F3465" s="10">
        <v>23</v>
      </c>
      <c r="L3465" s="1">
        <v>47</v>
      </c>
      <c r="M3465" s="1">
        <v>6</v>
      </c>
      <c r="N3465" s="1">
        <v>1</v>
      </c>
      <c r="O3465" s="1">
        <v>4</v>
      </c>
      <c r="P3465" s="2">
        <v>1</v>
      </c>
      <c r="Q3465" s="67">
        <v>14</v>
      </c>
    </row>
    <row r="3466" spans="1:17" x14ac:dyDescent="0.25">
      <c r="A3466" s="10">
        <v>33</v>
      </c>
      <c r="B3466" s="10">
        <v>4</v>
      </c>
      <c r="C3466" s="10">
        <v>1</v>
      </c>
      <c r="D3466" s="10">
        <v>2</v>
      </c>
      <c r="E3466" s="10">
        <v>1</v>
      </c>
      <c r="F3466" s="10">
        <v>1</v>
      </c>
      <c r="L3466" s="1">
        <v>48</v>
      </c>
      <c r="M3466" s="1">
        <v>6</v>
      </c>
      <c r="N3466" s="1">
        <v>1</v>
      </c>
      <c r="O3466" s="1">
        <v>4</v>
      </c>
      <c r="P3466" s="2">
        <v>1</v>
      </c>
      <c r="Q3466" s="68">
        <v>13</v>
      </c>
    </row>
    <row r="3467" spans="1:17" x14ac:dyDescent="0.25">
      <c r="A3467" s="10">
        <v>153</v>
      </c>
      <c r="B3467" s="10">
        <v>17</v>
      </c>
      <c r="C3467" s="10">
        <v>8</v>
      </c>
      <c r="D3467" s="10">
        <v>2</v>
      </c>
      <c r="E3467" s="10">
        <v>16</v>
      </c>
      <c r="F3467" s="10">
        <v>16</v>
      </c>
      <c r="L3467" s="1">
        <v>49</v>
      </c>
      <c r="M3467" s="1">
        <v>6</v>
      </c>
      <c r="N3467" s="1">
        <v>1</v>
      </c>
      <c r="O3467" s="1">
        <v>4</v>
      </c>
      <c r="P3467" s="2">
        <v>1</v>
      </c>
      <c r="Q3467" s="67">
        <v>12</v>
      </c>
    </row>
    <row r="3468" spans="1:17" x14ac:dyDescent="0.25">
      <c r="A3468" s="10">
        <v>153</v>
      </c>
      <c r="B3468" s="10">
        <v>17</v>
      </c>
      <c r="C3468" s="10">
        <v>8</v>
      </c>
      <c r="D3468" s="10">
        <v>3</v>
      </c>
      <c r="E3468" s="10">
        <v>11</v>
      </c>
      <c r="F3468" s="10">
        <v>11</v>
      </c>
      <c r="L3468" s="1">
        <v>50</v>
      </c>
      <c r="M3468" s="1">
        <v>6</v>
      </c>
      <c r="N3468" s="1">
        <v>1</v>
      </c>
      <c r="O3468" s="1">
        <v>4</v>
      </c>
      <c r="P3468" s="2">
        <v>1</v>
      </c>
      <c r="Q3468" s="68">
        <v>18</v>
      </c>
    </row>
    <row r="3469" spans="1:17" x14ac:dyDescent="0.25">
      <c r="A3469" s="10">
        <v>33</v>
      </c>
      <c r="B3469" s="10">
        <v>4</v>
      </c>
      <c r="C3469" s="10">
        <v>2</v>
      </c>
      <c r="D3469" s="10">
        <v>1</v>
      </c>
      <c r="E3469" s="10">
        <v>12</v>
      </c>
      <c r="F3469" s="10">
        <v>12</v>
      </c>
      <c r="L3469" s="1">
        <v>51</v>
      </c>
      <c r="M3469" s="1">
        <v>6</v>
      </c>
      <c r="N3469" s="1">
        <v>1</v>
      </c>
      <c r="O3469" s="1">
        <v>4</v>
      </c>
      <c r="P3469" s="2">
        <v>1</v>
      </c>
      <c r="Q3469" s="67">
        <v>17</v>
      </c>
    </row>
    <row r="3470" spans="1:17" x14ac:dyDescent="0.25">
      <c r="A3470" s="10">
        <v>33</v>
      </c>
      <c r="B3470" s="10">
        <v>4</v>
      </c>
      <c r="C3470" s="10">
        <v>2</v>
      </c>
      <c r="D3470" s="10">
        <v>2</v>
      </c>
      <c r="E3470" s="10">
        <v>3</v>
      </c>
      <c r="F3470" s="10">
        <v>3</v>
      </c>
      <c r="L3470" s="1">
        <v>52</v>
      </c>
      <c r="M3470" s="1">
        <v>6</v>
      </c>
      <c r="N3470" s="1">
        <v>1</v>
      </c>
      <c r="O3470" s="1">
        <v>4</v>
      </c>
      <c r="P3470" s="2">
        <v>1</v>
      </c>
      <c r="Q3470" s="68">
        <v>13</v>
      </c>
    </row>
    <row r="3471" spans="1:17" x14ac:dyDescent="0.25">
      <c r="A3471" s="10">
        <v>337</v>
      </c>
      <c r="B3471" s="10">
        <v>36</v>
      </c>
      <c r="C3471" s="10">
        <v>7</v>
      </c>
      <c r="D3471" s="10">
        <v>1</v>
      </c>
      <c r="E3471" s="10">
        <v>2</v>
      </c>
      <c r="F3471" s="10">
        <v>2</v>
      </c>
      <c r="L3471" s="1">
        <v>53</v>
      </c>
      <c r="M3471" s="1">
        <v>6</v>
      </c>
      <c r="N3471" s="1">
        <v>1</v>
      </c>
      <c r="O3471" s="1">
        <v>4</v>
      </c>
      <c r="P3471" s="2">
        <v>1</v>
      </c>
      <c r="Q3471" s="67">
        <v>15</v>
      </c>
    </row>
    <row r="3472" spans="1:17" x14ac:dyDescent="0.25">
      <c r="A3472" s="10">
        <v>33</v>
      </c>
      <c r="B3472" s="10">
        <v>4</v>
      </c>
      <c r="C3472" s="10">
        <v>3</v>
      </c>
      <c r="D3472" s="10">
        <v>1</v>
      </c>
      <c r="E3472" s="10">
        <v>10</v>
      </c>
      <c r="F3472" s="10">
        <v>10</v>
      </c>
      <c r="L3472" s="1">
        <v>54</v>
      </c>
      <c r="M3472" s="1">
        <v>6</v>
      </c>
      <c r="N3472" s="1">
        <v>1</v>
      </c>
      <c r="O3472" s="1">
        <v>4</v>
      </c>
      <c r="P3472" s="2">
        <v>1</v>
      </c>
      <c r="Q3472" s="68">
        <v>13</v>
      </c>
    </row>
    <row r="3473" spans="1:17" x14ac:dyDescent="0.25">
      <c r="A3473" s="10">
        <v>266</v>
      </c>
      <c r="B3473" s="10">
        <v>29</v>
      </c>
      <c r="C3473" s="10">
        <v>8</v>
      </c>
      <c r="D3473" s="10">
        <v>4</v>
      </c>
      <c r="E3473" s="10">
        <v>1</v>
      </c>
      <c r="F3473" s="10">
        <v>1</v>
      </c>
      <c r="L3473" s="1">
        <v>55</v>
      </c>
      <c r="M3473" s="1">
        <v>6</v>
      </c>
      <c r="N3473" s="1">
        <v>1</v>
      </c>
      <c r="O3473" s="1">
        <v>4</v>
      </c>
      <c r="P3473" s="2">
        <v>1</v>
      </c>
      <c r="Q3473" s="67">
        <v>14</v>
      </c>
    </row>
    <row r="3474" spans="1:17" x14ac:dyDescent="0.25">
      <c r="A3474" s="10">
        <v>419</v>
      </c>
      <c r="B3474" s="10">
        <v>45</v>
      </c>
      <c r="C3474" s="10">
        <v>7</v>
      </c>
      <c r="D3474" s="10">
        <v>2</v>
      </c>
      <c r="E3474" s="10">
        <v>20</v>
      </c>
      <c r="F3474" s="10">
        <v>20</v>
      </c>
      <c r="L3474" s="1">
        <v>56</v>
      </c>
      <c r="M3474" s="1">
        <v>6</v>
      </c>
      <c r="N3474" s="1">
        <v>1</v>
      </c>
      <c r="O3474" s="1">
        <v>4</v>
      </c>
      <c r="P3474" s="2">
        <v>1</v>
      </c>
      <c r="Q3474" s="68">
        <v>3</v>
      </c>
    </row>
    <row r="3475" spans="1:17" x14ac:dyDescent="0.25">
      <c r="A3475" s="10">
        <v>205</v>
      </c>
      <c r="B3475" s="10">
        <v>22</v>
      </c>
      <c r="C3475" s="10">
        <v>8</v>
      </c>
      <c r="D3475" s="10">
        <v>1</v>
      </c>
      <c r="E3475" s="10">
        <v>10</v>
      </c>
      <c r="F3475" s="10">
        <v>10</v>
      </c>
      <c r="L3475" s="1">
        <v>57</v>
      </c>
      <c r="M3475" s="1">
        <v>7</v>
      </c>
      <c r="N3475" s="1">
        <v>1</v>
      </c>
      <c r="O3475" s="1">
        <v>4</v>
      </c>
      <c r="P3475" s="2">
        <v>1</v>
      </c>
      <c r="Q3475" s="67">
        <v>13</v>
      </c>
    </row>
    <row r="3476" spans="1:17" x14ac:dyDescent="0.25">
      <c r="A3476" s="10">
        <v>205</v>
      </c>
      <c r="B3476" s="10">
        <v>22</v>
      </c>
      <c r="C3476" s="10">
        <v>8</v>
      </c>
      <c r="D3476" s="10">
        <v>2</v>
      </c>
      <c r="E3476" s="10">
        <v>5</v>
      </c>
      <c r="F3476" s="10">
        <v>5</v>
      </c>
      <c r="L3476" s="1">
        <v>58</v>
      </c>
      <c r="M3476" s="1">
        <v>7</v>
      </c>
      <c r="N3476" s="1">
        <v>1</v>
      </c>
      <c r="O3476" s="1">
        <v>4</v>
      </c>
      <c r="P3476" s="2">
        <v>1</v>
      </c>
      <c r="Q3476" s="68">
        <v>7</v>
      </c>
    </row>
    <row r="3477" spans="1:17" x14ac:dyDescent="0.25">
      <c r="A3477" s="10">
        <v>120</v>
      </c>
      <c r="B3477" s="10">
        <v>13</v>
      </c>
      <c r="C3477" s="10">
        <v>6</v>
      </c>
      <c r="D3477" s="10">
        <v>2</v>
      </c>
      <c r="E3477" s="10">
        <v>16</v>
      </c>
      <c r="F3477" s="10">
        <v>16</v>
      </c>
      <c r="L3477" s="1">
        <v>59</v>
      </c>
      <c r="M3477" s="1">
        <v>7</v>
      </c>
      <c r="N3477" s="1">
        <v>1</v>
      </c>
      <c r="O3477" s="1">
        <v>4</v>
      </c>
      <c r="P3477" s="2">
        <v>1</v>
      </c>
      <c r="Q3477" s="67">
        <v>3</v>
      </c>
    </row>
    <row r="3478" spans="1:17" x14ac:dyDescent="0.25">
      <c r="A3478" s="10">
        <v>120</v>
      </c>
      <c r="B3478" s="10">
        <v>13</v>
      </c>
      <c r="C3478" s="10">
        <v>6</v>
      </c>
      <c r="D3478" s="10">
        <v>3</v>
      </c>
      <c r="E3478" s="10">
        <v>8</v>
      </c>
      <c r="F3478" s="10">
        <v>8</v>
      </c>
      <c r="L3478" s="1">
        <v>60</v>
      </c>
      <c r="M3478" s="1">
        <v>7</v>
      </c>
      <c r="N3478" s="1">
        <v>1</v>
      </c>
      <c r="O3478" s="1">
        <v>4</v>
      </c>
      <c r="P3478" s="2">
        <v>1</v>
      </c>
      <c r="Q3478" s="68">
        <v>4</v>
      </c>
    </row>
    <row r="3479" spans="1:17" x14ac:dyDescent="0.25">
      <c r="A3479" s="10">
        <v>115</v>
      </c>
      <c r="B3479" s="10">
        <v>13</v>
      </c>
      <c r="C3479" s="10">
        <v>7</v>
      </c>
      <c r="D3479" s="10">
        <v>5</v>
      </c>
      <c r="E3479" s="10">
        <v>2</v>
      </c>
      <c r="F3479" s="10">
        <v>2</v>
      </c>
      <c r="L3479" s="1">
        <v>61</v>
      </c>
      <c r="M3479" s="1">
        <v>7</v>
      </c>
      <c r="N3479" s="1">
        <v>1</v>
      </c>
      <c r="O3479" s="1">
        <v>4</v>
      </c>
      <c r="P3479" s="2">
        <v>1</v>
      </c>
      <c r="Q3479" s="67">
        <v>3</v>
      </c>
    </row>
    <row r="3480" spans="1:17" x14ac:dyDescent="0.25">
      <c r="A3480" s="10">
        <v>251</v>
      </c>
      <c r="B3480" s="10">
        <v>27</v>
      </c>
      <c r="C3480" s="10">
        <v>8</v>
      </c>
      <c r="D3480" s="10">
        <v>4</v>
      </c>
      <c r="E3480" s="10">
        <v>1</v>
      </c>
      <c r="F3480" s="10">
        <v>1</v>
      </c>
      <c r="L3480" s="1">
        <v>62</v>
      </c>
      <c r="M3480" s="1">
        <v>7</v>
      </c>
      <c r="N3480" s="1">
        <v>1</v>
      </c>
      <c r="O3480" s="1">
        <v>4</v>
      </c>
      <c r="P3480" s="2">
        <v>1</v>
      </c>
      <c r="Q3480" s="68">
        <v>8</v>
      </c>
    </row>
    <row r="3481" spans="1:17" x14ac:dyDescent="0.25">
      <c r="A3481" s="10">
        <v>151</v>
      </c>
      <c r="B3481" s="10">
        <v>16</v>
      </c>
      <c r="C3481" s="10">
        <v>7</v>
      </c>
      <c r="D3481" s="10">
        <v>9</v>
      </c>
      <c r="E3481" s="10">
        <v>1</v>
      </c>
      <c r="F3481" s="10">
        <v>1</v>
      </c>
      <c r="L3481" s="1">
        <v>63</v>
      </c>
      <c r="M3481" s="1">
        <v>7</v>
      </c>
      <c r="N3481" s="1">
        <v>1</v>
      </c>
      <c r="O3481" s="1">
        <v>4</v>
      </c>
      <c r="P3481" s="2">
        <v>1</v>
      </c>
      <c r="Q3481" s="67">
        <v>1</v>
      </c>
    </row>
    <row r="3482" spans="1:17" x14ac:dyDescent="0.25">
      <c r="A3482" s="10">
        <v>42</v>
      </c>
      <c r="B3482" s="10">
        <v>5</v>
      </c>
      <c r="C3482" s="10">
        <v>7</v>
      </c>
      <c r="D3482" s="10">
        <v>1</v>
      </c>
      <c r="E3482" s="10">
        <v>13</v>
      </c>
      <c r="F3482" s="10">
        <v>13</v>
      </c>
      <c r="L3482" s="1">
        <v>64</v>
      </c>
      <c r="M3482" s="1">
        <v>7</v>
      </c>
      <c r="N3482" s="1">
        <v>1</v>
      </c>
      <c r="O3482" s="1">
        <v>4</v>
      </c>
      <c r="P3482" s="2">
        <v>1</v>
      </c>
      <c r="Q3482" s="68">
        <v>1</v>
      </c>
    </row>
    <row r="3483" spans="1:17" x14ac:dyDescent="0.25">
      <c r="A3483" s="10">
        <v>421</v>
      </c>
      <c r="B3483" s="10">
        <v>45</v>
      </c>
      <c r="C3483" s="10">
        <v>7</v>
      </c>
      <c r="D3483" s="10">
        <v>6</v>
      </c>
      <c r="E3483" s="10">
        <v>3</v>
      </c>
      <c r="F3483" s="10">
        <v>3</v>
      </c>
      <c r="L3483" s="1">
        <v>65</v>
      </c>
      <c r="M3483" s="1">
        <v>7</v>
      </c>
      <c r="N3483" s="1">
        <v>1</v>
      </c>
      <c r="O3483" s="1">
        <v>4</v>
      </c>
      <c r="P3483" s="2">
        <v>1</v>
      </c>
      <c r="Q3483" s="67">
        <v>17</v>
      </c>
    </row>
    <row r="3484" spans="1:17" x14ac:dyDescent="0.25">
      <c r="A3484" s="10">
        <v>156</v>
      </c>
      <c r="B3484" s="10">
        <v>17</v>
      </c>
      <c r="C3484" s="10">
        <v>8</v>
      </c>
      <c r="D3484" s="10">
        <v>3</v>
      </c>
      <c r="E3484" s="10">
        <v>7</v>
      </c>
      <c r="F3484" s="10">
        <v>7</v>
      </c>
      <c r="L3484" s="1">
        <v>66</v>
      </c>
      <c r="M3484" s="1">
        <v>7</v>
      </c>
      <c r="N3484" s="1">
        <v>1</v>
      </c>
      <c r="O3484" s="1">
        <v>4</v>
      </c>
      <c r="P3484" s="2">
        <v>1</v>
      </c>
      <c r="Q3484" s="68">
        <v>11</v>
      </c>
    </row>
    <row r="3485" spans="1:17" x14ac:dyDescent="0.25">
      <c r="A3485" s="10">
        <v>156</v>
      </c>
      <c r="B3485" s="10">
        <v>17</v>
      </c>
      <c r="C3485" s="10">
        <v>8</v>
      </c>
      <c r="D3485" s="10">
        <v>4</v>
      </c>
      <c r="E3485" s="10">
        <v>5</v>
      </c>
      <c r="F3485" s="10">
        <v>5</v>
      </c>
      <c r="L3485" s="1">
        <v>67</v>
      </c>
      <c r="M3485" s="1">
        <v>8</v>
      </c>
      <c r="N3485" s="1">
        <v>1</v>
      </c>
      <c r="O3485" s="1">
        <v>4</v>
      </c>
      <c r="P3485" s="2">
        <v>1</v>
      </c>
      <c r="Q3485" s="67">
        <v>14</v>
      </c>
    </row>
    <row r="3486" spans="1:17" x14ac:dyDescent="0.25">
      <c r="A3486" s="10">
        <v>116</v>
      </c>
      <c r="B3486" s="10">
        <v>13</v>
      </c>
      <c r="C3486" s="10">
        <v>8</v>
      </c>
      <c r="D3486" s="10">
        <v>2</v>
      </c>
      <c r="E3486" s="10">
        <v>13</v>
      </c>
      <c r="F3486" s="10">
        <v>13</v>
      </c>
      <c r="L3486" s="1">
        <v>68</v>
      </c>
      <c r="M3486" s="1">
        <v>8</v>
      </c>
      <c r="N3486" s="1">
        <v>1</v>
      </c>
      <c r="O3486" s="1">
        <v>4</v>
      </c>
      <c r="P3486" s="2">
        <v>1</v>
      </c>
      <c r="Q3486" s="68">
        <v>7</v>
      </c>
    </row>
    <row r="3487" spans="1:17" x14ac:dyDescent="0.25">
      <c r="A3487" s="10">
        <v>116</v>
      </c>
      <c r="B3487" s="10">
        <v>13</v>
      </c>
      <c r="C3487" s="10">
        <v>8</v>
      </c>
      <c r="D3487" s="10">
        <v>4</v>
      </c>
      <c r="E3487" s="10">
        <v>2</v>
      </c>
      <c r="F3487" s="10">
        <v>2</v>
      </c>
      <c r="L3487" s="1">
        <v>69</v>
      </c>
      <c r="M3487" s="1">
        <v>8</v>
      </c>
      <c r="N3487" s="1">
        <v>1</v>
      </c>
      <c r="O3487" s="1">
        <v>4</v>
      </c>
      <c r="P3487" s="2">
        <v>1</v>
      </c>
      <c r="Q3487" s="67">
        <v>7</v>
      </c>
    </row>
    <row r="3488" spans="1:17" x14ac:dyDescent="0.25">
      <c r="A3488" s="10">
        <v>411</v>
      </c>
      <c r="B3488" s="10">
        <v>44</v>
      </c>
      <c r="C3488" s="10">
        <v>7</v>
      </c>
      <c r="D3488" s="10">
        <v>2</v>
      </c>
      <c r="E3488" s="10">
        <v>5</v>
      </c>
      <c r="F3488" s="10">
        <v>5</v>
      </c>
      <c r="L3488" s="1">
        <v>70</v>
      </c>
      <c r="M3488" s="1">
        <v>8</v>
      </c>
      <c r="N3488" s="1">
        <v>1</v>
      </c>
      <c r="O3488" s="1">
        <v>4</v>
      </c>
      <c r="P3488" s="2">
        <v>1</v>
      </c>
      <c r="Q3488" s="68">
        <v>17</v>
      </c>
    </row>
    <row r="3489" spans="1:17" x14ac:dyDescent="0.25">
      <c r="A3489" s="10">
        <v>264</v>
      </c>
      <c r="B3489" s="10">
        <v>29</v>
      </c>
      <c r="C3489" s="10">
        <v>7</v>
      </c>
      <c r="D3489" s="10">
        <v>1</v>
      </c>
      <c r="E3489" s="10">
        <v>4</v>
      </c>
      <c r="F3489" s="10">
        <v>4</v>
      </c>
      <c r="L3489" s="1">
        <v>71</v>
      </c>
      <c r="M3489" s="1">
        <v>8</v>
      </c>
      <c r="N3489" s="1">
        <v>1</v>
      </c>
      <c r="O3489" s="1">
        <v>4</v>
      </c>
      <c r="P3489" s="2">
        <v>1</v>
      </c>
      <c r="Q3489" s="67">
        <v>11</v>
      </c>
    </row>
    <row r="3490" spans="1:17" x14ac:dyDescent="0.25">
      <c r="A3490" s="10">
        <v>316</v>
      </c>
      <c r="B3490" s="10">
        <v>34</v>
      </c>
      <c r="C3490" s="10">
        <v>7</v>
      </c>
      <c r="D3490" s="10">
        <v>1</v>
      </c>
      <c r="E3490" s="10">
        <v>20</v>
      </c>
      <c r="F3490" s="10">
        <v>20</v>
      </c>
      <c r="L3490" s="1">
        <v>72</v>
      </c>
      <c r="M3490" s="1">
        <v>8</v>
      </c>
      <c r="N3490" s="1">
        <v>1</v>
      </c>
      <c r="O3490" s="1">
        <v>4</v>
      </c>
      <c r="P3490" s="2">
        <v>1</v>
      </c>
      <c r="Q3490" s="68">
        <v>9</v>
      </c>
    </row>
    <row r="3491" spans="1:17" x14ac:dyDescent="0.25">
      <c r="A3491" s="10">
        <v>264</v>
      </c>
      <c r="B3491" s="10">
        <v>29</v>
      </c>
      <c r="C3491" s="10">
        <v>7</v>
      </c>
      <c r="D3491" s="10">
        <v>5</v>
      </c>
      <c r="E3491" s="10">
        <v>6</v>
      </c>
      <c r="F3491" s="10">
        <v>6</v>
      </c>
      <c r="L3491" s="1">
        <v>73</v>
      </c>
      <c r="M3491" s="1">
        <v>8</v>
      </c>
      <c r="N3491" s="1">
        <v>1</v>
      </c>
      <c r="O3491" s="1">
        <v>4</v>
      </c>
      <c r="P3491" s="2">
        <v>1</v>
      </c>
      <c r="Q3491" s="67">
        <v>6</v>
      </c>
    </row>
    <row r="3492" spans="1:17" x14ac:dyDescent="0.25">
      <c r="A3492" s="10">
        <v>318</v>
      </c>
      <c r="B3492" s="10">
        <v>34</v>
      </c>
      <c r="C3492" s="10">
        <v>7</v>
      </c>
      <c r="D3492" s="10">
        <v>10</v>
      </c>
      <c r="E3492" s="10">
        <v>1</v>
      </c>
      <c r="F3492" s="10">
        <v>1</v>
      </c>
      <c r="L3492" s="1">
        <v>74</v>
      </c>
      <c r="M3492" s="1">
        <v>8</v>
      </c>
      <c r="N3492" s="1">
        <v>1</v>
      </c>
      <c r="O3492" s="1">
        <v>4</v>
      </c>
      <c r="P3492" s="2">
        <v>1</v>
      </c>
      <c r="Q3492" s="68">
        <v>7</v>
      </c>
    </row>
    <row r="3493" spans="1:17" x14ac:dyDescent="0.25">
      <c r="A3493" s="10">
        <v>388</v>
      </c>
      <c r="B3493" s="10">
        <v>42</v>
      </c>
      <c r="C3493" s="10">
        <v>7</v>
      </c>
      <c r="D3493" s="10">
        <v>1</v>
      </c>
      <c r="E3493" s="10">
        <v>2</v>
      </c>
      <c r="F3493" s="10">
        <v>2</v>
      </c>
      <c r="L3493" s="1">
        <v>75</v>
      </c>
      <c r="M3493" s="1">
        <v>8</v>
      </c>
      <c r="N3493" s="1">
        <v>1</v>
      </c>
      <c r="O3493" s="1">
        <v>4</v>
      </c>
      <c r="P3493" s="2">
        <v>1</v>
      </c>
      <c r="Q3493" s="67">
        <v>8</v>
      </c>
    </row>
    <row r="3494" spans="1:17" x14ac:dyDescent="0.25">
      <c r="A3494" s="10">
        <v>3</v>
      </c>
      <c r="B3494" s="10">
        <v>1</v>
      </c>
      <c r="C3494" s="10">
        <v>7</v>
      </c>
      <c r="D3494" s="10">
        <v>8</v>
      </c>
      <c r="E3494" s="10">
        <v>2</v>
      </c>
      <c r="F3494" s="10">
        <v>2</v>
      </c>
      <c r="L3494" s="1">
        <v>76</v>
      </c>
      <c r="M3494" s="1">
        <v>8</v>
      </c>
      <c r="N3494" s="1">
        <v>1</v>
      </c>
      <c r="O3494" s="1">
        <v>4</v>
      </c>
      <c r="P3494" s="2">
        <v>1</v>
      </c>
      <c r="Q3494" s="68">
        <v>7</v>
      </c>
    </row>
    <row r="3495" spans="1:17" x14ac:dyDescent="0.25">
      <c r="A3495" s="10">
        <v>271</v>
      </c>
      <c r="B3495" s="10">
        <v>30</v>
      </c>
      <c r="C3495" s="10">
        <v>7</v>
      </c>
      <c r="D3495" s="10">
        <v>1</v>
      </c>
      <c r="E3495" s="10">
        <v>25</v>
      </c>
      <c r="F3495" s="10">
        <v>25</v>
      </c>
      <c r="L3495" s="1">
        <v>77</v>
      </c>
      <c r="M3495" s="1">
        <v>9</v>
      </c>
      <c r="N3495" s="1">
        <v>1</v>
      </c>
      <c r="O3495" s="1">
        <v>4</v>
      </c>
      <c r="P3495" s="2">
        <v>1</v>
      </c>
      <c r="Q3495" s="67">
        <v>10</v>
      </c>
    </row>
    <row r="3496" spans="1:17" x14ac:dyDescent="0.25">
      <c r="A3496" s="10">
        <v>15</v>
      </c>
      <c r="B3496" s="10">
        <v>2</v>
      </c>
      <c r="C3496" s="10">
        <v>7</v>
      </c>
      <c r="D3496" s="10">
        <v>1</v>
      </c>
      <c r="E3496" s="10">
        <v>13</v>
      </c>
      <c r="F3496" s="10">
        <v>13</v>
      </c>
      <c r="L3496" s="1">
        <v>78</v>
      </c>
      <c r="M3496" s="1">
        <v>9</v>
      </c>
      <c r="N3496" s="1">
        <v>1</v>
      </c>
      <c r="O3496" s="1">
        <v>4</v>
      </c>
      <c r="P3496" s="2">
        <v>1</v>
      </c>
      <c r="Q3496" s="68">
        <v>0</v>
      </c>
    </row>
    <row r="3497" spans="1:17" x14ac:dyDescent="0.25">
      <c r="A3497" s="10">
        <v>15</v>
      </c>
      <c r="B3497" s="10">
        <v>2</v>
      </c>
      <c r="C3497" s="10">
        <v>7</v>
      </c>
      <c r="D3497" s="10">
        <v>3</v>
      </c>
      <c r="E3497" s="10">
        <v>1</v>
      </c>
      <c r="F3497" s="10">
        <v>1</v>
      </c>
      <c r="L3497" s="1">
        <v>79</v>
      </c>
      <c r="M3497" s="1">
        <v>9</v>
      </c>
      <c r="N3497" s="1">
        <v>1</v>
      </c>
      <c r="O3497" s="1">
        <v>4</v>
      </c>
      <c r="P3497" s="2">
        <v>1</v>
      </c>
      <c r="Q3497" s="67">
        <v>4</v>
      </c>
    </row>
    <row r="3498" spans="1:17" x14ac:dyDescent="0.25">
      <c r="A3498" s="10">
        <v>5</v>
      </c>
      <c r="B3498" s="10">
        <v>1</v>
      </c>
      <c r="C3498" s="10">
        <v>7</v>
      </c>
      <c r="D3498" s="10">
        <v>2</v>
      </c>
      <c r="E3498" s="10">
        <v>10</v>
      </c>
      <c r="F3498" s="10">
        <v>10</v>
      </c>
      <c r="L3498" s="1">
        <v>80</v>
      </c>
      <c r="M3498" s="1">
        <v>9</v>
      </c>
      <c r="N3498" s="1">
        <v>1</v>
      </c>
      <c r="O3498" s="1">
        <v>4</v>
      </c>
      <c r="P3498" s="2">
        <v>1</v>
      </c>
      <c r="Q3498" s="68">
        <v>2</v>
      </c>
    </row>
    <row r="3499" spans="1:17" x14ac:dyDescent="0.25">
      <c r="A3499" s="10">
        <v>65</v>
      </c>
      <c r="B3499" s="10">
        <v>7</v>
      </c>
      <c r="C3499" s="10">
        <v>7</v>
      </c>
      <c r="D3499" s="10">
        <v>3</v>
      </c>
      <c r="E3499" s="10">
        <v>1</v>
      </c>
      <c r="F3499" s="10">
        <v>1</v>
      </c>
      <c r="L3499" s="1">
        <v>81</v>
      </c>
      <c r="M3499" s="1">
        <v>9</v>
      </c>
      <c r="N3499" s="1">
        <v>1</v>
      </c>
      <c r="O3499" s="1">
        <v>4</v>
      </c>
      <c r="P3499" s="2">
        <v>1</v>
      </c>
      <c r="Q3499" s="67">
        <v>1</v>
      </c>
    </row>
    <row r="3500" spans="1:17" x14ac:dyDescent="0.25">
      <c r="A3500" s="10">
        <v>2</v>
      </c>
      <c r="B3500" s="10">
        <v>1</v>
      </c>
      <c r="C3500" s="10">
        <v>7</v>
      </c>
      <c r="D3500" s="10">
        <v>2</v>
      </c>
      <c r="E3500" s="10">
        <v>16</v>
      </c>
      <c r="F3500" s="10">
        <v>16</v>
      </c>
      <c r="L3500" s="1">
        <v>82</v>
      </c>
      <c r="M3500" s="1">
        <v>9</v>
      </c>
      <c r="N3500" s="1">
        <v>1</v>
      </c>
      <c r="O3500" s="1">
        <v>4</v>
      </c>
      <c r="P3500" s="2">
        <v>1</v>
      </c>
      <c r="Q3500" s="68">
        <v>1</v>
      </c>
    </row>
    <row r="3501" spans="1:17" x14ac:dyDescent="0.25">
      <c r="A3501" s="10">
        <v>14</v>
      </c>
      <c r="B3501" s="10">
        <v>2</v>
      </c>
      <c r="C3501" s="10">
        <v>7</v>
      </c>
      <c r="D3501" s="10">
        <v>1</v>
      </c>
      <c r="E3501" s="10">
        <v>18</v>
      </c>
      <c r="F3501" s="10">
        <v>18</v>
      </c>
      <c r="L3501" s="1">
        <v>83</v>
      </c>
      <c r="M3501" s="1">
        <v>9</v>
      </c>
      <c r="N3501" s="1">
        <v>1</v>
      </c>
      <c r="O3501" s="1">
        <v>4</v>
      </c>
      <c r="P3501" s="2">
        <v>1</v>
      </c>
      <c r="Q3501" s="67">
        <v>4</v>
      </c>
    </row>
    <row r="3502" spans="1:17" x14ac:dyDescent="0.25">
      <c r="A3502" s="10">
        <v>117</v>
      </c>
      <c r="B3502" s="10">
        <v>13</v>
      </c>
      <c r="C3502" s="10">
        <v>8</v>
      </c>
      <c r="D3502" s="10">
        <v>1</v>
      </c>
      <c r="E3502" s="10">
        <v>8</v>
      </c>
      <c r="F3502" s="10">
        <v>8</v>
      </c>
      <c r="L3502" s="1">
        <v>84</v>
      </c>
      <c r="M3502" s="1">
        <v>9</v>
      </c>
      <c r="N3502" s="1">
        <v>1</v>
      </c>
      <c r="O3502" s="1">
        <v>4</v>
      </c>
      <c r="P3502" s="2">
        <v>1</v>
      </c>
      <c r="Q3502" s="68">
        <v>3</v>
      </c>
    </row>
    <row r="3503" spans="1:17" x14ac:dyDescent="0.25">
      <c r="A3503" s="10">
        <v>117</v>
      </c>
      <c r="B3503" s="10">
        <v>13</v>
      </c>
      <c r="C3503" s="10">
        <v>8</v>
      </c>
      <c r="D3503" s="10">
        <v>2</v>
      </c>
      <c r="E3503" s="10">
        <v>6</v>
      </c>
      <c r="F3503" s="10">
        <v>6</v>
      </c>
      <c r="L3503" s="1">
        <v>85</v>
      </c>
      <c r="M3503" s="1">
        <v>9</v>
      </c>
      <c r="N3503" s="1">
        <v>1</v>
      </c>
      <c r="O3503" s="1">
        <v>4</v>
      </c>
      <c r="P3503" s="2">
        <v>1</v>
      </c>
      <c r="Q3503" s="67">
        <v>4</v>
      </c>
    </row>
    <row r="3504" spans="1:17" x14ac:dyDescent="0.25">
      <c r="A3504" s="10">
        <v>117</v>
      </c>
      <c r="B3504" s="10">
        <v>13</v>
      </c>
      <c r="C3504" s="10">
        <v>8</v>
      </c>
      <c r="D3504" s="10">
        <v>4</v>
      </c>
      <c r="E3504" s="10">
        <v>4</v>
      </c>
      <c r="F3504" s="10">
        <v>4</v>
      </c>
      <c r="L3504" s="1">
        <v>86</v>
      </c>
      <c r="M3504" s="1">
        <v>9</v>
      </c>
      <c r="N3504" s="1">
        <v>1</v>
      </c>
      <c r="O3504" s="1">
        <v>4</v>
      </c>
      <c r="P3504" s="2">
        <v>1</v>
      </c>
      <c r="Q3504" s="68">
        <v>9</v>
      </c>
    </row>
    <row r="3505" spans="1:17" x14ac:dyDescent="0.25">
      <c r="A3505" s="10">
        <v>119</v>
      </c>
      <c r="B3505" s="10">
        <v>13</v>
      </c>
      <c r="C3505" s="10">
        <v>7</v>
      </c>
      <c r="D3505" s="10">
        <v>1</v>
      </c>
      <c r="E3505" s="10">
        <v>7</v>
      </c>
      <c r="F3505" s="10">
        <v>7</v>
      </c>
      <c r="L3505" s="1">
        <v>87</v>
      </c>
      <c r="M3505" s="1">
        <v>10</v>
      </c>
      <c r="N3505" s="1">
        <v>1</v>
      </c>
      <c r="O3505" s="1">
        <v>4</v>
      </c>
      <c r="P3505" s="2">
        <v>1</v>
      </c>
      <c r="Q3505" s="67">
        <v>5</v>
      </c>
    </row>
    <row r="3506" spans="1:17" x14ac:dyDescent="0.25">
      <c r="A3506" s="10">
        <v>275</v>
      </c>
      <c r="B3506" s="10">
        <v>30</v>
      </c>
      <c r="C3506" s="10">
        <v>7</v>
      </c>
      <c r="D3506" s="10">
        <v>1</v>
      </c>
      <c r="E3506" s="10">
        <v>23</v>
      </c>
      <c r="F3506" s="10">
        <v>23</v>
      </c>
      <c r="L3506" s="1">
        <v>88</v>
      </c>
      <c r="M3506" s="1">
        <v>10</v>
      </c>
      <c r="N3506" s="1">
        <v>1</v>
      </c>
      <c r="O3506" s="1">
        <v>4</v>
      </c>
      <c r="P3506" s="2">
        <v>1</v>
      </c>
      <c r="Q3506" s="68">
        <v>9</v>
      </c>
    </row>
    <row r="3507" spans="1:17" x14ac:dyDescent="0.25">
      <c r="A3507" s="10">
        <v>242</v>
      </c>
      <c r="B3507" s="10">
        <v>26</v>
      </c>
      <c r="C3507" s="10">
        <v>8</v>
      </c>
      <c r="D3507" s="10">
        <v>1</v>
      </c>
      <c r="E3507" s="10">
        <v>8</v>
      </c>
      <c r="F3507" s="10">
        <v>8</v>
      </c>
      <c r="L3507" s="1">
        <v>89</v>
      </c>
      <c r="M3507" s="1">
        <v>10</v>
      </c>
      <c r="N3507" s="1">
        <v>1</v>
      </c>
      <c r="O3507" s="1">
        <v>4</v>
      </c>
      <c r="P3507" s="2">
        <v>1</v>
      </c>
      <c r="Q3507" s="67">
        <v>5</v>
      </c>
    </row>
    <row r="3508" spans="1:17" x14ac:dyDescent="0.25">
      <c r="A3508" s="10">
        <v>269</v>
      </c>
      <c r="B3508" s="10">
        <v>29</v>
      </c>
      <c r="C3508" s="10">
        <v>1</v>
      </c>
      <c r="D3508" s="10">
        <v>5</v>
      </c>
      <c r="E3508" s="10">
        <v>1</v>
      </c>
      <c r="F3508" s="10">
        <v>1</v>
      </c>
      <c r="L3508" s="1">
        <v>90</v>
      </c>
      <c r="M3508" s="1">
        <v>10</v>
      </c>
      <c r="N3508" s="1">
        <v>1</v>
      </c>
      <c r="O3508" s="1">
        <v>4</v>
      </c>
      <c r="P3508" s="2">
        <v>1</v>
      </c>
      <c r="Q3508" s="68">
        <v>10</v>
      </c>
    </row>
    <row r="3509" spans="1:17" x14ac:dyDescent="0.25">
      <c r="A3509" s="10">
        <v>269</v>
      </c>
      <c r="B3509" s="10">
        <v>29</v>
      </c>
      <c r="C3509" s="10">
        <v>3</v>
      </c>
      <c r="D3509" s="10">
        <v>2</v>
      </c>
      <c r="E3509" s="10">
        <v>1</v>
      </c>
      <c r="F3509" s="10">
        <v>1</v>
      </c>
      <c r="L3509" s="1">
        <v>91</v>
      </c>
      <c r="M3509" s="1">
        <v>10</v>
      </c>
      <c r="N3509" s="1">
        <v>1</v>
      </c>
      <c r="O3509" s="1">
        <v>4</v>
      </c>
      <c r="P3509" s="2">
        <v>1</v>
      </c>
      <c r="Q3509" s="67">
        <v>4</v>
      </c>
    </row>
    <row r="3510" spans="1:17" x14ac:dyDescent="0.25">
      <c r="A3510" s="10">
        <v>169</v>
      </c>
      <c r="B3510" s="10">
        <v>18</v>
      </c>
      <c r="C3510" s="10">
        <v>6</v>
      </c>
      <c r="D3510" s="10">
        <v>1</v>
      </c>
      <c r="E3510" s="10">
        <v>76</v>
      </c>
      <c r="F3510" s="10">
        <v>76</v>
      </c>
      <c r="L3510" s="1">
        <v>92</v>
      </c>
      <c r="M3510" s="1">
        <v>10</v>
      </c>
      <c r="N3510" s="1">
        <v>1</v>
      </c>
      <c r="O3510" s="1">
        <v>4</v>
      </c>
      <c r="P3510" s="2">
        <v>1</v>
      </c>
      <c r="Q3510" s="68">
        <v>5</v>
      </c>
    </row>
    <row r="3511" spans="1:17" x14ac:dyDescent="0.25">
      <c r="A3511" s="10">
        <v>269</v>
      </c>
      <c r="B3511" s="10">
        <v>29</v>
      </c>
      <c r="C3511" s="10">
        <v>6</v>
      </c>
      <c r="D3511" s="10">
        <v>5</v>
      </c>
      <c r="E3511" s="10">
        <v>1</v>
      </c>
      <c r="F3511" s="10">
        <v>1</v>
      </c>
      <c r="L3511" s="1">
        <v>93</v>
      </c>
      <c r="M3511" s="1">
        <v>10</v>
      </c>
      <c r="N3511" s="1">
        <v>1</v>
      </c>
      <c r="O3511" s="1">
        <v>4</v>
      </c>
      <c r="P3511" s="2">
        <v>1</v>
      </c>
      <c r="Q3511" s="67">
        <v>4</v>
      </c>
    </row>
    <row r="3512" spans="1:17" x14ac:dyDescent="0.25">
      <c r="A3512" s="10">
        <v>179</v>
      </c>
      <c r="B3512" s="10">
        <v>19</v>
      </c>
      <c r="C3512" s="10">
        <v>8</v>
      </c>
      <c r="D3512" s="10">
        <v>1</v>
      </c>
      <c r="E3512" s="10">
        <v>85</v>
      </c>
      <c r="F3512" s="10">
        <v>85</v>
      </c>
      <c r="L3512" s="1">
        <v>94</v>
      </c>
      <c r="M3512" s="1">
        <v>10</v>
      </c>
      <c r="N3512" s="1">
        <v>1</v>
      </c>
      <c r="O3512" s="1">
        <v>4</v>
      </c>
      <c r="P3512" s="2">
        <v>1</v>
      </c>
      <c r="Q3512" s="68">
        <v>4</v>
      </c>
    </row>
    <row r="3513" spans="1:17" x14ac:dyDescent="0.25">
      <c r="A3513" s="10">
        <v>202</v>
      </c>
      <c r="B3513" s="10">
        <v>22</v>
      </c>
      <c r="C3513" s="10">
        <v>8</v>
      </c>
      <c r="D3513" s="10">
        <v>1</v>
      </c>
      <c r="E3513" s="10">
        <v>2</v>
      </c>
      <c r="F3513" s="10">
        <v>2</v>
      </c>
      <c r="L3513" s="1">
        <v>95</v>
      </c>
      <c r="M3513" s="1">
        <v>10</v>
      </c>
      <c r="N3513" s="1">
        <v>1</v>
      </c>
      <c r="O3513" s="1">
        <v>4</v>
      </c>
      <c r="P3513" s="2">
        <v>1</v>
      </c>
      <c r="Q3513" s="67">
        <v>7</v>
      </c>
    </row>
    <row r="3514" spans="1:17" x14ac:dyDescent="0.25">
      <c r="A3514" s="10">
        <v>15</v>
      </c>
      <c r="B3514" s="10">
        <v>2</v>
      </c>
      <c r="C3514" s="10">
        <v>8</v>
      </c>
      <c r="D3514" s="10">
        <v>1</v>
      </c>
      <c r="E3514" s="10">
        <v>9</v>
      </c>
      <c r="F3514" s="10">
        <v>9</v>
      </c>
      <c r="L3514" s="1">
        <v>96</v>
      </c>
      <c r="M3514" s="1">
        <v>10</v>
      </c>
      <c r="N3514" s="1">
        <v>1</v>
      </c>
      <c r="O3514" s="1">
        <v>4</v>
      </c>
      <c r="P3514" s="2">
        <v>1</v>
      </c>
      <c r="Q3514" s="68">
        <v>8</v>
      </c>
    </row>
    <row r="3515" spans="1:17" x14ac:dyDescent="0.25">
      <c r="A3515" s="10">
        <v>338</v>
      </c>
      <c r="B3515" s="10">
        <v>36</v>
      </c>
      <c r="C3515" s="10">
        <v>8</v>
      </c>
      <c r="D3515" s="10">
        <v>2</v>
      </c>
      <c r="E3515" s="10">
        <v>7</v>
      </c>
      <c r="F3515" s="10">
        <v>7</v>
      </c>
      <c r="L3515" s="1">
        <v>97</v>
      </c>
      <c r="M3515" s="1">
        <v>11</v>
      </c>
      <c r="N3515" s="1">
        <v>1</v>
      </c>
      <c r="O3515" s="1">
        <v>4</v>
      </c>
      <c r="P3515" s="2">
        <v>1</v>
      </c>
      <c r="Q3515" s="67">
        <v>6</v>
      </c>
    </row>
    <row r="3516" spans="1:17" x14ac:dyDescent="0.25">
      <c r="A3516" s="10">
        <v>37</v>
      </c>
      <c r="B3516" s="10">
        <v>5</v>
      </c>
      <c r="C3516" s="10">
        <v>8</v>
      </c>
      <c r="D3516" s="10">
        <v>1</v>
      </c>
      <c r="E3516" s="10">
        <v>5</v>
      </c>
      <c r="F3516" s="10">
        <v>5</v>
      </c>
      <c r="L3516" s="1">
        <v>98</v>
      </c>
      <c r="M3516" s="1">
        <v>11</v>
      </c>
      <c r="N3516" s="1">
        <v>1</v>
      </c>
      <c r="O3516" s="1">
        <v>4</v>
      </c>
      <c r="P3516" s="2">
        <v>1</v>
      </c>
      <c r="Q3516" s="68">
        <v>5</v>
      </c>
    </row>
    <row r="3517" spans="1:17" x14ac:dyDescent="0.25">
      <c r="A3517" s="10">
        <v>37</v>
      </c>
      <c r="B3517" s="10">
        <v>5</v>
      </c>
      <c r="C3517" s="10">
        <v>8</v>
      </c>
      <c r="D3517" s="10">
        <v>5</v>
      </c>
      <c r="E3517" s="10">
        <v>1</v>
      </c>
      <c r="F3517" s="10">
        <v>1</v>
      </c>
      <c r="L3517" s="1">
        <v>99</v>
      </c>
      <c r="M3517" s="1">
        <v>11</v>
      </c>
      <c r="N3517" s="1">
        <v>1</v>
      </c>
      <c r="O3517" s="1">
        <v>4</v>
      </c>
      <c r="P3517" s="2">
        <v>1</v>
      </c>
      <c r="Q3517" s="67">
        <v>10</v>
      </c>
    </row>
    <row r="3518" spans="1:17" x14ac:dyDescent="0.25">
      <c r="A3518" s="10">
        <v>411</v>
      </c>
      <c r="B3518" s="10">
        <v>44</v>
      </c>
      <c r="C3518" s="10">
        <v>8</v>
      </c>
      <c r="D3518" s="10">
        <v>2</v>
      </c>
      <c r="E3518" s="10">
        <v>5</v>
      </c>
      <c r="F3518" s="10">
        <v>5</v>
      </c>
      <c r="L3518" s="1">
        <v>100</v>
      </c>
      <c r="M3518" s="1">
        <v>11</v>
      </c>
      <c r="N3518" s="1">
        <v>1</v>
      </c>
      <c r="O3518" s="1">
        <v>4</v>
      </c>
      <c r="P3518" s="2">
        <v>1</v>
      </c>
      <c r="Q3518" s="68">
        <v>4</v>
      </c>
    </row>
    <row r="3519" spans="1:17" x14ac:dyDescent="0.25">
      <c r="A3519" s="10">
        <v>27</v>
      </c>
      <c r="B3519" s="10">
        <v>4</v>
      </c>
      <c r="C3519" s="10">
        <v>8</v>
      </c>
      <c r="D3519" s="10">
        <v>2</v>
      </c>
      <c r="E3519" s="10">
        <v>5</v>
      </c>
      <c r="F3519" s="10">
        <v>5</v>
      </c>
      <c r="L3519" s="1">
        <v>101</v>
      </c>
      <c r="M3519" s="1">
        <v>11</v>
      </c>
      <c r="N3519" s="1">
        <v>1</v>
      </c>
      <c r="O3519" s="1">
        <v>4</v>
      </c>
      <c r="P3519" s="2">
        <v>1</v>
      </c>
      <c r="Q3519" s="67">
        <v>6</v>
      </c>
    </row>
    <row r="3520" spans="1:17" x14ac:dyDescent="0.25">
      <c r="A3520" s="10">
        <v>439</v>
      </c>
      <c r="B3520" s="10">
        <v>47</v>
      </c>
      <c r="C3520" s="10">
        <v>8</v>
      </c>
      <c r="D3520" s="10">
        <v>1</v>
      </c>
      <c r="E3520" s="10">
        <v>8</v>
      </c>
      <c r="F3520" s="10">
        <v>8</v>
      </c>
      <c r="L3520" s="1">
        <v>102</v>
      </c>
      <c r="M3520" s="1">
        <v>11</v>
      </c>
      <c r="N3520" s="1">
        <v>1</v>
      </c>
      <c r="O3520" s="1">
        <v>4</v>
      </c>
      <c r="P3520" s="2">
        <v>1</v>
      </c>
      <c r="Q3520" s="68">
        <v>5</v>
      </c>
    </row>
    <row r="3521" spans="1:17" x14ac:dyDescent="0.25">
      <c r="A3521" s="10">
        <v>17</v>
      </c>
      <c r="B3521" s="10">
        <v>2</v>
      </c>
      <c r="C3521" s="10">
        <v>8</v>
      </c>
      <c r="D3521" s="10">
        <v>1</v>
      </c>
      <c r="E3521" s="10">
        <v>7</v>
      </c>
      <c r="F3521" s="10">
        <v>7</v>
      </c>
      <c r="L3521" s="1">
        <v>103</v>
      </c>
      <c r="M3521" s="1">
        <v>11</v>
      </c>
      <c r="N3521" s="1">
        <v>1</v>
      </c>
      <c r="O3521" s="1">
        <v>4</v>
      </c>
      <c r="P3521" s="2">
        <v>1</v>
      </c>
      <c r="Q3521" s="67">
        <v>1</v>
      </c>
    </row>
    <row r="3522" spans="1:17" x14ac:dyDescent="0.25">
      <c r="A3522" s="10">
        <v>7</v>
      </c>
      <c r="B3522" s="10">
        <v>1</v>
      </c>
      <c r="C3522" s="10">
        <v>8</v>
      </c>
      <c r="D3522" s="10">
        <v>2</v>
      </c>
      <c r="E3522" s="10">
        <v>15</v>
      </c>
      <c r="F3522" s="10">
        <v>15</v>
      </c>
      <c r="L3522" s="1">
        <v>104</v>
      </c>
      <c r="M3522" s="1">
        <v>11</v>
      </c>
      <c r="N3522" s="1">
        <v>1</v>
      </c>
      <c r="O3522" s="1">
        <v>4</v>
      </c>
      <c r="P3522" s="2">
        <v>1</v>
      </c>
      <c r="Q3522" s="68">
        <v>8</v>
      </c>
    </row>
    <row r="3523" spans="1:17" x14ac:dyDescent="0.25">
      <c r="A3523" s="10">
        <v>276</v>
      </c>
      <c r="B3523" s="10">
        <v>30</v>
      </c>
      <c r="C3523" s="10">
        <v>8</v>
      </c>
      <c r="D3523" s="10">
        <v>2</v>
      </c>
      <c r="E3523" s="10">
        <v>2</v>
      </c>
      <c r="F3523" s="10">
        <v>2</v>
      </c>
      <c r="L3523" s="1">
        <v>105</v>
      </c>
      <c r="M3523" s="1">
        <v>11</v>
      </c>
      <c r="N3523" s="1">
        <v>1</v>
      </c>
      <c r="O3523" s="1">
        <v>4</v>
      </c>
      <c r="P3523" s="2">
        <v>1</v>
      </c>
      <c r="Q3523" s="67">
        <v>12</v>
      </c>
    </row>
    <row r="3524" spans="1:17" x14ac:dyDescent="0.25">
      <c r="A3524" s="10">
        <v>280</v>
      </c>
      <c r="B3524" s="10">
        <v>30</v>
      </c>
      <c r="C3524" s="10">
        <v>7</v>
      </c>
      <c r="D3524" s="10">
        <v>1</v>
      </c>
      <c r="E3524" s="10">
        <v>10</v>
      </c>
      <c r="F3524" s="10">
        <v>10</v>
      </c>
      <c r="L3524" s="1">
        <v>106</v>
      </c>
      <c r="M3524" s="1">
        <v>11</v>
      </c>
      <c r="N3524" s="1">
        <v>1</v>
      </c>
      <c r="O3524" s="1">
        <v>4</v>
      </c>
      <c r="P3524" s="2">
        <v>1</v>
      </c>
      <c r="Q3524" s="68">
        <v>6</v>
      </c>
    </row>
    <row r="3525" spans="1:17" x14ac:dyDescent="0.25">
      <c r="A3525" s="10">
        <v>419</v>
      </c>
      <c r="B3525" s="10">
        <v>45</v>
      </c>
      <c r="C3525" s="10">
        <v>8</v>
      </c>
      <c r="D3525" s="10">
        <v>1</v>
      </c>
      <c r="E3525" s="10">
        <v>8</v>
      </c>
      <c r="F3525" s="10">
        <v>8</v>
      </c>
      <c r="L3525" s="1">
        <v>107</v>
      </c>
      <c r="M3525" s="1">
        <v>12</v>
      </c>
      <c r="N3525" s="1">
        <v>1</v>
      </c>
      <c r="O3525" s="1">
        <v>4</v>
      </c>
      <c r="P3525" s="2">
        <v>1</v>
      </c>
      <c r="Q3525" s="67">
        <v>9</v>
      </c>
    </row>
    <row r="3526" spans="1:17" x14ac:dyDescent="0.25">
      <c r="A3526" s="10">
        <v>435</v>
      </c>
      <c r="B3526" s="10">
        <v>47</v>
      </c>
      <c r="C3526" s="10">
        <v>8</v>
      </c>
      <c r="D3526" s="10">
        <v>1</v>
      </c>
      <c r="E3526" s="10">
        <v>15</v>
      </c>
      <c r="F3526" s="10">
        <v>15</v>
      </c>
      <c r="L3526" s="1">
        <v>108</v>
      </c>
      <c r="M3526" s="1">
        <v>12</v>
      </c>
      <c r="N3526" s="1">
        <v>1</v>
      </c>
      <c r="O3526" s="1">
        <v>4</v>
      </c>
      <c r="P3526" s="2">
        <v>1</v>
      </c>
      <c r="Q3526" s="68">
        <v>15</v>
      </c>
    </row>
    <row r="3527" spans="1:17" x14ac:dyDescent="0.25">
      <c r="A3527" s="10">
        <v>435</v>
      </c>
      <c r="B3527" s="10">
        <v>47</v>
      </c>
      <c r="C3527" s="10">
        <v>8</v>
      </c>
      <c r="D3527" s="10">
        <v>2</v>
      </c>
      <c r="E3527" s="10">
        <v>17</v>
      </c>
      <c r="F3527" s="10">
        <v>17</v>
      </c>
      <c r="L3527" s="1">
        <v>109</v>
      </c>
      <c r="M3527" s="1">
        <v>12</v>
      </c>
      <c r="N3527" s="1">
        <v>1</v>
      </c>
      <c r="O3527" s="1">
        <v>4</v>
      </c>
      <c r="P3527" s="2">
        <v>1</v>
      </c>
      <c r="Q3527" s="67">
        <v>8</v>
      </c>
    </row>
    <row r="3528" spans="1:17" x14ac:dyDescent="0.25">
      <c r="A3528" s="10">
        <v>435</v>
      </c>
      <c r="B3528" s="10">
        <v>47</v>
      </c>
      <c r="C3528" s="10">
        <v>8</v>
      </c>
      <c r="D3528" s="10">
        <v>4</v>
      </c>
      <c r="E3528" s="10">
        <v>1</v>
      </c>
      <c r="F3528" s="10">
        <v>1</v>
      </c>
      <c r="L3528" s="1">
        <v>110</v>
      </c>
      <c r="M3528" s="1">
        <v>12</v>
      </c>
      <c r="N3528" s="1">
        <v>1</v>
      </c>
      <c r="O3528" s="1">
        <v>4</v>
      </c>
      <c r="P3528" s="2">
        <v>1</v>
      </c>
      <c r="Q3528" s="68">
        <v>8</v>
      </c>
    </row>
    <row r="3529" spans="1:17" x14ac:dyDescent="0.25">
      <c r="A3529" s="10">
        <v>33</v>
      </c>
      <c r="B3529" s="10">
        <v>4</v>
      </c>
      <c r="C3529" s="10">
        <v>8</v>
      </c>
      <c r="D3529" s="10">
        <v>1</v>
      </c>
      <c r="E3529" s="10">
        <v>15</v>
      </c>
      <c r="F3529" s="10">
        <v>15</v>
      </c>
      <c r="L3529" s="1">
        <v>111</v>
      </c>
      <c r="M3529" s="1">
        <v>12</v>
      </c>
      <c r="N3529" s="1">
        <v>1</v>
      </c>
      <c r="O3529" s="1">
        <v>4</v>
      </c>
      <c r="P3529" s="2">
        <v>1</v>
      </c>
      <c r="Q3529" s="67">
        <v>4</v>
      </c>
    </row>
    <row r="3530" spans="1:17" x14ac:dyDescent="0.25">
      <c r="A3530" s="10">
        <v>276</v>
      </c>
      <c r="B3530" s="10">
        <v>30</v>
      </c>
      <c r="C3530" s="10">
        <v>7</v>
      </c>
      <c r="D3530" s="10">
        <v>2</v>
      </c>
      <c r="E3530" s="10">
        <v>9</v>
      </c>
      <c r="F3530" s="10">
        <v>9</v>
      </c>
      <c r="L3530" s="1">
        <v>112</v>
      </c>
      <c r="M3530" s="1">
        <v>12</v>
      </c>
      <c r="N3530" s="1">
        <v>1</v>
      </c>
      <c r="O3530" s="1">
        <v>4</v>
      </c>
      <c r="P3530" s="2">
        <v>1</v>
      </c>
      <c r="Q3530" s="68">
        <v>15</v>
      </c>
    </row>
    <row r="3531" spans="1:17" x14ac:dyDescent="0.25">
      <c r="A3531" s="10">
        <v>33</v>
      </c>
      <c r="B3531" s="10">
        <v>4</v>
      </c>
      <c r="C3531" s="10">
        <v>8</v>
      </c>
      <c r="D3531" s="10">
        <v>2</v>
      </c>
      <c r="E3531" s="10">
        <v>6</v>
      </c>
      <c r="F3531" s="10">
        <v>6</v>
      </c>
      <c r="L3531" s="1">
        <v>113</v>
      </c>
      <c r="M3531" s="1">
        <v>12</v>
      </c>
      <c r="N3531" s="1">
        <v>1</v>
      </c>
      <c r="O3531" s="1">
        <v>4</v>
      </c>
      <c r="P3531" s="2">
        <v>1</v>
      </c>
      <c r="Q3531" s="67">
        <v>20</v>
      </c>
    </row>
    <row r="3532" spans="1:17" x14ac:dyDescent="0.25">
      <c r="A3532" s="10">
        <v>434</v>
      </c>
      <c r="B3532" s="10">
        <v>47</v>
      </c>
      <c r="C3532" s="10">
        <v>8</v>
      </c>
      <c r="D3532" s="10">
        <v>1</v>
      </c>
      <c r="E3532" s="10">
        <v>7</v>
      </c>
      <c r="F3532" s="10">
        <v>7</v>
      </c>
      <c r="L3532" s="1">
        <v>114</v>
      </c>
      <c r="M3532" s="1">
        <v>12</v>
      </c>
      <c r="N3532" s="1">
        <v>1</v>
      </c>
      <c r="O3532" s="1">
        <v>4</v>
      </c>
      <c r="P3532" s="2">
        <v>1</v>
      </c>
      <c r="Q3532" s="68">
        <v>18</v>
      </c>
    </row>
    <row r="3533" spans="1:17" x14ac:dyDescent="0.25">
      <c r="A3533" s="10">
        <v>436</v>
      </c>
      <c r="B3533" s="10">
        <v>47</v>
      </c>
      <c r="C3533" s="10">
        <v>8</v>
      </c>
      <c r="D3533" s="10">
        <v>1</v>
      </c>
      <c r="E3533" s="10">
        <v>10</v>
      </c>
      <c r="F3533" s="10">
        <v>10</v>
      </c>
      <c r="L3533" s="1">
        <v>115</v>
      </c>
      <c r="M3533" s="1">
        <v>13</v>
      </c>
      <c r="N3533" s="1">
        <v>1</v>
      </c>
      <c r="O3533" s="1">
        <v>4</v>
      </c>
      <c r="P3533" s="2">
        <v>1</v>
      </c>
      <c r="Q3533" s="67">
        <v>18</v>
      </c>
    </row>
    <row r="3534" spans="1:17" x14ac:dyDescent="0.25">
      <c r="A3534" s="10">
        <v>436</v>
      </c>
      <c r="B3534" s="10">
        <v>47</v>
      </c>
      <c r="C3534" s="10">
        <v>8</v>
      </c>
      <c r="D3534" s="10">
        <v>2</v>
      </c>
      <c r="E3534" s="10">
        <v>32</v>
      </c>
      <c r="F3534" s="10">
        <v>32</v>
      </c>
      <c r="L3534" s="1">
        <v>116</v>
      </c>
      <c r="M3534" s="1">
        <v>13</v>
      </c>
      <c r="N3534" s="1">
        <v>1</v>
      </c>
      <c r="O3534" s="1">
        <v>4</v>
      </c>
      <c r="P3534" s="2">
        <v>1</v>
      </c>
      <c r="Q3534" s="68">
        <v>10</v>
      </c>
    </row>
    <row r="3535" spans="1:17" x14ac:dyDescent="0.25">
      <c r="A3535" s="10">
        <v>436</v>
      </c>
      <c r="B3535" s="10">
        <v>47</v>
      </c>
      <c r="C3535" s="10">
        <v>8</v>
      </c>
      <c r="D3535" s="10">
        <v>3</v>
      </c>
      <c r="E3535" s="10">
        <v>8</v>
      </c>
      <c r="F3535" s="10">
        <v>8</v>
      </c>
      <c r="L3535" s="1">
        <v>117</v>
      </c>
      <c r="M3535" s="1">
        <v>13</v>
      </c>
      <c r="N3535" s="1">
        <v>1</v>
      </c>
      <c r="O3535" s="1">
        <v>4</v>
      </c>
      <c r="P3535" s="2">
        <v>1</v>
      </c>
      <c r="Q3535" s="67">
        <v>21</v>
      </c>
    </row>
    <row r="3536" spans="1:17" x14ac:dyDescent="0.25">
      <c r="A3536" s="10">
        <v>434</v>
      </c>
      <c r="B3536" s="10">
        <v>47</v>
      </c>
      <c r="C3536" s="10">
        <v>8</v>
      </c>
      <c r="D3536" s="10">
        <v>2</v>
      </c>
      <c r="E3536" s="10">
        <v>8</v>
      </c>
      <c r="F3536" s="10">
        <v>8</v>
      </c>
      <c r="L3536" s="1">
        <v>118</v>
      </c>
      <c r="M3536" s="1">
        <v>13</v>
      </c>
      <c r="N3536" s="1">
        <v>1</v>
      </c>
      <c r="O3536" s="1">
        <v>4</v>
      </c>
      <c r="P3536" s="2">
        <v>1</v>
      </c>
      <c r="Q3536" s="68">
        <v>16</v>
      </c>
    </row>
    <row r="3537" spans="1:17" x14ac:dyDescent="0.25">
      <c r="A3537" s="10">
        <v>434</v>
      </c>
      <c r="B3537" s="10">
        <v>47</v>
      </c>
      <c r="C3537" s="10">
        <v>8</v>
      </c>
      <c r="D3537" s="10">
        <v>7</v>
      </c>
      <c r="E3537" s="10">
        <v>2</v>
      </c>
      <c r="F3537" s="10">
        <v>2</v>
      </c>
      <c r="L3537" s="1">
        <v>119</v>
      </c>
      <c r="M3537" s="1">
        <v>13</v>
      </c>
      <c r="N3537" s="1">
        <v>1</v>
      </c>
      <c r="O3537" s="1">
        <v>4</v>
      </c>
      <c r="P3537" s="2">
        <v>1</v>
      </c>
      <c r="Q3537" s="67">
        <v>14</v>
      </c>
    </row>
    <row r="3538" spans="1:17" x14ac:dyDescent="0.25">
      <c r="A3538" s="10">
        <v>53</v>
      </c>
      <c r="B3538" s="10">
        <v>6</v>
      </c>
      <c r="C3538" s="10">
        <v>8</v>
      </c>
      <c r="D3538" s="10">
        <v>1</v>
      </c>
      <c r="E3538" s="10">
        <v>10</v>
      </c>
      <c r="F3538" s="10">
        <v>10</v>
      </c>
      <c r="L3538" s="1">
        <v>120</v>
      </c>
      <c r="M3538" s="1">
        <v>13</v>
      </c>
      <c r="N3538" s="1">
        <v>1</v>
      </c>
      <c r="O3538" s="1">
        <v>4</v>
      </c>
      <c r="P3538" s="2">
        <v>1</v>
      </c>
      <c r="Q3538" s="68">
        <v>13</v>
      </c>
    </row>
    <row r="3539" spans="1:17" x14ac:dyDescent="0.25">
      <c r="A3539" s="10">
        <v>53</v>
      </c>
      <c r="B3539" s="10">
        <v>6</v>
      </c>
      <c r="C3539" s="10">
        <v>8</v>
      </c>
      <c r="D3539" s="10">
        <v>2</v>
      </c>
      <c r="E3539" s="10">
        <v>12</v>
      </c>
      <c r="F3539" s="10">
        <v>12</v>
      </c>
      <c r="L3539" s="1">
        <v>121</v>
      </c>
      <c r="M3539" s="1">
        <v>13</v>
      </c>
      <c r="N3539" s="1">
        <v>1</v>
      </c>
      <c r="O3539" s="1">
        <v>4</v>
      </c>
      <c r="P3539" s="2">
        <v>1</v>
      </c>
      <c r="Q3539" s="67">
        <v>12</v>
      </c>
    </row>
    <row r="3540" spans="1:17" x14ac:dyDescent="0.25">
      <c r="A3540" s="10">
        <v>53</v>
      </c>
      <c r="B3540" s="10">
        <v>6</v>
      </c>
      <c r="C3540" s="10">
        <v>8</v>
      </c>
      <c r="D3540" s="10">
        <v>3</v>
      </c>
      <c r="E3540" s="10">
        <v>4</v>
      </c>
      <c r="F3540" s="10">
        <v>4</v>
      </c>
      <c r="L3540" s="1">
        <v>122</v>
      </c>
      <c r="M3540" s="1">
        <v>13</v>
      </c>
      <c r="N3540" s="1">
        <v>1</v>
      </c>
      <c r="O3540" s="1">
        <v>4</v>
      </c>
      <c r="P3540" s="2">
        <v>1</v>
      </c>
      <c r="Q3540" s="68">
        <v>15</v>
      </c>
    </row>
    <row r="3541" spans="1:17" x14ac:dyDescent="0.25">
      <c r="A3541" s="10">
        <v>55</v>
      </c>
      <c r="B3541" s="10">
        <v>6</v>
      </c>
      <c r="C3541" s="10">
        <v>1</v>
      </c>
      <c r="D3541" s="10">
        <v>1</v>
      </c>
      <c r="E3541" s="10">
        <v>6</v>
      </c>
      <c r="F3541" s="10">
        <v>6</v>
      </c>
      <c r="L3541" s="1">
        <v>123</v>
      </c>
      <c r="M3541" s="1">
        <v>14</v>
      </c>
      <c r="N3541" s="1">
        <v>1</v>
      </c>
      <c r="O3541" s="1">
        <v>4</v>
      </c>
      <c r="P3541" s="2">
        <v>1</v>
      </c>
      <c r="Q3541" s="67">
        <v>5</v>
      </c>
    </row>
    <row r="3542" spans="1:17" x14ac:dyDescent="0.25">
      <c r="A3542" s="10">
        <v>55</v>
      </c>
      <c r="B3542" s="10">
        <v>6</v>
      </c>
      <c r="C3542" s="10">
        <v>1</v>
      </c>
      <c r="D3542" s="10">
        <v>2</v>
      </c>
      <c r="E3542" s="10">
        <v>18</v>
      </c>
      <c r="F3542" s="10">
        <v>18</v>
      </c>
      <c r="L3542" s="1">
        <v>124</v>
      </c>
      <c r="M3542" s="1">
        <v>14</v>
      </c>
      <c r="N3542" s="1">
        <v>1</v>
      </c>
      <c r="O3542" s="1">
        <v>4</v>
      </c>
      <c r="P3542" s="2">
        <v>1</v>
      </c>
      <c r="Q3542" s="68">
        <v>7</v>
      </c>
    </row>
    <row r="3543" spans="1:17" x14ac:dyDescent="0.25">
      <c r="A3543" s="10">
        <v>55</v>
      </c>
      <c r="B3543" s="10">
        <v>6</v>
      </c>
      <c r="C3543" s="10">
        <v>1</v>
      </c>
      <c r="D3543" s="10">
        <v>3</v>
      </c>
      <c r="E3543" s="10">
        <v>3</v>
      </c>
      <c r="F3543" s="10">
        <v>3</v>
      </c>
      <c r="L3543" s="1">
        <v>125</v>
      </c>
      <c r="M3543" s="1">
        <v>14</v>
      </c>
      <c r="N3543" s="1">
        <v>1</v>
      </c>
      <c r="O3543" s="1">
        <v>4</v>
      </c>
      <c r="P3543" s="2">
        <v>1</v>
      </c>
      <c r="Q3543" s="67">
        <v>8</v>
      </c>
    </row>
    <row r="3544" spans="1:17" x14ac:dyDescent="0.25">
      <c r="A3544" s="10">
        <v>29</v>
      </c>
      <c r="B3544" s="10">
        <v>4</v>
      </c>
      <c r="C3544" s="10">
        <v>8</v>
      </c>
      <c r="D3544" s="10">
        <v>2</v>
      </c>
      <c r="E3544" s="10">
        <v>24</v>
      </c>
      <c r="F3544" s="10">
        <v>24</v>
      </c>
      <c r="L3544" s="1">
        <v>126</v>
      </c>
      <c r="M3544" s="1">
        <v>14</v>
      </c>
      <c r="N3544" s="1">
        <v>1</v>
      </c>
      <c r="O3544" s="1">
        <v>4</v>
      </c>
      <c r="P3544" s="2">
        <v>1</v>
      </c>
      <c r="Q3544" s="68">
        <v>12</v>
      </c>
    </row>
    <row r="3545" spans="1:17" x14ac:dyDescent="0.25">
      <c r="A3545" s="10">
        <v>29</v>
      </c>
      <c r="B3545" s="10">
        <v>4</v>
      </c>
      <c r="C3545" s="10">
        <v>7</v>
      </c>
      <c r="D3545" s="10">
        <v>1</v>
      </c>
      <c r="E3545" s="10">
        <v>20</v>
      </c>
      <c r="F3545" s="10">
        <v>20</v>
      </c>
      <c r="L3545" s="1">
        <v>127</v>
      </c>
      <c r="M3545" s="1">
        <v>14</v>
      </c>
      <c r="N3545" s="1">
        <v>1</v>
      </c>
      <c r="O3545" s="1">
        <v>4</v>
      </c>
      <c r="P3545" s="2">
        <v>1</v>
      </c>
      <c r="Q3545" s="67">
        <v>13</v>
      </c>
    </row>
    <row r="3546" spans="1:17" x14ac:dyDescent="0.25">
      <c r="A3546" s="10">
        <v>55</v>
      </c>
      <c r="B3546" s="10">
        <v>6</v>
      </c>
      <c r="C3546" s="10">
        <v>3</v>
      </c>
      <c r="D3546" s="10">
        <v>1</v>
      </c>
      <c r="E3546" s="10">
        <v>6</v>
      </c>
      <c r="F3546" s="10">
        <v>6</v>
      </c>
      <c r="L3546" s="1">
        <v>128</v>
      </c>
      <c r="M3546" s="1">
        <v>14</v>
      </c>
      <c r="N3546" s="1">
        <v>1</v>
      </c>
      <c r="O3546" s="1">
        <v>4</v>
      </c>
      <c r="P3546" s="2">
        <v>1</v>
      </c>
      <c r="Q3546" s="68">
        <v>11</v>
      </c>
    </row>
    <row r="3547" spans="1:17" x14ac:dyDescent="0.25">
      <c r="A3547" s="10">
        <v>55</v>
      </c>
      <c r="B3547" s="10">
        <v>6</v>
      </c>
      <c r="C3547" s="10">
        <v>6</v>
      </c>
      <c r="D3547" s="10">
        <v>2</v>
      </c>
      <c r="E3547" s="10">
        <v>8</v>
      </c>
      <c r="F3547" s="10">
        <v>8</v>
      </c>
      <c r="L3547" s="1">
        <v>129</v>
      </c>
      <c r="M3547" s="1">
        <v>14</v>
      </c>
      <c r="N3547" s="1">
        <v>1</v>
      </c>
      <c r="O3547" s="1">
        <v>4</v>
      </c>
      <c r="P3547" s="2">
        <v>1</v>
      </c>
      <c r="Q3547" s="67">
        <v>23</v>
      </c>
    </row>
    <row r="3548" spans="1:17" x14ac:dyDescent="0.25">
      <c r="A3548" s="10">
        <v>55</v>
      </c>
      <c r="B3548" s="10">
        <v>6</v>
      </c>
      <c r="C3548" s="10">
        <v>4</v>
      </c>
      <c r="D3548" s="10">
        <v>1</v>
      </c>
      <c r="E3548" s="10">
        <v>10</v>
      </c>
      <c r="F3548" s="10">
        <v>10</v>
      </c>
      <c r="L3548" s="1">
        <v>130</v>
      </c>
      <c r="M3548" s="1">
        <v>14</v>
      </c>
      <c r="N3548" s="1">
        <v>1</v>
      </c>
      <c r="O3548" s="1">
        <v>4</v>
      </c>
      <c r="P3548" s="2">
        <v>1</v>
      </c>
      <c r="Q3548" s="68">
        <v>19</v>
      </c>
    </row>
    <row r="3549" spans="1:17" x14ac:dyDescent="0.25">
      <c r="A3549" s="10">
        <v>389</v>
      </c>
      <c r="B3549" s="10">
        <v>42</v>
      </c>
      <c r="C3549" s="10">
        <v>8</v>
      </c>
      <c r="D3549" s="10">
        <v>1</v>
      </c>
      <c r="E3549" s="10">
        <v>10</v>
      </c>
      <c r="F3549" s="10">
        <v>10</v>
      </c>
      <c r="L3549" s="1">
        <v>131</v>
      </c>
      <c r="M3549" s="1">
        <v>14</v>
      </c>
      <c r="N3549" s="1">
        <v>1</v>
      </c>
      <c r="O3549" s="1">
        <v>4</v>
      </c>
      <c r="P3549" s="2">
        <v>1</v>
      </c>
      <c r="Q3549" s="67">
        <v>21</v>
      </c>
    </row>
    <row r="3550" spans="1:17" x14ac:dyDescent="0.25">
      <c r="A3550" s="10">
        <v>54</v>
      </c>
      <c r="B3550" s="10">
        <v>6</v>
      </c>
      <c r="C3550" s="10">
        <v>3</v>
      </c>
      <c r="D3550" s="10">
        <v>2</v>
      </c>
      <c r="E3550" s="10">
        <v>4</v>
      </c>
      <c r="F3550" s="10">
        <v>4</v>
      </c>
      <c r="L3550" s="1">
        <v>132</v>
      </c>
      <c r="M3550" s="1">
        <v>14</v>
      </c>
      <c r="N3550" s="1">
        <v>1</v>
      </c>
      <c r="O3550" s="1">
        <v>4</v>
      </c>
      <c r="P3550" s="2">
        <v>1</v>
      </c>
      <c r="Q3550" s="68">
        <v>19</v>
      </c>
    </row>
    <row r="3551" spans="1:17" x14ac:dyDescent="0.25">
      <c r="A3551" s="10">
        <v>54</v>
      </c>
      <c r="B3551" s="10">
        <v>6</v>
      </c>
      <c r="C3551" s="10">
        <v>3</v>
      </c>
      <c r="D3551" s="10">
        <v>3</v>
      </c>
      <c r="E3551" s="10">
        <v>3</v>
      </c>
      <c r="F3551" s="10">
        <v>3</v>
      </c>
      <c r="L3551" s="1">
        <v>133</v>
      </c>
      <c r="M3551" s="1">
        <v>15</v>
      </c>
      <c r="N3551" s="1">
        <v>1</v>
      </c>
      <c r="O3551" s="1">
        <v>4</v>
      </c>
      <c r="P3551" s="2">
        <v>1</v>
      </c>
      <c r="Q3551" s="67">
        <v>16</v>
      </c>
    </row>
    <row r="3552" spans="1:17" x14ac:dyDescent="0.25">
      <c r="A3552" s="10">
        <v>47</v>
      </c>
      <c r="B3552" s="10">
        <v>6</v>
      </c>
      <c r="C3552" s="10">
        <v>1</v>
      </c>
      <c r="D3552" s="10">
        <v>1</v>
      </c>
      <c r="E3552" s="10">
        <v>10</v>
      </c>
      <c r="F3552" s="10">
        <v>10</v>
      </c>
      <c r="L3552" s="1">
        <v>134</v>
      </c>
      <c r="M3552" s="1">
        <v>15</v>
      </c>
      <c r="N3552" s="1">
        <v>1</v>
      </c>
      <c r="O3552" s="1">
        <v>4</v>
      </c>
      <c r="P3552" s="2">
        <v>1</v>
      </c>
      <c r="Q3552" s="68">
        <v>24</v>
      </c>
    </row>
    <row r="3553" spans="1:17" x14ac:dyDescent="0.25">
      <c r="A3553" s="10">
        <v>47</v>
      </c>
      <c r="B3553" s="10">
        <v>6</v>
      </c>
      <c r="C3553" s="10">
        <v>1</v>
      </c>
      <c r="D3553" s="10">
        <v>2</v>
      </c>
      <c r="E3553" s="10">
        <v>12</v>
      </c>
      <c r="F3553" s="10">
        <v>12</v>
      </c>
      <c r="L3553" s="1">
        <v>135</v>
      </c>
      <c r="M3553" s="1">
        <v>15</v>
      </c>
      <c r="N3553" s="1">
        <v>1</v>
      </c>
      <c r="O3553" s="1">
        <v>4</v>
      </c>
      <c r="P3553" s="2">
        <v>1</v>
      </c>
      <c r="Q3553" s="67">
        <v>19</v>
      </c>
    </row>
    <row r="3554" spans="1:17" x14ac:dyDescent="0.25">
      <c r="A3554" s="10">
        <v>341</v>
      </c>
      <c r="B3554" s="10">
        <v>37</v>
      </c>
      <c r="C3554" s="10">
        <v>9</v>
      </c>
      <c r="D3554" s="10">
        <v>1</v>
      </c>
      <c r="E3554" s="10">
        <v>6</v>
      </c>
      <c r="F3554" s="10">
        <v>6</v>
      </c>
      <c r="L3554" s="1">
        <v>136</v>
      </c>
      <c r="M3554" s="1">
        <v>15</v>
      </c>
      <c r="N3554" s="1">
        <v>1</v>
      </c>
      <c r="O3554" s="1">
        <v>4</v>
      </c>
      <c r="P3554" s="2">
        <v>1</v>
      </c>
      <c r="Q3554" s="68">
        <v>16</v>
      </c>
    </row>
    <row r="3555" spans="1:17" x14ac:dyDescent="0.25">
      <c r="A3555" s="10">
        <v>341</v>
      </c>
      <c r="B3555" s="10">
        <v>37</v>
      </c>
      <c r="C3555" s="10">
        <v>9</v>
      </c>
      <c r="D3555" s="10">
        <v>4</v>
      </c>
      <c r="E3555" s="10">
        <v>1</v>
      </c>
      <c r="F3555" s="10">
        <v>1</v>
      </c>
      <c r="L3555" s="1">
        <v>137</v>
      </c>
      <c r="M3555" s="1">
        <v>15</v>
      </c>
      <c r="N3555" s="1">
        <v>1</v>
      </c>
      <c r="O3555" s="1">
        <v>4</v>
      </c>
      <c r="P3555" s="2">
        <v>1</v>
      </c>
      <c r="Q3555" s="67">
        <v>8</v>
      </c>
    </row>
    <row r="3556" spans="1:17" x14ac:dyDescent="0.25">
      <c r="A3556" s="10">
        <v>341</v>
      </c>
      <c r="B3556" s="10">
        <v>37</v>
      </c>
      <c r="C3556" s="10">
        <v>9</v>
      </c>
      <c r="D3556" s="10">
        <v>5</v>
      </c>
      <c r="E3556" s="10">
        <v>6</v>
      </c>
      <c r="F3556" s="10">
        <v>6</v>
      </c>
      <c r="L3556" s="1">
        <v>138</v>
      </c>
      <c r="M3556" s="1">
        <v>15</v>
      </c>
      <c r="N3556" s="1">
        <v>1</v>
      </c>
      <c r="O3556" s="1">
        <v>4</v>
      </c>
      <c r="P3556" s="2">
        <v>1</v>
      </c>
      <c r="Q3556" s="68">
        <v>9</v>
      </c>
    </row>
    <row r="3557" spans="1:17" x14ac:dyDescent="0.25">
      <c r="A3557" s="10">
        <v>341</v>
      </c>
      <c r="B3557" s="10">
        <v>37</v>
      </c>
      <c r="C3557" s="10">
        <v>9</v>
      </c>
      <c r="D3557" s="10">
        <v>8</v>
      </c>
      <c r="E3557" s="10">
        <v>1</v>
      </c>
      <c r="F3557" s="10">
        <v>1</v>
      </c>
      <c r="L3557" s="1">
        <v>139</v>
      </c>
      <c r="M3557" s="1">
        <v>15</v>
      </c>
      <c r="N3557" s="1">
        <v>1</v>
      </c>
      <c r="O3557" s="1">
        <v>4</v>
      </c>
      <c r="P3557" s="2">
        <v>1</v>
      </c>
      <c r="Q3557" s="67">
        <v>4</v>
      </c>
    </row>
    <row r="3558" spans="1:17" x14ac:dyDescent="0.25">
      <c r="A3558" s="10">
        <v>205</v>
      </c>
      <c r="B3558" s="10">
        <v>22</v>
      </c>
      <c r="C3558" s="10">
        <v>9</v>
      </c>
      <c r="D3558" s="10">
        <v>1</v>
      </c>
      <c r="E3558" s="10">
        <v>5</v>
      </c>
      <c r="F3558" s="10">
        <v>5</v>
      </c>
      <c r="L3558" s="1">
        <v>140</v>
      </c>
      <c r="M3558" s="1">
        <v>15</v>
      </c>
      <c r="N3558" s="1">
        <v>1</v>
      </c>
      <c r="O3558" s="1">
        <v>4</v>
      </c>
      <c r="P3558" s="2">
        <v>1</v>
      </c>
      <c r="Q3558" s="68">
        <v>7</v>
      </c>
    </row>
    <row r="3559" spans="1:17" x14ac:dyDescent="0.25">
      <c r="A3559" s="10">
        <v>205</v>
      </c>
      <c r="B3559" s="10">
        <v>22</v>
      </c>
      <c r="C3559" s="10">
        <v>9</v>
      </c>
      <c r="D3559" s="10">
        <v>2</v>
      </c>
      <c r="E3559" s="10">
        <v>2</v>
      </c>
      <c r="F3559" s="10">
        <v>2</v>
      </c>
      <c r="L3559" s="1">
        <v>141</v>
      </c>
      <c r="M3559" s="1">
        <v>15</v>
      </c>
      <c r="N3559" s="1">
        <v>1</v>
      </c>
      <c r="O3559" s="1">
        <v>4</v>
      </c>
      <c r="P3559" s="2">
        <v>1</v>
      </c>
      <c r="Q3559" s="67">
        <v>5</v>
      </c>
    </row>
    <row r="3560" spans="1:17" x14ac:dyDescent="0.25">
      <c r="A3560" s="10">
        <v>121</v>
      </c>
      <c r="B3560" s="10">
        <v>13</v>
      </c>
      <c r="C3560" s="10">
        <v>8</v>
      </c>
      <c r="D3560" s="10">
        <v>1</v>
      </c>
      <c r="E3560" s="10">
        <v>13</v>
      </c>
      <c r="F3560" s="10">
        <v>13</v>
      </c>
      <c r="L3560" s="1">
        <v>142</v>
      </c>
      <c r="M3560" s="1">
        <v>15</v>
      </c>
      <c r="N3560" s="1">
        <v>1</v>
      </c>
      <c r="O3560" s="1">
        <v>4</v>
      </c>
      <c r="P3560" s="2">
        <v>1</v>
      </c>
      <c r="Q3560" s="68">
        <v>5</v>
      </c>
    </row>
    <row r="3561" spans="1:17" x14ac:dyDescent="0.25">
      <c r="A3561" s="10">
        <v>121</v>
      </c>
      <c r="B3561" s="10">
        <v>13</v>
      </c>
      <c r="C3561" s="10">
        <v>8</v>
      </c>
      <c r="D3561" s="10">
        <v>2</v>
      </c>
      <c r="E3561" s="10">
        <v>5</v>
      </c>
      <c r="F3561" s="10">
        <v>5</v>
      </c>
      <c r="L3561" s="1">
        <v>143</v>
      </c>
      <c r="M3561" s="1">
        <v>16</v>
      </c>
      <c r="N3561" s="1">
        <v>1</v>
      </c>
      <c r="O3561" s="1">
        <v>4</v>
      </c>
      <c r="P3561" s="2">
        <v>1</v>
      </c>
      <c r="Q3561" s="67">
        <v>12</v>
      </c>
    </row>
    <row r="3562" spans="1:17" x14ac:dyDescent="0.25">
      <c r="A3562" s="10">
        <v>121</v>
      </c>
      <c r="B3562" s="10">
        <v>13</v>
      </c>
      <c r="C3562" s="10">
        <v>8</v>
      </c>
      <c r="D3562" s="10">
        <v>3</v>
      </c>
      <c r="E3562" s="10">
        <v>1</v>
      </c>
      <c r="F3562" s="10">
        <v>1</v>
      </c>
      <c r="L3562" s="1">
        <v>144</v>
      </c>
      <c r="M3562" s="1">
        <v>16</v>
      </c>
      <c r="N3562" s="1">
        <v>1</v>
      </c>
      <c r="O3562" s="1">
        <v>4</v>
      </c>
      <c r="P3562" s="2">
        <v>1</v>
      </c>
      <c r="Q3562" s="68">
        <v>25</v>
      </c>
    </row>
    <row r="3563" spans="1:17" x14ac:dyDescent="0.25">
      <c r="A3563" s="10">
        <v>45</v>
      </c>
      <c r="B3563" s="10">
        <v>5</v>
      </c>
      <c r="C3563" s="10">
        <v>9</v>
      </c>
      <c r="D3563" s="10">
        <v>1</v>
      </c>
      <c r="E3563" s="10">
        <v>6</v>
      </c>
      <c r="F3563" s="10">
        <v>6</v>
      </c>
      <c r="L3563" s="1">
        <v>145</v>
      </c>
      <c r="M3563" s="1">
        <v>16</v>
      </c>
      <c r="N3563" s="1">
        <v>1</v>
      </c>
      <c r="O3563" s="1">
        <v>4</v>
      </c>
      <c r="P3563" s="2">
        <v>1</v>
      </c>
      <c r="Q3563" s="67">
        <v>6</v>
      </c>
    </row>
    <row r="3564" spans="1:17" x14ac:dyDescent="0.25">
      <c r="A3564" s="10">
        <v>45</v>
      </c>
      <c r="B3564" s="10">
        <v>5</v>
      </c>
      <c r="C3564" s="10">
        <v>9</v>
      </c>
      <c r="D3564" s="10">
        <v>2</v>
      </c>
      <c r="E3564" s="10">
        <v>2</v>
      </c>
      <c r="F3564" s="10">
        <v>2</v>
      </c>
      <c r="L3564" s="1">
        <v>146</v>
      </c>
      <c r="M3564" s="1">
        <v>16</v>
      </c>
      <c r="N3564" s="1">
        <v>1</v>
      </c>
      <c r="O3564" s="1">
        <v>4</v>
      </c>
      <c r="P3564" s="2">
        <v>1</v>
      </c>
      <c r="Q3564" s="68">
        <v>17</v>
      </c>
    </row>
    <row r="3565" spans="1:17" x14ac:dyDescent="0.25">
      <c r="A3565" s="10">
        <v>131</v>
      </c>
      <c r="B3565" s="10">
        <v>14</v>
      </c>
      <c r="C3565" s="10">
        <v>9</v>
      </c>
      <c r="D3565" s="10">
        <v>1</v>
      </c>
      <c r="E3565" s="10">
        <v>12</v>
      </c>
      <c r="F3565" s="10">
        <v>12</v>
      </c>
      <c r="L3565" s="1">
        <v>147</v>
      </c>
      <c r="M3565" s="1">
        <v>16</v>
      </c>
      <c r="N3565" s="1">
        <v>1</v>
      </c>
      <c r="O3565" s="1">
        <v>4</v>
      </c>
      <c r="P3565" s="2">
        <v>1</v>
      </c>
      <c r="Q3565" s="67">
        <v>0</v>
      </c>
    </row>
    <row r="3566" spans="1:17" x14ac:dyDescent="0.25">
      <c r="A3566" s="10">
        <v>4</v>
      </c>
      <c r="B3566" s="10">
        <v>1</v>
      </c>
      <c r="C3566" s="10">
        <v>8</v>
      </c>
      <c r="D3566" s="10">
        <v>2</v>
      </c>
      <c r="E3566" s="10">
        <v>10</v>
      </c>
      <c r="F3566" s="10">
        <v>10</v>
      </c>
      <c r="L3566" s="1">
        <v>148</v>
      </c>
      <c r="M3566" s="1">
        <v>16</v>
      </c>
      <c r="N3566" s="1">
        <v>1</v>
      </c>
      <c r="O3566" s="1">
        <v>4</v>
      </c>
      <c r="P3566" s="2">
        <v>1</v>
      </c>
      <c r="Q3566" s="68">
        <v>9</v>
      </c>
    </row>
    <row r="3567" spans="1:17" x14ac:dyDescent="0.25">
      <c r="A3567" s="10">
        <v>46</v>
      </c>
      <c r="B3567" s="10">
        <v>5</v>
      </c>
      <c r="C3567" s="10">
        <v>9</v>
      </c>
      <c r="D3567" s="10">
        <v>1</v>
      </c>
      <c r="E3567" s="10">
        <v>6</v>
      </c>
      <c r="F3567" s="10">
        <v>6</v>
      </c>
      <c r="L3567" s="1">
        <v>149</v>
      </c>
      <c r="M3567" s="1">
        <v>16</v>
      </c>
      <c r="N3567" s="1">
        <v>1</v>
      </c>
      <c r="O3567" s="1">
        <v>4</v>
      </c>
      <c r="P3567" s="2">
        <v>1</v>
      </c>
      <c r="Q3567" s="67">
        <v>7</v>
      </c>
    </row>
    <row r="3568" spans="1:17" x14ac:dyDescent="0.25">
      <c r="A3568" s="10">
        <v>42</v>
      </c>
      <c r="B3568" s="10">
        <v>5</v>
      </c>
      <c r="C3568" s="10">
        <v>9</v>
      </c>
      <c r="D3568" s="10">
        <v>7</v>
      </c>
      <c r="E3568" s="10">
        <v>24</v>
      </c>
      <c r="F3568" s="10">
        <v>24</v>
      </c>
      <c r="L3568" s="1">
        <v>150</v>
      </c>
      <c r="M3568" s="1">
        <v>16</v>
      </c>
      <c r="N3568" s="1">
        <v>1</v>
      </c>
      <c r="O3568" s="1">
        <v>4</v>
      </c>
      <c r="P3568" s="2">
        <v>1</v>
      </c>
      <c r="Q3568" s="68">
        <v>10</v>
      </c>
    </row>
    <row r="3569" spans="1:17" x14ac:dyDescent="0.25">
      <c r="A3569" s="10">
        <v>413</v>
      </c>
      <c r="B3569" s="10">
        <v>44</v>
      </c>
      <c r="C3569" s="10">
        <v>9</v>
      </c>
      <c r="D3569" s="10">
        <v>1</v>
      </c>
      <c r="E3569" s="10">
        <v>40</v>
      </c>
      <c r="F3569" s="10">
        <v>40</v>
      </c>
      <c r="L3569" s="1">
        <v>151</v>
      </c>
      <c r="M3569" s="1">
        <v>16</v>
      </c>
      <c r="N3569" s="1">
        <v>1</v>
      </c>
      <c r="O3569" s="1">
        <v>4</v>
      </c>
      <c r="P3569" s="2">
        <v>1</v>
      </c>
      <c r="Q3569" s="67">
        <v>6</v>
      </c>
    </row>
    <row r="3570" spans="1:17" x14ac:dyDescent="0.25">
      <c r="A3570" s="10">
        <v>405</v>
      </c>
      <c r="B3570" s="10">
        <v>44</v>
      </c>
      <c r="C3570" s="10">
        <v>9</v>
      </c>
      <c r="D3570" s="10">
        <v>1</v>
      </c>
      <c r="E3570" s="10">
        <v>35</v>
      </c>
      <c r="F3570" s="10">
        <v>35</v>
      </c>
      <c r="L3570" s="1">
        <v>152</v>
      </c>
      <c r="M3570" s="1">
        <v>16</v>
      </c>
      <c r="N3570" s="1">
        <v>1</v>
      </c>
      <c r="O3570" s="1">
        <v>4</v>
      </c>
      <c r="P3570" s="2">
        <v>1</v>
      </c>
      <c r="Q3570" s="68">
        <v>25</v>
      </c>
    </row>
    <row r="3571" spans="1:17" x14ac:dyDescent="0.25">
      <c r="A3571" s="10">
        <v>440</v>
      </c>
      <c r="B3571" s="10">
        <v>47</v>
      </c>
      <c r="C3571" s="10">
        <v>9</v>
      </c>
      <c r="D3571" s="10">
        <v>1</v>
      </c>
      <c r="E3571" s="10">
        <v>10</v>
      </c>
      <c r="F3571" s="10">
        <v>10</v>
      </c>
      <c r="L3571" s="1">
        <v>153</v>
      </c>
      <c r="M3571" s="1">
        <v>17</v>
      </c>
      <c r="N3571" s="1">
        <v>1</v>
      </c>
      <c r="O3571" s="1">
        <v>4</v>
      </c>
      <c r="P3571" s="2">
        <v>1</v>
      </c>
      <c r="Q3571" s="67">
        <v>9</v>
      </c>
    </row>
    <row r="3572" spans="1:17" x14ac:dyDescent="0.25">
      <c r="L3572" s="1">
        <v>154</v>
      </c>
      <c r="M3572" s="1">
        <v>17</v>
      </c>
      <c r="N3572" s="1">
        <v>1</v>
      </c>
      <c r="O3572" s="1">
        <v>4</v>
      </c>
      <c r="P3572" s="2">
        <v>1</v>
      </c>
      <c r="Q3572" s="68">
        <v>6</v>
      </c>
    </row>
    <row r="3573" spans="1:17" x14ac:dyDescent="0.25">
      <c r="L3573" s="1">
        <v>155</v>
      </c>
      <c r="M3573" s="1">
        <v>17</v>
      </c>
      <c r="N3573" s="1">
        <v>1</v>
      </c>
      <c r="O3573" s="1">
        <v>4</v>
      </c>
      <c r="P3573" s="2">
        <v>1</v>
      </c>
      <c r="Q3573" s="67">
        <v>5</v>
      </c>
    </row>
    <row r="3574" spans="1:17" x14ac:dyDescent="0.25">
      <c r="L3574" s="1">
        <v>156</v>
      </c>
      <c r="M3574" s="1">
        <v>17</v>
      </c>
      <c r="N3574" s="1">
        <v>1</v>
      </c>
      <c r="O3574" s="1">
        <v>4</v>
      </c>
      <c r="P3574" s="2">
        <v>1</v>
      </c>
      <c r="Q3574" s="68">
        <v>4</v>
      </c>
    </row>
    <row r="3575" spans="1:17" x14ac:dyDescent="0.25">
      <c r="L3575" s="1">
        <v>157</v>
      </c>
      <c r="M3575" s="1">
        <v>17</v>
      </c>
      <c r="N3575" s="1">
        <v>1</v>
      </c>
      <c r="O3575" s="1">
        <v>4</v>
      </c>
      <c r="P3575" s="2">
        <v>1</v>
      </c>
      <c r="Q3575" s="67">
        <v>1</v>
      </c>
    </row>
    <row r="3576" spans="1:17" x14ac:dyDescent="0.25">
      <c r="L3576" s="1">
        <v>158</v>
      </c>
      <c r="M3576" s="1">
        <v>17</v>
      </c>
      <c r="N3576" s="1">
        <v>1</v>
      </c>
      <c r="O3576" s="1">
        <v>4</v>
      </c>
      <c r="P3576" s="2">
        <v>1</v>
      </c>
      <c r="Q3576" s="68">
        <v>3</v>
      </c>
    </row>
    <row r="3577" spans="1:17" x14ac:dyDescent="0.25">
      <c r="L3577" s="1">
        <v>159</v>
      </c>
      <c r="M3577" s="1">
        <v>17</v>
      </c>
      <c r="N3577" s="1">
        <v>1</v>
      </c>
      <c r="O3577" s="1">
        <v>4</v>
      </c>
      <c r="P3577" s="2">
        <v>1</v>
      </c>
      <c r="Q3577" s="67">
        <v>0</v>
      </c>
    </row>
    <row r="3578" spans="1:17" x14ac:dyDescent="0.25">
      <c r="L3578" s="1">
        <v>160</v>
      </c>
      <c r="M3578" s="1">
        <v>17</v>
      </c>
      <c r="N3578" s="1">
        <v>1</v>
      </c>
      <c r="O3578" s="1">
        <v>4</v>
      </c>
      <c r="P3578" s="2">
        <v>1</v>
      </c>
      <c r="Q3578" s="68">
        <v>1</v>
      </c>
    </row>
    <row r="3579" spans="1:17" x14ac:dyDescent="0.25">
      <c r="L3579" s="1">
        <v>161</v>
      </c>
      <c r="M3579" s="1">
        <v>17</v>
      </c>
      <c r="N3579" s="1">
        <v>1</v>
      </c>
      <c r="O3579" s="1">
        <v>4</v>
      </c>
      <c r="P3579" s="2">
        <v>1</v>
      </c>
      <c r="Q3579" s="67">
        <v>3</v>
      </c>
    </row>
    <row r="3580" spans="1:17" x14ac:dyDescent="0.25">
      <c r="L3580" s="1">
        <v>162</v>
      </c>
      <c r="M3580" s="1">
        <v>17</v>
      </c>
      <c r="N3580" s="1">
        <v>1</v>
      </c>
      <c r="O3580" s="1">
        <v>4</v>
      </c>
      <c r="P3580" s="2">
        <v>1</v>
      </c>
      <c r="Q3580" s="68">
        <v>2</v>
      </c>
    </row>
    <row r="3581" spans="1:17" x14ac:dyDescent="0.25">
      <c r="L3581" s="1">
        <v>163</v>
      </c>
      <c r="M3581" s="1">
        <v>18</v>
      </c>
      <c r="N3581" s="1">
        <v>1</v>
      </c>
      <c r="O3581" s="1">
        <v>4</v>
      </c>
      <c r="P3581" s="2">
        <v>1</v>
      </c>
      <c r="Q3581" s="67">
        <v>2</v>
      </c>
    </row>
    <row r="3582" spans="1:17" x14ac:dyDescent="0.25">
      <c r="L3582" s="1">
        <v>164</v>
      </c>
      <c r="M3582" s="1">
        <v>18</v>
      </c>
      <c r="N3582" s="1">
        <v>1</v>
      </c>
      <c r="O3582" s="1">
        <v>4</v>
      </c>
      <c r="P3582" s="2">
        <v>1</v>
      </c>
      <c r="Q3582" s="68">
        <v>3</v>
      </c>
    </row>
    <row r="3583" spans="1:17" x14ac:dyDescent="0.25">
      <c r="L3583" s="1">
        <v>165</v>
      </c>
      <c r="M3583" s="1">
        <v>18</v>
      </c>
      <c r="N3583" s="1">
        <v>1</v>
      </c>
      <c r="O3583" s="1">
        <v>4</v>
      </c>
      <c r="P3583" s="2">
        <v>1</v>
      </c>
      <c r="Q3583" s="67">
        <v>2</v>
      </c>
    </row>
    <row r="3584" spans="1:17" x14ac:dyDescent="0.25">
      <c r="L3584" s="1">
        <v>166</v>
      </c>
      <c r="M3584" s="1">
        <v>18</v>
      </c>
      <c r="N3584" s="1">
        <v>1</v>
      </c>
      <c r="O3584" s="1">
        <v>4</v>
      </c>
      <c r="P3584" s="2">
        <v>1</v>
      </c>
      <c r="Q3584" s="68">
        <v>13</v>
      </c>
    </row>
    <row r="3585" spans="12:17" x14ac:dyDescent="0.25">
      <c r="L3585" s="1">
        <v>167</v>
      </c>
      <c r="M3585" s="1">
        <v>18</v>
      </c>
      <c r="N3585" s="1">
        <v>1</v>
      </c>
      <c r="O3585" s="1">
        <v>4</v>
      </c>
      <c r="P3585" s="2">
        <v>1</v>
      </c>
      <c r="Q3585" s="67">
        <v>14</v>
      </c>
    </row>
    <row r="3586" spans="12:17" x14ac:dyDescent="0.25">
      <c r="L3586" s="1">
        <v>168</v>
      </c>
      <c r="M3586" s="1">
        <v>18</v>
      </c>
      <c r="N3586" s="1">
        <v>1</v>
      </c>
      <c r="O3586" s="1">
        <v>4</v>
      </c>
      <c r="P3586" s="2">
        <v>1</v>
      </c>
      <c r="Q3586" s="68">
        <v>14</v>
      </c>
    </row>
    <row r="3587" spans="12:17" x14ac:dyDescent="0.25">
      <c r="L3587" s="1">
        <v>169</v>
      </c>
      <c r="M3587" s="1">
        <v>18</v>
      </c>
      <c r="N3587" s="1">
        <v>1</v>
      </c>
      <c r="O3587" s="1">
        <v>4</v>
      </c>
      <c r="P3587" s="2">
        <v>1</v>
      </c>
      <c r="Q3587" s="67">
        <v>15</v>
      </c>
    </row>
    <row r="3588" spans="12:17" x14ac:dyDescent="0.25">
      <c r="L3588" s="1">
        <v>170</v>
      </c>
      <c r="M3588" s="1">
        <v>18</v>
      </c>
      <c r="N3588" s="1">
        <v>1</v>
      </c>
      <c r="O3588" s="1">
        <v>4</v>
      </c>
      <c r="P3588" s="2">
        <v>1</v>
      </c>
      <c r="Q3588" s="68">
        <v>9</v>
      </c>
    </row>
    <row r="3589" spans="12:17" x14ac:dyDescent="0.25">
      <c r="L3589" s="1">
        <v>171</v>
      </c>
      <c r="M3589" s="1">
        <v>18</v>
      </c>
      <c r="N3589" s="1">
        <v>1</v>
      </c>
      <c r="O3589" s="1">
        <v>4</v>
      </c>
      <c r="P3589" s="2">
        <v>1</v>
      </c>
      <c r="Q3589" s="67">
        <v>13</v>
      </c>
    </row>
    <row r="3590" spans="12:17" x14ac:dyDescent="0.25">
      <c r="L3590" s="1">
        <v>172</v>
      </c>
      <c r="M3590" s="1">
        <v>18</v>
      </c>
      <c r="N3590" s="1">
        <v>1</v>
      </c>
      <c r="O3590" s="1">
        <v>4</v>
      </c>
      <c r="P3590" s="2">
        <v>1</v>
      </c>
      <c r="Q3590" s="68">
        <v>10</v>
      </c>
    </row>
    <row r="3591" spans="12:17" x14ac:dyDescent="0.25">
      <c r="L3591" s="1">
        <v>173</v>
      </c>
      <c r="M3591" s="1">
        <v>19</v>
      </c>
      <c r="N3591" s="1">
        <v>1</v>
      </c>
      <c r="O3591" s="1">
        <v>4</v>
      </c>
      <c r="P3591" s="2">
        <v>1</v>
      </c>
      <c r="Q3591" s="67">
        <v>8</v>
      </c>
    </row>
    <row r="3592" spans="12:17" x14ac:dyDescent="0.25">
      <c r="L3592" s="1">
        <v>174</v>
      </c>
      <c r="M3592" s="1">
        <v>19</v>
      </c>
      <c r="N3592" s="1">
        <v>1</v>
      </c>
      <c r="O3592" s="1">
        <v>4</v>
      </c>
      <c r="P3592" s="2">
        <v>1</v>
      </c>
      <c r="Q3592" s="68">
        <v>11</v>
      </c>
    </row>
    <row r="3593" spans="12:17" x14ac:dyDescent="0.25">
      <c r="L3593" s="1">
        <v>175</v>
      </c>
      <c r="M3593" s="1">
        <v>19</v>
      </c>
      <c r="N3593" s="1">
        <v>1</v>
      </c>
      <c r="O3593" s="1">
        <v>4</v>
      </c>
      <c r="P3593" s="2">
        <v>1</v>
      </c>
      <c r="Q3593" s="67">
        <v>13</v>
      </c>
    </row>
    <row r="3594" spans="12:17" x14ac:dyDescent="0.25">
      <c r="L3594" s="1">
        <v>176</v>
      </c>
      <c r="M3594" s="1">
        <v>19</v>
      </c>
      <c r="N3594" s="1">
        <v>1</v>
      </c>
      <c r="O3594" s="1">
        <v>4</v>
      </c>
      <c r="P3594" s="2">
        <v>1</v>
      </c>
      <c r="Q3594" s="68">
        <v>2</v>
      </c>
    </row>
    <row r="3595" spans="12:17" x14ac:dyDescent="0.25">
      <c r="L3595" s="1">
        <v>177</v>
      </c>
      <c r="M3595" s="1">
        <v>19</v>
      </c>
      <c r="N3595" s="1">
        <v>1</v>
      </c>
      <c r="O3595" s="1">
        <v>4</v>
      </c>
      <c r="P3595" s="2">
        <v>1</v>
      </c>
      <c r="Q3595" s="67">
        <v>8</v>
      </c>
    </row>
    <row r="3596" spans="12:17" x14ac:dyDescent="0.25">
      <c r="L3596" s="1">
        <v>178</v>
      </c>
      <c r="M3596" s="1">
        <v>19</v>
      </c>
      <c r="N3596" s="1">
        <v>1</v>
      </c>
      <c r="O3596" s="1">
        <v>4</v>
      </c>
      <c r="P3596" s="2">
        <v>1</v>
      </c>
      <c r="Q3596" s="68">
        <v>5</v>
      </c>
    </row>
    <row r="3597" spans="12:17" x14ac:dyDescent="0.25">
      <c r="L3597" s="1">
        <v>179</v>
      </c>
      <c r="M3597" s="1">
        <v>19</v>
      </c>
      <c r="N3597" s="1">
        <v>1</v>
      </c>
      <c r="O3597" s="1">
        <v>4</v>
      </c>
      <c r="P3597" s="2">
        <v>1</v>
      </c>
      <c r="Q3597" s="67">
        <v>9</v>
      </c>
    </row>
    <row r="3598" spans="12:17" x14ac:dyDescent="0.25">
      <c r="L3598" s="1">
        <v>180</v>
      </c>
      <c r="M3598" s="1">
        <v>19</v>
      </c>
      <c r="N3598" s="1">
        <v>1</v>
      </c>
      <c r="O3598" s="1">
        <v>4</v>
      </c>
      <c r="P3598" s="2">
        <v>1</v>
      </c>
      <c r="Q3598" s="68">
        <v>7</v>
      </c>
    </row>
    <row r="3599" spans="12:17" x14ac:dyDescent="0.25">
      <c r="L3599" s="1">
        <v>181</v>
      </c>
      <c r="M3599" s="1">
        <v>19</v>
      </c>
      <c r="N3599" s="1">
        <v>1</v>
      </c>
      <c r="O3599" s="1">
        <v>4</v>
      </c>
      <c r="P3599" s="2">
        <v>1</v>
      </c>
      <c r="Q3599" s="67">
        <v>10</v>
      </c>
    </row>
    <row r="3600" spans="12:17" x14ac:dyDescent="0.25">
      <c r="L3600" s="1">
        <v>182</v>
      </c>
      <c r="M3600" s="1">
        <v>19</v>
      </c>
      <c r="N3600" s="1">
        <v>1</v>
      </c>
      <c r="O3600" s="1">
        <v>4</v>
      </c>
      <c r="P3600" s="2">
        <v>1</v>
      </c>
      <c r="Q3600" s="68">
        <v>15</v>
      </c>
    </row>
    <row r="3601" spans="12:17" x14ac:dyDescent="0.25">
      <c r="L3601" s="1">
        <v>183</v>
      </c>
      <c r="M3601" s="1">
        <v>20</v>
      </c>
      <c r="N3601" s="1">
        <v>1</v>
      </c>
      <c r="O3601" s="1">
        <v>4</v>
      </c>
      <c r="P3601" s="2">
        <v>1</v>
      </c>
      <c r="Q3601" s="67">
        <v>12</v>
      </c>
    </row>
    <row r="3602" spans="12:17" x14ac:dyDescent="0.25">
      <c r="L3602" s="1">
        <v>184</v>
      </c>
      <c r="M3602" s="1">
        <v>20</v>
      </c>
      <c r="N3602" s="1">
        <v>1</v>
      </c>
      <c r="O3602" s="1">
        <v>4</v>
      </c>
      <c r="P3602" s="2">
        <v>1</v>
      </c>
      <c r="Q3602" s="68">
        <v>15</v>
      </c>
    </row>
    <row r="3603" spans="12:17" x14ac:dyDescent="0.25">
      <c r="L3603" s="1">
        <v>185</v>
      </c>
      <c r="M3603" s="1">
        <v>20</v>
      </c>
      <c r="N3603" s="1">
        <v>1</v>
      </c>
      <c r="O3603" s="1">
        <v>4</v>
      </c>
      <c r="P3603" s="2">
        <v>1</v>
      </c>
      <c r="Q3603" s="67">
        <v>3</v>
      </c>
    </row>
    <row r="3604" spans="12:17" x14ac:dyDescent="0.25">
      <c r="L3604" s="1">
        <v>186</v>
      </c>
      <c r="M3604" s="1">
        <v>20</v>
      </c>
      <c r="N3604" s="1">
        <v>1</v>
      </c>
      <c r="O3604" s="1">
        <v>4</v>
      </c>
      <c r="P3604" s="2">
        <v>1</v>
      </c>
      <c r="Q3604" s="68">
        <v>13</v>
      </c>
    </row>
    <row r="3605" spans="12:17" x14ac:dyDescent="0.25">
      <c r="L3605" s="1">
        <v>187</v>
      </c>
      <c r="M3605" s="1">
        <v>20</v>
      </c>
      <c r="N3605" s="1">
        <v>1</v>
      </c>
      <c r="O3605" s="1">
        <v>4</v>
      </c>
      <c r="P3605" s="2">
        <v>1</v>
      </c>
      <c r="Q3605" s="67">
        <v>14</v>
      </c>
    </row>
    <row r="3606" spans="12:17" x14ac:dyDescent="0.25">
      <c r="L3606" s="1">
        <v>188</v>
      </c>
      <c r="M3606" s="1">
        <v>20</v>
      </c>
      <c r="N3606" s="1">
        <v>1</v>
      </c>
      <c r="O3606" s="1">
        <v>4</v>
      </c>
      <c r="P3606" s="2">
        <v>1</v>
      </c>
      <c r="Q3606" s="68">
        <v>5</v>
      </c>
    </row>
    <row r="3607" spans="12:17" x14ac:dyDescent="0.25">
      <c r="L3607" s="1">
        <v>189</v>
      </c>
      <c r="M3607" s="1">
        <v>20</v>
      </c>
      <c r="N3607" s="1">
        <v>1</v>
      </c>
      <c r="O3607" s="1">
        <v>4</v>
      </c>
      <c r="P3607" s="2">
        <v>1</v>
      </c>
      <c r="Q3607" s="67">
        <v>2</v>
      </c>
    </row>
    <row r="3608" spans="12:17" x14ac:dyDescent="0.25">
      <c r="L3608" s="1">
        <v>190</v>
      </c>
      <c r="M3608" s="1">
        <v>20</v>
      </c>
      <c r="N3608" s="1">
        <v>1</v>
      </c>
      <c r="O3608" s="1">
        <v>4</v>
      </c>
      <c r="P3608" s="2">
        <v>1</v>
      </c>
      <c r="Q3608" s="68">
        <v>6</v>
      </c>
    </row>
    <row r="3609" spans="12:17" x14ac:dyDescent="0.25">
      <c r="L3609" s="1">
        <v>191</v>
      </c>
      <c r="M3609" s="1">
        <v>21</v>
      </c>
      <c r="N3609" s="1">
        <v>1</v>
      </c>
      <c r="O3609" s="1">
        <v>4</v>
      </c>
      <c r="P3609" s="2">
        <v>1</v>
      </c>
      <c r="Q3609" s="67">
        <v>8</v>
      </c>
    </row>
    <row r="3610" spans="12:17" x14ac:dyDescent="0.25">
      <c r="L3610" s="1">
        <v>192</v>
      </c>
      <c r="M3610" s="1">
        <v>21</v>
      </c>
      <c r="N3610" s="1">
        <v>1</v>
      </c>
      <c r="O3610" s="1">
        <v>4</v>
      </c>
      <c r="P3610" s="2">
        <v>1</v>
      </c>
      <c r="Q3610" s="68">
        <v>11</v>
      </c>
    </row>
    <row r="3611" spans="12:17" x14ac:dyDescent="0.25">
      <c r="L3611" s="1">
        <v>193</v>
      </c>
      <c r="M3611" s="1">
        <v>21</v>
      </c>
      <c r="N3611" s="1">
        <v>1</v>
      </c>
      <c r="O3611" s="1">
        <v>4</v>
      </c>
      <c r="P3611" s="2">
        <v>1</v>
      </c>
      <c r="Q3611" s="67">
        <v>10</v>
      </c>
    </row>
    <row r="3612" spans="12:17" x14ac:dyDescent="0.25">
      <c r="L3612" s="1">
        <v>194</v>
      </c>
      <c r="M3612" s="1">
        <v>21</v>
      </c>
      <c r="N3612" s="1">
        <v>1</v>
      </c>
      <c r="O3612" s="1">
        <v>4</v>
      </c>
      <c r="P3612" s="2">
        <v>1</v>
      </c>
      <c r="Q3612" s="68">
        <v>21</v>
      </c>
    </row>
    <row r="3613" spans="12:17" x14ac:dyDescent="0.25">
      <c r="L3613" s="1">
        <v>195</v>
      </c>
      <c r="M3613" s="1">
        <v>21</v>
      </c>
      <c r="N3613" s="1">
        <v>1</v>
      </c>
      <c r="O3613" s="1">
        <v>4</v>
      </c>
      <c r="P3613" s="2">
        <v>1</v>
      </c>
      <c r="Q3613" s="67">
        <v>14</v>
      </c>
    </row>
    <row r="3614" spans="12:17" x14ac:dyDescent="0.25">
      <c r="L3614" s="1">
        <v>196</v>
      </c>
      <c r="M3614" s="1">
        <v>21</v>
      </c>
      <c r="N3614" s="1">
        <v>1</v>
      </c>
      <c r="O3614" s="1">
        <v>4</v>
      </c>
      <c r="P3614" s="2">
        <v>1</v>
      </c>
      <c r="Q3614" s="68">
        <v>9</v>
      </c>
    </row>
    <row r="3615" spans="12:17" x14ac:dyDescent="0.25">
      <c r="L3615" s="1">
        <v>197</v>
      </c>
      <c r="M3615" s="1">
        <v>21</v>
      </c>
      <c r="N3615" s="1">
        <v>1</v>
      </c>
      <c r="O3615" s="1">
        <v>4</v>
      </c>
      <c r="P3615" s="2">
        <v>1</v>
      </c>
      <c r="Q3615" s="67">
        <v>11</v>
      </c>
    </row>
    <row r="3616" spans="12:17" x14ac:dyDescent="0.25">
      <c r="L3616" s="1">
        <v>198</v>
      </c>
      <c r="M3616" s="1">
        <v>21</v>
      </c>
      <c r="N3616" s="1">
        <v>1</v>
      </c>
      <c r="O3616" s="1">
        <v>4</v>
      </c>
      <c r="P3616" s="2">
        <v>1</v>
      </c>
      <c r="Q3616" s="68">
        <v>10</v>
      </c>
    </row>
    <row r="3617" spans="12:17" x14ac:dyDescent="0.25">
      <c r="L3617" s="1">
        <v>199</v>
      </c>
      <c r="M3617" s="1">
        <v>22</v>
      </c>
      <c r="N3617" s="1">
        <v>1</v>
      </c>
      <c r="O3617" s="1">
        <v>4</v>
      </c>
      <c r="P3617" s="2">
        <v>1</v>
      </c>
      <c r="Q3617" s="67">
        <v>6</v>
      </c>
    </row>
    <row r="3618" spans="12:17" x14ac:dyDescent="0.25">
      <c r="L3618" s="1">
        <v>200</v>
      </c>
      <c r="M3618" s="1">
        <v>22</v>
      </c>
      <c r="N3618" s="1">
        <v>1</v>
      </c>
      <c r="O3618" s="1">
        <v>4</v>
      </c>
      <c r="P3618" s="2">
        <v>1</v>
      </c>
      <c r="Q3618" s="68">
        <v>5</v>
      </c>
    </row>
    <row r="3619" spans="12:17" x14ac:dyDescent="0.25">
      <c r="L3619" s="1">
        <v>201</v>
      </c>
      <c r="M3619" s="1">
        <v>22</v>
      </c>
      <c r="N3619" s="1">
        <v>1</v>
      </c>
      <c r="O3619" s="1">
        <v>4</v>
      </c>
      <c r="P3619" s="2">
        <v>1</v>
      </c>
      <c r="Q3619" s="67">
        <v>9</v>
      </c>
    </row>
    <row r="3620" spans="12:17" x14ac:dyDescent="0.25">
      <c r="L3620" s="1">
        <v>202</v>
      </c>
      <c r="M3620" s="1">
        <v>22</v>
      </c>
      <c r="N3620" s="1">
        <v>1</v>
      </c>
      <c r="O3620" s="1">
        <v>4</v>
      </c>
      <c r="P3620" s="2">
        <v>1</v>
      </c>
      <c r="Q3620" s="68">
        <v>5</v>
      </c>
    </row>
    <row r="3621" spans="12:17" x14ac:dyDescent="0.25">
      <c r="L3621" s="1">
        <v>203</v>
      </c>
      <c r="M3621" s="1">
        <v>22</v>
      </c>
      <c r="N3621" s="1">
        <v>1</v>
      </c>
      <c r="O3621" s="1">
        <v>4</v>
      </c>
      <c r="P3621" s="2">
        <v>1</v>
      </c>
      <c r="Q3621" s="67">
        <v>7</v>
      </c>
    </row>
    <row r="3622" spans="12:17" x14ac:dyDescent="0.25">
      <c r="L3622" s="1">
        <v>204</v>
      </c>
      <c r="M3622" s="1">
        <v>22</v>
      </c>
      <c r="N3622" s="1">
        <v>1</v>
      </c>
      <c r="O3622" s="1">
        <v>4</v>
      </c>
      <c r="P3622" s="2">
        <v>1</v>
      </c>
      <c r="Q3622" s="68">
        <v>12</v>
      </c>
    </row>
    <row r="3623" spans="12:17" x14ac:dyDescent="0.25">
      <c r="L3623" s="1">
        <v>205</v>
      </c>
      <c r="M3623" s="1">
        <v>22</v>
      </c>
      <c r="N3623" s="1">
        <v>1</v>
      </c>
      <c r="O3623" s="1">
        <v>4</v>
      </c>
      <c r="P3623" s="2">
        <v>1</v>
      </c>
      <c r="Q3623" s="67">
        <v>7</v>
      </c>
    </row>
    <row r="3624" spans="12:17" x14ac:dyDescent="0.25">
      <c r="L3624" s="1">
        <v>206</v>
      </c>
      <c r="M3624" s="1">
        <v>22</v>
      </c>
      <c r="N3624" s="1">
        <v>1</v>
      </c>
      <c r="O3624" s="1">
        <v>4</v>
      </c>
      <c r="P3624" s="2">
        <v>1</v>
      </c>
      <c r="Q3624" s="68">
        <v>3</v>
      </c>
    </row>
    <row r="3625" spans="12:17" x14ac:dyDescent="0.25">
      <c r="L3625" s="1">
        <v>207</v>
      </c>
      <c r="M3625" s="1">
        <v>22</v>
      </c>
      <c r="N3625" s="1">
        <v>1</v>
      </c>
      <c r="O3625" s="1">
        <v>4</v>
      </c>
      <c r="P3625" s="2">
        <v>1</v>
      </c>
      <c r="Q3625" s="67">
        <v>4</v>
      </c>
    </row>
    <row r="3626" spans="12:17" x14ac:dyDescent="0.25">
      <c r="L3626" s="1">
        <v>208</v>
      </c>
      <c r="M3626" s="1">
        <v>22</v>
      </c>
      <c r="N3626" s="1">
        <v>1</v>
      </c>
      <c r="O3626" s="1">
        <v>4</v>
      </c>
      <c r="P3626" s="2">
        <v>1</v>
      </c>
      <c r="Q3626" s="68">
        <v>1</v>
      </c>
    </row>
    <row r="3627" spans="12:17" x14ac:dyDescent="0.25">
      <c r="L3627" s="1">
        <v>209</v>
      </c>
      <c r="M3627" s="1">
        <v>23</v>
      </c>
      <c r="N3627" s="1">
        <v>1</v>
      </c>
      <c r="O3627" s="1">
        <v>4</v>
      </c>
      <c r="P3627" s="2">
        <v>1</v>
      </c>
      <c r="Q3627" s="67">
        <v>10</v>
      </c>
    </row>
    <row r="3628" spans="12:17" x14ac:dyDescent="0.25">
      <c r="L3628" s="1">
        <v>210</v>
      </c>
      <c r="M3628" s="1">
        <v>23</v>
      </c>
      <c r="N3628" s="1">
        <v>1</v>
      </c>
      <c r="O3628" s="1">
        <v>4</v>
      </c>
      <c r="P3628" s="2">
        <v>1</v>
      </c>
      <c r="Q3628" s="68">
        <v>4</v>
      </c>
    </row>
    <row r="3629" spans="12:17" x14ac:dyDescent="0.25">
      <c r="L3629" s="1">
        <v>211</v>
      </c>
      <c r="M3629" s="1">
        <v>23</v>
      </c>
      <c r="N3629" s="1">
        <v>1</v>
      </c>
      <c r="O3629" s="1">
        <v>4</v>
      </c>
      <c r="P3629" s="2">
        <v>1</v>
      </c>
      <c r="Q3629" s="67">
        <v>2</v>
      </c>
    </row>
    <row r="3630" spans="12:17" x14ac:dyDescent="0.25">
      <c r="L3630" s="1">
        <v>212</v>
      </c>
      <c r="M3630" s="1">
        <v>23</v>
      </c>
      <c r="N3630" s="1">
        <v>1</v>
      </c>
      <c r="O3630" s="1">
        <v>4</v>
      </c>
      <c r="P3630" s="2">
        <v>1</v>
      </c>
      <c r="Q3630" s="68">
        <v>3</v>
      </c>
    </row>
    <row r="3631" spans="12:17" x14ac:dyDescent="0.25">
      <c r="L3631" s="1">
        <v>213</v>
      </c>
      <c r="M3631" s="1">
        <v>23</v>
      </c>
      <c r="N3631" s="1">
        <v>1</v>
      </c>
      <c r="O3631" s="1">
        <v>4</v>
      </c>
      <c r="P3631" s="2">
        <v>1</v>
      </c>
      <c r="Q3631" s="67">
        <v>9</v>
      </c>
    </row>
    <row r="3632" spans="12:17" x14ac:dyDescent="0.25">
      <c r="L3632" s="1">
        <v>214</v>
      </c>
      <c r="M3632" s="1">
        <v>23</v>
      </c>
      <c r="N3632" s="1">
        <v>1</v>
      </c>
      <c r="O3632" s="1">
        <v>4</v>
      </c>
      <c r="P3632" s="2">
        <v>1</v>
      </c>
      <c r="Q3632" s="68">
        <v>11</v>
      </c>
    </row>
    <row r="3633" spans="12:17" x14ac:dyDescent="0.25">
      <c r="L3633" s="1">
        <v>215</v>
      </c>
      <c r="M3633" s="1">
        <v>23</v>
      </c>
      <c r="N3633" s="1">
        <v>1</v>
      </c>
      <c r="O3633" s="1">
        <v>4</v>
      </c>
      <c r="P3633" s="2">
        <v>1</v>
      </c>
      <c r="Q3633" s="67">
        <v>10</v>
      </c>
    </row>
    <row r="3634" spans="12:17" x14ac:dyDescent="0.25">
      <c r="L3634" s="1">
        <v>216</v>
      </c>
      <c r="M3634" s="1">
        <v>23</v>
      </c>
      <c r="N3634" s="1">
        <v>1</v>
      </c>
      <c r="O3634" s="1">
        <v>4</v>
      </c>
      <c r="P3634" s="2">
        <v>1</v>
      </c>
      <c r="Q3634" s="68">
        <v>4</v>
      </c>
    </row>
    <row r="3635" spans="12:17" x14ac:dyDescent="0.25">
      <c r="L3635" s="1">
        <v>217</v>
      </c>
      <c r="M3635" s="1">
        <v>23</v>
      </c>
      <c r="N3635" s="1">
        <v>1</v>
      </c>
      <c r="O3635" s="1">
        <v>4</v>
      </c>
      <c r="P3635" s="2">
        <v>1</v>
      </c>
      <c r="Q3635" s="67">
        <v>4</v>
      </c>
    </row>
    <row r="3636" spans="12:17" x14ac:dyDescent="0.25">
      <c r="L3636" s="1">
        <v>218</v>
      </c>
      <c r="M3636" s="1">
        <v>23</v>
      </c>
      <c r="N3636" s="1">
        <v>1</v>
      </c>
      <c r="O3636" s="1">
        <v>4</v>
      </c>
      <c r="P3636" s="2">
        <v>1</v>
      </c>
      <c r="Q3636" s="68">
        <v>6</v>
      </c>
    </row>
    <row r="3637" spans="12:17" x14ac:dyDescent="0.25">
      <c r="L3637" s="1">
        <v>219</v>
      </c>
      <c r="M3637" s="1">
        <v>24</v>
      </c>
      <c r="N3637" s="1">
        <v>1</v>
      </c>
      <c r="O3637" s="1">
        <v>4</v>
      </c>
      <c r="P3637" s="2">
        <v>1</v>
      </c>
      <c r="Q3637" s="67">
        <v>2</v>
      </c>
    </row>
    <row r="3638" spans="12:17" x14ac:dyDescent="0.25">
      <c r="L3638" s="1">
        <v>220</v>
      </c>
      <c r="M3638" s="1">
        <v>24</v>
      </c>
      <c r="N3638" s="1">
        <v>1</v>
      </c>
      <c r="O3638" s="1">
        <v>4</v>
      </c>
      <c r="P3638" s="2">
        <v>1</v>
      </c>
      <c r="Q3638" s="68">
        <v>9</v>
      </c>
    </row>
    <row r="3639" spans="12:17" x14ac:dyDescent="0.25">
      <c r="L3639" s="1">
        <v>221</v>
      </c>
      <c r="M3639" s="1">
        <v>24</v>
      </c>
      <c r="N3639" s="1">
        <v>1</v>
      </c>
      <c r="O3639" s="1">
        <v>4</v>
      </c>
      <c r="P3639" s="2">
        <v>1</v>
      </c>
      <c r="Q3639" s="67">
        <v>13</v>
      </c>
    </row>
    <row r="3640" spans="12:17" x14ac:dyDescent="0.25">
      <c r="L3640" s="1">
        <v>222</v>
      </c>
      <c r="M3640" s="1">
        <v>24</v>
      </c>
      <c r="N3640" s="1">
        <v>1</v>
      </c>
      <c r="O3640" s="1">
        <v>4</v>
      </c>
      <c r="P3640" s="2">
        <v>1</v>
      </c>
      <c r="Q3640" s="68">
        <v>13</v>
      </c>
    </row>
    <row r="3641" spans="12:17" x14ac:dyDescent="0.25">
      <c r="L3641" s="1">
        <v>223</v>
      </c>
      <c r="M3641" s="1">
        <v>24</v>
      </c>
      <c r="N3641" s="1">
        <v>1</v>
      </c>
      <c r="O3641" s="1">
        <v>4</v>
      </c>
      <c r="P3641" s="2">
        <v>1</v>
      </c>
      <c r="Q3641" s="67">
        <v>3</v>
      </c>
    </row>
    <row r="3642" spans="12:17" x14ac:dyDescent="0.25">
      <c r="L3642" s="1">
        <v>224</v>
      </c>
      <c r="M3642" s="1">
        <v>24</v>
      </c>
      <c r="N3642" s="1">
        <v>1</v>
      </c>
      <c r="O3642" s="1">
        <v>4</v>
      </c>
      <c r="P3642" s="2">
        <v>1</v>
      </c>
      <c r="Q3642" s="68">
        <v>8</v>
      </c>
    </row>
    <row r="3643" spans="12:17" x14ac:dyDescent="0.25">
      <c r="L3643" s="1">
        <v>225</v>
      </c>
      <c r="M3643" s="1">
        <v>24</v>
      </c>
      <c r="N3643" s="1">
        <v>1</v>
      </c>
      <c r="O3643" s="1">
        <v>4</v>
      </c>
      <c r="P3643" s="2">
        <v>1</v>
      </c>
      <c r="Q3643" s="67">
        <v>2</v>
      </c>
    </row>
    <row r="3644" spans="12:17" x14ac:dyDescent="0.25">
      <c r="L3644" s="1">
        <v>226</v>
      </c>
      <c r="M3644" s="1">
        <v>24</v>
      </c>
      <c r="N3644" s="1">
        <v>1</v>
      </c>
      <c r="O3644" s="1">
        <v>4</v>
      </c>
      <c r="P3644" s="2">
        <v>1</v>
      </c>
      <c r="Q3644" s="68">
        <v>2</v>
      </c>
    </row>
    <row r="3645" spans="12:17" x14ac:dyDescent="0.25">
      <c r="L3645" s="1">
        <v>227</v>
      </c>
      <c r="M3645" s="1">
        <v>24</v>
      </c>
      <c r="N3645" s="1">
        <v>1</v>
      </c>
      <c r="O3645" s="1">
        <v>4</v>
      </c>
      <c r="P3645" s="2">
        <v>1</v>
      </c>
      <c r="Q3645" s="67">
        <v>15</v>
      </c>
    </row>
    <row r="3646" spans="12:17" x14ac:dyDescent="0.25">
      <c r="L3646" s="1">
        <v>228</v>
      </c>
      <c r="M3646" s="1">
        <v>24</v>
      </c>
      <c r="N3646" s="1">
        <v>1</v>
      </c>
      <c r="O3646" s="1">
        <v>4</v>
      </c>
      <c r="P3646" s="2">
        <v>1</v>
      </c>
      <c r="Q3646" s="68">
        <v>9</v>
      </c>
    </row>
    <row r="3647" spans="12:17" x14ac:dyDescent="0.25">
      <c r="L3647" s="1">
        <v>229</v>
      </c>
      <c r="M3647" s="1">
        <v>25</v>
      </c>
      <c r="N3647" s="1">
        <v>1</v>
      </c>
      <c r="O3647" s="1">
        <v>4</v>
      </c>
      <c r="P3647" s="2">
        <v>1</v>
      </c>
      <c r="Q3647" s="67">
        <v>8</v>
      </c>
    </row>
    <row r="3648" spans="12:17" x14ac:dyDescent="0.25">
      <c r="L3648" s="1">
        <v>230</v>
      </c>
      <c r="M3648" s="1">
        <v>25</v>
      </c>
      <c r="N3648" s="1">
        <v>1</v>
      </c>
      <c r="O3648" s="1">
        <v>4</v>
      </c>
      <c r="P3648" s="2">
        <v>1</v>
      </c>
      <c r="Q3648" s="68">
        <v>3</v>
      </c>
    </row>
    <row r="3649" spans="12:17" x14ac:dyDescent="0.25">
      <c r="L3649" s="1">
        <v>231</v>
      </c>
      <c r="M3649" s="1">
        <v>25</v>
      </c>
      <c r="N3649" s="1">
        <v>1</v>
      </c>
      <c r="O3649" s="1">
        <v>4</v>
      </c>
      <c r="P3649" s="2">
        <v>1</v>
      </c>
      <c r="Q3649" s="67">
        <v>4</v>
      </c>
    </row>
    <row r="3650" spans="12:17" x14ac:dyDescent="0.25">
      <c r="L3650" s="1">
        <v>232</v>
      </c>
      <c r="M3650" s="1">
        <v>25</v>
      </c>
      <c r="N3650" s="1">
        <v>1</v>
      </c>
      <c r="O3650" s="1">
        <v>4</v>
      </c>
      <c r="P3650" s="2">
        <v>1</v>
      </c>
      <c r="Q3650" s="68">
        <v>9</v>
      </c>
    </row>
    <row r="3651" spans="12:17" x14ac:dyDescent="0.25">
      <c r="L3651" s="1">
        <v>233</v>
      </c>
      <c r="M3651" s="1">
        <v>25</v>
      </c>
      <c r="N3651" s="1">
        <v>1</v>
      </c>
      <c r="O3651" s="1">
        <v>4</v>
      </c>
      <c r="P3651" s="2">
        <v>1</v>
      </c>
      <c r="Q3651" s="67">
        <v>3</v>
      </c>
    </row>
    <row r="3652" spans="12:17" x14ac:dyDescent="0.25">
      <c r="L3652" s="1">
        <v>234</v>
      </c>
      <c r="M3652" s="1">
        <v>25</v>
      </c>
      <c r="N3652" s="1">
        <v>1</v>
      </c>
      <c r="O3652" s="1">
        <v>4</v>
      </c>
      <c r="P3652" s="2">
        <v>1</v>
      </c>
      <c r="Q3652" s="68">
        <v>4</v>
      </c>
    </row>
    <row r="3653" spans="12:17" x14ac:dyDescent="0.25">
      <c r="L3653" s="1">
        <v>235</v>
      </c>
      <c r="M3653" s="1">
        <v>25</v>
      </c>
      <c r="N3653" s="1">
        <v>1</v>
      </c>
      <c r="O3653" s="1">
        <v>4</v>
      </c>
      <c r="P3653" s="2">
        <v>1</v>
      </c>
      <c r="Q3653" s="67">
        <v>4</v>
      </c>
    </row>
    <row r="3654" spans="12:17" x14ac:dyDescent="0.25">
      <c r="L3654" s="1">
        <v>236</v>
      </c>
      <c r="M3654" s="1">
        <v>25</v>
      </c>
      <c r="N3654" s="1">
        <v>1</v>
      </c>
      <c r="O3654" s="1">
        <v>4</v>
      </c>
      <c r="P3654" s="2">
        <v>1</v>
      </c>
      <c r="Q3654" s="68">
        <v>5</v>
      </c>
    </row>
    <row r="3655" spans="12:17" x14ac:dyDescent="0.25">
      <c r="L3655" s="1">
        <v>237</v>
      </c>
      <c r="M3655" s="1">
        <v>26</v>
      </c>
      <c r="N3655" s="1">
        <v>1</v>
      </c>
      <c r="O3655" s="1">
        <v>4</v>
      </c>
      <c r="P3655" s="2">
        <v>1</v>
      </c>
      <c r="Q3655" s="67">
        <v>7</v>
      </c>
    </row>
    <row r="3656" spans="12:17" x14ac:dyDescent="0.25">
      <c r="L3656" s="1">
        <v>238</v>
      </c>
      <c r="M3656" s="1">
        <v>26</v>
      </c>
      <c r="N3656" s="1">
        <v>1</v>
      </c>
      <c r="O3656" s="1">
        <v>4</v>
      </c>
      <c r="P3656" s="2">
        <v>1</v>
      </c>
      <c r="Q3656" s="68">
        <v>12</v>
      </c>
    </row>
    <row r="3657" spans="12:17" x14ac:dyDescent="0.25">
      <c r="L3657" s="1">
        <v>239</v>
      </c>
      <c r="M3657" s="1">
        <v>26</v>
      </c>
      <c r="N3657" s="1">
        <v>1</v>
      </c>
      <c r="O3657" s="1">
        <v>4</v>
      </c>
      <c r="P3657" s="2">
        <v>1</v>
      </c>
      <c r="Q3657" s="67">
        <v>6</v>
      </c>
    </row>
    <row r="3658" spans="12:17" x14ac:dyDescent="0.25">
      <c r="L3658" s="1">
        <v>240</v>
      </c>
      <c r="M3658" s="1">
        <v>26</v>
      </c>
      <c r="N3658" s="1">
        <v>1</v>
      </c>
      <c r="O3658" s="1">
        <v>4</v>
      </c>
      <c r="P3658" s="2">
        <v>1</v>
      </c>
      <c r="Q3658" s="68">
        <v>15</v>
      </c>
    </row>
    <row r="3659" spans="12:17" x14ac:dyDescent="0.25">
      <c r="L3659" s="1">
        <v>241</v>
      </c>
      <c r="M3659" s="1">
        <v>26</v>
      </c>
      <c r="N3659" s="1">
        <v>1</v>
      </c>
      <c r="O3659" s="1">
        <v>4</v>
      </c>
      <c r="P3659" s="2">
        <v>1</v>
      </c>
      <c r="Q3659" s="67">
        <v>7</v>
      </c>
    </row>
    <row r="3660" spans="12:17" x14ac:dyDescent="0.25">
      <c r="L3660" s="1">
        <v>242</v>
      </c>
      <c r="M3660" s="1">
        <v>26</v>
      </c>
      <c r="N3660" s="1">
        <v>1</v>
      </c>
      <c r="O3660" s="1">
        <v>4</v>
      </c>
      <c r="P3660" s="2">
        <v>1</v>
      </c>
      <c r="Q3660" s="68">
        <v>12</v>
      </c>
    </row>
    <row r="3661" spans="12:17" x14ac:dyDescent="0.25">
      <c r="L3661" s="1">
        <v>243</v>
      </c>
      <c r="M3661" s="1">
        <v>26</v>
      </c>
      <c r="N3661" s="1">
        <v>1</v>
      </c>
      <c r="O3661" s="1">
        <v>4</v>
      </c>
      <c r="P3661" s="2">
        <v>1</v>
      </c>
      <c r="Q3661" s="67">
        <v>7</v>
      </c>
    </row>
    <row r="3662" spans="12:17" x14ac:dyDescent="0.25">
      <c r="L3662" s="1">
        <v>244</v>
      </c>
      <c r="M3662" s="1">
        <v>26</v>
      </c>
      <c r="N3662" s="1">
        <v>1</v>
      </c>
      <c r="O3662" s="1">
        <v>4</v>
      </c>
      <c r="P3662" s="2">
        <v>1</v>
      </c>
      <c r="Q3662" s="68">
        <v>2</v>
      </c>
    </row>
    <row r="3663" spans="12:17" x14ac:dyDescent="0.25">
      <c r="L3663" s="1">
        <v>245</v>
      </c>
      <c r="M3663" s="1">
        <v>26</v>
      </c>
      <c r="N3663" s="1">
        <v>1</v>
      </c>
      <c r="O3663" s="1">
        <v>4</v>
      </c>
      <c r="P3663" s="2">
        <v>1</v>
      </c>
      <c r="Q3663" s="67">
        <v>2</v>
      </c>
    </row>
    <row r="3664" spans="12:17" x14ac:dyDescent="0.25">
      <c r="L3664" s="1">
        <v>246</v>
      </c>
      <c r="M3664" s="1">
        <v>26</v>
      </c>
      <c r="N3664" s="1">
        <v>1</v>
      </c>
      <c r="O3664" s="1">
        <v>4</v>
      </c>
      <c r="P3664" s="2">
        <v>1</v>
      </c>
      <c r="Q3664" s="68">
        <v>0</v>
      </c>
    </row>
    <row r="3665" spans="12:17" x14ac:dyDescent="0.25">
      <c r="L3665" s="1">
        <v>247</v>
      </c>
      <c r="M3665" s="1">
        <v>27</v>
      </c>
      <c r="N3665" s="1">
        <v>1</v>
      </c>
      <c r="O3665" s="1">
        <v>4</v>
      </c>
      <c r="P3665" s="2">
        <v>1</v>
      </c>
      <c r="Q3665" s="67">
        <v>1</v>
      </c>
    </row>
    <row r="3666" spans="12:17" x14ac:dyDescent="0.25">
      <c r="L3666" s="1">
        <v>248</v>
      </c>
      <c r="M3666" s="1">
        <v>27</v>
      </c>
      <c r="N3666" s="1">
        <v>1</v>
      </c>
      <c r="O3666" s="1">
        <v>4</v>
      </c>
      <c r="P3666" s="2">
        <v>1</v>
      </c>
      <c r="Q3666" s="68">
        <v>2</v>
      </c>
    </row>
    <row r="3667" spans="12:17" x14ac:dyDescent="0.25">
      <c r="L3667" s="1">
        <v>249</v>
      </c>
      <c r="M3667" s="1">
        <v>27</v>
      </c>
      <c r="N3667" s="1">
        <v>1</v>
      </c>
      <c r="O3667" s="1">
        <v>4</v>
      </c>
      <c r="P3667" s="2">
        <v>1</v>
      </c>
      <c r="Q3667" s="67">
        <v>1</v>
      </c>
    </row>
    <row r="3668" spans="12:17" x14ac:dyDescent="0.25">
      <c r="L3668" s="1">
        <v>250</v>
      </c>
      <c r="M3668" s="1">
        <v>27</v>
      </c>
      <c r="N3668" s="1">
        <v>1</v>
      </c>
      <c r="O3668" s="1">
        <v>4</v>
      </c>
      <c r="P3668" s="2">
        <v>1</v>
      </c>
      <c r="Q3668" s="68">
        <v>2</v>
      </c>
    </row>
    <row r="3669" spans="12:17" x14ac:dyDescent="0.25">
      <c r="L3669" s="1">
        <v>251</v>
      </c>
      <c r="M3669" s="1">
        <v>27</v>
      </c>
      <c r="N3669" s="1">
        <v>1</v>
      </c>
      <c r="O3669" s="1">
        <v>4</v>
      </c>
      <c r="P3669" s="2">
        <v>1</v>
      </c>
      <c r="Q3669" s="67">
        <v>3</v>
      </c>
    </row>
    <row r="3670" spans="12:17" x14ac:dyDescent="0.25">
      <c r="L3670" s="1">
        <v>252</v>
      </c>
      <c r="M3670" s="1">
        <v>27</v>
      </c>
      <c r="N3670" s="1">
        <v>1</v>
      </c>
      <c r="O3670" s="1">
        <v>4</v>
      </c>
      <c r="P3670" s="2">
        <v>1</v>
      </c>
      <c r="Q3670" s="68">
        <v>0</v>
      </c>
    </row>
    <row r="3671" spans="12:17" x14ac:dyDescent="0.25">
      <c r="L3671" s="1">
        <v>253</v>
      </c>
      <c r="M3671" s="1">
        <v>27</v>
      </c>
      <c r="N3671" s="1">
        <v>1</v>
      </c>
      <c r="O3671" s="1">
        <v>4</v>
      </c>
      <c r="P3671" s="2">
        <v>1</v>
      </c>
      <c r="Q3671" s="67">
        <v>2</v>
      </c>
    </row>
    <row r="3672" spans="12:17" x14ac:dyDescent="0.25">
      <c r="L3672" s="1">
        <v>254</v>
      </c>
      <c r="M3672" s="1">
        <v>27</v>
      </c>
      <c r="N3672" s="1">
        <v>1</v>
      </c>
      <c r="O3672" s="1">
        <v>4</v>
      </c>
      <c r="P3672" s="2">
        <v>1</v>
      </c>
      <c r="Q3672" s="68">
        <v>1</v>
      </c>
    </row>
    <row r="3673" spans="12:17" x14ac:dyDescent="0.25">
      <c r="L3673" s="1">
        <v>255</v>
      </c>
      <c r="M3673" s="1">
        <v>28</v>
      </c>
      <c r="N3673" s="1">
        <v>1</v>
      </c>
      <c r="O3673" s="1">
        <v>4</v>
      </c>
      <c r="P3673" s="2">
        <v>1</v>
      </c>
      <c r="Q3673" s="67">
        <v>7</v>
      </c>
    </row>
    <row r="3674" spans="12:17" x14ac:dyDescent="0.25">
      <c r="L3674" s="1">
        <v>256</v>
      </c>
      <c r="M3674" s="1">
        <v>28</v>
      </c>
      <c r="N3674" s="1">
        <v>1</v>
      </c>
      <c r="O3674" s="1">
        <v>4</v>
      </c>
      <c r="P3674" s="2">
        <v>1</v>
      </c>
      <c r="Q3674" s="68">
        <v>7</v>
      </c>
    </row>
    <row r="3675" spans="12:17" x14ac:dyDescent="0.25">
      <c r="L3675" s="1">
        <v>257</v>
      </c>
      <c r="M3675" s="1">
        <v>28</v>
      </c>
      <c r="N3675" s="1">
        <v>1</v>
      </c>
      <c r="O3675" s="1">
        <v>4</v>
      </c>
      <c r="P3675" s="2">
        <v>1</v>
      </c>
      <c r="Q3675" s="67">
        <v>2</v>
      </c>
    </row>
    <row r="3676" spans="12:17" x14ac:dyDescent="0.25">
      <c r="L3676" s="1">
        <v>258</v>
      </c>
      <c r="M3676" s="1">
        <v>28</v>
      </c>
      <c r="N3676" s="1">
        <v>1</v>
      </c>
      <c r="O3676" s="1">
        <v>4</v>
      </c>
      <c r="P3676" s="2">
        <v>1</v>
      </c>
      <c r="Q3676" s="68">
        <v>9</v>
      </c>
    </row>
    <row r="3677" spans="12:17" x14ac:dyDescent="0.25">
      <c r="L3677" s="1">
        <v>259</v>
      </c>
      <c r="M3677" s="1">
        <v>28</v>
      </c>
      <c r="N3677" s="1">
        <v>1</v>
      </c>
      <c r="O3677" s="1">
        <v>4</v>
      </c>
      <c r="P3677" s="2">
        <v>1</v>
      </c>
      <c r="Q3677" s="67">
        <v>4</v>
      </c>
    </row>
    <row r="3678" spans="12:17" x14ac:dyDescent="0.25">
      <c r="L3678" s="1">
        <v>260</v>
      </c>
      <c r="M3678" s="1">
        <v>28</v>
      </c>
      <c r="N3678" s="1">
        <v>1</v>
      </c>
      <c r="O3678" s="1">
        <v>4</v>
      </c>
      <c r="P3678" s="2">
        <v>1</v>
      </c>
      <c r="Q3678" s="68">
        <v>3</v>
      </c>
    </row>
    <row r="3679" spans="12:17" x14ac:dyDescent="0.25">
      <c r="L3679" s="1">
        <v>261</v>
      </c>
      <c r="M3679" s="1">
        <v>28</v>
      </c>
      <c r="N3679" s="1">
        <v>1</v>
      </c>
      <c r="O3679" s="1">
        <v>4</v>
      </c>
      <c r="P3679" s="2">
        <v>1</v>
      </c>
      <c r="Q3679" s="67">
        <v>4</v>
      </c>
    </row>
    <row r="3680" spans="12:17" x14ac:dyDescent="0.25">
      <c r="L3680" s="1">
        <v>262</v>
      </c>
      <c r="M3680" s="1">
        <v>28</v>
      </c>
      <c r="N3680" s="1">
        <v>1</v>
      </c>
      <c r="O3680" s="1">
        <v>4</v>
      </c>
      <c r="P3680" s="2">
        <v>1</v>
      </c>
      <c r="Q3680" s="68">
        <v>2</v>
      </c>
    </row>
    <row r="3681" spans="12:17" x14ac:dyDescent="0.25">
      <c r="L3681" s="1">
        <v>263</v>
      </c>
      <c r="M3681" s="1">
        <v>29</v>
      </c>
      <c r="N3681" s="1">
        <v>1</v>
      </c>
      <c r="O3681" s="1">
        <v>4</v>
      </c>
      <c r="P3681" s="2">
        <v>1</v>
      </c>
      <c r="Q3681" s="67">
        <v>3</v>
      </c>
    </row>
    <row r="3682" spans="12:17" x14ac:dyDescent="0.25">
      <c r="L3682" s="1">
        <v>264</v>
      </c>
      <c r="M3682" s="1">
        <v>29</v>
      </c>
      <c r="N3682" s="1">
        <v>1</v>
      </c>
      <c r="O3682" s="1">
        <v>4</v>
      </c>
      <c r="P3682" s="2">
        <v>1</v>
      </c>
      <c r="Q3682" s="68">
        <v>18</v>
      </c>
    </row>
    <row r="3683" spans="12:17" x14ac:dyDescent="0.25">
      <c r="L3683" s="1">
        <v>265</v>
      </c>
      <c r="M3683" s="1">
        <v>29</v>
      </c>
      <c r="N3683" s="1">
        <v>1</v>
      </c>
      <c r="O3683" s="1">
        <v>4</v>
      </c>
      <c r="P3683" s="2">
        <v>1</v>
      </c>
      <c r="Q3683" s="67">
        <v>21</v>
      </c>
    </row>
    <row r="3684" spans="12:17" x14ac:dyDescent="0.25">
      <c r="L3684" s="1">
        <v>266</v>
      </c>
      <c r="M3684" s="1">
        <v>29</v>
      </c>
      <c r="N3684" s="1">
        <v>1</v>
      </c>
      <c r="O3684" s="1">
        <v>4</v>
      </c>
      <c r="P3684" s="2">
        <v>1</v>
      </c>
      <c r="Q3684" s="68">
        <v>13</v>
      </c>
    </row>
    <row r="3685" spans="12:17" x14ac:dyDescent="0.25">
      <c r="L3685" s="1">
        <v>267</v>
      </c>
      <c r="M3685" s="1">
        <v>29</v>
      </c>
      <c r="N3685" s="1">
        <v>1</v>
      </c>
      <c r="O3685" s="1">
        <v>4</v>
      </c>
      <c r="P3685" s="2">
        <v>1</v>
      </c>
      <c r="Q3685" s="67">
        <v>10</v>
      </c>
    </row>
    <row r="3686" spans="12:17" x14ac:dyDescent="0.25">
      <c r="L3686" s="1">
        <v>268</v>
      </c>
      <c r="M3686" s="1">
        <v>29</v>
      </c>
      <c r="N3686" s="1">
        <v>1</v>
      </c>
      <c r="O3686" s="1">
        <v>4</v>
      </c>
      <c r="P3686" s="2">
        <v>1</v>
      </c>
      <c r="Q3686" s="68">
        <v>10</v>
      </c>
    </row>
    <row r="3687" spans="12:17" x14ac:dyDescent="0.25">
      <c r="L3687" s="1">
        <v>269</v>
      </c>
      <c r="M3687" s="1">
        <v>29</v>
      </c>
      <c r="N3687" s="1">
        <v>1</v>
      </c>
      <c r="O3687" s="1">
        <v>4</v>
      </c>
      <c r="P3687" s="2">
        <v>1</v>
      </c>
      <c r="Q3687" s="67">
        <v>5</v>
      </c>
    </row>
    <row r="3688" spans="12:17" x14ac:dyDescent="0.25">
      <c r="L3688" s="1">
        <v>270</v>
      </c>
      <c r="M3688" s="1">
        <v>29</v>
      </c>
      <c r="N3688" s="1">
        <v>1</v>
      </c>
      <c r="O3688" s="1">
        <v>4</v>
      </c>
      <c r="P3688" s="2">
        <v>1</v>
      </c>
      <c r="Q3688" s="68">
        <v>11</v>
      </c>
    </row>
    <row r="3689" spans="12:17" x14ac:dyDescent="0.25">
      <c r="L3689" s="1">
        <v>271</v>
      </c>
      <c r="M3689" s="1">
        <v>30</v>
      </c>
      <c r="N3689" s="1">
        <v>1</v>
      </c>
      <c r="O3689" s="1">
        <v>4</v>
      </c>
      <c r="P3689" s="2">
        <v>1</v>
      </c>
      <c r="Q3689" s="67">
        <v>8</v>
      </c>
    </row>
    <row r="3690" spans="12:17" x14ac:dyDescent="0.25">
      <c r="L3690" s="1">
        <v>272</v>
      </c>
      <c r="M3690" s="1">
        <v>30</v>
      </c>
      <c r="N3690" s="1">
        <v>1</v>
      </c>
      <c r="O3690" s="1">
        <v>4</v>
      </c>
      <c r="P3690" s="2">
        <v>1</v>
      </c>
      <c r="Q3690" s="68">
        <v>5</v>
      </c>
    </row>
    <row r="3691" spans="12:17" x14ac:dyDescent="0.25">
      <c r="L3691" s="1">
        <v>273</v>
      </c>
      <c r="M3691" s="1">
        <v>30</v>
      </c>
      <c r="N3691" s="1">
        <v>1</v>
      </c>
      <c r="O3691" s="1">
        <v>4</v>
      </c>
      <c r="P3691" s="2">
        <v>1</v>
      </c>
      <c r="Q3691" s="67">
        <v>3</v>
      </c>
    </row>
    <row r="3692" spans="12:17" x14ac:dyDescent="0.25">
      <c r="L3692" s="1">
        <v>274</v>
      </c>
      <c r="M3692" s="1">
        <v>30</v>
      </c>
      <c r="N3692" s="1">
        <v>1</v>
      </c>
      <c r="O3692" s="1">
        <v>4</v>
      </c>
      <c r="P3692" s="2">
        <v>1</v>
      </c>
      <c r="Q3692" s="68">
        <v>8</v>
      </c>
    </row>
    <row r="3693" spans="12:17" x14ac:dyDescent="0.25">
      <c r="L3693" s="1">
        <v>275</v>
      </c>
      <c r="M3693" s="1">
        <v>30</v>
      </c>
      <c r="N3693" s="1">
        <v>1</v>
      </c>
      <c r="O3693" s="1">
        <v>4</v>
      </c>
      <c r="P3693" s="2">
        <v>1</v>
      </c>
      <c r="Q3693" s="67">
        <v>9</v>
      </c>
    </row>
    <row r="3694" spans="12:17" x14ac:dyDescent="0.25">
      <c r="L3694" s="1">
        <v>276</v>
      </c>
      <c r="M3694" s="1">
        <v>30</v>
      </c>
      <c r="N3694" s="1">
        <v>1</v>
      </c>
      <c r="O3694" s="1">
        <v>4</v>
      </c>
      <c r="P3694" s="2">
        <v>1</v>
      </c>
      <c r="Q3694" s="68">
        <v>3</v>
      </c>
    </row>
    <row r="3695" spans="12:17" x14ac:dyDescent="0.25">
      <c r="L3695" s="1">
        <v>277</v>
      </c>
      <c r="M3695" s="1">
        <v>30</v>
      </c>
      <c r="N3695" s="1">
        <v>1</v>
      </c>
      <c r="O3695" s="1">
        <v>4</v>
      </c>
      <c r="P3695" s="2">
        <v>1</v>
      </c>
      <c r="Q3695" s="67">
        <v>2</v>
      </c>
    </row>
    <row r="3696" spans="12:17" x14ac:dyDescent="0.25">
      <c r="L3696" s="1">
        <v>278</v>
      </c>
      <c r="M3696" s="1">
        <v>30</v>
      </c>
      <c r="N3696" s="1">
        <v>1</v>
      </c>
      <c r="O3696" s="1">
        <v>4</v>
      </c>
      <c r="P3696" s="2">
        <v>1</v>
      </c>
      <c r="Q3696" s="68">
        <v>6</v>
      </c>
    </row>
    <row r="3697" spans="12:17" x14ac:dyDescent="0.25">
      <c r="L3697" s="1">
        <v>279</v>
      </c>
      <c r="M3697" s="1">
        <v>30</v>
      </c>
      <c r="N3697" s="1">
        <v>1</v>
      </c>
      <c r="O3697" s="1">
        <v>4</v>
      </c>
      <c r="P3697" s="2">
        <v>1</v>
      </c>
      <c r="Q3697" s="67">
        <v>9</v>
      </c>
    </row>
    <row r="3698" spans="12:17" x14ac:dyDescent="0.25">
      <c r="L3698" s="1">
        <v>280</v>
      </c>
      <c r="M3698" s="1">
        <v>30</v>
      </c>
      <c r="N3698" s="1">
        <v>1</v>
      </c>
      <c r="O3698" s="1">
        <v>4</v>
      </c>
      <c r="P3698" s="2">
        <v>1</v>
      </c>
      <c r="Q3698" s="68">
        <v>9</v>
      </c>
    </row>
    <row r="3699" spans="12:17" x14ac:dyDescent="0.25">
      <c r="L3699" s="1">
        <v>281</v>
      </c>
      <c r="M3699" s="1">
        <v>31</v>
      </c>
      <c r="N3699" s="1">
        <v>1</v>
      </c>
      <c r="O3699" s="1">
        <v>4</v>
      </c>
      <c r="P3699" s="2">
        <v>1</v>
      </c>
      <c r="Q3699" s="67">
        <v>5</v>
      </c>
    </row>
    <row r="3700" spans="12:17" x14ac:dyDescent="0.25">
      <c r="L3700" s="1">
        <v>282</v>
      </c>
      <c r="M3700" s="1">
        <v>31</v>
      </c>
      <c r="N3700" s="1">
        <v>1</v>
      </c>
      <c r="O3700" s="1">
        <v>4</v>
      </c>
      <c r="P3700" s="2">
        <v>1</v>
      </c>
      <c r="Q3700" s="68">
        <v>6</v>
      </c>
    </row>
    <row r="3701" spans="12:17" x14ac:dyDescent="0.25">
      <c r="L3701" s="1">
        <v>283</v>
      </c>
      <c r="M3701" s="1">
        <v>31</v>
      </c>
      <c r="N3701" s="1">
        <v>1</v>
      </c>
      <c r="O3701" s="1">
        <v>4</v>
      </c>
      <c r="P3701" s="2">
        <v>1</v>
      </c>
      <c r="Q3701" s="67">
        <v>11</v>
      </c>
    </row>
    <row r="3702" spans="12:17" x14ac:dyDescent="0.25">
      <c r="L3702" s="1">
        <v>284</v>
      </c>
      <c r="M3702" s="1">
        <v>31</v>
      </c>
      <c r="N3702" s="1">
        <v>1</v>
      </c>
      <c r="O3702" s="1">
        <v>4</v>
      </c>
      <c r="P3702" s="2">
        <v>1</v>
      </c>
      <c r="Q3702" s="68">
        <v>9</v>
      </c>
    </row>
    <row r="3703" spans="12:17" x14ac:dyDescent="0.25">
      <c r="L3703" s="1">
        <v>285</v>
      </c>
      <c r="M3703" s="1">
        <v>31</v>
      </c>
      <c r="N3703" s="1">
        <v>1</v>
      </c>
      <c r="O3703" s="1">
        <v>4</v>
      </c>
      <c r="P3703" s="2">
        <v>1</v>
      </c>
      <c r="Q3703" s="67">
        <v>13</v>
      </c>
    </row>
    <row r="3704" spans="12:17" x14ac:dyDescent="0.25">
      <c r="L3704" s="1">
        <v>286</v>
      </c>
      <c r="M3704" s="1">
        <v>31</v>
      </c>
      <c r="N3704" s="1">
        <v>1</v>
      </c>
      <c r="O3704" s="1">
        <v>4</v>
      </c>
      <c r="P3704" s="2">
        <v>1</v>
      </c>
      <c r="Q3704" s="68">
        <v>9</v>
      </c>
    </row>
    <row r="3705" spans="12:17" x14ac:dyDescent="0.25">
      <c r="L3705" s="1">
        <v>287</v>
      </c>
      <c r="M3705" s="1">
        <v>31</v>
      </c>
      <c r="N3705" s="1">
        <v>1</v>
      </c>
      <c r="O3705" s="1">
        <v>4</v>
      </c>
      <c r="P3705" s="2">
        <v>1</v>
      </c>
      <c r="Q3705" s="67">
        <v>8</v>
      </c>
    </row>
    <row r="3706" spans="12:17" x14ac:dyDescent="0.25">
      <c r="L3706" s="1">
        <v>288</v>
      </c>
      <c r="M3706" s="1">
        <v>31</v>
      </c>
      <c r="N3706" s="1">
        <v>1</v>
      </c>
      <c r="O3706" s="1">
        <v>4</v>
      </c>
      <c r="P3706" s="2">
        <v>1</v>
      </c>
      <c r="Q3706" s="68">
        <v>13</v>
      </c>
    </row>
    <row r="3707" spans="12:17" x14ac:dyDescent="0.25">
      <c r="L3707" s="1">
        <v>289</v>
      </c>
      <c r="M3707" s="1">
        <v>31</v>
      </c>
      <c r="N3707" s="1">
        <v>1</v>
      </c>
      <c r="O3707" s="1">
        <v>4</v>
      </c>
      <c r="P3707" s="2">
        <v>1</v>
      </c>
      <c r="Q3707" s="67">
        <v>10</v>
      </c>
    </row>
    <row r="3708" spans="12:17" x14ac:dyDescent="0.25">
      <c r="L3708" s="1">
        <v>290</v>
      </c>
      <c r="M3708" s="1">
        <v>31</v>
      </c>
      <c r="N3708" s="1">
        <v>1</v>
      </c>
      <c r="O3708" s="1">
        <v>4</v>
      </c>
      <c r="P3708" s="2">
        <v>1</v>
      </c>
      <c r="Q3708" s="68">
        <v>18</v>
      </c>
    </row>
    <row r="3709" spans="12:17" x14ac:dyDescent="0.25">
      <c r="L3709" s="1">
        <v>291</v>
      </c>
      <c r="M3709" s="1">
        <v>32</v>
      </c>
      <c r="N3709" s="1">
        <v>1</v>
      </c>
      <c r="O3709" s="1">
        <v>4</v>
      </c>
      <c r="P3709" s="2">
        <v>1</v>
      </c>
      <c r="Q3709" s="67">
        <v>12</v>
      </c>
    </row>
    <row r="3710" spans="12:17" x14ac:dyDescent="0.25">
      <c r="L3710" s="1">
        <v>292</v>
      </c>
      <c r="M3710" s="1">
        <v>32</v>
      </c>
      <c r="N3710" s="1">
        <v>1</v>
      </c>
      <c r="O3710" s="1">
        <v>4</v>
      </c>
      <c r="P3710" s="2">
        <v>1</v>
      </c>
      <c r="Q3710" s="68">
        <v>8</v>
      </c>
    </row>
    <row r="3711" spans="12:17" x14ac:dyDescent="0.25">
      <c r="L3711" s="1">
        <v>293</v>
      </c>
      <c r="M3711" s="1">
        <v>32</v>
      </c>
      <c r="N3711" s="1">
        <v>1</v>
      </c>
      <c r="O3711" s="1">
        <v>4</v>
      </c>
      <c r="P3711" s="2">
        <v>1</v>
      </c>
      <c r="Q3711" s="67">
        <v>9</v>
      </c>
    </row>
    <row r="3712" spans="12:17" x14ac:dyDescent="0.25">
      <c r="L3712" s="1">
        <v>294</v>
      </c>
      <c r="M3712" s="1">
        <v>32</v>
      </c>
      <c r="N3712" s="1">
        <v>1</v>
      </c>
      <c r="O3712" s="1">
        <v>4</v>
      </c>
      <c r="P3712" s="2">
        <v>1</v>
      </c>
      <c r="Q3712" s="68">
        <v>25</v>
      </c>
    </row>
    <row r="3713" spans="12:17" x14ac:dyDescent="0.25">
      <c r="L3713" s="1">
        <v>295</v>
      </c>
      <c r="M3713" s="1">
        <v>32</v>
      </c>
      <c r="N3713" s="1">
        <v>1</v>
      </c>
      <c r="O3713" s="1">
        <v>4</v>
      </c>
      <c r="P3713" s="2">
        <v>1</v>
      </c>
      <c r="Q3713" s="67">
        <v>18</v>
      </c>
    </row>
    <row r="3714" spans="12:17" x14ac:dyDescent="0.25">
      <c r="L3714" s="1">
        <v>296</v>
      </c>
      <c r="M3714" s="1">
        <v>32</v>
      </c>
      <c r="N3714" s="1">
        <v>1</v>
      </c>
      <c r="O3714" s="1">
        <v>4</v>
      </c>
      <c r="P3714" s="2">
        <v>1</v>
      </c>
      <c r="Q3714" s="68">
        <v>20</v>
      </c>
    </row>
    <row r="3715" spans="12:17" x14ac:dyDescent="0.25">
      <c r="L3715" s="1">
        <v>297</v>
      </c>
      <c r="M3715" s="1">
        <v>32</v>
      </c>
      <c r="N3715" s="1">
        <v>1</v>
      </c>
      <c r="O3715" s="1">
        <v>4</v>
      </c>
      <c r="P3715" s="2">
        <v>1</v>
      </c>
      <c r="Q3715" s="67">
        <v>2</v>
      </c>
    </row>
    <row r="3716" spans="12:17" x14ac:dyDescent="0.25">
      <c r="L3716" s="1">
        <v>298</v>
      </c>
      <c r="M3716" s="1">
        <v>32</v>
      </c>
      <c r="N3716" s="1">
        <v>1</v>
      </c>
      <c r="O3716" s="1">
        <v>4</v>
      </c>
      <c r="P3716" s="2">
        <v>1</v>
      </c>
      <c r="Q3716" s="68">
        <v>38</v>
      </c>
    </row>
    <row r="3717" spans="12:17" x14ac:dyDescent="0.25">
      <c r="L3717" s="1">
        <v>299</v>
      </c>
      <c r="M3717" s="1">
        <v>32</v>
      </c>
      <c r="N3717" s="1">
        <v>1</v>
      </c>
      <c r="O3717" s="1">
        <v>4</v>
      </c>
      <c r="P3717" s="2">
        <v>1</v>
      </c>
      <c r="Q3717" s="67">
        <v>14</v>
      </c>
    </row>
    <row r="3718" spans="12:17" x14ac:dyDescent="0.25">
      <c r="L3718" s="1">
        <v>300</v>
      </c>
      <c r="M3718" s="1">
        <v>32</v>
      </c>
      <c r="N3718" s="1">
        <v>1</v>
      </c>
      <c r="O3718" s="1">
        <v>4</v>
      </c>
      <c r="P3718" s="2">
        <v>1</v>
      </c>
      <c r="Q3718" s="68">
        <v>10</v>
      </c>
    </row>
    <row r="3719" spans="12:17" x14ac:dyDescent="0.25">
      <c r="L3719" s="1">
        <v>301</v>
      </c>
      <c r="M3719" s="1">
        <v>33</v>
      </c>
      <c r="N3719" s="1">
        <v>1</v>
      </c>
      <c r="O3719" s="1">
        <v>4</v>
      </c>
      <c r="P3719" s="2">
        <v>1</v>
      </c>
      <c r="Q3719" s="67">
        <v>8</v>
      </c>
    </row>
    <row r="3720" spans="12:17" x14ac:dyDescent="0.25">
      <c r="L3720" s="1">
        <v>302</v>
      </c>
      <c r="M3720" s="1">
        <v>33</v>
      </c>
      <c r="N3720" s="1">
        <v>1</v>
      </c>
      <c r="O3720" s="1">
        <v>4</v>
      </c>
      <c r="P3720" s="2">
        <v>1</v>
      </c>
      <c r="Q3720" s="68">
        <v>8</v>
      </c>
    </row>
    <row r="3721" spans="12:17" x14ac:dyDescent="0.25">
      <c r="L3721" s="1">
        <v>303</v>
      </c>
      <c r="M3721" s="1">
        <v>33</v>
      </c>
      <c r="N3721" s="1">
        <v>1</v>
      </c>
      <c r="O3721" s="1">
        <v>4</v>
      </c>
      <c r="P3721" s="2">
        <v>1</v>
      </c>
      <c r="Q3721" s="67">
        <v>3</v>
      </c>
    </row>
    <row r="3722" spans="12:17" x14ac:dyDescent="0.25">
      <c r="L3722" s="1">
        <v>304</v>
      </c>
      <c r="M3722" s="1">
        <v>33</v>
      </c>
      <c r="N3722" s="1">
        <v>1</v>
      </c>
      <c r="O3722" s="1">
        <v>4</v>
      </c>
      <c r="P3722" s="2">
        <v>1</v>
      </c>
      <c r="Q3722" s="68">
        <v>2</v>
      </c>
    </row>
    <row r="3723" spans="12:17" x14ac:dyDescent="0.25">
      <c r="L3723" s="1">
        <v>305</v>
      </c>
      <c r="M3723" s="1">
        <v>33</v>
      </c>
      <c r="N3723" s="1">
        <v>1</v>
      </c>
      <c r="O3723" s="1">
        <v>4</v>
      </c>
      <c r="P3723" s="2">
        <v>1</v>
      </c>
      <c r="Q3723" s="67">
        <v>1</v>
      </c>
    </row>
    <row r="3724" spans="12:17" x14ac:dyDescent="0.25">
      <c r="L3724" s="1">
        <v>306</v>
      </c>
      <c r="M3724" s="1">
        <v>33</v>
      </c>
      <c r="N3724" s="1">
        <v>1</v>
      </c>
      <c r="O3724" s="1">
        <v>4</v>
      </c>
      <c r="P3724" s="2">
        <v>1</v>
      </c>
      <c r="Q3724" s="68">
        <v>1</v>
      </c>
    </row>
    <row r="3725" spans="12:17" x14ac:dyDescent="0.25">
      <c r="L3725" s="1">
        <v>307</v>
      </c>
      <c r="M3725" s="1">
        <v>33</v>
      </c>
      <c r="N3725" s="1">
        <v>1</v>
      </c>
      <c r="O3725" s="1">
        <v>4</v>
      </c>
      <c r="P3725" s="2">
        <v>1</v>
      </c>
      <c r="Q3725" s="67">
        <v>15</v>
      </c>
    </row>
    <row r="3726" spans="12:17" x14ac:dyDescent="0.25">
      <c r="L3726" s="1">
        <v>308</v>
      </c>
      <c r="M3726" s="1">
        <v>33</v>
      </c>
      <c r="N3726" s="1">
        <v>1</v>
      </c>
      <c r="O3726" s="1">
        <v>4</v>
      </c>
      <c r="P3726" s="2">
        <v>1</v>
      </c>
      <c r="Q3726" s="68">
        <v>10</v>
      </c>
    </row>
    <row r="3727" spans="12:17" x14ac:dyDescent="0.25">
      <c r="L3727" s="1">
        <v>309</v>
      </c>
      <c r="M3727" s="1">
        <v>33</v>
      </c>
      <c r="N3727" s="1">
        <v>1</v>
      </c>
      <c r="O3727" s="1">
        <v>4</v>
      </c>
      <c r="P3727" s="2">
        <v>1</v>
      </c>
      <c r="Q3727" s="67">
        <v>13</v>
      </c>
    </row>
    <row r="3728" spans="12:17" x14ac:dyDescent="0.25">
      <c r="L3728" s="1">
        <v>310</v>
      </c>
      <c r="M3728" s="1">
        <v>33</v>
      </c>
      <c r="N3728" s="1">
        <v>1</v>
      </c>
      <c r="O3728" s="1">
        <v>4</v>
      </c>
      <c r="P3728" s="2">
        <v>1</v>
      </c>
      <c r="Q3728" s="68">
        <v>5</v>
      </c>
    </row>
    <row r="3729" spans="12:17" x14ac:dyDescent="0.25">
      <c r="L3729" s="1">
        <v>311</v>
      </c>
      <c r="M3729" s="1">
        <v>34</v>
      </c>
      <c r="N3729" s="1">
        <v>1</v>
      </c>
      <c r="O3729" s="1">
        <v>4</v>
      </c>
      <c r="P3729" s="2">
        <v>1</v>
      </c>
      <c r="Q3729" s="67">
        <v>9</v>
      </c>
    </row>
    <row r="3730" spans="12:17" x14ac:dyDescent="0.25">
      <c r="L3730" s="1">
        <v>312</v>
      </c>
      <c r="M3730" s="1">
        <v>34</v>
      </c>
      <c r="N3730" s="1">
        <v>1</v>
      </c>
      <c r="O3730" s="1">
        <v>4</v>
      </c>
      <c r="P3730" s="2">
        <v>1</v>
      </c>
      <c r="Q3730" s="68">
        <v>9</v>
      </c>
    </row>
    <row r="3731" spans="12:17" x14ac:dyDescent="0.25">
      <c r="L3731" s="1">
        <v>313</v>
      </c>
      <c r="M3731" s="1">
        <v>34</v>
      </c>
      <c r="N3731" s="1">
        <v>1</v>
      </c>
      <c r="O3731" s="1">
        <v>4</v>
      </c>
      <c r="P3731" s="2">
        <v>1</v>
      </c>
      <c r="Q3731" s="67">
        <v>5</v>
      </c>
    </row>
    <row r="3732" spans="12:17" x14ac:dyDescent="0.25">
      <c r="L3732" s="1">
        <v>314</v>
      </c>
      <c r="M3732" s="1">
        <v>34</v>
      </c>
      <c r="N3732" s="1">
        <v>1</v>
      </c>
      <c r="O3732" s="1">
        <v>4</v>
      </c>
      <c r="P3732" s="2">
        <v>1</v>
      </c>
      <c r="Q3732" s="68">
        <v>10</v>
      </c>
    </row>
    <row r="3733" spans="12:17" x14ac:dyDescent="0.25">
      <c r="L3733" s="1">
        <v>315</v>
      </c>
      <c r="M3733" s="1">
        <v>34</v>
      </c>
      <c r="N3733" s="1">
        <v>1</v>
      </c>
      <c r="O3733" s="1">
        <v>4</v>
      </c>
      <c r="P3733" s="2">
        <v>1</v>
      </c>
      <c r="Q3733" s="67">
        <v>11</v>
      </c>
    </row>
    <row r="3734" spans="12:17" x14ac:dyDescent="0.25">
      <c r="L3734" s="1">
        <v>316</v>
      </c>
      <c r="M3734" s="1">
        <v>34</v>
      </c>
      <c r="N3734" s="1">
        <v>1</v>
      </c>
      <c r="O3734" s="1">
        <v>4</v>
      </c>
      <c r="P3734" s="2">
        <v>1</v>
      </c>
      <c r="Q3734" s="68">
        <v>1</v>
      </c>
    </row>
    <row r="3735" spans="12:17" x14ac:dyDescent="0.25">
      <c r="L3735" s="1">
        <v>317</v>
      </c>
      <c r="M3735" s="1">
        <v>34</v>
      </c>
      <c r="N3735" s="1">
        <v>1</v>
      </c>
      <c r="O3735" s="1">
        <v>4</v>
      </c>
      <c r="P3735" s="2">
        <v>1</v>
      </c>
      <c r="Q3735" s="67">
        <v>6</v>
      </c>
    </row>
    <row r="3736" spans="12:17" x14ac:dyDescent="0.25">
      <c r="L3736" s="1">
        <v>318</v>
      </c>
      <c r="M3736" s="1">
        <v>34</v>
      </c>
      <c r="N3736" s="1">
        <v>1</v>
      </c>
      <c r="O3736" s="1">
        <v>4</v>
      </c>
      <c r="P3736" s="2">
        <v>1</v>
      </c>
      <c r="Q3736" s="68">
        <v>6</v>
      </c>
    </row>
    <row r="3737" spans="12:17" x14ac:dyDescent="0.25">
      <c r="L3737" s="1">
        <v>319</v>
      </c>
      <c r="M3737" s="1">
        <v>34</v>
      </c>
      <c r="N3737" s="1">
        <v>1</v>
      </c>
      <c r="O3737" s="1">
        <v>4</v>
      </c>
      <c r="P3737" s="2">
        <v>1</v>
      </c>
      <c r="Q3737" s="67">
        <v>5</v>
      </c>
    </row>
    <row r="3738" spans="12:17" x14ac:dyDescent="0.25">
      <c r="L3738" s="1">
        <v>320</v>
      </c>
      <c r="M3738" s="1">
        <v>34</v>
      </c>
      <c r="N3738" s="1">
        <v>1</v>
      </c>
      <c r="O3738" s="1">
        <v>4</v>
      </c>
      <c r="P3738" s="2">
        <v>1</v>
      </c>
      <c r="Q3738" s="68">
        <v>9</v>
      </c>
    </row>
    <row r="3739" spans="12:17" x14ac:dyDescent="0.25">
      <c r="L3739" s="1">
        <v>321</v>
      </c>
      <c r="M3739" s="1">
        <v>35</v>
      </c>
      <c r="N3739" s="1">
        <v>1</v>
      </c>
      <c r="O3739" s="1">
        <v>4</v>
      </c>
      <c r="P3739" s="2">
        <v>1</v>
      </c>
      <c r="Q3739" s="67">
        <v>6</v>
      </c>
    </row>
    <row r="3740" spans="12:17" x14ac:dyDescent="0.25">
      <c r="L3740" s="1">
        <v>322</v>
      </c>
      <c r="M3740" s="1">
        <v>35</v>
      </c>
      <c r="N3740" s="1">
        <v>1</v>
      </c>
      <c r="O3740" s="1">
        <v>4</v>
      </c>
      <c r="P3740" s="2">
        <v>1</v>
      </c>
      <c r="Q3740" s="68">
        <v>9</v>
      </c>
    </row>
    <row r="3741" spans="12:17" x14ac:dyDescent="0.25">
      <c r="L3741" s="1">
        <v>323</v>
      </c>
      <c r="M3741" s="1">
        <v>35</v>
      </c>
      <c r="N3741" s="1">
        <v>1</v>
      </c>
      <c r="O3741" s="1">
        <v>4</v>
      </c>
      <c r="P3741" s="2">
        <v>1</v>
      </c>
      <c r="Q3741" s="67">
        <v>9</v>
      </c>
    </row>
    <row r="3742" spans="12:17" x14ac:dyDescent="0.25">
      <c r="L3742" s="1">
        <v>324</v>
      </c>
      <c r="M3742" s="1">
        <v>35</v>
      </c>
      <c r="N3742" s="1">
        <v>1</v>
      </c>
      <c r="O3742" s="1">
        <v>4</v>
      </c>
      <c r="P3742" s="2">
        <v>1</v>
      </c>
      <c r="Q3742" s="68">
        <v>8</v>
      </c>
    </row>
    <row r="3743" spans="12:17" x14ac:dyDescent="0.25">
      <c r="L3743" s="1">
        <v>325</v>
      </c>
      <c r="M3743" s="1">
        <v>35</v>
      </c>
      <c r="N3743" s="1">
        <v>1</v>
      </c>
      <c r="O3743" s="1">
        <v>4</v>
      </c>
      <c r="P3743" s="2">
        <v>1</v>
      </c>
      <c r="Q3743" s="67">
        <v>16</v>
      </c>
    </row>
    <row r="3744" spans="12:17" x14ac:dyDescent="0.25">
      <c r="L3744" s="1">
        <v>326</v>
      </c>
      <c r="M3744" s="1">
        <v>35</v>
      </c>
      <c r="N3744" s="1">
        <v>1</v>
      </c>
      <c r="O3744" s="1">
        <v>4</v>
      </c>
      <c r="P3744" s="2">
        <v>1</v>
      </c>
      <c r="Q3744" s="68">
        <v>5</v>
      </c>
    </row>
    <row r="3745" spans="12:17" x14ac:dyDescent="0.25">
      <c r="L3745" s="1">
        <v>327</v>
      </c>
      <c r="M3745" s="1">
        <v>35</v>
      </c>
      <c r="N3745" s="1">
        <v>1</v>
      </c>
      <c r="O3745" s="1">
        <v>4</v>
      </c>
      <c r="P3745" s="2">
        <v>1</v>
      </c>
      <c r="Q3745" s="67">
        <v>17</v>
      </c>
    </row>
    <row r="3746" spans="12:17" x14ac:dyDescent="0.25">
      <c r="L3746" s="1">
        <v>328</v>
      </c>
      <c r="M3746" s="1">
        <v>35</v>
      </c>
      <c r="N3746" s="1">
        <v>1</v>
      </c>
      <c r="O3746" s="1">
        <v>4</v>
      </c>
      <c r="P3746" s="2">
        <v>1</v>
      </c>
      <c r="Q3746" s="68">
        <v>7</v>
      </c>
    </row>
    <row r="3747" spans="12:17" x14ac:dyDescent="0.25">
      <c r="L3747" s="1">
        <v>329</v>
      </c>
      <c r="M3747" s="1">
        <v>35</v>
      </c>
      <c r="N3747" s="1">
        <v>1</v>
      </c>
      <c r="O3747" s="1">
        <v>4</v>
      </c>
      <c r="P3747" s="2">
        <v>1</v>
      </c>
      <c r="Q3747" s="67">
        <v>4</v>
      </c>
    </row>
    <row r="3748" spans="12:17" x14ac:dyDescent="0.25">
      <c r="L3748" s="1">
        <v>330</v>
      </c>
      <c r="M3748" s="1">
        <v>35</v>
      </c>
      <c r="N3748" s="1">
        <v>1</v>
      </c>
      <c r="O3748" s="1">
        <v>4</v>
      </c>
      <c r="P3748" s="2">
        <v>1</v>
      </c>
      <c r="Q3748" s="68">
        <v>8</v>
      </c>
    </row>
    <row r="3749" spans="12:17" x14ac:dyDescent="0.25">
      <c r="L3749" s="1">
        <v>331</v>
      </c>
      <c r="M3749" s="1">
        <v>36</v>
      </c>
      <c r="N3749" s="1">
        <v>1</v>
      </c>
      <c r="O3749" s="1">
        <v>4</v>
      </c>
      <c r="P3749" s="2">
        <v>1</v>
      </c>
      <c r="Q3749" s="67">
        <v>15</v>
      </c>
    </row>
    <row r="3750" spans="12:17" x14ac:dyDescent="0.25">
      <c r="L3750" s="1">
        <v>332</v>
      </c>
      <c r="M3750" s="1">
        <v>36</v>
      </c>
      <c r="N3750" s="1">
        <v>1</v>
      </c>
      <c r="O3750" s="1">
        <v>4</v>
      </c>
      <c r="P3750" s="2">
        <v>1</v>
      </c>
      <c r="Q3750" s="68">
        <v>20</v>
      </c>
    </row>
    <row r="3751" spans="12:17" x14ac:dyDescent="0.25">
      <c r="L3751" s="1">
        <v>333</v>
      </c>
      <c r="M3751" s="1">
        <v>36</v>
      </c>
      <c r="N3751" s="1">
        <v>1</v>
      </c>
      <c r="O3751" s="1">
        <v>4</v>
      </c>
      <c r="P3751" s="2">
        <v>1</v>
      </c>
      <c r="Q3751" s="67">
        <v>22</v>
      </c>
    </row>
    <row r="3752" spans="12:17" x14ac:dyDescent="0.25">
      <c r="L3752" s="1">
        <v>334</v>
      </c>
      <c r="M3752" s="1">
        <v>36</v>
      </c>
      <c r="N3752" s="1">
        <v>1</v>
      </c>
      <c r="O3752" s="1">
        <v>4</v>
      </c>
      <c r="P3752" s="2">
        <v>1</v>
      </c>
      <c r="Q3752" s="68">
        <v>12</v>
      </c>
    </row>
    <row r="3753" spans="12:17" x14ac:dyDescent="0.25">
      <c r="L3753" s="1">
        <v>335</v>
      </c>
      <c r="M3753" s="1">
        <v>36</v>
      </c>
      <c r="N3753" s="1">
        <v>1</v>
      </c>
      <c r="O3753" s="1">
        <v>4</v>
      </c>
      <c r="P3753" s="2">
        <v>1</v>
      </c>
      <c r="Q3753" s="67">
        <v>8</v>
      </c>
    </row>
    <row r="3754" spans="12:17" x14ac:dyDescent="0.25">
      <c r="L3754" s="1">
        <v>336</v>
      </c>
      <c r="M3754" s="1">
        <v>36</v>
      </c>
      <c r="N3754" s="1">
        <v>1</v>
      </c>
      <c r="O3754" s="1">
        <v>4</v>
      </c>
      <c r="P3754" s="2">
        <v>1</v>
      </c>
      <c r="Q3754" s="68">
        <v>10</v>
      </c>
    </row>
    <row r="3755" spans="12:17" x14ac:dyDescent="0.25">
      <c r="L3755" s="1">
        <v>337</v>
      </c>
      <c r="M3755" s="1">
        <v>36</v>
      </c>
      <c r="N3755" s="1">
        <v>1</v>
      </c>
      <c r="O3755" s="1">
        <v>4</v>
      </c>
      <c r="P3755" s="2">
        <v>1</v>
      </c>
      <c r="Q3755" s="67">
        <v>12</v>
      </c>
    </row>
    <row r="3756" spans="12:17" x14ac:dyDescent="0.25">
      <c r="L3756" s="1">
        <v>338</v>
      </c>
      <c r="M3756" s="1">
        <v>36</v>
      </c>
      <c r="N3756" s="1">
        <v>1</v>
      </c>
      <c r="O3756" s="1">
        <v>4</v>
      </c>
      <c r="P3756" s="2">
        <v>1</v>
      </c>
      <c r="Q3756" s="68">
        <v>14</v>
      </c>
    </row>
    <row r="3757" spans="12:17" x14ac:dyDescent="0.25">
      <c r="L3757" s="1">
        <v>339</v>
      </c>
      <c r="M3757" s="1">
        <v>37</v>
      </c>
      <c r="N3757" s="1">
        <v>1</v>
      </c>
      <c r="O3757" s="1">
        <v>4</v>
      </c>
      <c r="P3757" s="2">
        <v>1</v>
      </c>
      <c r="Q3757" s="67">
        <v>13</v>
      </c>
    </row>
    <row r="3758" spans="12:17" x14ac:dyDescent="0.25">
      <c r="L3758" s="1">
        <v>340</v>
      </c>
      <c r="M3758" s="1">
        <v>37</v>
      </c>
      <c r="N3758" s="1">
        <v>1</v>
      </c>
      <c r="O3758" s="1">
        <v>4</v>
      </c>
      <c r="P3758" s="2">
        <v>1</v>
      </c>
      <c r="Q3758" s="68">
        <v>11</v>
      </c>
    </row>
    <row r="3759" spans="12:17" x14ac:dyDescent="0.25">
      <c r="L3759" s="1">
        <v>341</v>
      </c>
      <c r="M3759" s="1">
        <v>37</v>
      </c>
      <c r="N3759" s="1">
        <v>1</v>
      </c>
      <c r="O3759" s="1">
        <v>4</v>
      </c>
      <c r="P3759" s="2">
        <v>1</v>
      </c>
      <c r="Q3759" s="67">
        <v>10</v>
      </c>
    </row>
    <row r="3760" spans="12:17" x14ac:dyDescent="0.25">
      <c r="L3760" s="1">
        <v>342</v>
      </c>
      <c r="M3760" s="1">
        <v>37</v>
      </c>
      <c r="N3760" s="1">
        <v>1</v>
      </c>
      <c r="O3760" s="1">
        <v>4</v>
      </c>
      <c r="P3760" s="2">
        <v>1</v>
      </c>
      <c r="Q3760" s="68">
        <v>9</v>
      </c>
    </row>
    <row r="3761" spans="12:17" x14ac:dyDescent="0.25">
      <c r="L3761" s="1">
        <v>343</v>
      </c>
      <c r="M3761" s="1">
        <v>37</v>
      </c>
      <c r="N3761" s="1">
        <v>1</v>
      </c>
      <c r="O3761" s="1">
        <v>4</v>
      </c>
      <c r="P3761" s="2">
        <v>1</v>
      </c>
      <c r="Q3761" s="67">
        <v>10</v>
      </c>
    </row>
    <row r="3762" spans="12:17" x14ac:dyDescent="0.25">
      <c r="L3762" s="1">
        <v>344</v>
      </c>
      <c r="M3762" s="1">
        <v>37</v>
      </c>
      <c r="N3762" s="1">
        <v>1</v>
      </c>
      <c r="O3762" s="1">
        <v>4</v>
      </c>
      <c r="P3762" s="2">
        <v>1</v>
      </c>
      <c r="Q3762" s="68">
        <v>7</v>
      </c>
    </row>
    <row r="3763" spans="12:17" x14ac:dyDescent="0.25">
      <c r="L3763" s="1">
        <v>345</v>
      </c>
      <c r="M3763" s="1">
        <v>37</v>
      </c>
      <c r="N3763" s="1">
        <v>1</v>
      </c>
      <c r="O3763" s="1">
        <v>4</v>
      </c>
      <c r="P3763" s="2">
        <v>1</v>
      </c>
      <c r="Q3763" s="67">
        <v>12</v>
      </c>
    </row>
    <row r="3764" spans="12:17" x14ac:dyDescent="0.25">
      <c r="L3764" s="1">
        <v>346</v>
      </c>
      <c r="M3764" s="1">
        <v>37</v>
      </c>
      <c r="N3764" s="1">
        <v>1</v>
      </c>
      <c r="O3764" s="1">
        <v>4</v>
      </c>
      <c r="P3764" s="2">
        <v>1</v>
      </c>
      <c r="Q3764" s="68">
        <v>9</v>
      </c>
    </row>
    <row r="3765" spans="12:17" x14ac:dyDescent="0.25">
      <c r="L3765" s="1">
        <v>347</v>
      </c>
      <c r="M3765" s="1">
        <v>38</v>
      </c>
      <c r="N3765" s="1">
        <v>1</v>
      </c>
      <c r="O3765" s="1">
        <v>4</v>
      </c>
      <c r="P3765" s="2">
        <v>1</v>
      </c>
      <c r="Q3765" s="67">
        <v>13</v>
      </c>
    </row>
    <row r="3766" spans="12:17" x14ac:dyDescent="0.25">
      <c r="L3766" s="1">
        <v>348</v>
      </c>
      <c r="M3766" s="1">
        <v>38</v>
      </c>
      <c r="N3766" s="1">
        <v>1</v>
      </c>
      <c r="O3766" s="1">
        <v>4</v>
      </c>
      <c r="P3766" s="2">
        <v>1</v>
      </c>
      <c r="Q3766" s="68">
        <v>13</v>
      </c>
    </row>
    <row r="3767" spans="12:17" x14ac:dyDescent="0.25">
      <c r="L3767" s="1">
        <v>349</v>
      </c>
      <c r="M3767" s="1">
        <v>38</v>
      </c>
      <c r="N3767" s="1">
        <v>1</v>
      </c>
      <c r="O3767" s="1">
        <v>4</v>
      </c>
      <c r="P3767" s="2">
        <v>1</v>
      </c>
      <c r="Q3767" s="67">
        <v>2</v>
      </c>
    </row>
    <row r="3768" spans="12:17" x14ac:dyDescent="0.25">
      <c r="L3768" s="1">
        <v>350</v>
      </c>
      <c r="M3768" s="1">
        <v>38</v>
      </c>
      <c r="N3768" s="1">
        <v>1</v>
      </c>
      <c r="O3768" s="1">
        <v>4</v>
      </c>
      <c r="P3768" s="2">
        <v>1</v>
      </c>
      <c r="Q3768" s="68">
        <v>5</v>
      </c>
    </row>
    <row r="3769" spans="12:17" x14ac:dyDescent="0.25">
      <c r="L3769" s="1">
        <v>351</v>
      </c>
      <c r="M3769" s="1">
        <v>38</v>
      </c>
      <c r="N3769" s="1">
        <v>1</v>
      </c>
      <c r="O3769" s="1">
        <v>4</v>
      </c>
      <c r="P3769" s="2">
        <v>1</v>
      </c>
      <c r="Q3769" s="67">
        <v>9</v>
      </c>
    </row>
    <row r="3770" spans="12:17" x14ac:dyDescent="0.25">
      <c r="L3770" s="1">
        <v>352</v>
      </c>
      <c r="M3770" s="1">
        <v>38</v>
      </c>
      <c r="N3770" s="1">
        <v>1</v>
      </c>
      <c r="O3770" s="1">
        <v>4</v>
      </c>
      <c r="P3770" s="2">
        <v>1</v>
      </c>
      <c r="Q3770" s="68">
        <v>0</v>
      </c>
    </row>
    <row r="3771" spans="12:17" x14ac:dyDescent="0.25">
      <c r="L3771" s="1">
        <v>353</v>
      </c>
      <c r="M3771" s="1">
        <v>38</v>
      </c>
      <c r="N3771" s="1">
        <v>1</v>
      </c>
      <c r="O3771" s="1">
        <v>4</v>
      </c>
      <c r="P3771" s="2">
        <v>1</v>
      </c>
      <c r="Q3771" s="67">
        <v>5</v>
      </c>
    </row>
    <row r="3772" spans="12:17" x14ac:dyDescent="0.25">
      <c r="L3772" s="1">
        <v>354</v>
      </c>
      <c r="M3772" s="1">
        <v>38</v>
      </c>
      <c r="N3772" s="1">
        <v>1</v>
      </c>
      <c r="O3772" s="1">
        <v>4</v>
      </c>
      <c r="P3772" s="2">
        <v>1</v>
      </c>
      <c r="Q3772" s="68">
        <v>3</v>
      </c>
    </row>
    <row r="3773" spans="12:17" x14ac:dyDescent="0.25">
      <c r="L3773" s="1">
        <v>355</v>
      </c>
      <c r="M3773" s="1">
        <v>38</v>
      </c>
      <c r="N3773" s="1">
        <v>1</v>
      </c>
      <c r="O3773" s="1">
        <v>4</v>
      </c>
      <c r="P3773" s="2">
        <v>1</v>
      </c>
      <c r="Q3773" s="67">
        <v>18</v>
      </c>
    </row>
    <row r="3774" spans="12:17" x14ac:dyDescent="0.25">
      <c r="L3774" s="1">
        <v>356</v>
      </c>
      <c r="M3774" s="1">
        <v>38</v>
      </c>
      <c r="N3774" s="1">
        <v>1</v>
      </c>
      <c r="O3774" s="1">
        <v>4</v>
      </c>
      <c r="P3774" s="2">
        <v>1</v>
      </c>
      <c r="Q3774" s="68">
        <v>15</v>
      </c>
    </row>
    <row r="3775" spans="12:17" x14ac:dyDescent="0.25">
      <c r="L3775" s="1">
        <v>357</v>
      </c>
      <c r="M3775" s="1">
        <v>39</v>
      </c>
      <c r="N3775" s="1">
        <v>1</v>
      </c>
      <c r="O3775" s="1">
        <v>4</v>
      </c>
      <c r="P3775" s="2">
        <v>1</v>
      </c>
      <c r="Q3775" s="67">
        <v>17</v>
      </c>
    </row>
    <row r="3776" spans="12:17" x14ac:dyDescent="0.25">
      <c r="L3776" s="1">
        <v>358</v>
      </c>
      <c r="M3776" s="1">
        <v>39</v>
      </c>
      <c r="N3776" s="1">
        <v>1</v>
      </c>
      <c r="O3776" s="1">
        <v>4</v>
      </c>
      <c r="P3776" s="2">
        <v>1</v>
      </c>
      <c r="Q3776" s="68">
        <v>10</v>
      </c>
    </row>
    <row r="3777" spans="12:17" x14ac:dyDescent="0.25">
      <c r="L3777" s="1">
        <v>359</v>
      </c>
      <c r="M3777" s="1">
        <v>39</v>
      </c>
      <c r="N3777" s="1">
        <v>1</v>
      </c>
      <c r="O3777" s="1">
        <v>4</v>
      </c>
      <c r="P3777" s="2">
        <v>1</v>
      </c>
      <c r="Q3777" s="67">
        <v>11</v>
      </c>
    </row>
    <row r="3778" spans="12:17" x14ac:dyDescent="0.25">
      <c r="L3778" s="1">
        <v>360</v>
      </c>
      <c r="M3778" s="1">
        <v>39</v>
      </c>
      <c r="N3778" s="1">
        <v>1</v>
      </c>
      <c r="O3778" s="1">
        <v>4</v>
      </c>
      <c r="P3778" s="2">
        <v>1</v>
      </c>
      <c r="Q3778" s="68">
        <v>10</v>
      </c>
    </row>
    <row r="3779" spans="12:17" x14ac:dyDescent="0.25">
      <c r="L3779" s="1">
        <v>361</v>
      </c>
      <c r="M3779" s="1">
        <v>39</v>
      </c>
      <c r="N3779" s="1">
        <v>1</v>
      </c>
      <c r="O3779" s="1">
        <v>4</v>
      </c>
      <c r="P3779" s="2">
        <v>1</v>
      </c>
      <c r="Q3779" s="67">
        <v>8</v>
      </c>
    </row>
    <row r="3780" spans="12:17" x14ac:dyDescent="0.25">
      <c r="L3780" s="1">
        <v>362</v>
      </c>
      <c r="M3780" s="1">
        <v>39</v>
      </c>
      <c r="N3780" s="1">
        <v>1</v>
      </c>
      <c r="O3780" s="1">
        <v>4</v>
      </c>
      <c r="P3780" s="2">
        <v>1</v>
      </c>
      <c r="Q3780" s="68">
        <v>10</v>
      </c>
    </row>
    <row r="3781" spans="12:17" x14ac:dyDescent="0.25">
      <c r="L3781" s="1">
        <v>363</v>
      </c>
      <c r="M3781" s="1">
        <v>39</v>
      </c>
      <c r="N3781" s="1">
        <v>1</v>
      </c>
      <c r="O3781" s="1">
        <v>4</v>
      </c>
      <c r="P3781" s="2">
        <v>1</v>
      </c>
      <c r="Q3781" s="67">
        <v>5</v>
      </c>
    </row>
    <row r="3782" spans="12:17" x14ac:dyDescent="0.25">
      <c r="L3782" s="1">
        <v>364</v>
      </c>
      <c r="M3782" s="1">
        <v>39</v>
      </c>
      <c r="N3782" s="1">
        <v>1</v>
      </c>
      <c r="O3782" s="1">
        <v>4</v>
      </c>
      <c r="P3782" s="2">
        <v>1</v>
      </c>
      <c r="Q3782" s="68">
        <v>91</v>
      </c>
    </row>
    <row r="3783" spans="12:17" x14ac:dyDescent="0.25">
      <c r="L3783" s="1">
        <v>365</v>
      </c>
      <c r="M3783" s="1">
        <v>39</v>
      </c>
      <c r="N3783" s="1">
        <v>1</v>
      </c>
      <c r="O3783" s="1">
        <v>4</v>
      </c>
      <c r="P3783" s="2">
        <v>1</v>
      </c>
      <c r="Q3783" s="67">
        <v>15</v>
      </c>
    </row>
    <row r="3784" spans="12:17" x14ac:dyDescent="0.25">
      <c r="L3784" s="1">
        <v>366</v>
      </c>
      <c r="M3784" s="1">
        <v>39</v>
      </c>
      <c r="N3784" s="1">
        <v>1</v>
      </c>
      <c r="O3784" s="1">
        <v>4</v>
      </c>
      <c r="P3784" s="2">
        <v>1</v>
      </c>
      <c r="Q3784" s="68">
        <v>50</v>
      </c>
    </row>
    <row r="3785" spans="12:17" x14ac:dyDescent="0.25">
      <c r="L3785" s="1">
        <v>367</v>
      </c>
      <c r="M3785" s="1">
        <v>40</v>
      </c>
      <c r="N3785" s="1">
        <v>1</v>
      </c>
      <c r="O3785" s="1">
        <v>4</v>
      </c>
      <c r="P3785" s="2">
        <v>1</v>
      </c>
      <c r="Q3785" s="67">
        <v>18</v>
      </c>
    </row>
    <row r="3786" spans="12:17" x14ac:dyDescent="0.25">
      <c r="L3786" s="1">
        <v>368</v>
      </c>
      <c r="M3786" s="1">
        <v>40</v>
      </c>
      <c r="N3786" s="1">
        <v>1</v>
      </c>
      <c r="O3786" s="1">
        <v>4</v>
      </c>
      <c r="P3786" s="2">
        <v>1</v>
      </c>
      <c r="Q3786" s="68">
        <v>20</v>
      </c>
    </row>
    <row r="3787" spans="12:17" x14ac:dyDescent="0.25">
      <c r="L3787" s="1">
        <v>369</v>
      </c>
      <c r="M3787" s="1">
        <v>40</v>
      </c>
      <c r="N3787" s="1">
        <v>1</v>
      </c>
      <c r="O3787" s="1">
        <v>4</v>
      </c>
      <c r="P3787" s="2">
        <v>1</v>
      </c>
      <c r="Q3787" s="67">
        <v>28</v>
      </c>
    </row>
    <row r="3788" spans="12:17" x14ac:dyDescent="0.25">
      <c r="L3788" s="1">
        <v>370</v>
      </c>
      <c r="M3788" s="1">
        <v>40</v>
      </c>
      <c r="N3788" s="1">
        <v>1</v>
      </c>
      <c r="O3788" s="1">
        <v>4</v>
      </c>
      <c r="P3788" s="2">
        <v>1</v>
      </c>
      <c r="Q3788" s="68">
        <v>10</v>
      </c>
    </row>
    <row r="3789" spans="12:17" x14ac:dyDescent="0.25">
      <c r="L3789" s="1">
        <v>371</v>
      </c>
      <c r="M3789" s="1">
        <v>40</v>
      </c>
      <c r="N3789" s="1">
        <v>1</v>
      </c>
      <c r="O3789" s="1">
        <v>4</v>
      </c>
      <c r="P3789" s="2">
        <v>1</v>
      </c>
      <c r="Q3789" s="67">
        <v>20</v>
      </c>
    </row>
    <row r="3790" spans="12:17" x14ac:dyDescent="0.25">
      <c r="L3790" s="1">
        <v>372</v>
      </c>
      <c r="M3790" s="1">
        <v>40</v>
      </c>
      <c r="N3790" s="1">
        <v>1</v>
      </c>
      <c r="O3790" s="1">
        <v>4</v>
      </c>
      <c r="P3790" s="2">
        <v>1</v>
      </c>
      <c r="Q3790" s="68">
        <v>12</v>
      </c>
    </row>
    <row r="3791" spans="12:17" x14ac:dyDescent="0.25">
      <c r="L3791" s="1">
        <v>373</v>
      </c>
      <c r="M3791" s="1">
        <v>40</v>
      </c>
      <c r="N3791" s="1">
        <v>1</v>
      </c>
      <c r="O3791" s="1">
        <v>4</v>
      </c>
      <c r="P3791" s="2">
        <v>1</v>
      </c>
      <c r="Q3791" s="67">
        <v>15</v>
      </c>
    </row>
    <row r="3792" spans="12:17" x14ac:dyDescent="0.25">
      <c r="L3792" s="1">
        <v>374</v>
      </c>
      <c r="M3792" s="1">
        <v>40</v>
      </c>
      <c r="N3792" s="1">
        <v>1</v>
      </c>
      <c r="O3792" s="1">
        <v>4</v>
      </c>
      <c r="P3792" s="2">
        <v>1</v>
      </c>
      <c r="Q3792" s="68">
        <v>15</v>
      </c>
    </row>
    <row r="3793" spans="12:17" x14ac:dyDescent="0.25">
      <c r="L3793" s="1">
        <v>375</v>
      </c>
      <c r="M3793" s="1">
        <v>41</v>
      </c>
      <c r="N3793" s="1">
        <v>1</v>
      </c>
      <c r="O3793" s="1">
        <v>4</v>
      </c>
      <c r="P3793" s="2">
        <v>1</v>
      </c>
      <c r="Q3793" s="67">
        <v>25</v>
      </c>
    </row>
    <row r="3794" spans="12:17" x14ac:dyDescent="0.25">
      <c r="L3794" s="1">
        <v>376</v>
      </c>
      <c r="M3794" s="1">
        <v>41</v>
      </c>
      <c r="N3794" s="1">
        <v>1</v>
      </c>
      <c r="O3794" s="1">
        <v>4</v>
      </c>
      <c r="P3794" s="2">
        <v>1</v>
      </c>
      <c r="Q3794" s="68">
        <v>10</v>
      </c>
    </row>
    <row r="3795" spans="12:17" x14ac:dyDescent="0.25">
      <c r="L3795" s="1">
        <v>377</v>
      </c>
      <c r="M3795" s="1">
        <v>41</v>
      </c>
      <c r="N3795" s="1">
        <v>1</v>
      </c>
      <c r="O3795" s="1">
        <v>4</v>
      </c>
      <c r="P3795" s="2">
        <v>1</v>
      </c>
      <c r="Q3795" s="67">
        <v>2</v>
      </c>
    </row>
    <row r="3796" spans="12:17" x14ac:dyDescent="0.25">
      <c r="L3796" s="1">
        <v>378</v>
      </c>
      <c r="M3796" s="1">
        <v>41</v>
      </c>
      <c r="N3796" s="1">
        <v>1</v>
      </c>
      <c r="O3796" s="1">
        <v>4</v>
      </c>
      <c r="P3796" s="2">
        <v>1</v>
      </c>
      <c r="Q3796" s="68">
        <v>9</v>
      </c>
    </row>
    <row r="3797" spans="12:17" x14ac:dyDescent="0.25">
      <c r="L3797" s="1">
        <v>379</v>
      </c>
      <c r="M3797" s="1">
        <v>41</v>
      </c>
      <c r="N3797" s="1">
        <v>1</v>
      </c>
      <c r="O3797" s="1">
        <v>4</v>
      </c>
      <c r="P3797" s="2">
        <v>1</v>
      </c>
      <c r="Q3797" s="67">
        <v>8</v>
      </c>
    </row>
    <row r="3798" spans="12:17" x14ac:dyDescent="0.25">
      <c r="L3798" s="1">
        <v>380</v>
      </c>
      <c r="M3798" s="1">
        <v>41</v>
      </c>
      <c r="N3798" s="1">
        <v>1</v>
      </c>
      <c r="O3798" s="1">
        <v>4</v>
      </c>
      <c r="P3798" s="2">
        <v>1</v>
      </c>
      <c r="Q3798" s="68">
        <v>7</v>
      </c>
    </row>
    <row r="3799" spans="12:17" x14ac:dyDescent="0.25">
      <c r="L3799" s="1">
        <v>381</v>
      </c>
      <c r="M3799" s="1">
        <v>41</v>
      </c>
      <c r="N3799" s="1">
        <v>1</v>
      </c>
      <c r="O3799" s="1">
        <v>4</v>
      </c>
      <c r="P3799" s="2">
        <v>1</v>
      </c>
      <c r="Q3799" s="67">
        <v>12</v>
      </c>
    </row>
    <row r="3800" spans="12:17" x14ac:dyDescent="0.25">
      <c r="L3800" s="1">
        <v>382</v>
      </c>
      <c r="M3800" s="1">
        <v>41</v>
      </c>
      <c r="N3800" s="1">
        <v>1</v>
      </c>
      <c r="O3800" s="1">
        <v>4</v>
      </c>
      <c r="P3800" s="2">
        <v>1</v>
      </c>
      <c r="Q3800" s="68">
        <v>8</v>
      </c>
    </row>
    <row r="3801" spans="12:17" x14ac:dyDescent="0.25">
      <c r="L3801" s="1">
        <v>383</v>
      </c>
      <c r="M3801" s="1">
        <v>41</v>
      </c>
      <c r="N3801" s="1">
        <v>1</v>
      </c>
      <c r="O3801" s="1">
        <v>4</v>
      </c>
      <c r="P3801" s="2">
        <v>1</v>
      </c>
      <c r="Q3801" s="67">
        <v>14</v>
      </c>
    </row>
    <row r="3802" spans="12:17" x14ac:dyDescent="0.25">
      <c r="L3802" s="1">
        <v>384</v>
      </c>
      <c r="M3802" s="1">
        <v>41</v>
      </c>
      <c r="N3802" s="1">
        <v>1</v>
      </c>
      <c r="O3802" s="1">
        <v>4</v>
      </c>
      <c r="P3802" s="2">
        <v>1</v>
      </c>
      <c r="Q3802" s="68">
        <v>4</v>
      </c>
    </row>
    <row r="3803" spans="12:17" x14ac:dyDescent="0.25">
      <c r="L3803" s="1">
        <v>385</v>
      </c>
      <c r="M3803" s="1">
        <v>42</v>
      </c>
      <c r="N3803" s="1">
        <v>1</v>
      </c>
      <c r="O3803" s="1">
        <v>4</v>
      </c>
      <c r="P3803" s="2">
        <v>1</v>
      </c>
      <c r="Q3803" s="67">
        <v>10</v>
      </c>
    </row>
    <row r="3804" spans="12:17" x14ac:dyDescent="0.25">
      <c r="L3804" s="1">
        <v>386</v>
      </c>
      <c r="M3804" s="1">
        <v>42</v>
      </c>
      <c r="N3804" s="1">
        <v>1</v>
      </c>
      <c r="O3804" s="1">
        <v>4</v>
      </c>
      <c r="P3804" s="2">
        <v>1</v>
      </c>
      <c r="Q3804" s="68">
        <v>12</v>
      </c>
    </row>
    <row r="3805" spans="12:17" x14ac:dyDescent="0.25">
      <c r="L3805" s="1">
        <v>387</v>
      </c>
      <c r="M3805" s="1">
        <v>42</v>
      </c>
      <c r="N3805" s="1">
        <v>1</v>
      </c>
      <c r="O3805" s="1">
        <v>4</v>
      </c>
      <c r="P3805" s="2">
        <v>1</v>
      </c>
      <c r="Q3805" s="67">
        <v>3</v>
      </c>
    </row>
    <row r="3806" spans="12:17" x14ac:dyDescent="0.25">
      <c r="L3806" s="1">
        <v>388</v>
      </c>
      <c r="M3806" s="1">
        <v>42</v>
      </c>
      <c r="N3806" s="1">
        <v>1</v>
      </c>
      <c r="O3806" s="1">
        <v>4</v>
      </c>
      <c r="P3806" s="2">
        <v>1</v>
      </c>
      <c r="Q3806" s="68">
        <v>8</v>
      </c>
    </row>
    <row r="3807" spans="12:17" x14ac:dyDescent="0.25">
      <c r="L3807" s="1">
        <v>389</v>
      </c>
      <c r="M3807" s="1">
        <v>42</v>
      </c>
      <c r="N3807" s="1">
        <v>1</v>
      </c>
      <c r="O3807" s="1">
        <v>4</v>
      </c>
      <c r="P3807" s="2">
        <v>1</v>
      </c>
      <c r="Q3807" s="67">
        <v>7</v>
      </c>
    </row>
    <row r="3808" spans="12:17" x14ac:dyDescent="0.25">
      <c r="L3808" s="1">
        <v>390</v>
      </c>
      <c r="M3808" s="1">
        <v>42</v>
      </c>
      <c r="N3808" s="1">
        <v>1</v>
      </c>
      <c r="O3808" s="1">
        <v>4</v>
      </c>
      <c r="P3808" s="2">
        <v>1</v>
      </c>
      <c r="Q3808" s="68">
        <v>12</v>
      </c>
    </row>
    <row r="3809" spans="12:17" x14ac:dyDescent="0.25">
      <c r="L3809" s="1">
        <v>391</v>
      </c>
      <c r="M3809" s="1">
        <v>42</v>
      </c>
      <c r="N3809" s="1">
        <v>1</v>
      </c>
      <c r="O3809" s="1">
        <v>4</v>
      </c>
      <c r="P3809" s="2">
        <v>1</v>
      </c>
      <c r="Q3809" s="67">
        <v>7</v>
      </c>
    </row>
    <row r="3810" spans="12:17" x14ac:dyDescent="0.25">
      <c r="L3810" s="1">
        <v>392</v>
      </c>
      <c r="M3810" s="1">
        <v>42</v>
      </c>
      <c r="N3810" s="1">
        <v>1</v>
      </c>
      <c r="O3810" s="1">
        <v>4</v>
      </c>
      <c r="P3810" s="2">
        <v>1</v>
      </c>
      <c r="Q3810" s="68">
        <v>6</v>
      </c>
    </row>
    <row r="3811" spans="12:17" x14ac:dyDescent="0.25">
      <c r="L3811" s="1">
        <v>393</v>
      </c>
      <c r="M3811" s="1">
        <v>42</v>
      </c>
      <c r="N3811" s="1">
        <v>1</v>
      </c>
      <c r="O3811" s="1">
        <v>4</v>
      </c>
      <c r="P3811" s="2">
        <v>1</v>
      </c>
      <c r="Q3811" s="67">
        <v>12</v>
      </c>
    </row>
    <row r="3812" spans="12:17" x14ac:dyDescent="0.25">
      <c r="L3812" s="1">
        <v>394</v>
      </c>
      <c r="M3812" s="1">
        <v>42</v>
      </c>
      <c r="N3812" s="1">
        <v>1</v>
      </c>
      <c r="O3812" s="1">
        <v>4</v>
      </c>
      <c r="P3812" s="2">
        <v>1</v>
      </c>
      <c r="Q3812" s="68">
        <v>5</v>
      </c>
    </row>
    <row r="3813" spans="12:17" x14ac:dyDescent="0.25">
      <c r="L3813" s="1">
        <v>395</v>
      </c>
      <c r="M3813" s="1">
        <v>43</v>
      </c>
      <c r="N3813" s="1">
        <v>1</v>
      </c>
      <c r="O3813" s="1">
        <v>4</v>
      </c>
      <c r="P3813" s="2">
        <v>1</v>
      </c>
      <c r="Q3813" s="67">
        <v>2</v>
      </c>
    </row>
    <row r="3814" spans="12:17" x14ac:dyDescent="0.25">
      <c r="L3814" s="1">
        <v>396</v>
      </c>
      <c r="M3814" s="1">
        <v>43</v>
      </c>
      <c r="N3814" s="1">
        <v>1</v>
      </c>
      <c r="O3814" s="1">
        <v>4</v>
      </c>
      <c r="P3814" s="2">
        <v>1</v>
      </c>
      <c r="Q3814" s="68">
        <v>2</v>
      </c>
    </row>
    <row r="3815" spans="12:17" x14ac:dyDescent="0.25">
      <c r="L3815" s="1">
        <v>397</v>
      </c>
      <c r="M3815" s="1">
        <v>43</v>
      </c>
      <c r="N3815" s="1">
        <v>1</v>
      </c>
      <c r="O3815" s="1">
        <v>4</v>
      </c>
      <c r="P3815" s="2">
        <v>1</v>
      </c>
      <c r="Q3815" s="67">
        <v>3</v>
      </c>
    </row>
    <row r="3816" spans="12:17" x14ac:dyDescent="0.25">
      <c r="L3816" s="1">
        <v>398</v>
      </c>
      <c r="M3816" s="1">
        <v>43</v>
      </c>
      <c r="N3816" s="1">
        <v>1</v>
      </c>
      <c r="O3816" s="1">
        <v>4</v>
      </c>
      <c r="P3816" s="2">
        <v>1</v>
      </c>
      <c r="Q3816" s="68">
        <v>5</v>
      </c>
    </row>
    <row r="3817" spans="12:17" x14ac:dyDescent="0.25">
      <c r="L3817" s="1">
        <v>399</v>
      </c>
      <c r="M3817" s="1">
        <v>43</v>
      </c>
      <c r="N3817" s="1">
        <v>1</v>
      </c>
      <c r="O3817" s="1">
        <v>4</v>
      </c>
      <c r="P3817" s="2">
        <v>1</v>
      </c>
      <c r="Q3817" s="67">
        <v>9</v>
      </c>
    </row>
    <row r="3818" spans="12:17" x14ac:dyDescent="0.25">
      <c r="L3818" s="1">
        <v>400</v>
      </c>
      <c r="M3818" s="1">
        <v>43</v>
      </c>
      <c r="N3818" s="1">
        <v>1</v>
      </c>
      <c r="O3818" s="1">
        <v>4</v>
      </c>
      <c r="P3818" s="2">
        <v>1</v>
      </c>
      <c r="Q3818" s="68">
        <v>3</v>
      </c>
    </row>
    <row r="3819" spans="12:17" x14ac:dyDescent="0.25">
      <c r="L3819" s="1">
        <v>401</v>
      </c>
      <c r="M3819" s="1">
        <v>43</v>
      </c>
      <c r="N3819" s="1">
        <v>1</v>
      </c>
      <c r="O3819" s="1">
        <v>4</v>
      </c>
      <c r="P3819" s="2">
        <v>1</v>
      </c>
      <c r="Q3819" s="67">
        <v>1</v>
      </c>
    </row>
    <row r="3820" spans="12:17" x14ac:dyDescent="0.25">
      <c r="L3820" s="1">
        <v>402</v>
      </c>
      <c r="M3820" s="1">
        <v>43</v>
      </c>
      <c r="N3820" s="1">
        <v>1</v>
      </c>
      <c r="O3820" s="1">
        <v>4</v>
      </c>
      <c r="P3820" s="2">
        <v>1</v>
      </c>
      <c r="Q3820" s="68">
        <v>5</v>
      </c>
    </row>
    <row r="3821" spans="12:17" x14ac:dyDescent="0.25">
      <c r="L3821" s="1">
        <v>403</v>
      </c>
      <c r="M3821" s="1">
        <v>43</v>
      </c>
      <c r="N3821" s="1">
        <v>1</v>
      </c>
      <c r="O3821" s="1">
        <v>4</v>
      </c>
      <c r="P3821" s="2">
        <v>1</v>
      </c>
      <c r="Q3821" s="67">
        <v>1</v>
      </c>
    </row>
    <row r="3822" spans="12:17" x14ac:dyDescent="0.25">
      <c r="L3822" s="1">
        <v>404</v>
      </c>
      <c r="M3822" s="1">
        <v>43</v>
      </c>
      <c r="N3822" s="1">
        <v>1</v>
      </c>
      <c r="O3822" s="1">
        <v>4</v>
      </c>
      <c r="P3822" s="2">
        <v>1</v>
      </c>
      <c r="Q3822" s="68">
        <v>7</v>
      </c>
    </row>
    <row r="3823" spans="12:17" x14ac:dyDescent="0.25">
      <c r="L3823" s="1">
        <v>405</v>
      </c>
      <c r="M3823" s="1">
        <v>44</v>
      </c>
      <c r="N3823" s="1">
        <v>1</v>
      </c>
      <c r="O3823" s="1">
        <v>4</v>
      </c>
      <c r="P3823" s="2">
        <v>1</v>
      </c>
      <c r="Q3823" s="67">
        <v>7</v>
      </c>
    </row>
    <row r="3824" spans="12:17" x14ac:dyDescent="0.25">
      <c r="L3824" s="1">
        <v>406</v>
      </c>
      <c r="M3824" s="1">
        <v>44</v>
      </c>
      <c r="N3824" s="1">
        <v>1</v>
      </c>
      <c r="O3824" s="1">
        <v>4</v>
      </c>
      <c r="P3824" s="2">
        <v>1</v>
      </c>
      <c r="Q3824" s="68">
        <v>2</v>
      </c>
    </row>
    <row r="3825" spans="12:17" x14ac:dyDescent="0.25">
      <c r="L3825" s="1">
        <v>407</v>
      </c>
      <c r="M3825" s="1">
        <v>44</v>
      </c>
      <c r="N3825" s="1">
        <v>1</v>
      </c>
      <c r="O3825" s="1">
        <v>4</v>
      </c>
      <c r="P3825" s="2">
        <v>1</v>
      </c>
      <c r="Q3825" s="67">
        <v>7</v>
      </c>
    </row>
    <row r="3826" spans="12:17" x14ac:dyDescent="0.25">
      <c r="L3826" s="1">
        <v>408</v>
      </c>
      <c r="M3826" s="1">
        <v>44</v>
      </c>
      <c r="N3826" s="1">
        <v>1</v>
      </c>
      <c r="O3826" s="1">
        <v>4</v>
      </c>
      <c r="P3826" s="2">
        <v>1</v>
      </c>
      <c r="Q3826" s="68">
        <v>10</v>
      </c>
    </row>
    <row r="3827" spans="12:17" x14ac:dyDescent="0.25">
      <c r="L3827" s="1">
        <v>409</v>
      </c>
      <c r="M3827" s="1">
        <v>44</v>
      </c>
      <c r="N3827" s="1">
        <v>1</v>
      </c>
      <c r="O3827" s="1">
        <v>4</v>
      </c>
      <c r="P3827" s="2">
        <v>1</v>
      </c>
      <c r="Q3827" s="67">
        <v>7</v>
      </c>
    </row>
    <row r="3828" spans="12:17" x14ac:dyDescent="0.25">
      <c r="L3828" s="1">
        <v>410</v>
      </c>
      <c r="M3828" s="1">
        <v>44</v>
      </c>
      <c r="N3828" s="1">
        <v>1</v>
      </c>
      <c r="O3828" s="1">
        <v>4</v>
      </c>
      <c r="P3828" s="2">
        <v>1</v>
      </c>
      <c r="Q3828" s="68">
        <v>16</v>
      </c>
    </row>
    <row r="3829" spans="12:17" x14ac:dyDescent="0.25">
      <c r="L3829" s="1">
        <v>411</v>
      </c>
      <c r="M3829" s="1">
        <v>44</v>
      </c>
      <c r="N3829" s="1">
        <v>1</v>
      </c>
      <c r="O3829" s="1">
        <v>4</v>
      </c>
      <c r="P3829" s="2">
        <v>1</v>
      </c>
      <c r="Q3829" s="67">
        <v>7</v>
      </c>
    </row>
    <row r="3830" spans="12:17" x14ac:dyDescent="0.25">
      <c r="L3830" s="1">
        <v>412</v>
      </c>
      <c r="M3830" s="1">
        <v>44</v>
      </c>
      <c r="N3830" s="1">
        <v>1</v>
      </c>
      <c r="O3830" s="1">
        <v>4</v>
      </c>
      <c r="P3830" s="2">
        <v>1</v>
      </c>
      <c r="Q3830" s="68">
        <v>9</v>
      </c>
    </row>
    <row r="3831" spans="12:17" x14ac:dyDescent="0.25">
      <c r="L3831" s="1">
        <v>413</v>
      </c>
      <c r="M3831" s="1">
        <v>44</v>
      </c>
      <c r="N3831" s="1">
        <v>1</v>
      </c>
      <c r="O3831" s="1">
        <v>4</v>
      </c>
      <c r="P3831" s="2">
        <v>1</v>
      </c>
      <c r="Q3831" s="67">
        <v>9</v>
      </c>
    </row>
    <row r="3832" spans="12:17" x14ac:dyDescent="0.25">
      <c r="L3832" s="1">
        <v>414</v>
      </c>
      <c r="M3832" s="1">
        <v>44</v>
      </c>
      <c r="N3832" s="1">
        <v>1</v>
      </c>
      <c r="O3832" s="1">
        <v>4</v>
      </c>
      <c r="P3832" s="2">
        <v>1</v>
      </c>
      <c r="Q3832" s="68">
        <v>2</v>
      </c>
    </row>
    <row r="3833" spans="12:17" x14ac:dyDescent="0.25">
      <c r="L3833" s="1">
        <v>415</v>
      </c>
      <c r="M3833" s="1">
        <v>45</v>
      </c>
      <c r="N3833" s="1">
        <v>1</v>
      </c>
      <c r="O3833" s="1">
        <v>4</v>
      </c>
      <c r="P3833" s="2">
        <v>1</v>
      </c>
      <c r="Q3833" s="67">
        <v>8</v>
      </c>
    </row>
    <row r="3834" spans="12:17" x14ac:dyDescent="0.25">
      <c r="L3834" s="1">
        <v>416</v>
      </c>
      <c r="M3834" s="1">
        <v>45</v>
      </c>
      <c r="N3834" s="1">
        <v>1</v>
      </c>
      <c r="O3834" s="1">
        <v>4</v>
      </c>
      <c r="P3834" s="2">
        <v>1</v>
      </c>
      <c r="Q3834" s="68">
        <v>2</v>
      </c>
    </row>
    <row r="3835" spans="12:17" x14ac:dyDescent="0.25">
      <c r="L3835" s="1">
        <v>417</v>
      </c>
      <c r="M3835" s="1">
        <v>45</v>
      </c>
      <c r="N3835" s="1">
        <v>1</v>
      </c>
      <c r="O3835" s="1">
        <v>4</v>
      </c>
      <c r="P3835" s="2">
        <v>1</v>
      </c>
      <c r="Q3835" s="67">
        <v>10</v>
      </c>
    </row>
    <row r="3836" spans="12:17" x14ac:dyDescent="0.25">
      <c r="L3836" s="1">
        <v>418</v>
      </c>
      <c r="M3836" s="1">
        <v>45</v>
      </c>
      <c r="N3836" s="1">
        <v>1</v>
      </c>
      <c r="O3836" s="1">
        <v>4</v>
      </c>
      <c r="P3836" s="2">
        <v>1</v>
      </c>
      <c r="Q3836" s="68">
        <v>15</v>
      </c>
    </row>
    <row r="3837" spans="12:17" x14ac:dyDescent="0.25">
      <c r="L3837" s="1">
        <v>419</v>
      </c>
      <c r="M3837" s="1">
        <v>45</v>
      </c>
      <c r="N3837" s="1">
        <v>1</v>
      </c>
      <c r="O3837" s="1">
        <v>4</v>
      </c>
      <c r="P3837" s="2">
        <v>1</v>
      </c>
      <c r="Q3837" s="67">
        <v>9</v>
      </c>
    </row>
    <row r="3838" spans="12:17" x14ac:dyDescent="0.25">
      <c r="L3838" s="1">
        <v>420</v>
      </c>
      <c r="M3838" s="1">
        <v>45</v>
      </c>
      <c r="N3838" s="1">
        <v>1</v>
      </c>
      <c r="O3838" s="1">
        <v>4</v>
      </c>
      <c r="P3838" s="2">
        <v>1</v>
      </c>
      <c r="Q3838" s="68">
        <v>3</v>
      </c>
    </row>
    <row r="3839" spans="12:17" x14ac:dyDescent="0.25">
      <c r="L3839" s="1">
        <v>421</v>
      </c>
      <c r="M3839" s="1">
        <v>45</v>
      </c>
      <c r="N3839" s="1">
        <v>1</v>
      </c>
      <c r="O3839" s="1">
        <v>4</v>
      </c>
      <c r="P3839" s="2">
        <v>1</v>
      </c>
      <c r="Q3839" s="67">
        <v>9</v>
      </c>
    </row>
    <row r="3840" spans="12:17" x14ac:dyDescent="0.25">
      <c r="L3840" s="1">
        <v>422</v>
      </c>
      <c r="M3840" s="1">
        <v>45</v>
      </c>
      <c r="N3840" s="1">
        <v>1</v>
      </c>
      <c r="O3840" s="1">
        <v>4</v>
      </c>
      <c r="P3840" s="2">
        <v>1</v>
      </c>
      <c r="Q3840" s="68">
        <v>13</v>
      </c>
    </row>
    <row r="3841" spans="12:17" x14ac:dyDescent="0.25">
      <c r="L3841" s="1">
        <v>423</v>
      </c>
      <c r="M3841" s="1">
        <v>46</v>
      </c>
      <c r="N3841" s="1">
        <v>1</v>
      </c>
      <c r="O3841" s="1">
        <v>4</v>
      </c>
      <c r="P3841" s="2">
        <v>1</v>
      </c>
      <c r="Q3841" s="67">
        <v>14</v>
      </c>
    </row>
    <row r="3842" spans="12:17" x14ac:dyDescent="0.25">
      <c r="L3842" s="1">
        <v>424</v>
      </c>
      <c r="M3842" s="1">
        <v>46</v>
      </c>
      <c r="N3842" s="1">
        <v>1</v>
      </c>
      <c r="O3842" s="1">
        <v>4</v>
      </c>
      <c r="P3842" s="2">
        <v>1</v>
      </c>
      <c r="Q3842" s="68">
        <v>8</v>
      </c>
    </row>
    <row r="3843" spans="12:17" x14ac:dyDescent="0.25">
      <c r="L3843" s="1">
        <v>425</v>
      </c>
      <c r="M3843" s="1">
        <v>46</v>
      </c>
      <c r="N3843" s="1">
        <v>1</v>
      </c>
      <c r="O3843" s="1">
        <v>4</v>
      </c>
      <c r="P3843" s="2">
        <v>1</v>
      </c>
      <c r="Q3843" s="67">
        <v>13</v>
      </c>
    </row>
    <row r="3844" spans="12:17" x14ac:dyDescent="0.25">
      <c r="L3844" s="1">
        <v>426</v>
      </c>
      <c r="M3844" s="1">
        <v>46</v>
      </c>
      <c r="N3844" s="1">
        <v>1</v>
      </c>
      <c r="O3844" s="1">
        <v>4</v>
      </c>
      <c r="P3844" s="2">
        <v>1</v>
      </c>
      <c r="Q3844" s="68">
        <v>15</v>
      </c>
    </row>
    <row r="3845" spans="12:17" x14ac:dyDescent="0.25">
      <c r="L3845" s="1">
        <v>427</v>
      </c>
      <c r="M3845" s="1">
        <v>46</v>
      </c>
      <c r="N3845" s="1">
        <v>1</v>
      </c>
      <c r="O3845" s="1">
        <v>4</v>
      </c>
      <c r="P3845" s="2">
        <v>1</v>
      </c>
      <c r="Q3845" s="67">
        <v>1</v>
      </c>
    </row>
    <row r="3846" spans="12:17" x14ac:dyDescent="0.25">
      <c r="L3846" s="1">
        <v>428</v>
      </c>
      <c r="M3846" s="1">
        <v>46</v>
      </c>
      <c r="N3846" s="1">
        <v>1</v>
      </c>
      <c r="O3846" s="1">
        <v>4</v>
      </c>
      <c r="P3846" s="2">
        <v>1</v>
      </c>
      <c r="Q3846" s="68">
        <v>12</v>
      </c>
    </row>
    <row r="3847" spans="12:17" x14ac:dyDescent="0.25">
      <c r="L3847" s="1">
        <v>429</v>
      </c>
      <c r="M3847" s="1">
        <v>46</v>
      </c>
      <c r="N3847" s="1">
        <v>1</v>
      </c>
      <c r="O3847" s="1">
        <v>4</v>
      </c>
      <c r="P3847" s="2">
        <v>1</v>
      </c>
      <c r="Q3847" s="67">
        <v>4</v>
      </c>
    </row>
    <row r="3848" spans="12:17" x14ac:dyDescent="0.25">
      <c r="L3848" s="1">
        <v>430</v>
      </c>
      <c r="M3848" s="1">
        <v>46</v>
      </c>
      <c r="N3848" s="1">
        <v>1</v>
      </c>
      <c r="O3848" s="1">
        <v>4</v>
      </c>
      <c r="P3848" s="2">
        <v>1</v>
      </c>
      <c r="Q3848" s="68">
        <v>2</v>
      </c>
    </row>
    <row r="3849" spans="12:17" x14ac:dyDescent="0.25">
      <c r="L3849" s="1">
        <v>431</v>
      </c>
      <c r="M3849" s="1">
        <v>46</v>
      </c>
      <c r="N3849" s="1">
        <v>1</v>
      </c>
      <c r="O3849" s="1">
        <v>4</v>
      </c>
      <c r="P3849" s="2">
        <v>1</v>
      </c>
      <c r="Q3849" s="67">
        <v>0</v>
      </c>
    </row>
    <row r="3850" spans="12:17" x14ac:dyDescent="0.25">
      <c r="L3850" s="1">
        <v>432</v>
      </c>
      <c r="M3850" s="1">
        <v>46</v>
      </c>
      <c r="N3850" s="1">
        <v>1</v>
      </c>
      <c r="O3850" s="1">
        <v>4</v>
      </c>
      <c r="P3850" s="2">
        <v>1</v>
      </c>
      <c r="Q3850" s="68">
        <v>0</v>
      </c>
    </row>
    <row r="3851" spans="12:17" x14ac:dyDescent="0.25">
      <c r="L3851" s="1">
        <v>433</v>
      </c>
      <c r="M3851" s="1">
        <v>47</v>
      </c>
      <c r="N3851" s="1">
        <v>1</v>
      </c>
      <c r="O3851" s="1">
        <v>4</v>
      </c>
      <c r="P3851" s="2">
        <v>1</v>
      </c>
      <c r="Q3851" s="67">
        <v>3</v>
      </c>
    </row>
    <row r="3852" spans="12:17" x14ac:dyDescent="0.25">
      <c r="L3852" s="1">
        <v>434</v>
      </c>
      <c r="M3852" s="1">
        <v>47</v>
      </c>
      <c r="N3852" s="1">
        <v>1</v>
      </c>
      <c r="O3852" s="1">
        <v>4</v>
      </c>
      <c r="P3852" s="2">
        <v>1</v>
      </c>
      <c r="Q3852" s="68">
        <v>9</v>
      </c>
    </row>
    <row r="3853" spans="12:17" x14ac:dyDescent="0.25">
      <c r="L3853" s="1">
        <v>435</v>
      </c>
      <c r="M3853" s="1">
        <v>47</v>
      </c>
      <c r="N3853" s="1">
        <v>1</v>
      </c>
      <c r="O3853" s="1">
        <v>4</v>
      </c>
      <c r="P3853" s="2">
        <v>1</v>
      </c>
      <c r="Q3853" s="67">
        <v>8</v>
      </c>
    </row>
    <row r="3854" spans="12:17" x14ac:dyDescent="0.25">
      <c r="L3854" s="1">
        <v>436</v>
      </c>
      <c r="M3854" s="1">
        <v>47</v>
      </c>
      <c r="N3854" s="1">
        <v>1</v>
      </c>
      <c r="O3854" s="1">
        <v>4</v>
      </c>
      <c r="P3854" s="2">
        <v>1</v>
      </c>
      <c r="Q3854" s="68">
        <v>10</v>
      </c>
    </row>
    <row r="3855" spans="12:17" x14ac:dyDescent="0.25">
      <c r="L3855" s="1">
        <v>437</v>
      </c>
      <c r="M3855" s="1">
        <v>47</v>
      </c>
      <c r="N3855" s="1">
        <v>1</v>
      </c>
      <c r="O3855" s="1">
        <v>4</v>
      </c>
      <c r="P3855" s="2">
        <v>1</v>
      </c>
      <c r="Q3855" s="67">
        <v>0</v>
      </c>
    </row>
    <row r="3856" spans="12:17" x14ac:dyDescent="0.25">
      <c r="L3856" s="1">
        <v>438</v>
      </c>
      <c r="M3856" s="1">
        <v>47</v>
      </c>
      <c r="N3856" s="1">
        <v>1</v>
      </c>
      <c r="O3856" s="1">
        <v>4</v>
      </c>
      <c r="P3856" s="2">
        <v>1</v>
      </c>
      <c r="Q3856" s="68">
        <v>1</v>
      </c>
    </row>
    <row r="3857" spans="12:17" x14ac:dyDescent="0.25">
      <c r="L3857" s="1">
        <v>439</v>
      </c>
      <c r="M3857" s="1">
        <v>47</v>
      </c>
      <c r="N3857" s="1">
        <v>1</v>
      </c>
      <c r="O3857" s="1">
        <v>4</v>
      </c>
      <c r="P3857" s="2">
        <v>1</v>
      </c>
      <c r="Q3857" s="67">
        <v>3</v>
      </c>
    </row>
    <row r="3858" spans="12:17" x14ac:dyDescent="0.25">
      <c r="L3858" s="1">
        <v>440</v>
      </c>
      <c r="M3858" s="1">
        <v>47</v>
      </c>
      <c r="N3858" s="1">
        <v>1</v>
      </c>
      <c r="O3858" s="1">
        <v>4</v>
      </c>
      <c r="P3858" s="2">
        <v>1</v>
      </c>
      <c r="Q3858" s="68">
        <v>4</v>
      </c>
    </row>
    <row r="3859" spans="12:17" x14ac:dyDescent="0.25">
      <c r="L3859" s="1">
        <v>441</v>
      </c>
      <c r="M3859" s="1">
        <v>47</v>
      </c>
      <c r="N3859" s="1">
        <v>1</v>
      </c>
      <c r="O3859" s="1">
        <v>4</v>
      </c>
      <c r="P3859" s="2">
        <v>1</v>
      </c>
      <c r="Q3859" s="67">
        <v>37</v>
      </c>
    </row>
    <row r="3860" spans="12:17" x14ac:dyDescent="0.25">
      <c r="L3860" s="1">
        <v>442</v>
      </c>
      <c r="M3860" s="1">
        <v>47</v>
      </c>
      <c r="N3860" s="1">
        <v>1</v>
      </c>
      <c r="O3860" s="1">
        <v>4</v>
      </c>
      <c r="P3860" s="2">
        <v>1</v>
      </c>
      <c r="Q3860" s="68">
        <v>15</v>
      </c>
    </row>
    <row r="3861" spans="12:17" x14ac:dyDescent="0.25">
      <c r="L3861" s="1">
        <v>443</v>
      </c>
      <c r="M3861" s="1">
        <v>48</v>
      </c>
      <c r="N3861" s="1">
        <v>1</v>
      </c>
      <c r="O3861" s="1">
        <v>4</v>
      </c>
      <c r="P3861" s="2">
        <v>1</v>
      </c>
      <c r="Q3861" s="67">
        <v>21</v>
      </c>
    </row>
    <row r="3862" spans="12:17" x14ac:dyDescent="0.25">
      <c r="L3862" s="1">
        <v>444</v>
      </c>
      <c r="M3862" s="1">
        <v>48</v>
      </c>
      <c r="N3862" s="1">
        <v>1</v>
      </c>
      <c r="O3862" s="1">
        <v>4</v>
      </c>
      <c r="P3862" s="2">
        <v>1</v>
      </c>
      <c r="Q3862" s="68">
        <v>20</v>
      </c>
    </row>
    <row r="3863" spans="12:17" x14ac:dyDescent="0.25">
      <c r="L3863" s="1">
        <v>445</v>
      </c>
      <c r="M3863" s="1">
        <v>48</v>
      </c>
      <c r="N3863" s="1">
        <v>1</v>
      </c>
      <c r="O3863" s="1">
        <v>4</v>
      </c>
      <c r="P3863" s="2">
        <v>1</v>
      </c>
      <c r="Q3863" s="67">
        <v>22</v>
      </c>
    </row>
    <row r="3864" spans="12:17" x14ac:dyDescent="0.25">
      <c r="L3864" s="1">
        <v>446</v>
      </c>
      <c r="M3864" s="1">
        <v>48</v>
      </c>
      <c r="N3864" s="1">
        <v>1</v>
      </c>
      <c r="O3864" s="1">
        <v>4</v>
      </c>
      <c r="P3864" s="2">
        <v>1</v>
      </c>
      <c r="Q3864" s="68">
        <v>23</v>
      </c>
    </row>
    <row r="3865" spans="12:17" x14ac:dyDescent="0.25">
      <c r="L3865" s="1">
        <v>447</v>
      </c>
      <c r="M3865" s="1">
        <v>48</v>
      </c>
      <c r="N3865" s="1">
        <v>1</v>
      </c>
      <c r="O3865" s="1">
        <v>4</v>
      </c>
      <c r="P3865" s="2">
        <v>1</v>
      </c>
      <c r="Q3865" s="67">
        <v>21</v>
      </c>
    </row>
    <row r="3866" spans="12:17" x14ac:dyDescent="0.25">
      <c r="L3866" s="1">
        <v>448</v>
      </c>
      <c r="M3866" s="1">
        <v>48</v>
      </c>
      <c r="N3866" s="1">
        <v>1</v>
      </c>
      <c r="O3866" s="1">
        <v>4</v>
      </c>
      <c r="P3866" s="2">
        <v>1</v>
      </c>
      <c r="Q3866" s="68">
        <v>6</v>
      </c>
    </row>
    <row r="3867" spans="12:17" x14ac:dyDescent="0.25">
      <c r="L3867" s="1">
        <v>449</v>
      </c>
      <c r="M3867" s="1">
        <v>48</v>
      </c>
      <c r="N3867" s="1">
        <v>1</v>
      </c>
      <c r="O3867" s="1">
        <v>4</v>
      </c>
      <c r="P3867" s="2">
        <v>1</v>
      </c>
      <c r="Q3867" s="67">
        <v>1</v>
      </c>
    </row>
    <row r="3868" spans="12:17" x14ac:dyDescent="0.25">
      <c r="L3868" s="1">
        <v>450</v>
      </c>
      <c r="M3868" s="1">
        <v>48</v>
      </c>
      <c r="N3868" s="1">
        <v>1</v>
      </c>
      <c r="O3868" s="1">
        <v>4</v>
      </c>
      <c r="P3868" s="2">
        <v>1</v>
      </c>
      <c r="Q3868" s="68">
        <v>12</v>
      </c>
    </row>
    <row r="3869" spans="12:17" x14ac:dyDescent="0.25">
      <c r="L3869" s="1">
        <v>451</v>
      </c>
      <c r="M3869" s="1">
        <v>48</v>
      </c>
      <c r="N3869" s="1">
        <v>1</v>
      </c>
      <c r="O3869" s="1">
        <v>4</v>
      </c>
      <c r="P3869" s="2">
        <v>1</v>
      </c>
      <c r="Q3869" s="67">
        <v>10</v>
      </c>
    </row>
    <row r="3870" spans="12:17" x14ac:dyDescent="0.25">
      <c r="L3870" s="1">
        <v>452</v>
      </c>
      <c r="M3870" s="1">
        <v>48</v>
      </c>
      <c r="N3870" s="1">
        <v>1</v>
      </c>
      <c r="O3870" s="1">
        <v>4</v>
      </c>
      <c r="P3870" s="2">
        <v>1</v>
      </c>
      <c r="Q3870" s="68">
        <v>9</v>
      </c>
    </row>
    <row r="3871" spans="12:17" x14ac:dyDescent="0.25">
      <c r="L3871" s="1">
        <v>453</v>
      </c>
      <c r="M3871" s="1">
        <v>49</v>
      </c>
      <c r="N3871" s="1">
        <v>1</v>
      </c>
      <c r="O3871" s="1">
        <v>4</v>
      </c>
      <c r="P3871" s="2">
        <v>1</v>
      </c>
      <c r="Q3871" s="67">
        <v>10</v>
      </c>
    </row>
    <row r="3872" spans="12:17" x14ac:dyDescent="0.25">
      <c r="L3872" s="1">
        <v>454</v>
      </c>
      <c r="M3872" s="1">
        <v>49</v>
      </c>
      <c r="N3872" s="1">
        <v>1</v>
      </c>
      <c r="O3872" s="1">
        <v>4</v>
      </c>
      <c r="P3872" s="2">
        <v>1</v>
      </c>
      <c r="Q3872" s="68">
        <v>8</v>
      </c>
    </row>
    <row r="3873" spans="12:17" x14ac:dyDescent="0.25">
      <c r="L3873" s="1">
        <v>455</v>
      </c>
      <c r="M3873" s="1">
        <v>49</v>
      </c>
      <c r="N3873" s="1">
        <v>1</v>
      </c>
      <c r="O3873" s="1">
        <v>4</v>
      </c>
      <c r="P3873" s="2">
        <v>1</v>
      </c>
      <c r="Q3873" s="67">
        <v>9</v>
      </c>
    </row>
    <row r="3874" spans="12:17" x14ac:dyDescent="0.25">
      <c r="L3874" s="1">
        <v>456</v>
      </c>
      <c r="M3874" s="1">
        <v>49</v>
      </c>
      <c r="N3874" s="1">
        <v>1</v>
      </c>
      <c r="O3874" s="1">
        <v>4</v>
      </c>
      <c r="P3874" s="2">
        <v>1</v>
      </c>
      <c r="Q3874" s="68">
        <v>7</v>
      </c>
    </row>
    <row r="3875" spans="12:17" x14ac:dyDescent="0.25">
      <c r="L3875" s="1">
        <v>457</v>
      </c>
      <c r="M3875" s="1">
        <v>49</v>
      </c>
      <c r="N3875" s="1">
        <v>1</v>
      </c>
      <c r="O3875" s="1">
        <v>4</v>
      </c>
      <c r="P3875" s="2">
        <v>1</v>
      </c>
      <c r="Q3875" s="67">
        <v>10</v>
      </c>
    </row>
    <row r="3876" spans="12:17" x14ac:dyDescent="0.25">
      <c r="L3876" s="1">
        <v>458</v>
      </c>
      <c r="M3876" s="1">
        <v>49</v>
      </c>
      <c r="N3876" s="1">
        <v>1</v>
      </c>
      <c r="O3876" s="1">
        <v>4</v>
      </c>
      <c r="P3876" s="2">
        <v>1</v>
      </c>
      <c r="Q3876" s="68">
        <v>13</v>
      </c>
    </row>
    <row r="3877" spans="12:17" x14ac:dyDescent="0.25">
      <c r="L3877" s="1">
        <v>459</v>
      </c>
      <c r="M3877" s="1">
        <v>49</v>
      </c>
      <c r="N3877" s="1">
        <v>1</v>
      </c>
      <c r="O3877" s="1">
        <v>4</v>
      </c>
      <c r="P3877" s="2">
        <v>1</v>
      </c>
      <c r="Q3877" s="67">
        <v>8</v>
      </c>
    </row>
    <row r="3878" spans="12:17" x14ac:dyDescent="0.25">
      <c r="L3878" s="1">
        <v>460</v>
      </c>
      <c r="M3878" s="1">
        <v>49</v>
      </c>
      <c r="N3878" s="1">
        <v>1</v>
      </c>
      <c r="O3878" s="1">
        <v>4</v>
      </c>
      <c r="P3878" s="2">
        <v>1</v>
      </c>
      <c r="Q3878" s="68">
        <v>9</v>
      </c>
    </row>
    <row r="3879" spans="12:17" x14ac:dyDescent="0.25">
      <c r="L3879" s="1">
        <v>461</v>
      </c>
      <c r="M3879" s="1">
        <v>49</v>
      </c>
      <c r="N3879" s="1">
        <v>1</v>
      </c>
      <c r="O3879" s="1">
        <v>4</v>
      </c>
      <c r="P3879" s="2">
        <v>1</v>
      </c>
      <c r="Q3879" s="67">
        <v>6</v>
      </c>
    </row>
    <row r="3880" spans="12:17" x14ac:dyDescent="0.25">
      <c r="L3880" s="1">
        <v>462</v>
      </c>
      <c r="M3880" s="1">
        <v>49</v>
      </c>
      <c r="N3880" s="1">
        <v>1</v>
      </c>
      <c r="O3880" s="1">
        <v>4</v>
      </c>
      <c r="P3880" s="2">
        <v>1</v>
      </c>
      <c r="Q3880" s="68">
        <v>8</v>
      </c>
    </row>
    <row r="3881" spans="12:17" x14ac:dyDescent="0.25">
      <c r="L3881" s="1">
        <v>463</v>
      </c>
      <c r="M3881" s="1">
        <v>50</v>
      </c>
      <c r="N3881" s="1">
        <v>1</v>
      </c>
      <c r="O3881" s="1">
        <v>4</v>
      </c>
      <c r="P3881" s="2">
        <v>1</v>
      </c>
      <c r="Q3881" s="67">
        <v>9</v>
      </c>
    </row>
    <row r="3882" spans="12:17" x14ac:dyDescent="0.25">
      <c r="L3882" s="1">
        <v>464</v>
      </c>
      <c r="M3882" s="1">
        <v>50</v>
      </c>
      <c r="N3882" s="1">
        <v>1</v>
      </c>
      <c r="O3882" s="1">
        <v>4</v>
      </c>
      <c r="P3882" s="2">
        <v>1</v>
      </c>
      <c r="Q3882" s="68">
        <v>5</v>
      </c>
    </row>
    <row r="3883" spans="12:17" x14ac:dyDescent="0.25">
      <c r="L3883" s="1">
        <v>465</v>
      </c>
      <c r="M3883" s="1">
        <v>50</v>
      </c>
      <c r="N3883" s="1">
        <v>1</v>
      </c>
      <c r="O3883" s="1">
        <v>4</v>
      </c>
      <c r="P3883" s="2">
        <v>1</v>
      </c>
      <c r="Q3883" s="67">
        <v>10</v>
      </c>
    </row>
    <row r="3884" spans="12:17" x14ac:dyDescent="0.25">
      <c r="L3884" s="1">
        <v>466</v>
      </c>
      <c r="M3884" s="1">
        <v>50</v>
      </c>
      <c r="N3884" s="1">
        <v>1</v>
      </c>
      <c r="O3884" s="1">
        <v>4</v>
      </c>
      <c r="P3884" s="2">
        <v>1</v>
      </c>
      <c r="Q3884" s="68">
        <v>17</v>
      </c>
    </row>
    <row r="3885" spans="12:17" x14ac:dyDescent="0.25">
      <c r="L3885" s="1">
        <v>467</v>
      </c>
      <c r="M3885" s="1">
        <v>50</v>
      </c>
      <c r="N3885" s="1">
        <v>1</v>
      </c>
      <c r="O3885" s="1">
        <v>4</v>
      </c>
      <c r="P3885" s="2">
        <v>1</v>
      </c>
      <c r="Q3885" s="67">
        <v>1</v>
      </c>
    </row>
    <row r="3886" spans="12:17" x14ac:dyDescent="0.25">
      <c r="L3886" s="1">
        <v>468</v>
      </c>
      <c r="M3886" s="1">
        <v>50</v>
      </c>
      <c r="N3886" s="1">
        <v>1</v>
      </c>
      <c r="O3886" s="1">
        <v>4</v>
      </c>
      <c r="P3886" s="2">
        <v>1</v>
      </c>
      <c r="Q3886" s="68">
        <v>9</v>
      </c>
    </row>
    <row r="3887" spans="12:17" x14ac:dyDescent="0.25">
      <c r="L3887" s="1">
        <v>469</v>
      </c>
      <c r="M3887" s="1">
        <v>50</v>
      </c>
      <c r="N3887" s="1">
        <v>1</v>
      </c>
      <c r="O3887" s="1">
        <v>4</v>
      </c>
      <c r="P3887" s="2">
        <v>1</v>
      </c>
      <c r="Q3887" s="67">
        <v>2</v>
      </c>
    </row>
    <row r="3888" spans="12:17" x14ac:dyDescent="0.25">
      <c r="L3888" s="1">
        <v>470</v>
      </c>
      <c r="M3888" s="1">
        <v>50</v>
      </c>
      <c r="N3888" s="1">
        <v>1</v>
      </c>
      <c r="O3888" s="1">
        <v>4</v>
      </c>
      <c r="P3888" s="2">
        <v>1</v>
      </c>
      <c r="Q3888" s="68">
        <v>3</v>
      </c>
    </row>
    <row r="3889" spans="12:17" x14ac:dyDescent="0.25">
      <c r="L3889" s="1">
        <v>471</v>
      </c>
      <c r="M3889" s="1">
        <v>50</v>
      </c>
      <c r="N3889" s="1">
        <v>1</v>
      </c>
      <c r="O3889" s="1">
        <v>4</v>
      </c>
      <c r="P3889" s="2">
        <v>1</v>
      </c>
      <c r="Q3889" s="67">
        <v>2</v>
      </c>
    </row>
    <row r="3890" spans="12:17" x14ac:dyDescent="0.25">
      <c r="L3890" s="1">
        <v>472</v>
      </c>
      <c r="M3890" s="1">
        <v>50</v>
      </c>
      <c r="N3890" s="1">
        <v>1</v>
      </c>
      <c r="O3890" s="1">
        <v>4</v>
      </c>
      <c r="P3890" s="2">
        <v>1</v>
      </c>
      <c r="Q3890" s="68">
        <v>7</v>
      </c>
    </row>
    <row r="3891" spans="12:17" x14ac:dyDescent="0.25">
      <c r="L3891" s="1">
        <v>473</v>
      </c>
      <c r="M3891" s="1">
        <v>51</v>
      </c>
      <c r="N3891" s="1">
        <v>1</v>
      </c>
      <c r="O3891" s="1">
        <v>4</v>
      </c>
      <c r="P3891" s="2">
        <v>1</v>
      </c>
      <c r="Q3891" s="67">
        <v>10</v>
      </c>
    </row>
    <row r="3892" spans="12:17" x14ac:dyDescent="0.25">
      <c r="L3892" s="1">
        <v>474</v>
      </c>
      <c r="M3892" s="1">
        <v>51</v>
      </c>
      <c r="N3892" s="1">
        <v>1</v>
      </c>
      <c r="O3892" s="1">
        <v>4</v>
      </c>
      <c r="P3892" s="2">
        <v>1</v>
      </c>
      <c r="Q3892" s="68">
        <v>9</v>
      </c>
    </row>
    <row r="3893" spans="12:17" x14ac:dyDescent="0.25">
      <c r="L3893" s="1">
        <v>475</v>
      </c>
      <c r="M3893" s="1">
        <v>51</v>
      </c>
      <c r="N3893" s="1">
        <v>1</v>
      </c>
      <c r="O3893" s="1">
        <v>4</v>
      </c>
      <c r="P3893" s="2">
        <v>1</v>
      </c>
      <c r="Q3893" s="67">
        <v>2</v>
      </c>
    </row>
    <row r="3894" spans="12:17" x14ac:dyDescent="0.25">
      <c r="L3894" s="1">
        <v>476</v>
      </c>
      <c r="M3894" s="1">
        <v>51</v>
      </c>
      <c r="N3894" s="1">
        <v>1</v>
      </c>
      <c r="O3894" s="1">
        <v>4</v>
      </c>
      <c r="P3894" s="2">
        <v>1</v>
      </c>
      <c r="Q3894" s="68">
        <v>8</v>
      </c>
    </row>
    <row r="3895" spans="12:17" x14ac:dyDescent="0.25">
      <c r="L3895" s="1">
        <v>477</v>
      </c>
      <c r="M3895" s="1">
        <v>51</v>
      </c>
      <c r="N3895" s="1">
        <v>1</v>
      </c>
      <c r="O3895" s="1">
        <v>4</v>
      </c>
      <c r="P3895" s="2">
        <v>1</v>
      </c>
      <c r="Q3895" s="67">
        <v>5</v>
      </c>
    </row>
    <row r="3896" spans="12:17" x14ac:dyDescent="0.25">
      <c r="L3896" s="1">
        <v>478</v>
      </c>
      <c r="M3896" s="1">
        <v>51</v>
      </c>
      <c r="N3896" s="1">
        <v>1</v>
      </c>
      <c r="O3896" s="1">
        <v>4</v>
      </c>
      <c r="P3896" s="2">
        <v>1</v>
      </c>
      <c r="Q3896" s="68">
        <v>8</v>
      </c>
    </row>
    <row r="3897" spans="12:17" x14ac:dyDescent="0.25">
      <c r="L3897" s="1">
        <v>479</v>
      </c>
      <c r="M3897" s="1">
        <v>51</v>
      </c>
      <c r="N3897" s="1">
        <v>1</v>
      </c>
      <c r="O3897" s="1">
        <v>4</v>
      </c>
      <c r="P3897" s="2">
        <v>1</v>
      </c>
      <c r="Q3897" s="67">
        <v>18</v>
      </c>
    </row>
    <row r="3898" spans="12:17" x14ac:dyDescent="0.25">
      <c r="L3898" s="1">
        <v>480</v>
      </c>
      <c r="M3898" s="1">
        <v>51</v>
      </c>
      <c r="N3898" s="1">
        <v>1</v>
      </c>
      <c r="O3898" s="1">
        <v>4</v>
      </c>
      <c r="P3898" s="2">
        <v>1</v>
      </c>
      <c r="Q3898" s="68">
        <v>14</v>
      </c>
    </row>
    <row r="3899" spans="12:17" x14ac:dyDescent="0.25">
      <c r="L3899" s="1">
        <v>481</v>
      </c>
      <c r="M3899" s="1">
        <v>51</v>
      </c>
      <c r="N3899" s="1">
        <v>1</v>
      </c>
      <c r="O3899" s="1">
        <v>4</v>
      </c>
      <c r="P3899" s="2">
        <v>1</v>
      </c>
      <c r="Q3899" s="67">
        <v>18</v>
      </c>
    </row>
    <row r="3900" spans="12:17" x14ac:dyDescent="0.25">
      <c r="L3900" s="1">
        <v>482</v>
      </c>
      <c r="M3900" s="1">
        <v>51</v>
      </c>
      <c r="N3900" s="1">
        <v>1</v>
      </c>
      <c r="O3900" s="1">
        <v>4</v>
      </c>
      <c r="P3900" s="2">
        <v>1</v>
      </c>
      <c r="Q3900" s="68">
        <v>7</v>
      </c>
    </row>
    <row r="3901" spans="12:17" x14ac:dyDescent="0.25">
      <c r="L3901" s="1">
        <v>483</v>
      </c>
      <c r="M3901" s="1">
        <v>52</v>
      </c>
      <c r="N3901" s="1">
        <v>1</v>
      </c>
      <c r="O3901" s="1">
        <v>4</v>
      </c>
      <c r="P3901" s="2">
        <v>1</v>
      </c>
      <c r="Q3901" s="67">
        <v>5</v>
      </c>
    </row>
    <row r="3902" spans="12:17" x14ac:dyDescent="0.25">
      <c r="L3902" s="1">
        <v>484</v>
      </c>
      <c r="M3902" s="1">
        <v>52</v>
      </c>
      <c r="N3902" s="1">
        <v>1</v>
      </c>
      <c r="O3902" s="1">
        <v>4</v>
      </c>
      <c r="P3902" s="2">
        <v>1</v>
      </c>
      <c r="Q3902" s="68">
        <v>0</v>
      </c>
    </row>
    <row r="3903" spans="12:17" x14ac:dyDescent="0.25">
      <c r="L3903" s="1">
        <v>485</v>
      </c>
      <c r="M3903" s="1">
        <v>52</v>
      </c>
      <c r="N3903" s="1">
        <v>1</v>
      </c>
      <c r="O3903" s="1">
        <v>4</v>
      </c>
      <c r="P3903" s="2">
        <v>1</v>
      </c>
      <c r="Q3903" s="67">
        <v>24</v>
      </c>
    </row>
    <row r="3904" spans="12:17" x14ac:dyDescent="0.25">
      <c r="L3904" s="1">
        <v>486</v>
      </c>
      <c r="M3904" s="1">
        <v>52</v>
      </c>
      <c r="N3904" s="1">
        <v>1</v>
      </c>
      <c r="O3904" s="1">
        <v>4</v>
      </c>
      <c r="P3904" s="2">
        <v>1</v>
      </c>
      <c r="Q3904" s="68">
        <v>13</v>
      </c>
    </row>
    <row r="3905" spans="12:17" x14ac:dyDescent="0.25">
      <c r="L3905" s="1">
        <v>487</v>
      </c>
      <c r="M3905" s="1">
        <v>52</v>
      </c>
      <c r="N3905" s="1">
        <v>1</v>
      </c>
      <c r="O3905" s="1">
        <v>4</v>
      </c>
      <c r="P3905" s="2">
        <v>1</v>
      </c>
      <c r="Q3905" s="67">
        <v>12</v>
      </c>
    </row>
    <row r="3906" spans="12:17" x14ac:dyDescent="0.25">
      <c r="L3906" s="1">
        <v>488</v>
      </c>
      <c r="M3906" s="1">
        <v>52</v>
      </c>
      <c r="N3906" s="1">
        <v>1</v>
      </c>
      <c r="O3906" s="1">
        <v>4</v>
      </c>
      <c r="P3906" s="2">
        <v>1</v>
      </c>
      <c r="Q3906" s="68">
        <v>11</v>
      </c>
    </row>
    <row r="3907" spans="12:17" x14ac:dyDescent="0.25">
      <c r="Q3907" s="67">
        <v>9</v>
      </c>
    </row>
    <row r="3908" spans="12:17" x14ac:dyDescent="0.25">
      <c r="Q3908" s="68">
        <v>11</v>
      </c>
    </row>
    <row r="3909" spans="12:17" x14ac:dyDescent="0.25">
      <c r="Q3909" s="67">
        <v>15</v>
      </c>
    </row>
    <row r="3910" spans="12:17" x14ac:dyDescent="0.25">
      <c r="Q3910" s="68">
        <v>13</v>
      </c>
    </row>
    <row r="3911" spans="12:17" x14ac:dyDescent="0.25">
      <c r="Q3911" s="67">
        <v>13</v>
      </c>
    </row>
    <row r="3912" spans="12:17" x14ac:dyDescent="0.25">
      <c r="Q3912" s="68">
        <v>15</v>
      </c>
    </row>
    <row r="3913" spans="12:17" x14ac:dyDescent="0.25">
      <c r="Q3913" s="67">
        <v>12</v>
      </c>
    </row>
    <row r="3914" spans="12:17" x14ac:dyDescent="0.25">
      <c r="Q3914" s="68">
        <v>12</v>
      </c>
    </row>
    <row r="3915" spans="12:17" x14ac:dyDescent="0.25">
      <c r="Q3915" s="67">
        <v>17</v>
      </c>
    </row>
    <row r="3916" spans="12:17" x14ac:dyDescent="0.25">
      <c r="Q3916" s="68">
        <v>7</v>
      </c>
    </row>
    <row r="3917" spans="12:17" x14ac:dyDescent="0.25">
      <c r="Q3917" s="67">
        <v>3</v>
      </c>
    </row>
    <row r="3918" spans="12:17" x14ac:dyDescent="0.25">
      <c r="Q3918" s="68">
        <v>9</v>
      </c>
    </row>
    <row r="3919" spans="12:17" x14ac:dyDescent="0.25">
      <c r="Q3919" s="67">
        <v>6</v>
      </c>
    </row>
    <row r="3920" spans="12:17" x14ac:dyDescent="0.25">
      <c r="Q3920" s="68">
        <v>12</v>
      </c>
    </row>
    <row r="3921" spans="17:17" x14ac:dyDescent="0.25">
      <c r="Q3921" s="67">
        <v>2</v>
      </c>
    </row>
    <row r="3922" spans="17:17" x14ac:dyDescent="0.25">
      <c r="Q3922" s="68">
        <v>4</v>
      </c>
    </row>
    <row r="3923" spans="17:17" x14ac:dyDescent="0.25">
      <c r="Q3923" s="67">
        <v>2</v>
      </c>
    </row>
    <row r="3924" spans="17:17" x14ac:dyDescent="0.25">
      <c r="Q3924" s="68">
        <v>3</v>
      </c>
    </row>
    <row r="3925" spans="17:17" x14ac:dyDescent="0.25">
      <c r="Q3925" s="67">
        <v>10</v>
      </c>
    </row>
    <row r="3926" spans="17:17" x14ac:dyDescent="0.25">
      <c r="Q3926" s="68">
        <v>5</v>
      </c>
    </row>
    <row r="3927" spans="17:17" x14ac:dyDescent="0.25">
      <c r="Q3927" s="67">
        <v>11</v>
      </c>
    </row>
    <row r="3928" spans="17:17" x14ac:dyDescent="0.25">
      <c r="Q3928" s="68">
        <v>19</v>
      </c>
    </row>
    <row r="3929" spans="17:17" x14ac:dyDescent="0.25">
      <c r="Q3929" s="67">
        <v>8</v>
      </c>
    </row>
    <row r="3930" spans="17:17" x14ac:dyDescent="0.25">
      <c r="Q3930" s="68">
        <v>7</v>
      </c>
    </row>
    <row r="3931" spans="17:17" x14ac:dyDescent="0.25">
      <c r="Q3931" s="67">
        <v>15</v>
      </c>
    </row>
    <row r="3932" spans="17:17" x14ac:dyDescent="0.25">
      <c r="Q3932" s="68">
        <v>15</v>
      </c>
    </row>
    <row r="3933" spans="17:17" x14ac:dyDescent="0.25">
      <c r="Q3933" s="67">
        <v>14</v>
      </c>
    </row>
    <row r="3934" spans="17:17" x14ac:dyDescent="0.25">
      <c r="Q3934" s="68">
        <v>15</v>
      </c>
    </row>
    <row r="3935" spans="17:17" x14ac:dyDescent="0.25">
      <c r="Q3935" s="67">
        <v>20</v>
      </c>
    </row>
    <row r="3936" spans="17:17" x14ac:dyDescent="0.25">
      <c r="Q3936" s="68">
        <v>24</v>
      </c>
    </row>
    <row r="3937" spans="17:17" x14ac:dyDescent="0.25">
      <c r="Q3937" s="67">
        <v>20</v>
      </c>
    </row>
    <row r="3938" spans="17:17" x14ac:dyDescent="0.25">
      <c r="Q3938" s="68">
        <v>19</v>
      </c>
    </row>
    <row r="3939" spans="17:17" x14ac:dyDescent="0.25">
      <c r="Q3939" s="67">
        <v>24</v>
      </c>
    </row>
    <row r="3940" spans="17:17" x14ac:dyDescent="0.25">
      <c r="Q3940" s="68">
        <v>18</v>
      </c>
    </row>
    <row r="3941" spans="17:17" x14ac:dyDescent="0.25">
      <c r="Q3941" s="67">
        <v>10</v>
      </c>
    </row>
    <row r="3942" spans="17:17" x14ac:dyDescent="0.25">
      <c r="Q3942" s="68">
        <v>15</v>
      </c>
    </row>
    <row r="3943" spans="17:17" x14ac:dyDescent="0.25">
      <c r="Q3943" s="67">
        <v>10</v>
      </c>
    </row>
    <row r="3944" spans="17:17" x14ac:dyDescent="0.25">
      <c r="Q3944" s="68">
        <v>8</v>
      </c>
    </row>
    <row r="3945" spans="17:17" x14ac:dyDescent="0.25">
      <c r="Q3945" s="67">
        <v>20</v>
      </c>
    </row>
    <row r="3946" spans="17:17" x14ac:dyDescent="0.25">
      <c r="Q3946" s="68">
        <v>13</v>
      </c>
    </row>
    <row r="3947" spans="17:17" x14ac:dyDescent="0.25">
      <c r="Q3947" s="67">
        <v>3</v>
      </c>
    </row>
    <row r="3948" spans="17:17" x14ac:dyDescent="0.25">
      <c r="Q3948" s="68">
        <v>13</v>
      </c>
    </row>
    <row r="3949" spans="17:17" x14ac:dyDescent="0.25">
      <c r="Q3949" s="67">
        <v>13</v>
      </c>
    </row>
    <row r="3950" spans="17:17" x14ac:dyDescent="0.25">
      <c r="Q3950" s="68">
        <v>11</v>
      </c>
    </row>
    <row r="3951" spans="17:17" x14ac:dyDescent="0.25">
      <c r="Q3951" s="67">
        <v>10</v>
      </c>
    </row>
    <row r="3952" spans="17:17" x14ac:dyDescent="0.25">
      <c r="Q3952" s="68">
        <v>16</v>
      </c>
    </row>
    <row r="3953" spans="17:17" x14ac:dyDescent="0.25">
      <c r="Q3953" s="67">
        <v>15</v>
      </c>
    </row>
    <row r="3954" spans="17:17" x14ac:dyDescent="0.25">
      <c r="Q3954" s="68">
        <v>9</v>
      </c>
    </row>
    <row r="3955" spans="17:17" x14ac:dyDescent="0.25">
      <c r="Q3955" s="67">
        <v>13</v>
      </c>
    </row>
    <row r="3956" spans="17:17" x14ac:dyDescent="0.25">
      <c r="Q3956" s="68">
        <v>12</v>
      </c>
    </row>
    <row r="3957" spans="17:17" x14ac:dyDescent="0.25">
      <c r="Q3957" s="67">
        <v>14</v>
      </c>
    </row>
    <row r="3958" spans="17:17" x14ac:dyDescent="0.25">
      <c r="Q3958" s="68">
        <v>8</v>
      </c>
    </row>
    <row r="3959" spans="17:17" x14ac:dyDescent="0.25">
      <c r="Q3959" s="67">
        <v>6</v>
      </c>
    </row>
    <row r="3960" spans="17:17" x14ac:dyDescent="0.25">
      <c r="Q3960" s="68">
        <v>15</v>
      </c>
    </row>
    <row r="3961" spans="17:17" x14ac:dyDescent="0.25">
      <c r="Q3961" s="67">
        <v>5</v>
      </c>
    </row>
    <row r="3962" spans="17:17" x14ac:dyDescent="0.25">
      <c r="Q3962" s="68">
        <v>13</v>
      </c>
    </row>
    <row r="3963" spans="17:17" x14ac:dyDescent="0.25">
      <c r="Q3963" s="67">
        <v>11</v>
      </c>
    </row>
    <row r="3964" spans="17:17" x14ac:dyDescent="0.25">
      <c r="Q3964" s="68">
        <v>11</v>
      </c>
    </row>
    <row r="3965" spans="17:17" x14ac:dyDescent="0.25">
      <c r="Q3965" s="67">
        <v>10</v>
      </c>
    </row>
    <row r="3966" spans="17:17" x14ac:dyDescent="0.25">
      <c r="Q3966" s="68">
        <v>11</v>
      </c>
    </row>
    <row r="3967" spans="17:17" x14ac:dyDescent="0.25">
      <c r="Q3967" s="67">
        <v>14</v>
      </c>
    </row>
    <row r="3968" spans="17:17" x14ac:dyDescent="0.25">
      <c r="Q3968" s="68">
        <v>11</v>
      </c>
    </row>
    <row r="3969" spans="17:17" x14ac:dyDescent="0.25">
      <c r="Q3969" s="67">
        <v>10</v>
      </c>
    </row>
    <row r="3970" spans="17:17" x14ac:dyDescent="0.25">
      <c r="Q3970" s="68">
        <v>10</v>
      </c>
    </row>
    <row r="3971" spans="17:17" x14ac:dyDescent="0.25">
      <c r="Q3971" s="67">
        <v>16</v>
      </c>
    </row>
    <row r="3972" spans="17:17" x14ac:dyDescent="0.25">
      <c r="Q3972" s="68">
        <v>10</v>
      </c>
    </row>
    <row r="3973" spans="17:17" x14ac:dyDescent="0.25">
      <c r="Q3973" s="67">
        <v>4</v>
      </c>
    </row>
    <row r="3974" spans="17:17" x14ac:dyDescent="0.25">
      <c r="Q3974" s="68">
        <v>14</v>
      </c>
    </row>
    <row r="3975" spans="17:17" x14ac:dyDescent="0.25">
      <c r="Q3975" s="67">
        <v>13</v>
      </c>
    </row>
    <row r="3976" spans="17:17" x14ac:dyDescent="0.25">
      <c r="Q3976" s="68">
        <v>13</v>
      </c>
    </row>
    <row r="3977" spans="17:17" x14ac:dyDescent="0.25">
      <c r="Q3977" s="67">
        <v>22</v>
      </c>
    </row>
    <row r="3978" spans="17:17" x14ac:dyDescent="0.25">
      <c r="Q3978" s="68">
        <v>10</v>
      </c>
    </row>
    <row r="3979" spans="17:17" x14ac:dyDescent="0.25">
      <c r="Q3979" s="67">
        <v>16</v>
      </c>
    </row>
    <row r="3980" spans="17:17" x14ac:dyDescent="0.25">
      <c r="Q3980" s="68">
        <v>8</v>
      </c>
    </row>
    <row r="3981" spans="17:17" x14ac:dyDescent="0.25">
      <c r="Q3981" s="67">
        <v>14</v>
      </c>
    </row>
    <row r="3982" spans="17:17" x14ac:dyDescent="0.25">
      <c r="Q3982" s="68">
        <v>14</v>
      </c>
    </row>
    <row r="3983" spans="17:17" x14ac:dyDescent="0.25">
      <c r="Q3983" s="67">
        <v>15</v>
      </c>
    </row>
    <row r="3984" spans="17:17" x14ac:dyDescent="0.25">
      <c r="Q3984" s="68">
        <v>11</v>
      </c>
    </row>
    <row r="3985" spans="17:17" x14ac:dyDescent="0.25">
      <c r="Q3985" s="67">
        <v>15</v>
      </c>
    </row>
    <row r="3986" spans="17:17" x14ac:dyDescent="0.25">
      <c r="Q3986" s="68">
        <v>10</v>
      </c>
    </row>
    <row r="3987" spans="17:17" x14ac:dyDescent="0.25">
      <c r="Q3987" s="67">
        <v>14</v>
      </c>
    </row>
    <row r="3988" spans="17:17" x14ac:dyDescent="0.25">
      <c r="Q3988" s="68">
        <v>12</v>
      </c>
    </row>
    <row r="3989" spans="17:17" x14ac:dyDescent="0.25">
      <c r="Q3989" s="67">
        <v>13</v>
      </c>
    </row>
    <row r="3990" spans="17:17" x14ac:dyDescent="0.25">
      <c r="Q3990" s="68">
        <v>15</v>
      </c>
    </row>
    <row r="3991" spans="17:17" x14ac:dyDescent="0.25">
      <c r="Q3991" s="67">
        <v>14</v>
      </c>
    </row>
    <row r="3992" spans="17:17" x14ac:dyDescent="0.25">
      <c r="Q3992" s="68">
        <v>18</v>
      </c>
    </row>
    <row r="3993" spans="17:17" x14ac:dyDescent="0.25">
      <c r="Q3993" s="67">
        <v>5</v>
      </c>
    </row>
    <row r="3994" spans="17:17" x14ac:dyDescent="0.25">
      <c r="Q3994" s="68">
        <v>10</v>
      </c>
    </row>
    <row r="3995" spans="17:17" x14ac:dyDescent="0.25">
      <c r="Q3995" s="67">
        <v>12</v>
      </c>
    </row>
    <row r="3996" spans="17:17" x14ac:dyDescent="0.25">
      <c r="Q3996" s="68">
        <v>1</v>
      </c>
    </row>
    <row r="3997" spans="17:17" x14ac:dyDescent="0.25">
      <c r="Q3997" s="67">
        <v>11</v>
      </c>
    </row>
    <row r="3998" spans="17:17" x14ac:dyDescent="0.25">
      <c r="Q3998" s="68">
        <v>11</v>
      </c>
    </row>
    <row r="3999" spans="17:17" x14ac:dyDescent="0.25">
      <c r="Q3999" s="67">
        <v>10</v>
      </c>
    </row>
    <row r="4000" spans="17:17" x14ac:dyDescent="0.25">
      <c r="Q4000" s="68">
        <v>12</v>
      </c>
    </row>
    <row r="4001" spans="17:17" x14ac:dyDescent="0.25">
      <c r="Q4001" s="67">
        <v>13</v>
      </c>
    </row>
    <row r="4002" spans="17:17" x14ac:dyDescent="0.25">
      <c r="Q4002" s="68">
        <v>17</v>
      </c>
    </row>
    <row r="4003" spans="17:17" x14ac:dyDescent="0.25">
      <c r="Q4003" s="67">
        <v>3</v>
      </c>
    </row>
    <row r="4004" spans="17:17" x14ac:dyDescent="0.25">
      <c r="Q4004" s="68">
        <v>2</v>
      </c>
    </row>
    <row r="4005" spans="17:17" x14ac:dyDescent="0.25">
      <c r="Q4005" s="67">
        <v>5</v>
      </c>
    </row>
    <row r="4006" spans="17:17" x14ac:dyDescent="0.25">
      <c r="Q4006" s="68">
        <v>3</v>
      </c>
    </row>
    <row r="4007" spans="17:17" x14ac:dyDescent="0.25">
      <c r="Q4007" s="67">
        <v>5</v>
      </c>
    </row>
    <row r="4008" spans="17:17" x14ac:dyDescent="0.25">
      <c r="Q4008" s="68">
        <v>1</v>
      </c>
    </row>
    <row r="4009" spans="17:17" x14ac:dyDescent="0.25">
      <c r="Q4009" s="67">
        <v>2</v>
      </c>
    </row>
    <row r="4010" spans="17:17" x14ac:dyDescent="0.25">
      <c r="Q4010" s="68">
        <v>0</v>
      </c>
    </row>
    <row r="4011" spans="17:17" x14ac:dyDescent="0.25">
      <c r="Q4011" s="67">
        <v>3</v>
      </c>
    </row>
    <row r="4012" spans="17:17" x14ac:dyDescent="0.25">
      <c r="Q4012" s="68">
        <v>0</v>
      </c>
    </row>
    <row r="4013" spans="17:17" x14ac:dyDescent="0.25">
      <c r="Q4013" s="67">
        <v>0</v>
      </c>
    </row>
    <row r="4014" spans="17:17" x14ac:dyDescent="0.25">
      <c r="Q4014" s="68">
        <v>8</v>
      </c>
    </row>
    <row r="4015" spans="17:17" x14ac:dyDescent="0.25">
      <c r="Q4015" s="67">
        <v>5</v>
      </c>
    </row>
    <row r="4016" spans="17:17" x14ac:dyDescent="0.25">
      <c r="Q4016" s="68">
        <v>5</v>
      </c>
    </row>
    <row r="4017" spans="17:17" x14ac:dyDescent="0.25">
      <c r="Q4017" s="67">
        <v>2</v>
      </c>
    </row>
    <row r="4018" spans="17:17" x14ac:dyDescent="0.25">
      <c r="Q4018" s="68">
        <v>9</v>
      </c>
    </row>
    <row r="4019" spans="17:17" x14ac:dyDescent="0.25">
      <c r="Q4019" s="67">
        <v>4</v>
      </c>
    </row>
    <row r="4020" spans="17:17" x14ac:dyDescent="0.25">
      <c r="Q4020" s="68">
        <v>1</v>
      </c>
    </row>
    <row r="4021" spans="17:17" x14ac:dyDescent="0.25">
      <c r="Q4021" s="67">
        <v>3</v>
      </c>
    </row>
    <row r="4022" spans="17:17" x14ac:dyDescent="0.25">
      <c r="Q4022" s="68">
        <v>0</v>
      </c>
    </row>
    <row r="4023" spans="17:17" x14ac:dyDescent="0.25">
      <c r="Q4023" s="67">
        <v>10</v>
      </c>
    </row>
    <row r="4024" spans="17:17" x14ac:dyDescent="0.25">
      <c r="Q4024" s="68">
        <v>15</v>
      </c>
    </row>
    <row r="4025" spans="17:17" x14ac:dyDescent="0.25">
      <c r="Q4025" s="67">
        <v>10</v>
      </c>
    </row>
    <row r="4026" spans="17:17" x14ac:dyDescent="0.25">
      <c r="Q4026" s="68">
        <v>20</v>
      </c>
    </row>
    <row r="4027" spans="17:17" x14ac:dyDescent="0.25">
      <c r="Q4027" s="67">
        <v>18</v>
      </c>
    </row>
    <row r="4028" spans="17:17" x14ac:dyDescent="0.25">
      <c r="Q4028" s="68">
        <v>11</v>
      </c>
    </row>
    <row r="4029" spans="17:17" x14ac:dyDescent="0.25">
      <c r="Q4029" s="67">
        <v>18</v>
      </c>
    </row>
    <row r="4030" spans="17:17" x14ac:dyDescent="0.25">
      <c r="Q4030" s="68">
        <v>8</v>
      </c>
    </row>
    <row r="4031" spans="17:17" x14ac:dyDescent="0.25">
      <c r="Q4031" s="67">
        <v>11</v>
      </c>
    </row>
    <row r="4032" spans="17:17" x14ac:dyDescent="0.25">
      <c r="Q4032" s="68">
        <v>14</v>
      </c>
    </row>
    <row r="4033" spans="17:17" x14ac:dyDescent="0.25">
      <c r="Q4033" s="67">
        <v>12</v>
      </c>
    </row>
    <row r="4034" spans="17:17" x14ac:dyDescent="0.25">
      <c r="Q4034" s="68">
        <v>10</v>
      </c>
    </row>
    <row r="4035" spans="17:17" x14ac:dyDescent="0.25">
      <c r="Q4035" s="67">
        <v>25</v>
      </c>
    </row>
    <row r="4036" spans="17:17" x14ac:dyDescent="0.25">
      <c r="Q4036" s="68">
        <v>20</v>
      </c>
    </row>
    <row r="4037" spans="17:17" x14ac:dyDescent="0.25">
      <c r="Q4037" s="67">
        <v>20</v>
      </c>
    </row>
    <row r="4038" spans="17:17" x14ac:dyDescent="0.25">
      <c r="Q4038" s="68">
        <v>1</v>
      </c>
    </row>
    <row r="4039" spans="17:17" x14ac:dyDescent="0.25">
      <c r="Q4039" s="67">
        <v>10</v>
      </c>
    </row>
    <row r="4040" spans="17:17" x14ac:dyDescent="0.25">
      <c r="Q4040" s="68">
        <v>15</v>
      </c>
    </row>
    <row r="4041" spans="17:17" x14ac:dyDescent="0.25">
      <c r="Q4041" s="67">
        <v>16</v>
      </c>
    </row>
    <row r="4042" spans="17:17" x14ac:dyDescent="0.25">
      <c r="Q4042" s="68">
        <v>9</v>
      </c>
    </row>
    <row r="4043" spans="17:17" x14ac:dyDescent="0.25">
      <c r="Q4043" s="67">
        <v>18</v>
      </c>
    </row>
    <row r="4044" spans="17:17" x14ac:dyDescent="0.25">
      <c r="Q4044" s="68">
        <v>10</v>
      </c>
    </row>
    <row r="4045" spans="17:17" x14ac:dyDescent="0.25">
      <c r="Q4045" s="67">
        <v>13</v>
      </c>
    </row>
    <row r="4046" spans="17:17" x14ac:dyDescent="0.25">
      <c r="Q4046" s="68">
        <v>12</v>
      </c>
    </row>
    <row r="4047" spans="17:17" x14ac:dyDescent="0.25">
      <c r="Q4047" s="67">
        <v>18</v>
      </c>
    </row>
    <row r="4048" spans="17:17" x14ac:dyDescent="0.25">
      <c r="Q4048" s="68">
        <v>12</v>
      </c>
    </row>
    <row r="4049" spans="17:17" x14ac:dyDescent="0.25">
      <c r="Q4049" s="67">
        <v>12</v>
      </c>
    </row>
    <row r="4050" spans="17:17" x14ac:dyDescent="0.25">
      <c r="Q4050" s="68">
        <v>12</v>
      </c>
    </row>
    <row r="4051" spans="17:17" x14ac:dyDescent="0.25">
      <c r="Q4051" s="67">
        <v>12</v>
      </c>
    </row>
    <row r="4052" spans="17:17" x14ac:dyDescent="0.25">
      <c r="Q4052" s="68">
        <v>16</v>
      </c>
    </row>
    <row r="4053" spans="17:17" x14ac:dyDescent="0.25">
      <c r="Q4053" s="67">
        <v>9</v>
      </c>
    </row>
    <row r="4054" spans="17:17" x14ac:dyDescent="0.25">
      <c r="Q4054" s="68">
        <v>20</v>
      </c>
    </row>
    <row r="4055" spans="17:17" x14ac:dyDescent="0.25">
      <c r="Q4055" s="67">
        <v>5</v>
      </c>
    </row>
    <row r="4056" spans="17:17" x14ac:dyDescent="0.25">
      <c r="Q4056" s="68">
        <v>12</v>
      </c>
    </row>
    <row r="4057" spans="17:17" x14ac:dyDescent="0.25">
      <c r="Q4057" s="67">
        <v>9</v>
      </c>
    </row>
    <row r="4058" spans="17:17" x14ac:dyDescent="0.25">
      <c r="Q4058" s="68">
        <v>5</v>
      </c>
    </row>
    <row r="4059" spans="17:17" x14ac:dyDescent="0.25">
      <c r="Q4059" s="67">
        <v>8</v>
      </c>
    </row>
    <row r="4060" spans="17:17" x14ac:dyDescent="0.25">
      <c r="Q4060" s="68">
        <v>5</v>
      </c>
    </row>
    <row r="4061" spans="17:17" x14ac:dyDescent="0.25">
      <c r="Q4061" s="67">
        <v>8</v>
      </c>
    </row>
    <row r="4062" spans="17:17" x14ac:dyDescent="0.25">
      <c r="Q4062" s="68">
        <v>4</v>
      </c>
    </row>
    <row r="4063" spans="17:17" x14ac:dyDescent="0.25">
      <c r="Q4063" s="67">
        <v>5</v>
      </c>
    </row>
    <row r="4064" spans="17:17" x14ac:dyDescent="0.25">
      <c r="Q4064" s="68">
        <v>1</v>
      </c>
    </row>
    <row r="4065" spans="17:17" x14ac:dyDescent="0.25">
      <c r="Q4065" s="67">
        <v>1</v>
      </c>
    </row>
    <row r="4066" spans="17:17" x14ac:dyDescent="0.25">
      <c r="Q4066" s="68">
        <v>3</v>
      </c>
    </row>
    <row r="4067" spans="17:17" x14ac:dyDescent="0.25">
      <c r="Q4067" s="67">
        <v>6</v>
      </c>
    </row>
    <row r="4068" spans="17:17" x14ac:dyDescent="0.25">
      <c r="Q4068" s="68">
        <v>7</v>
      </c>
    </row>
    <row r="4069" spans="17:17" x14ac:dyDescent="0.25">
      <c r="Q4069" s="67">
        <v>5</v>
      </c>
    </row>
    <row r="4070" spans="17:17" x14ac:dyDescent="0.25">
      <c r="Q4070" s="68">
        <v>5</v>
      </c>
    </row>
    <row r="4071" spans="17:17" x14ac:dyDescent="0.25">
      <c r="Q4071" s="67">
        <v>6</v>
      </c>
    </row>
    <row r="4072" spans="17:17" x14ac:dyDescent="0.25">
      <c r="Q4072" s="68">
        <v>10</v>
      </c>
    </row>
    <row r="4073" spans="17:17" x14ac:dyDescent="0.25">
      <c r="Q4073" s="67">
        <v>9</v>
      </c>
    </row>
    <row r="4074" spans="17:17" x14ac:dyDescent="0.25">
      <c r="Q4074" s="68">
        <v>5</v>
      </c>
    </row>
    <row r="4075" spans="17:17" x14ac:dyDescent="0.25">
      <c r="Q4075" s="67">
        <v>7</v>
      </c>
    </row>
    <row r="4076" spans="17:17" x14ac:dyDescent="0.25">
      <c r="Q4076" s="68">
        <v>5</v>
      </c>
    </row>
    <row r="4077" spans="17:17" x14ac:dyDescent="0.25">
      <c r="Q4077" s="67">
        <v>4</v>
      </c>
    </row>
    <row r="4078" spans="17:17" x14ac:dyDescent="0.25">
      <c r="Q4078" s="68">
        <v>2</v>
      </c>
    </row>
    <row r="4079" spans="17:17" x14ac:dyDescent="0.25">
      <c r="Q4079" s="67">
        <v>2</v>
      </c>
    </row>
    <row r="4080" spans="17:17" x14ac:dyDescent="0.25">
      <c r="Q4080" s="68">
        <v>5</v>
      </c>
    </row>
    <row r="4081" spans="17:17" x14ac:dyDescent="0.25">
      <c r="Q4081" s="67">
        <v>7</v>
      </c>
    </row>
    <row r="4082" spans="17:17" x14ac:dyDescent="0.25">
      <c r="Q4082" s="68">
        <v>7</v>
      </c>
    </row>
    <row r="4083" spans="17:17" x14ac:dyDescent="0.25">
      <c r="Q4083" s="67">
        <v>3</v>
      </c>
    </row>
    <row r="4084" spans="17:17" x14ac:dyDescent="0.25">
      <c r="Q4084" s="68">
        <v>11</v>
      </c>
    </row>
    <row r="4085" spans="17:17" x14ac:dyDescent="0.25">
      <c r="Q4085" s="67">
        <v>10</v>
      </c>
    </row>
    <row r="4086" spans="17:17" x14ac:dyDescent="0.25">
      <c r="Q4086" s="68">
        <v>4</v>
      </c>
    </row>
    <row r="4087" spans="17:17" x14ac:dyDescent="0.25">
      <c r="Q4087" s="67">
        <v>3</v>
      </c>
    </row>
    <row r="4088" spans="17:17" x14ac:dyDescent="0.25">
      <c r="Q4088" s="68">
        <v>2</v>
      </c>
    </row>
    <row r="4089" spans="17:17" x14ac:dyDescent="0.25">
      <c r="Q4089" s="67">
        <v>0</v>
      </c>
    </row>
    <row r="4090" spans="17:17" x14ac:dyDescent="0.25">
      <c r="Q4090" s="68">
        <v>5</v>
      </c>
    </row>
    <row r="4091" spans="17:17" x14ac:dyDescent="0.25">
      <c r="Q4091" s="67">
        <v>11</v>
      </c>
    </row>
    <row r="4092" spans="17:17" x14ac:dyDescent="0.25">
      <c r="Q4092" s="68">
        <v>10</v>
      </c>
    </row>
    <row r="4093" spans="17:17" x14ac:dyDescent="0.25">
      <c r="Q4093" s="67">
        <v>16</v>
      </c>
    </row>
    <row r="4094" spans="17:17" x14ac:dyDescent="0.25">
      <c r="Q4094" s="68">
        <v>5</v>
      </c>
    </row>
    <row r="4095" spans="17:17" x14ac:dyDescent="0.25">
      <c r="Q4095" s="67">
        <v>7</v>
      </c>
    </row>
    <row r="4096" spans="17:17" x14ac:dyDescent="0.25">
      <c r="Q4096" s="68">
        <v>2</v>
      </c>
    </row>
    <row r="4097" spans="17:17" x14ac:dyDescent="0.25">
      <c r="Q4097" s="67">
        <v>4</v>
      </c>
    </row>
    <row r="4098" spans="17:17" x14ac:dyDescent="0.25">
      <c r="Q4098" s="68">
        <v>5</v>
      </c>
    </row>
    <row r="4099" spans="17:17" x14ac:dyDescent="0.25">
      <c r="Q4099" s="67">
        <v>3</v>
      </c>
    </row>
    <row r="4100" spans="17:17" x14ac:dyDescent="0.25">
      <c r="Q4100" s="68">
        <v>6</v>
      </c>
    </row>
    <row r="4101" spans="17:17" x14ac:dyDescent="0.25">
      <c r="Q4101" s="67">
        <v>0</v>
      </c>
    </row>
    <row r="4102" spans="17:17" x14ac:dyDescent="0.25">
      <c r="Q4102" s="68">
        <v>37</v>
      </c>
    </row>
    <row r="4103" spans="17:17" x14ac:dyDescent="0.25">
      <c r="Q4103" s="67">
        <v>8</v>
      </c>
    </row>
    <row r="4104" spans="17:17" x14ac:dyDescent="0.25">
      <c r="Q4104" s="68">
        <v>11</v>
      </c>
    </row>
    <row r="4105" spans="17:17" x14ac:dyDescent="0.25">
      <c r="Q4105" s="67">
        <v>4</v>
      </c>
    </row>
    <row r="4106" spans="17:17" x14ac:dyDescent="0.25">
      <c r="Q4106" s="68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780"/>
  <sheetViews>
    <sheetView zoomScaleNormal="100" workbookViewId="0">
      <selection activeCell="A44" sqref="A44"/>
    </sheetView>
  </sheetViews>
  <sheetFormatPr baseColWidth="10" defaultRowHeight="11.25" customHeight="1" x14ac:dyDescent="0.2"/>
  <cols>
    <col min="1" max="1" width="21.28515625" style="31" customWidth="1"/>
    <col min="2" max="2" width="4.42578125" style="31" customWidth="1"/>
    <col min="3" max="3" width="5.140625" style="31" customWidth="1"/>
    <col min="4" max="4" width="19.42578125" style="31" customWidth="1"/>
    <col min="5" max="5" width="8.28515625" style="31" customWidth="1"/>
    <col min="6" max="7" width="7.140625" style="31" bestFit="1" customWidth="1"/>
    <col min="8" max="23" width="6.5703125" style="31" customWidth="1"/>
    <col min="24" max="24" width="2.140625" style="3" customWidth="1"/>
    <col min="25" max="25" width="21.28515625" style="20" customWidth="1"/>
    <col min="26" max="26" width="8.7109375" style="31" customWidth="1"/>
    <col min="27" max="27" width="4.5703125" style="31" bestFit="1" customWidth="1"/>
    <col min="28" max="44" width="8.140625" style="31" bestFit="1" customWidth="1"/>
    <col min="45" max="45" width="2" style="31" customWidth="1"/>
    <col min="46" max="46" width="17.5703125" style="20" bestFit="1" customWidth="1"/>
    <col min="47" max="47" width="11.28515625" style="20" customWidth="1"/>
    <col min="48" max="65" width="7.85546875" style="31" customWidth="1"/>
    <col min="66" max="66" width="2.140625" style="31" customWidth="1"/>
    <col min="67" max="16384" width="11.42578125" style="31"/>
  </cols>
  <sheetData>
    <row r="1" spans="1:66" ht="11.25" customHeight="1" x14ac:dyDescent="0.2">
      <c r="A1" s="75" t="s">
        <v>63</v>
      </c>
      <c r="B1" s="76"/>
      <c r="C1" s="21"/>
      <c r="D1" s="22" t="s">
        <v>75</v>
      </c>
      <c r="E1" s="23" t="s">
        <v>70</v>
      </c>
      <c r="F1" s="23">
        <v>0</v>
      </c>
      <c r="G1" s="23">
        <v>1</v>
      </c>
      <c r="H1" s="23">
        <v>2</v>
      </c>
      <c r="I1" s="23">
        <v>3</v>
      </c>
      <c r="J1" s="23">
        <v>4</v>
      </c>
      <c r="K1" s="23">
        <v>5</v>
      </c>
      <c r="L1" s="23">
        <v>6</v>
      </c>
      <c r="M1" s="23">
        <v>7</v>
      </c>
      <c r="N1" s="23">
        <v>8</v>
      </c>
      <c r="O1" s="23">
        <v>9</v>
      </c>
      <c r="P1" s="23">
        <v>10</v>
      </c>
      <c r="Q1" s="23">
        <v>11</v>
      </c>
      <c r="R1" s="23">
        <v>12</v>
      </c>
      <c r="S1" s="23">
        <v>13</v>
      </c>
      <c r="T1" s="23">
        <v>14</v>
      </c>
      <c r="U1" s="23">
        <v>15</v>
      </c>
      <c r="V1" s="23">
        <v>16</v>
      </c>
      <c r="W1" s="23">
        <v>17</v>
      </c>
      <c r="X1" s="24"/>
      <c r="Y1" s="17"/>
      <c r="Z1" s="25" t="s">
        <v>64</v>
      </c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7"/>
      <c r="AT1" s="28"/>
      <c r="AU1" s="28" t="s">
        <v>64</v>
      </c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30"/>
    </row>
    <row r="2" spans="1:66" ht="11.25" customHeight="1" x14ac:dyDescent="0.2">
      <c r="A2" s="32"/>
      <c r="B2" s="72">
        <v>1</v>
      </c>
      <c r="C2" s="33">
        <v>1</v>
      </c>
      <c r="D2" s="13" t="s">
        <v>263</v>
      </c>
      <c r="E2" s="16">
        <f t="shared" ref="E2:E10" si="0">SUM(F2:W2)</f>
        <v>12708</v>
      </c>
      <c r="F2" s="16">
        <f>SUMIFS([0]!VOTOS2,[0]!TURNO1,F$1,[0]!CANDIDATO1,$C2,[0]!MUNICIPIO1,$B$2)</f>
        <v>915</v>
      </c>
      <c r="G2" s="16">
        <f>SUMIFS([0]!VOTOS2,[0]!TURNO1,G$1,[0]!CANDIDATO1,$C2,[0]!MUNICIPIO1,$B$2)</f>
        <v>2007</v>
      </c>
      <c r="H2" s="16">
        <f>SUMIFS([0]!VOTOS2,[0]!TURNO1,H$1,[0]!CANDIDATO1,$C2,[0]!MUNICIPIO1,$B$2)</f>
        <v>2022</v>
      </c>
      <c r="I2" s="16">
        <f>SUMIFS([0]!VOTOS2,[0]!TURNO1,I$1,[0]!CANDIDATO1,$C2,[0]!MUNICIPIO1,$B$2)</f>
        <v>2023</v>
      </c>
      <c r="J2" s="16">
        <f>SUMIFS([0]!VOTOS2,[0]!TURNO1,J$1,[0]!CANDIDATO1,$C2,[0]!MUNICIPIO1,$B$2)</f>
        <v>2013</v>
      </c>
      <c r="K2" s="16">
        <f>SUMIFS([0]!VOTOS2,[0]!TURNO1,K$1,[0]!CANDIDATO1,$C2,[0]!MUNICIPIO1,$B$2)</f>
        <v>2021</v>
      </c>
      <c r="L2" s="16">
        <f>SUMIFS([0]!VOTOS2,[0]!TURNO1,L$1,[0]!CANDIDATO1,$C2,[0]!MUNICIPIO1,$B$2)</f>
        <v>1501</v>
      </c>
      <c r="M2" s="16">
        <f>SUMIFS([0]!VOTOS2,[0]!TURNO1,M$1,[0]!CANDIDATO1,$C2,[0]!MUNICIPIO1,$B$2)</f>
        <v>92</v>
      </c>
      <c r="N2" s="16">
        <f>SUMIFS([0]!VOTOS2,[0]!TURNO1,N$1,[0]!CANDIDATO1,$C2,[0]!MUNICIPIO1,$B$2)</f>
        <v>89</v>
      </c>
      <c r="O2" s="16">
        <f>SUMIFS([0]!VOTOS2,[0]!TURNO1,O$1,[0]!CANDIDATO1,$C2,[0]!MUNICIPIO1,$B$2)</f>
        <v>25</v>
      </c>
      <c r="P2" s="16">
        <f>SUMIFS([0]!VOTOS2,[0]!TURNO1,P$1,[0]!CANDIDATO1,$C2,[0]!MUNICIPIO1,$B$2)</f>
        <v>0</v>
      </c>
      <c r="Q2" s="16">
        <f>SUMIFS([0]!VOTOS2,[0]!TURNO1,Q$1,[0]!CANDIDATO1,$C2,[0]!MUNICIPIO1,$B$2)</f>
        <v>0</v>
      </c>
      <c r="R2" s="16">
        <f>SUMIFS([0]!VOTOS2,[0]!TURNO1,R$1,[0]!CANDIDATO1,$C2,[0]!MUNICIPIO1,$B$2)</f>
        <v>0</v>
      </c>
      <c r="S2" s="16">
        <f>SUMIFS([0]!VOTOS2,[0]!TURNO1,S$1,[0]!CANDIDATO1,$C2,[0]!MUNICIPIO1,$B$2)</f>
        <v>0</v>
      </c>
      <c r="T2" s="16">
        <f>SUMIFS([0]!VOTOS2,[0]!TURNO1,T$1,[0]!CANDIDATO1,$C2,[0]!MUNICIPIO1,$B$2)</f>
        <v>0</v>
      </c>
      <c r="U2" s="16">
        <f>SUMIFS([0]!VOTOS2,[0]!TURNO1,U$1,[0]!CANDIDATO1,$C2,[0]!MUNICIPIO1,$B$2)</f>
        <v>0</v>
      </c>
      <c r="V2" s="16">
        <f>SUMIFS([0]!VOTOS2,[0]!TURNO1,V$1,[0]!CANDIDATO1,$C2,[0]!MUNICIPIO1,$B$2)</f>
        <v>0</v>
      </c>
      <c r="W2" s="16">
        <f>SUMIFS([0]!VOTOS2,[0]!TURNO1,W$1,[0]!CANDIDATO1,$C2,[0]!MUNICIPIO1,$B$2)</f>
        <v>0</v>
      </c>
      <c r="X2" s="24"/>
      <c r="Y2" s="18" t="str">
        <f>D2</f>
        <v>ERNESTO VILLEGAS</v>
      </c>
      <c r="Z2" s="34">
        <f>E2</f>
        <v>12708</v>
      </c>
      <c r="AA2" s="34">
        <f>F2</f>
        <v>915</v>
      </c>
      <c r="AB2" s="34">
        <f t="shared" ref="AB2:AR2" si="1">IF(SUM(G2:G14)=0,NA(),G2+AA2)</f>
        <v>2922</v>
      </c>
      <c r="AC2" s="34">
        <f t="shared" si="1"/>
        <v>4944</v>
      </c>
      <c r="AD2" s="34">
        <f t="shared" si="1"/>
        <v>6967</v>
      </c>
      <c r="AE2" s="34">
        <f t="shared" si="1"/>
        <v>8980</v>
      </c>
      <c r="AF2" s="34">
        <f t="shared" si="1"/>
        <v>11001</v>
      </c>
      <c r="AG2" s="34">
        <f t="shared" si="1"/>
        <v>12502</v>
      </c>
      <c r="AH2" s="34">
        <f t="shared" si="1"/>
        <v>12594</v>
      </c>
      <c r="AI2" s="34">
        <f t="shared" si="1"/>
        <v>12683</v>
      </c>
      <c r="AJ2" s="34">
        <f t="shared" si="1"/>
        <v>12708</v>
      </c>
      <c r="AK2" s="34" t="e">
        <f t="shared" si="1"/>
        <v>#N/A</v>
      </c>
      <c r="AL2" s="34" t="e">
        <f t="shared" si="1"/>
        <v>#N/A</v>
      </c>
      <c r="AM2" s="34" t="e">
        <f t="shared" si="1"/>
        <v>#N/A</v>
      </c>
      <c r="AN2" s="34" t="e">
        <f t="shared" si="1"/>
        <v>#N/A</v>
      </c>
      <c r="AO2" s="34" t="e">
        <f t="shared" si="1"/>
        <v>#N/A</v>
      </c>
      <c r="AP2" s="34" t="e">
        <f t="shared" si="1"/>
        <v>#N/A</v>
      </c>
      <c r="AQ2" s="34" t="e">
        <f t="shared" si="1"/>
        <v>#N/A</v>
      </c>
      <c r="AR2" s="34" t="e">
        <f t="shared" si="1"/>
        <v>#N/A</v>
      </c>
      <c r="AS2" s="27"/>
      <c r="AT2" s="35" t="str">
        <f>Y2</f>
        <v>ERNESTO VILLEGAS</v>
      </c>
      <c r="AU2" s="36">
        <f t="shared" ref="AU2:BM2" si="2">Z2/(Z2+Z3+Z15)</f>
        <v>0.48290013679890559</v>
      </c>
      <c r="AV2" s="36">
        <f t="shared" si="2"/>
        <v>0.45567729083665337</v>
      </c>
      <c r="AW2" s="36">
        <f t="shared" si="2"/>
        <v>0.47737297827152425</v>
      </c>
      <c r="AX2" s="36">
        <f t="shared" si="2"/>
        <v>0.48130841121495327</v>
      </c>
      <c r="AY2" s="36">
        <f t="shared" si="2"/>
        <v>0.48311490187920392</v>
      </c>
      <c r="AZ2" s="36">
        <f t="shared" si="2"/>
        <v>0.48391442582313954</v>
      </c>
      <c r="BA2" s="36">
        <f t="shared" si="2"/>
        <v>0.48428420496566299</v>
      </c>
      <c r="BB2" s="36">
        <f t="shared" si="2"/>
        <v>0.48352413366336633</v>
      </c>
      <c r="BC2" s="36">
        <f t="shared" si="2"/>
        <v>0.48299137104506235</v>
      </c>
      <c r="BD2" s="36">
        <f t="shared" si="2"/>
        <v>0.4829411316731399</v>
      </c>
      <c r="BE2" s="36">
        <f t="shared" si="2"/>
        <v>0.48299190452662383</v>
      </c>
      <c r="BF2" s="36" t="e">
        <f t="shared" si="2"/>
        <v>#N/A</v>
      </c>
      <c r="BG2" s="36" t="e">
        <f t="shared" si="2"/>
        <v>#N/A</v>
      </c>
      <c r="BH2" s="36" t="e">
        <f t="shared" si="2"/>
        <v>#N/A</v>
      </c>
      <c r="BI2" s="36" t="e">
        <f t="shared" si="2"/>
        <v>#N/A</v>
      </c>
      <c r="BJ2" s="36" t="e">
        <f t="shared" si="2"/>
        <v>#N/A</v>
      </c>
      <c r="BK2" s="36" t="e">
        <f t="shared" si="2"/>
        <v>#N/A</v>
      </c>
      <c r="BL2" s="36" t="e">
        <f t="shared" si="2"/>
        <v>#N/A</v>
      </c>
      <c r="BM2" s="36" t="e">
        <f t="shared" si="2"/>
        <v>#N/A</v>
      </c>
      <c r="BN2" s="30"/>
    </row>
    <row r="3" spans="1:66" ht="11.25" customHeight="1" x14ac:dyDescent="0.2">
      <c r="A3" s="37"/>
      <c r="B3" s="73"/>
      <c r="C3" s="33">
        <v>2</v>
      </c>
      <c r="D3" s="13" t="s">
        <v>264</v>
      </c>
      <c r="E3" s="16">
        <f t="shared" si="0"/>
        <v>13536</v>
      </c>
      <c r="F3" s="16">
        <f>SUMIFS([0]!VOTOS2,[0]!TURNO1,F$1,[0]!CANDIDATO1,$C3,[0]!MUNICIPIO1,$B$2)</f>
        <v>1093</v>
      </c>
      <c r="G3" s="16">
        <f>SUMIFS([0]!VOTOS2,[0]!TURNO1,G$1,[0]!CANDIDATO1,$C3,[0]!MUNICIPIO1,$B$2)</f>
        <v>2097</v>
      </c>
      <c r="H3" s="16">
        <f>SUMIFS([0]!VOTOS2,[0]!TURNO1,H$1,[0]!CANDIDATO1,$C3,[0]!MUNICIPIO1,$B$2)</f>
        <v>2112</v>
      </c>
      <c r="I3" s="16">
        <f>SUMIFS([0]!VOTOS2,[0]!TURNO1,I$1,[0]!CANDIDATO1,$C3,[0]!MUNICIPIO1,$B$2)</f>
        <v>2117</v>
      </c>
      <c r="J3" s="16">
        <f>SUMIFS([0]!VOTOS2,[0]!TURNO1,J$1,[0]!CANDIDATO1,$C3,[0]!MUNICIPIO1,$B$2)</f>
        <v>2115</v>
      </c>
      <c r="K3" s="16">
        <f>SUMIFS([0]!VOTOS2,[0]!TURNO1,K$1,[0]!CANDIDATO1,$C3,[0]!MUNICIPIO1,$B$2)</f>
        <v>2123</v>
      </c>
      <c r="L3" s="16">
        <f>SUMIFS([0]!VOTOS2,[0]!TURNO1,L$1,[0]!CANDIDATO1,$C3,[0]!MUNICIPIO1,$B$2)</f>
        <v>1634</v>
      </c>
      <c r="M3" s="16">
        <f>SUMIFS([0]!VOTOS2,[0]!TURNO1,M$1,[0]!CANDIDATO1,$C3,[0]!MUNICIPIO1,$B$2)</f>
        <v>123</v>
      </c>
      <c r="N3" s="16">
        <f>SUMIFS([0]!VOTOS2,[0]!TURNO1,N$1,[0]!CANDIDATO1,$C3,[0]!MUNICIPIO1,$B$2)</f>
        <v>98</v>
      </c>
      <c r="O3" s="16">
        <f>SUMIFS([0]!VOTOS2,[0]!TURNO1,O$1,[0]!CANDIDATO1,$C3,[0]!MUNICIPIO1,$B$2)</f>
        <v>24</v>
      </c>
      <c r="P3" s="16">
        <f>SUMIFS([0]!VOTOS2,[0]!TURNO1,P$1,[0]!CANDIDATO1,$C3,[0]!MUNICIPIO1,$B$2)</f>
        <v>0</v>
      </c>
      <c r="Q3" s="16">
        <f>SUMIFS([0]!VOTOS2,[0]!TURNO1,Q$1,[0]!CANDIDATO1,$C3,[0]!MUNICIPIO1,$B$2)</f>
        <v>0</v>
      </c>
      <c r="R3" s="16">
        <f>SUMIFS([0]!VOTOS2,[0]!TURNO1,R$1,[0]!CANDIDATO1,$C3,[0]!MUNICIPIO1,$B$2)</f>
        <v>0</v>
      </c>
      <c r="S3" s="16">
        <f>SUMIFS([0]!VOTOS2,[0]!TURNO1,S$1,[0]!CANDIDATO1,$C3,[0]!MUNICIPIO1,$B$2)</f>
        <v>0</v>
      </c>
      <c r="T3" s="16">
        <f>SUMIFS([0]!VOTOS2,[0]!TURNO1,T$1,[0]!CANDIDATO1,$C3,[0]!MUNICIPIO1,$B$2)</f>
        <v>0</v>
      </c>
      <c r="U3" s="16">
        <f>SUMIFS([0]!VOTOS2,[0]!TURNO1,U$1,[0]!CANDIDATO1,$C3,[0]!MUNICIPIO1,$B$2)</f>
        <v>0</v>
      </c>
      <c r="V3" s="16">
        <f>SUMIFS([0]!VOTOS2,[0]!TURNO1,V$1,[0]!CANDIDATO1,$C3,[0]!MUNICIPIO1,$B$2)</f>
        <v>0</v>
      </c>
      <c r="W3" s="16">
        <f>SUMIFS([0]!VOTOS2,[0]!TURNO1,W$1,[0]!CANDIDATO1,$C3,[0]!MUNICIPIO1,$B$2)</f>
        <v>0</v>
      </c>
      <c r="X3" s="24"/>
      <c r="Y3" s="18" t="str">
        <f t="shared" ref="Y3:Z10" si="3">D3</f>
        <v xml:space="preserve">ANTONIO LEDEZMA </v>
      </c>
      <c r="Z3" s="34">
        <f t="shared" si="3"/>
        <v>13536</v>
      </c>
      <c r="AA3" s="34">
        <f t="shared" ref="AA3:AA9" si="4">F3</f>
        <v>1093</v>
      </c>
      <c r="AB3" s="34">
        <f t="shared" ref="AB3:AR3" si="5">IF(SUM(G2:G14)=0,NA(),G3+AA3)</f>
        <v>3190</v>
      </c>
      <c r="AC3" s="34">
        <f t="shared" si="5"/>
        <v>5302</v>
      </c>
      <c r="AD3" s="34">
        <f t="shared" si="5"/>
        <v>7419</v>
      </c>
      <c r="AE3" s="34">
        <f t="shared" si="5"/>
        <v>9534</v>
      </c>
      <c r="AF3" s="34">
        <f t="shared" si="5"/>
        <v>11657</v>
      </c>
      <c r="AG3" s="34">
        <f t="shared" si="5"/>
        <v>13291</v>
      </c>
      <c r="AH3" s="34">
        <f t="shared" si="5"/>
        <v>13414</v>
      </c>
      <c r="AI3" s="34">
        <f t="shared" si="5"/>
        <v>13512</v>
      </c>
      <c r="AJ3" s="34">
        <f t="shared" si="5"/>
        <v>13536</v>
      </c>
      <c r="AK3" s="34" t="e">
        <f t="shared" si="5"/>
        <v>#N/A</v>
      </c>
      <c r="AL3" s="34" t="e">
        <f t="shared" si="5"/>
        <v>#N/A</v>
      </c>
      <c r="AM3" s="34" t="e">
        <f t="shared" si="5"/>
        <v>#N/A</v>
      </c>
      <c r="AN3" s="34" t="e">
        <f t="shared" si="5"/>
        <v>#N/A</v>
      </c>
      <c r="AO3" s="34" t="e">
        <f t="shared" si="5"/>
        <v>#N/A</v>
      </c>
      <c r="AP3" s="34" t="e">
        <f t="shared" si="5"/>
        <v>#N/A</v>
      </c>
      <c r="AQ3" s="34" t="e">
        <f t="shared" si="5"/>
        <v>#N/A</v>
      </c>
      <c r="AR3" s="34" t="e">
        <f t="shared" si="5"/>
        <v>#N/A</v>
      </c>
      <c r="AS3" s="27"/>
      <c r="AT3" s="35" t="str">
        <f>Y3</f>
        <v xml:space="preserve">ANTONIO LEDEZMA </v>
      </c>
      <c r="AU3" s="36">
        <f t="shared" ref="AU3:BM3" si="6">Z3/(Z2+Z3+Z15)</f>
        <v>0.51436388508891928</v>
      </c>
      <c r="AV3" s="36">
        <f t="shared" si="6"/>
        <v>0.54432270916334657</v>
      </c>
      <c r="AW3" s="36">
        <f t="shared" si="6"/>
        <v>0.52115667374611996</v>
      </c>
      <c r="AX3" s="36">
        <f t="shared" si="6"/>
        <v>0.51616043613707163</v>
      </c>
      <c r="AY3" s="36">
        <f t="shared" si="6"/>
        <v>0.51445808196380283</v>
      </c>
      <c r="AZ3" s="36">
        <f t="shared" si="6"/>
        <v>0.51376838928706148</v>
      </c>
      <c r="BA3" s="36">
        <f t="shared" si="6"/>
        <v>0.51316252861419265</v>
      </c>
      <c r="BB3" s="36">
        <f t="shared" si="6"/>
        <v>0.51403929455445541</v>
      </c>
      <c r="BC3" s="36">
        <f t="shared" si="6"/>
        <v>0.51443911792905084</v>
      </c>
      <c r="BD3" s="36">
        <f t="shared" si="6"/>
        <v>0.51450765364404849</v>
      </c>
      <c r="BE3" s="36">
        <f t="shared" si="6"/>
        <v>0.5144616320170271</v>
      </c>
      <c r="BF3" s="36" t="e">
        <f t="shared" si="6"/>
        <v>#N/A</v>
      </c>
      <c r="BG3" s="36" t="e">
        <f t="shared" si="6"/>
        <v>#N/A</v>
      </c>
      <c r="BH3" s="36" t="e">
        <f t="shared" si="6"/>
        <v>#N/A</v>
      </c>
      <c r="BI3" s="36" t="e">
        <f t="shared" si="6"/>
        <v>#N/A</v>
      </c>
      <c r="BJ3" s="36" t="e">
        <f t="shared" si="6"/>
        <v>#N/A</v>
      </c>
      <c r="BK3" s="36" t="e">
        <f t="shared" si="6"/>
        <v>#N/A</v>
      </c>
      <c r="BL3" s="36" t="e">
        <f t="shared" si="6"/>
        <v>#N/A</v>
      </c>
      <c r="BM3" s="36" t="e">
        <f t="shared" si="6"/>
        <v>#N/A</v>
      </c>
      <c r="BN3" s="30"/>
    </row>
    <row r="4" spans="1:66" ht="11.25" customHeight="1" x14ac:dyDescent="0.2">
      <c r="A4" s="37"/>
      <c r="B4" s="73"/>
      <c r="C4" s="33">
        <v>3</v>
      </c>
      <c r="D4" s="13" t="s">
        <v>265</v>
      </c>
      <c r="E4" s="16">
        <f t="shared" si="0"/>
        <v>25</v>
      </c>
      <c r="F4" s="16">
        <f>SUMIFS([0]!VOTOS2,[0]!TURNO1,F$1,[0]!CANDIDATO1,$C4,[0]!MUNICIPIO1,$B$2)</f>
        <v>0</v>
      </c>
      <c r="G4" s="16">
        <f>SUMIFS([0]!VOTOS2,[0]!TURNO1,G$1,[0]!CANDIDATO1,$C4,[0]!MUNICIPIO1,$B$2)</f>
        <v>1</v>
      </c>
      <c r="H4" s="16">
        <f>SUMIFS([0]!VOTOS2,[0]!TURNO1,H$1,[0]!CANDIDATO1,$C4,[0]!MUNICIPIO1,$B$2)</f>
        <v>0</v>
      </c>
      <c r="I4" s="16">
        <f>SUMIFS([0]!VOTOS2,[0]!TURNO1,I$1,[0]!CANDIDATO1,$C4,[0]!MUNICIPIO1,$B$2)</f>
        <v>6</v>
      </c>
      <c r="J4" s="16">
        <f>SUMIFS([0]!VOTOS2,[0]!TURNO1,J$1,[0]!CANDIDATO1,$C4,[0]!MUNICIPIO1,$B$2)</f>
        <v>0</v>
      </c>
      <c r="K4" s="16">
        <f>SUMIFS([0]!VOTOS2,[0]!TURNO1,K$1,[0]!CANDIDATO1,$C4,[0]!MUNICIPIO1,$B$2)</f>
        <v>10</v>
      </c>
      <c r="L4" s="16">
        <f>SUMIFS([0]!VOTOS2,[0]!TURNO1,L$1,[0]!CANDIDATO1,$C4,[0]!MUNICIPIO1,$B$2)</f>
        <v>3</v>
      </c>
      <c r="M4" s="16">
        <f>SUMIFS([0]!VOTOS2,[0]!TURNO1,M$1,[0]!CANDIDATO1,$C4,[0]!MUNICIPIO1,$B$2)</f>
        <v>0</v>
      </c>
      <c r="N4" s="16">
        <f>SUMIFS([0]!VOTOS2,[0]!TURNO1,N$1,[0]!CANDIDATO1,$C4,[0]!MUNICIPIO1,$B$2)</f>
        <v>0</v>
      </c>
      <c r="O4" s="16">
        <f>SUMIFS([0]!VOTOS2,[0]!TURNO1,O$1,[0]!CANDIDATO1,$C4,[0]!MUNICIPIO1,$B$2)</f>
        <v>0</v>
      </c>
      <c r="P4" s="16">
        <f>SUMIFS([0]!VOTOS2,[0]!TURNO1,P$1,[0]!CANDIDATO1,$C4,[0]!MUNICIPIO1,$B$2)</f>
        <v>0</v>
      </c>
      <c r="Q4" s="16">
        <f>SUMIFS([0]!VOTOS2,[0]!TURNO1,Q$1,[0]!CANDIDATO1,$C4,[0]!MUNICIPIO1,$B$2)</f>
        <v>0</v>
      </c>
      <c r="R4" s="16">
        <f>SUMIFS([0]!VOTOS2,[0]!TURNO1,R$1,[0]!CANDIDATO1,$C4,[0]!MUNICIPIO1,$B$2)</f>
        <v>0</v>
      </c>
      <c r="S4" s="16">
        <f>SUMIFS([0]!VOTOS2,[0]!TURNO1,S$1,[0]!CANDIDATO1,$C4,[0]!MUNICIPIO1,$B$2)</f>
        <v>0</v>
      </c>
      <c r="T4" s="16">
        <f>SUMIFS([0]!VOTOS2,[0]!TURNO1,T$1,[0]!CANDIDATO1,$C4,[0]!MUNICIPIO1,$B$2)</f>
        <v>0</v>
      </c>
      <c r="U4" s="16">
        <f>SUMIFS([0]!VOTOS2,[0]!TURNO1,U$1,[0]!CANDIDATO1,$C4,[0]!MUNICIPIO1,$B$2)</f>
        <v>0</v>
      </c>
      <c r="V4" s="16">
        <f>SUMIFS([0]!VOTOS2,[0]!TURNO1,V$1,[0]!CANDIDATO1,$C4,[0]!MUNICIPIO1,$B$2)</f>
        <v>5</v>
      </c>
      <c r="W4" s="16">
        <f>SUMIFS([0]!VOTOS2,[0]!TURNO1,W$1,[0]!CANDIDATO1,$C4,[0]!MUNICIPIO1,$B$2)</f>
        <v>0</v>
      </c>
      <c r="X4" s="24"/>
      <c r="Y4" s="18" t="str">
        <f t="shared" si="3"/>
        <v>GILDA ESPOSITO</v>
      </c>
      <c r="Z4" s="34">
        <f t="shared" si="3"/>
        <v>25</v>
      </c>
      <c r="AA4" s="34">
        <f t="shared" si="4"/>
        <v>0</v>
      </c>
      <c r="AB4" s="34">
        <f t="shared" ref="AB4:AR4" si="7">IF(SUM(G2:G14)=0,NA(),G4+AA4)</f>
        <v>1</v>
      </c>
      <c r="AC4" s="34">
        <f t="shared" si="7"/>
        <v>1</v>
      </c>
      <c r="AD4" s="34">
        <f t="shared" si="7"/>
        <v>7</v>
      </c>
      <c r="AE4" s="34">
        <f t="shared" si="7"/>
        <v>7</v>
      </c>
      <c r="AF4" s="34">
        <f t="shared" si="7"/>
        <v>17</v>
      </c>
      <c r="AG4" s="34">
        <f t="shared" si="7"/>
        <v>20</v>
      </c>
      <c r="AH4" s="34">
        <f t="shared" si="7"/>
        <v>20</v>
      </c>
      <c r="AI4" s="34">
        <f t="shared" si="7"/>
        <v>20</v>
      </c>
      <c r="AJ4" s="34">
        <f t="shared" si="7"/>
        <v>20</v>
      </c>
      <c r="AK4" s="34" t="e">
        <f t="shared" si="7"/>
        <v>#N/A</v>
      </c>
      <c r="AL4" s="34" t="e">
        <f t="shared" si="7"/>
        <v>#N/A</v>
      </c>
      <c r="AM4" s="34" t="e">
        <f t="shared" si="7"/>
        <v>#N/A</v>
      </c>
      <c r="AN4" s="34" t="e">
        <f t="shared" si="7"/>
        <v>#N/A</v>
      </c>
      <c r="AO4" s="34" t="e">
        <f t="shared" si="7"/>
        <v>#N/A</v>
      </c>
      <c r="AP4" s="34" t="e">
        <f t="shared" si="7"/>
        <v>#N/A</v>
      </c>
      <c r="AQ4" s="34" t="e">
        <f t="shared" si="7"/>
        <v>#N/A</v>
      </c>
      <c r="AR4" s="34" t="e">
        <f t="shared" si="7"/>
        <v>#N/A</v>
      </c>
      <c r="AS4" s="27"/>
      <c r="AT4" s="35" t="str">
        <f>Y15</f>
        <v>Otros</v>
      </c>
      <c r="AU4" s="36">
        <f t="shared" ref="AU4:BM4" si="8">Z15/(Z2+Z3+Z15)</f>
        <v>2.7359781121751026E-3</v>
      </c>
      <c r="AV4" s="36">
        <f t="shared" si="8"/>
        <v>0</v>
      </c>
      <c r="AW4" s="36">
        <f t="shared" si="8"/>
        <v>1.4703479823558242E-3</v>
      </c>
      <c r="AX4" s="36">
        <f t="shared" si="8"/>
        <v>2.5311526479750777E-3</v>
      </c>
      <c r="AY4" s="36">
        <f t="shared" si="8"/>
        <v>2.4270161569932736E-3</v>
      </c>
      <c r="AZ4" s="36">
        <f t="shared" si="8"/>
        <v>2.3171848897989978E-3</v>
      </c>
      <c r="BA4" s="36">
        <f t="shared" si="8"/>
        <v>2.5532664201443917E-3</v>
      </c>
      <c r="BB4" s="36">
        <f t="shared" si="8"/>
        <v>2.4365717821782178E-3</v>
      </c>
      <c r="BC4" s="36">
        <f t="shared" si="8"/>
        <v>2.5695110258868647E-3</v>
      </c>
      <c r="BD4" s="36">
        <f t="shared" si="8"/>
        <v>2.551214682811667E-3</v>
      </c>
      <c r="BE4" s="36">
        <f t="shared" si="8"/>
        <v>2.5464634563490554E-3</v>
      </c>
      <c r="BF4" s="36" t="e">
        <f t="shared" si="8"/>
        <v>#N/A</v>
      </c>
      <c r="BG4" s="36" t="e">
        <f t="shared" si="8"/>
        <v>#N/A</v>
      </c>
      <c r="BH4" s="36" t="e">
        <f t="shared" si="8"/>
        <v>#N/A</v>
      </c>
      <c r="BI4" s="36" t="e">
        <f t="shared" si="8"/>
        <v>#N/A</v>
      </c>
      <c r="BJ4" s="36" t="e">
        <f t="shared" si="8"/>
        <v>#N/A</v>
      </c>
      <c r="BK4" s="36" t="e">
        <f t="shared" si="8"/>
        <v>#N/A</v>
      </c>
      <c r="BL4" s="36" t="e">
        <f t="shared" si="8"/>
        <v>#N/A</v>
      </c>
      <c r="BM4" s="36" t="e">
        <f t="shared" si="8"/>
        <v>#N/A</v>
      </c>
      <c r="BN4" s="30"/>
    </row>
    <row r="5" spans="1:66" ht="11.25" customHeight="1" x14ac:dyDescent="0.2">
      <c r="A5" s="38" t="s">
        <v>78</v>
      </c>
      <c r="B5" s="73"/>
      <c r="C5" s="33">
        <v>4</v>
      </c>
      <c r="D5" s="13" t="s">
        <v>266</v>
      </c>
      <c r="E5" s="16">
        <f t="shared" si="0"/>
        <v>2</v>
      </c>
      <c r="F5" s="16">
        <f>SUMIFS([0]!VOTOS2,[0]!TURNO1,F$1,[0]!CANDIDATO1,$C5,[0]!MUNICIPIO1,$B$2)</f>
        <v>0</v>
      </c>
      <c r="G5" s="16">
        <f>SUMIFS([0]!VOTOS2,[0]!TURNO1,G$1,[0]!CANDIDATO1,$C5,[0]!MUNICIPIO1,$B$2)</f>
        <v>0</v>
      </c>
      <c r="H5" s="16">
        <f>SUMIFS([0]!VOTOS2,[0]!TURNO1,H$1,[0]!CANDIDATO1,$C5,[0]!MUNICIPIO1,$B$2)</f>
        <v>2</v>
      </c>
      <c r="I5" s="16">
        <f>SUMIFS([0]!VOTOS2,[0]!TURNO1,I$1,[0]!CANDIDATO1,$C5,[0]!MUNICIPIO1,$B$2)</f>
        <v>0</v>
      </c>
      <c r="J5" s="16">
        <f>SUMIFS([0]!VOTOS2,[0]!TURNO1,J$1,[0]!CANDIDATO1,$C5,[0]!MUNICIPIO1,$B$2)</f>
        <v>0</v>
      </c>
      <c r="K5" s="16">
        <f>SUMIFS([0]!VOTOS2,[0]!TURNO1,K$1,[0]!CANDIDATO1,$C5,[0]!MUNICIPIO1,$B$2)</f>
        <v>0</v>
      </c>
      <c r="L5" s="16">
        <f>SUMIFS([0]!VOTOS2,[0]!TURNO1,L$1,[0]!CANDIDATO1,$C5,[0]!MUNICIPIO1,$B$2)</f>
        <v>0</v>
      </c>
      <c r="M5" s="16">
        <f>SUMIFS([0]!VOTOS2,[0]!TURNO1,M$1,[0]!CANDIDATO1,$C5,[0]!MUNICIPIO1,$B$2)</f>
        <v>0</v>
      </c>
      <c r="N5" s="16">
        <f>SUMIFS([0]!VOTOS2,[0]!TURNO1,N$1,[0]!CANDIDATO1,$C5,[0]!MUNICIPIO1,$B$2)</f>
        <v>0</v>
      </c>
      <c r="O5" s="16">
        <f>SUMIFS([0]!VOTOS2,[0]!TURNO1,O$1,[0]!CANDIDATO1,$C5,[0]!MUNICIPIO1,$B$2)</f>
        <v>0</v>
      </c>
      <c r="P5" s="16">
        <f>SUMIFS([0]!VOTOS2,[0]!TURNO1,P$1,[0]!CANDIDATO1,$C5,[0]!MUNICIPIO1,$B$2)</f>
        <v>0</v>
      </c>
      <c r="Q5" s="16">
        <f>SUMIFS([0]!VOTOS2,[0]!TURNO1,Q$1,[0]!CANDIDATO1,$C5,[0]!MUNICIPIO1,$B$2)</f>
        <v>0</v>
      </c>
      <c r="R5" s="16">
        <f>SUMIFS([0]!VOTOS2,[0]!TURNO1,R$1,[0]!CANDIDATO1,$C5,[0]!MUNICIPIO1,$B$2)</f>
        <v>0</v>
      </c>
      <c r="S5" s="16">
        <f>SUMIFS([0]!VOTOS2,[0]!TURNO1,S$1,[0]!CANDIDATO1,$C5,[0]!MUNICIPIO1,$B$2)</f>
        <v>0</v>
      </c>
      <c r="T5" s="16">
        <f>SUMIFS([0]!VOTOS2,[0]!TURNO1,T$1,[0]!CANDIDATO1,$C5,[0]!MUNICIPIO1,$B$2)</f>
        <v>0</v>
      </c>
      <c r="U5" s="16">
        <f>SUMIFS([0]!VOTOS2,[0]!TURNO1,U$1,[0]!CANDIDATO1,$C5,[0]!MUNICIPIO1,$B$2)</f>
        <v>0</v>
      </c>
      <c r="V5" s="16">
        <f>SUMIFS([0]!VOTOS2,[0]!TURNO1,V$1,[0]!CANDIDATO1,$C5,[0]!MUNICIPIO1,$B$2)</f>
        <v>0</v>
      </c>
      <c r="W5" s="16">
        <f>SUMIFS([0]!VOTOS2,[0]!TURNO1,W$1,[0]!CANDIDATO1,$C5,[0]!MUNICIPIO1,$B$2)</f>
        <v>0</v>
      </c>
      <c r="X5" s="24"/>
      <c r="Y5" s="18" t="str">
        <f t="shared" si="3"/>
        <v>LUIS REYES</v>
      </c>
      <c r="Z5" s="34">
        <f t="shared" si="3"/>
        <v>2</v>
      </c>
      <c r="AA5" s="34">
        <f t="shared" si="4"/>
        <v>0</v>
      </c>
      <c r="AB5" s="34">
        <f t="shared" ref="AB5:AR5" si="9">IF(SUM(G2:G14)=0,NA(),G5+AA5)</f>
        <v>0</v>
      </c>
      <c r="AC5" s="34">
        <f t="shared" si="9"/>
        <v>2</v>
      </c>
      <c r="AD5" s="34">
        <f t="shared" si="9"/>
        <v>2</v>
      </c>
      <c r="AE5" s="34">
        <f t="shared" si="9"/>
        <v>2</v>
      </c>
      <c r="AF5" s="34">
        <f t="shared" si="9"/>
        <v>2</v>
      </c>
      <c r="AG5" s="34">
        <f t="shared" si="9"/>
        <v>2</v>
      </c>
      <c r="AH5" s="34">
        <f t="shared" si="9"/>
        <v>2</v>
      </c>
      <c r="AI5" s="34">
        <f t="shared" si="9"/>
        <v>2</v>
      </c>
      <c r="AJ5" s="34">
        <f t="shared" si="9"/>
        <v>2</v>
      </c>
      <c r="AK5" s="34" t="e">
        <f t="shared" si="9"/>
        <v>#N/A</v>
      </c>
      <c r="AL5" s="34" t="e">
        <f t="shared" si="9"/>
        <v>#N/A</v>
      </c>
      <c r="AM5" s="34" t="e">
        <f t="shared" si="9"/>
        <v>#N/A</v>
      </c>
      <c r="AN5" s="34" t="e">
        <f t="shared" si="9"/>
        <v>#N/A</v>
      </c>
      <c r="AO5" s="34" t="e">
        <f t="shared" si="9"/>
        <v>#N/A</v>
      </c>
      <c r="AP5" s="34" t="e">
        <f t="shared" si="9"/>
        <v>#N/A</v>
      </c>
      <c r="AQ5" s="34" t="e">
        <f t="shared" si="9"/>
        <v>#N/A</v>
      </c>
      <c r="AR5" s="34" t="e">
        <f t="shared" si="9"/>
        <v>#N/A</v>
      </c>
      <c r="AS5" s="27"/>
      <c r="AT5" s="39"/>
      <c r="AU5" s="39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30"/>
    </row>
    <row r="6" spans="1:66" ht="11.25" customHeight="1" x14ac:dyDescent="0.2">
      <c r="A6" s="38" t="s">
        <v>262</v>
      </c>
      <c r="B6" s="73"/>
      <c r="C6" s="33">
        <v>5</v>
      </c>
      <c r="D6" s="13" t="s">
        <v>267</v>
      </c>
      <c r="E6" s="16">
        <f t="shared" si="0"/>
        <v>12</v>
      </c>
      <c r="F6" s="16">
        <f>SUMIFS([0]!VOTOS2,[0]!TURNO1,F$1,[0]!CANDIDATO1,$C6,[0]!MUNICIPIO1,$B$2)</f>
        <v>0</v>
      </c>
      <c r="G6" s="16">
        <f>SUMIFS([0]!VOTOS2,[0]!TURNO1,G$1,[0]!CANDIDATO1,$C6,[0]!MUNICIPIO1,$B$2)</f>
        <v>0</v>
      </c>
      <c r="H6" s="16">
        <f>SUMIFS([0]!VOTOS2,[0]!TURNO1,H$1,[0]!CANDIDATO1,$C6,[0]!MUNICIPIO1,$B$2)</f>
        <v>12</v>
      </c>
      <c r="I6" s="16">
        <f>SUMIFS([0]!VOTOS2,[0]!TURNO1,I$1,[0]!CANDIDATO1,$C6,[0]!MUNICIPIO1,$B$2)</f>
        <v>0</v>
      </c>
      <c r="J6" s="16">
        <f>SUMIFS([0]!VOTOS2,[0]!TURNO1,J$1,[0]!CANDIDATO1,$C6,[0]!MUNICIPIO1,$B$2)</f>
        <v>0</v>
      </c>
      <c r="K6" s="16">
        <f>SUMIFS([0]!VOTOS2,[0]!TURNO1,K$1,[0]!CANDIDATO1,$C6,[0]!MUNICIPIO1,$B$2)</f>
        <v>0</v>
      </c>
      <c r="L6" s="16">
        <f>SUMIFS([0]!VOTOS2,[0]!TURNO1,L$1,[0]!CANDIDATO1,$C6,[0]!MUNICIPIO1,$B$2)</f>
        <v>0</v>
      </c>
      <c r="M6" s="16">
        <f>SUMIFS([0]!VOTOS2,[0]!TURNO1,M$1,[0]!CANDIDATO1,$C6,[0]!MUNICIPIO1,$B$2)</f>
        <v>0</v>
      </c>
      <c r="N6" s="16">
        <f>SUMIFS([0]!VOTOS2,[0]!TURNO1,N$1,[0]!CANDIDATO1,$C6,[0]!MUNICIPIO1,$B$2)</f>
        <v>0</v>
      </c>
      <c r="O6" s="16">
        <f>SUMIFS([0]!VOTOS2,[0]!TURNO1,O$1,[0]!CANDIDATO1,$C6,[0]!MUNICIPIO1,$B$2)</f>
        <v>0</v>
      </c>
      <c r="P6" s="16">
        <f>SUMIFS([0]!VOTOS2,[0]!TURNO1,P$1,[0]!CANDIDATO1,$C6,[0]!MUNICIPIO1,$B$2)</f>
        <v>0</v>
      </c>
      <c r="Q6" s="16">
        <f>SUMIFS([0]!VOTOS2,[0]!TURNO1,Q$1,[0]!CANDIDATO1,$C6,[0]!MUNICIPIO1,$B$2)</f>
        <v>0</v>
      </c>
      <c r="R6" s="16">
        <f>SUMIFS([0]!VOTOS2,[0]!TURNO1,R$1,[0]!CANDIDATO1,$C6,[0]!MUNICIPIO1,$B$2)</f>
        <v>0</v>
      </c>
      <c r="S6" s="16">
        <f>SUMIFS([0]!VOTOS2,[0]!TURNO1,S$1,[0]!CANDIDATO1,$C6,[0]!MUNICIPIO1,$B$2)</f>
        <v>0</v>
      </c>
      <c r="T6" s="16">
        <f>SUMIFS([0]!VOTOS2,[0]!TURNO1,T$1,[0]!CANDIDATO1,$C6,[0]!MUNICIPIO1,$B$2)</f>
        <v>0</v>
      </c>
      <c r="U6" s="16">
        <f>SUMIFS([0]!VOTOS2,[0]!TURNO1,U$1,[0]!CANDIDATO1,$C6,[0]!MUNICIPIO1,$B$2)</f>
        <v>0</v>
      </c>
      <c r="V6" s="16">
        <f>SUMIFS([0]!VOTOS2,[0]!TURNO1,V$1,[0]!CANDIDATO1,$C6,[0]!MUNICIPIO1,$B$2)</f>
        <v>0</v>
      </c>
      <c r="W6" s="16">
        <f>SUMIFS([0]!VOTOS2,[0]!TURNO1,W$1,[0]!CANDIDATO1,$C6,[0]!MUNICIPIO1,$B$2)</f>
        <v>0</v>
      </c>
      <c r="X6" s="24"/>
      <c r="Y6" s="18" t="str">
        <f t="shared" si="3"/>
        <v>JOSE BERROTERAN</v>
      </c>
      <c r="Z6" s="34">
        <f t="shared" si="3"/>
        <v>12</v>
      </c>
      <c r="AA6" s="34">
        <f t="shared" si="4"/>
        <v>0</v>
      </c>
      <c r="AB6" s="34">
        <f t="shared" ref="AB6:AR6" si="10">IF(SUM(G2:G14)=0,NA(),G6+AA6)</f>
        <v>0</v>
      </c>
      <c r="AC6" s="34">
        <f t="shared" si="10"/>
        <v>12</v>
      </c>
      <c r="AD6" s="34">
        <f t="shared" si="10"/>
        <v>12</v>
      </c>
      <c r="AE6" s="34">
        <f t="shared" si="10"/>
        <v>12</v>
      </c>
      <c r="AF6" s="34">
        <f t="shared" si="10"/>
        <v>12</v>
      </c>
      <c r="AG6" s="34">
        <f t="shared" si="10"/>
        <v>12</v>
      </c>
      <c r="AH6" s="34">
        <f t="shared" si="10"/>
        <v>12</v>
      </c>
      <c r="AI6" s="34">
        <f t="shared" si="10"/>
        <v>12</v>
      </c>
      <c r="AJ6" s="34">
        <f t="shared" si="10"/>
        <v>12</v>
      </c>
      <c r="AK6" s="34" t="e">
        <f t="shared" si="10"/>
        <v>#N/A</v>
      </c>
      <c r="AL6" s="34" t="e">
        <f t="shared" si="10"/>
        <v>#N/A</v>
      </c>
      <c r="AM6" s="34" t="e">
        <f t="shared" si="10"/>
        <v>#N/A</v>
      </c>
      <c r="AN6" s="34" t="e">
        <f t="shared" si="10"/>
        <v>#N/A</v>
      </c>
      <c r="AO6" s="34" t="e">
        <f t="shared" si="10"/>
        <v>#N/A</v>
      </c>
      <c r="AP6" s="34" t="e">
        <f t="shared" si="10"/>
        <v>#N/A</v>
      </c>
      <c r="AQ6" s="34" t="e">
        <f t="shared" si="10"/>
        <v>#N/A</v>
      </c>
      <c r="AR6" s="34" t="e">
        <f t="shared" si="10"/>
        <v>#N/A</v>
      </c>
      <c r="AS6" s="27"/>
      <c r="AT6" s="39"/>
      <c r="AU6" s="39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30"/>
    </row>
    <row r="7" spans="1:66" ht="11.25" customHeight="1" x14ac:dyDescent="0.2">
      <c r="A7" s="37"/>
      <c r="B7" s="73"/>
      <c r="C7" s="33">
        <v>6</v>
      </c>
      <c r="D7" s="13" t="s">
        <v>268</v>
      </c>
      <c r="E7" s="16">
        <f t="shared" si="0"/>
        <v>6</v>
      </c>
      <c r="F7" s="16">
        <f>SUMIFS([0]!VOTOS2,[0]!TURNO1,F$1,[0]!CANDIDATO1,$C7,[0]!MUNICIPIO1,$B$2)</f>
        <v>0</v>
      </c>
      <c r="G7" s="16">
        <f>SUMIFS([0]!VOTOS2,[0]!TURNO1,G$1,[0]!CANDIDATO1,$C7,[0]!MUNICIPIO1,$B$2)</f>
        <v>0</v>
      </c>
      <c r="H7" s="16">
        <f>SUMIFS([0]!VOTOS2,[0]!TURNO1,H$1,[0]!CANDIDATO1,$C7,[0]!MUNICIPIO1,$B$2)</f>
        <v>0</v>
      </c>
      <c r="I7" s="16">
        <f>SUMIFS([0]!VOTOS2,[0]!TURNO1,I$1,[0]!CANDIDATO1,$C7,[0]!MUNICIPIO1,$B$2)</f>
        <v>1</v>
      </c>
      <c r="J7" s="16">
        <f>SUMIFS([0]!VOTOS2,[0]!TURNO1,J$1,[0]!CANDIDATO1,$C7,[0]!MUNICIPIO1,$B$2)</f>
        <v>2</v>
      </c>
      <c r="K7" s="16">
        <f>SUMIFS([0]!VOTOS2,[0]!TURNO1,K$1,[0]!CANDIDATO1,$C7,[0]!MUNICIPIO1,$B$2)</f>
        <v>2</v>
      </c>
      <c r="L7" s="16">
        <f>SUMIFS([0]!VOTOS2,[0]!TURNO1,L$1,[0]!CANDIDATO1,$C7,[0]!MUNICIPIO1,$B$2)</f>
        <v>0</v>
      </c>
      <c r="M7" s="16">
        <f>SUMIFS([0]!VOTOS2,[0]!TURNO1,M$1,[0]!CANDIDATO1,$C7,[0]!MUNICIPIO1,$B$2)</f>
        <v>1</v>
      </c>
      <c r="N7" s="16">
        <f>SUMIFS([0]!VOTOS2,[0]!TURNO1,N$1,[0]!CANDIDATO1,$C7,[0]!MUNICIPIO1,$B$2)</f>
        <v>0</v>
      </c>
      <c r="O7" s="16">
        <f>SUMIFS([0]!VOTOS2,[0]!TURNO1,O$1,[0]!CANDIDATO1,$C7,[0]!MUNICIPIO1,$B$2)</f>
        <v>0</v>
      </c>
      <c r="P7" s="16">
        <f>SUMIFS([0]!VOTOS2,[0]!TURNO1,P$1,[0]!CANDIDATO1,$C7,[0]!MUNICIPIO1,$B$2)</f>
        <v>0</v>
      </c>
      <c r="Q7" s="16">
        <f>SUMIFS([0]!VOTOS2,[0]!TURNO1,Q$1,[0]!CANDIDATO1,$C7,[0]!MUNICIPIO1,$B$2)</f>
        <v>0</v>
      </c>
      <c r="R7" s="16">
        <f>SUMIFS([0]!VOTOS2,[0]!TURNO1,R$1,[0]!CANDIDATO1,$C7,[0]!MUNICIPIO1,$B$2)</f>
        <v>0</v>
      </c>
      <c r="S7" s="16">
        <f>SUMIFS([0]!VOTOS2,[0]!TURNO1,S$1,[0]!CANDIDATO1,$C7,[0]!MUNICIPIO1,$B$2)</f>
        <v>0</v>
      </c>
      <c r="T7" s="16">
        <f>SUMIFS([0]!VOTOS2,[0]!TURNO1,T$1,[0]!CANDIDATO1,$C7,[0]!MUNICIPIO1,$B$2)</f>
        <v>0</v>
      </c>
      <c r="U7" s="16">
        <f>SUMIFS([0]!VOTOS2,[0]!TURNO1,U$1,[0]!CANDIDATO1,$C7,[0]!MUNICIPIO1,$B$2)</f>
        <v>0</v>
      </c>
      <c r="V7" s="16">
        <f>SUMIFS([0]!VOTOS2,[0]!TURNO1,V$1,[0]!CANDIDATO1,$C7,[0]!MUNICIPIO1,$B$2)</f>
        <v>0</v>
      </c>
      <c r="W7" s="16">
        <f>SUMIFS([0]!VOTOS2,[0]!TURNO1,W$1,[0]!CANDIDATO1,$C7,[0]!MUNICIPIO1,$B$2)</f>
        <v>0</v>
      </c>
      <c r="X7" s="24"/>
      <c r="Y7" s="18" t="str">
        <f t="shared" si="3"/>
        <v>DANIEL TELLIS</v>
      </c>
      <c r="Z7" s="34">
        <f t="shared" si="3"/>
        <v>6</v>
      </c>
      <c r="AA7" s="34">
        <f t="shared" si="4"/>
        <v>0</v>
      </c>
      <c r="AB7" s="34">
        <f t="shared" ref="AB7:AR7" si="11">IF(SUM(G2:G14)=0,NA(),G7+AA7)</f>
        <v>0</v>
      </c>
      <c r="AC7" s="34">
        <f t="shared" si="11"/>
        <v>0</v>
      </c>
      <c r="AD7" s="34">
        <f t="shared" si="11"/>
        <v>1</v>
      </c>
      <c r="AE7" s="34">
        <f t="shared" si="11"/>
        <v>3</v>
      </c>
      <c r="AF7" s="34">
        <f t="shared" si="11"/>
        <v>5</v>
      </c>
      <c r="AG7" s="34">
        <f t="shared" si="11"/>
        <v>5</v>
      </c>
      <c r="AH7" s="34">
        <f t="shared" si="11"/>
        <v>6</v>
      </c>
      <c r="AI7" s="34">
        <f t="shared" si="11"/>
        <v>6</v>
      </c>
      <c r="AJ7" s="34">
        <f t="shared" si="11"/>
        <v>6</v>
      </c>
      <c r="AK7" s="34" t="e">
        <f t="shared" si="11"/>
        <v>#N/A</v>
      </c>
      <c r="AL7" s="34" t="e">
        <f t="shared" si="11"/>
        <v>#N/A</v>
      </c>
      <c r="AM7" s="34" t="e">
        <f t="shared" si="11"/>
        <v>#N/A</v>
      </c>
      <c r="AN7" s="34" t="e">
        <f t="shared" si="11"/>
        <v>#N/A</v>
      </c>
      <c r="AO7" s="34" t="e">
        <f t="shared" si="11"/>
        <v>#N/A</v>
      </c>
      <c r="AP7" s="34" t="e">
        <f t="shared" si="11"/>
        <v>#N/A</v>
      </c>
      <c r="AQ7" s="34" t="e">
        <f t="shared" si="11"/>
        <v>#N/A</v>
      </c>
      <c r="AR7" s="34" t="e">
        <f t="shared" si="11"/>
        <v>#N/A</v>
      </c>
      <c r="AS7" s="27"/>
      <c r="AT7" s="39"/>
      <c r="AU7" s="39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30"/>
    </row>
    <row r="8" spans="1:66" ht="11.25" customHeight="1" x14ac:dyDescent="0.2">
      <c r="A8" s="37"/>
      <c r="B8" s="73"/>
      <c r="C8" s="33">
        <v>7</v>
      </c>
      <c r="D8" s="13" t="s">
        <v>269</v>
      </c>
      <c r="E8" s="16">
        <f t="shared" si="0"/>
        <v>17</v>
      </c>
      <c r="F8" s="16">
        <f>SUMIFS([0]!VOTOS2,[0]!TURNO1,F$1,[0]!CANDIDATO1,$C8,[0]!MUNICIPIO1,$B$2)</f>
        <v>0</v>
      </c>
      <c r="G8" s="16">
        <f>SUMIFS([0]!VOTOS2,[0]!TURNO1,G$1,[0]!CANDIDATO1,$C8,[0]!MUNICIPIO1,$B$2)</f>
        <v>4</v>
      </c>
      <c r="H8" s="16">
        <f>SUMIFS([0]!VOTOS2,[0]!TURNO1,H$1,[0]!CANDIDATO1,$C8,[0]!MUNICIPIO1,$B$2)</f>
        <v>3</v>
      </c>
      <c r="I8" s="16">
        <f>SUMIFS([0]!VOTOS2,[0]!TURNO1,I$1,[0]!CANDIDATO1,$C8,[0]!MUNICIPIO1,$B$2)</f>
        <v>2</v>
      </c>
      <c r="J8" s="16">
        <f>SUMIFS([0]!VOTOS2,[0]!TURNO1,J$1,[0]!CANDIDATO1,$C8,[0]!MUNICIPIO1,$B$2)</f>
        <v>3</v>
      </c>
      <c r="K8" s="16">
        <f>SUMIFS([0]!VOTOS2,[0]!TURNO1,K$1,[0]!CANDIDATO1,$C8,[0]!MUNICIPIO1,$B$2)</f>
        <v>2</v>
      </c>
      <c r="L8" s="16">
        <f>SUMIFS([0]!VOTOS2,[0]!TURNO1,L$1,[0]!CANDIDATO1,$C8,[0]!MUNICIPIO1,$B$2)</f>
        <v>2</v>
      </c>
      <c r="M8" s="16">
        <f>SUMIFS([0]!VOTOS2,[0]!TURNO1,M$1,[0]!CANDIDATO1,$C8,[0]!MUNICIPIO1,$B$2)</f>
        <v>1</v>
      </c>
      <c r="N8" s="16">
        <f>SUMIFS([0]!VOTOS2,[0]!TURNO1,N$1,[0]!CANDIDATO1,$C8,[0]!MUNICIPIO1,$B$2)</f>
        <v>0</v>
      </c>
      <c r="O8" s="16">
        <f>SUMIFS([0]!VOTOS2,[0]!TURNO1,O$1,[0]!CANDIDATO1,$C8,[0]!MUNICIPIO1,$B$2)</f>
        <v>0</v>
      </c>
      <c r="P8" s="16">
        <f>SUMIFS([0]!VOTOS2,[0]!TURNO1,P$1,[0]!CANDIDATO1,$C8,[0]!MUNICIPIO1,$B$2)</f>
        <v>0</v>
      </c>
      <c r="Q8" s="16">
        <f>SUMIFS([0]!VOTOS2,[0]!TURNO1,Q$1,[0]!CANDIDATO1,$C8,[0]!MUNICIPIO1,$B$2)</f>
        <v>0</v>
      </c>
      <c r="R8" s="16">
        <f>SUMIFS([0]!VOTOS2,[0]!TURNO1,R$1,[0]!CANDIDATO1,$C8,[0]!MUNICIPIO1,$B$2)</f>
        <v>0</v>
      </c>
      <c r="S8" s="16">
        <f>SUMIFS([0]!VOTOS2,[0]!TURNO1,S$1,[0]!CANDIDATO1,$C8,[0]!MUNICIPIO1,$B$2)</f>
        <v>0</v>
      </c>
      <c r="T8" s="16">
        <f>SUMIFS([0]!VOTOS2,[0]!TURNO1,T$1,[0]!CANDIDATO1,$C8,[0]!MUNICIPIO1,$B$2)</f>
        <v>0</v>
      </c>
      <c r="U8" s="16">
        <f>SUMIFS([0]!VOTOS2,[0]!TURNO1,U$1,[0]!CANDIDATO1,$C8,[0]!MUNICIPIO1,$B$2)</f>
        <v>0</v>
      </c>
      <c r="V8" s="16">
        <f>SUMIFS([0]!VOTOS2,[0]!TURNO1,V$1,[0]!CANDIDATO1,$C8,[0]!MUNICIPIO1,$B$2)</f>
        <v>0</v>
      </c>
      <c r="W8" s="16">
        <f>SUMIFS([0]!VOTOS2,[0]!TURNO1,W$1,[0]!CANDIDATO1,$C8,[0]!MUNICIPIO1,$B$2)</f>
        <v>0</v>
      </c>
      <c r="X8" s="24"/>
      <c r="Y8" s="18" t="str">
        <f t="shared" si="3"/>
        <v>ANDRES BELLO</v>
      </c>
      <c r="Z8" s="34">
        <f t="shared" si="3"/>
        <v>17</v>
      </c>
      <c r="AA8" s="34">
        <f t="shared" si="4"/>
        <v>0</v>
      </c>
      <c r="AB8" s="34">
        <f t="shared" ref="AB8:AR8" si="12">IF(SUM(G2:G14)=0,NA(),G8+AA8)</f>
        <v>4</v>
      </c>
      <c r="AC8" s="34">
        <f>IF(SUM(H2:H14)=0,NA(),H8+AB8)</f>
        <v>7</v>
      </c>
      <c r="AD8" s="34">
        <f t="shared" si="12"/>
        <v>9</v>
      </c>
      <c r="AE8" s="34">
        <f t="shared" si="12"/>
        <v>12</v>
      </c>
      <c r="AF8" s="34">
        <f t="shared" si="12"/>
        <v>14</v>
      </c>
      <c r="AG8" s="34">
        <f t="shared" si="12"/>
        <v>16</v>
      </c>
      <c r="AH8" s="34">
        <f t="shared" si="12"/>
        <v>17</v>
      </c>
      <c r="AI8" s="34">
        <f t="shared" si="12"/>
        <v>17</v>
      </c>
      <c r="AJ8" s="34">
        <f t="shared" si="12"/>
        <v>17</v>
      </c>
      <c r="AK8" s="34" t="e">
        <f t="shared" si="12"/>
        <v>#N/A</v>
      </c>
      <c r="AL8" s="34" t="e">
        <f t="shared" si="12"/>
        <v>#N/A</v>
      </c>
      <c r="AM8" s="34" t="e">
        <f t="shared" si="12"/>
        <v>#N/A</v>
      </c>
      <c r="AN8" s="34" t="e">
        <f t="shared" si="12"/>
        <v>#N/A</v>
      </c>
      <c r="AO8" s="34" t="e">
        <f t="shared" si="12"/>
        <v>#N/A</v>
      </c>
      <c r="AP8" s="34" t="e">
        <f t="shared" si="12"/>
        <v>#N/A</v>
      </c>
      <c r="AQ8" s="34" t="e">
        <f t="shared" si="12"/>
        <v>#N/A</v>
      </c>
      <c r="AR8" s="34" t="e">
        <f t="shared" si="12"/>
        <v>#N/A</v>
      </c>
      <c r="AS8" s="27"/>
      <c r="AT8" s="39"/>
      <c r="AU8" s="39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30"/>
    </row>
    <row r="9" spans="1:66" ht="11.25" customHeight="1" x14ac:dyDescent="0.2">
      <c r="A9" s="37"/>
      <c r="B9" s="73"/>
      <c r="C9" s="33">
        <v>8</v>
      </c>
      <c r="D9" s="13" t="s">
        <v>270</v>
      </c>
      <c r="E9" s="16">
        <f t="shared" si="0"/>
        <v>6</v>
      </c>
      <c r="F9" s="16">
        <f>SUMIFS([0]!VOTOS2,[0]!TURNO1,F$1,[0]!CANDIDATO1,$C9,[0]!MUNICIPIO1,$B$2)</f>
        <v>0</v>
      </c>
      <c r="G9" s="16">
        <f>SUMIFS([0]!VOTOS2,[0]!TURNO1,G$1,[0]!CANDIDATO1,$C9,[0]!MUNICIPIO1,$B$2)</f>
        <v>0</v>
      </c>
      <c r="H9" s="16">
        <f>SUMIFS([0]!VOTOS2,[0]!TURNO1,H$1,[0]!CANDIDATO1,$C9,[0]!MUNICIPIO1,$B$2)</f>
        <v>0</v>
      </c>
      <c r="I9" s="16">
        <f>SUMIFS([0]!VOTOS2,[0]!TURNO1,I$1,[0]!CANDIDATO1,$C9,[0]!MUNICIPIO1,$B$2)</f>
        <v>0</v>
      </c>
      <c r="J9" s="16">
        <f>SUMIFS([0]!VOTOS2,[0]!TURNO1,J$1,[0]!CANDIDATO1,$C9,[0]!MUNICIPIO1,$B$2)</f>
        <v>3</v>
      </c>
      <c r="K9" s="16">
        <f>SUMIFS([0]!VOTOS2,[0]!TURNO1,K$1,[0]!CANDIDATO1,$C9,[0]!MUNICIPIO1,$B$2)</f>
        <v>1</v>
      </c>
      <c r="L9" s="16">
        <f>SUMIFS([0]!VOTOS2,[0]!TURNO1,L$1,[0]!CANDIDATO1,$C9,[0]!MUNICIPIO1,$B$2)</f>
        <v>0</v>
      </c>
      <c r="M9" s="16">
        <f>SUMIFS([0]!VOTOS2,[0]!TURNO1,M$1,[0]!CANDIDATO1,$C9,[0]!MUNICIPIO1,$B$2)</f>
        <v>2</v>
      </c>
      <c r="N9" s="16">
        <f>SUMIFS([0]!VOTOS2,[0]!TURNO1,N$1,[0]!CANDIDATO1,$C9,[0]!MUNICIPIO1,$B$2)</f>
        <v>0</v>
      </c>
      <c r="O9" s="16">
        <f>SUMIFS([0]!VOTOS2,[0]!TURNO1,O$1,[0]!CANDIDATO1,$C9,[0]!MUNICIPIO1,$B$2)</f>
        <v>0</v>
      </c>
      <c r="P9" s="16">
        <f>SUMIFS([0]!VOTOS2,[0]!TURNO1,P$1,[0]!CANDIDATO1,$C9,[0]!MUNICIPIO1,$B$2)</f>
        <v>0</v>
      </c>
      <c r="Q9" s="16">
        <f>SUMIFS([0]!VOTOS2,[0]!TURNO1,Q$1,[0]!CANDIDATO1,$C9,[0]!MUNICIPIO1,$B$2)</f>
        <v>0</v>
      </c>
      <c r="R9" s="16">
        <f>SUMIFS([0]!VOTOS2,[0]!TURNO1,R$1,[0]!CANDIDATO1,$C9,[0]!MUNICIPIO1,$B$2)</f>
        <v>0</v>
      </c>
      <c r="S9" s="16">
        <f>SUMIFS([0]!VOTOS2,[0]!TURNO1,S$1,[0]!CANDIDATO1,$C9,[0]!MUNICIPIO1,$B$2)</f>
        <v>0</v>
      </c>
      <c r="T9" s="16">
        <f>SUMIFS([0]!VOTOS2,[0]!TURNO1,T$1,[0]!CANDIDATO1,$C9,[0]!MUNICIPIO1,$B$2)</f>
        <v>0</v>
      </c>
      <c r="U9" s="16">
        <f>SUMIFS([0]!VOTOS2,[0]!TURNO1,U$1,[0]!CANDIDATO1,$C9,[0]!MUNICIPIO1,$B$2)</f>
        <v>0</v>
      </c>
      <c r="V9" s="16">
        <f>SUMIFS([0]!VOTOS2,[0]!TURNO1,V$1,[0]!CANDIDATO1,$C9,[0]!MUNICIPIO1,$B$2)</f>
        <v>0</v>
      </c>
      <c r="W9" s="16">
        <f>SUMIFS([0]!VOTOS2,[0]!TURNO1,W$1,[0]!CANDIDATO1,$C9,[0]!MUNICIPIO1,$B$2)</f>
        <v>0</v>
      </c>
      <c r="X9" s="24"/>
      <c r="Y9" s="18" t="str">
        <f t="shared" si="3"/>
        <v xml:space="preserve">ERNESTO ACOSTA </v>
      </c>
      <c r="Z9" s="34">
        <f t="shared" si="3"/>
        <v>6</v>
      </c>
      <c r="AA9" s="34">
        <f t="shared" si="4"/>
        <v>0</v>
      </c>
      <c r="AB9" s="34">
        <f t="shared" ref="AB9:AR9" si="13">IF(SUM(G2:G14)=0,NA(),G9+AA9)</f>
        <v>0</v>
      </c>
      <c r="AC9" s="34">
        <f t="shared" si="13"/>
        <v>0</v>
      </c>
      <c r="AD9" s="34">
        <f t="shared" si="13"/>
        <v>0</v>
      </c>
      <c r="AE9" s="34">
        <f t="shared" si="13"/>
        <v>3</v>
      </c>
      <c r="AF9" s="34">
        <f t="shared" si="13"/>
        <v>4</v>
      </c>
      <c r="AG9" s="34">
        <f t="shared" si="13"/>
        <v>4</v>
      </c>
      <c r="AH9" s="34">
        <f t="shared" si="13"/>
        <v>6</v>
      </c>
      <c r="AI9" s="34">
        <f t="shared" si="13"/>
        <v>6</v>
      </c>
      <c r="AJ9" s="34">
        <f t="shared" si="13"/>
        <v>6</v>
      </c>
      <c r="AK9" s="34" t="e">
        <f t="shared" si="13"/>
        <v>#N/A</v>
      </c>
      <c r="AL9" s="34" t="e">
        <f t="shared" si="13"/>
        <v>#N/A</v>
      </c>
      <c r="AM9" s="34" t="e">
        <f t="shared" si="13"/>
        <v>#N/A</v>
      </c>
      <c r="AN9" s="34" t="e">
        <f t="shared" si="13"/>
        <v>#N/A</v>
      </c>
      <c r="AO9" s="34" t="e">
        <f t="shared" si="13"/>
        <v>#N/A</v>
      </c>
      <c r="AP9" s="34" t="e">
        <f t="shared" si="13"/>
        <v>#N/A</v>
      </c>
      <c r="AQ9" s="34" t="e">
        <f t="shared" si="13"/>
        <v>#N/A</v>
      </c>
      <c r="AR9" s="34" t="e">
        <f t="shared" si="13"/>
        <v>#N/A</v>
      </c>
      <c r="AS9" s="27"/>
      <c r="AT9" s="41"/>
      <c r="AU9" s="41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30"/>
    </row>
    <row r="10" spans="1:66" ht="11.25" customHeight="1" x14ac:dyDescent="0.2">
      <c r="A10" s="42"/>
      <c r="B10" s="74"/>
      <c r="C10" s="33">
        <v>9</v>
      </c>
      <c r="D10" s="13" t="s">
        <v>271</v>
      </c>
      <c r="E10" s="16">
        <f t="shared" si="0"/>
        <v>4</v>
      </c>
      <c r="F10" s="16">
        <f>SUMIFS([0]!VOTOS2,[0]!TURNO1,F$1,[0]!CANDIDATO1,$C10,[0]!MUNICIPIO1,$B$2)</f>
        <v>0</v>
      </c>
      <c r="G10" s="16">
        <f>SUMIFS([0]!VOTOS2,[0]!TURNO1,G$1,[0]!CANDIDATO1,$C10,[0]!MUNICIPIO1,$B$2)</f>
        <v>4</v>
      </c>
      <c r="H10" s="16">
        <f>SUMIFS([0]!VOTOS2,[0]!TURNO1,H$1,[0]!CANDIDATO1,$C10,[0]!MUNICIPIO1,$B$2)</f>
        <v>0</v>
      </c>
      <c r="I10" s="16">
        <f>SUMIFS([0]!VOTOS2,[0]!TURNO1,I$1,[0]!CANDIDATO1,$C10,[0]!MUNICIPIO1,$B$2)</f>
        <v>0</v>
      </c>
      <c r="J10" s="16">
        <f>SUMIFS([0]!VOTOS2,[0]!TURNO1,J$1,[0]!CANDIDATO1,$C10,[0]!MUNICIPIO1,$B$2)</f>
        <v>0</v>
      </c>
      <c r="K10" s="16">
        <f>SUMIFS([0]!VOTOS2,[0]!TURNO1,K$1,[0]!CANDIDATO1,$C10,[0]!MUNICIPIO1,$B$2)</f>
        <v>0</v>
      </c>
      <c r="L10" s="16">
        <f>SUMIFS([0]!VOTOS2,[0]!TURNO1,L$1,[0]!CANDIDATO1,$C10,[0]!MUNICIPIO1,$B$2)</f>
        <v>0</v>
      </c>
      <c r="M10" s="16">
        <f>SUMIFS([0]!VOTOS2,[0]!TURNO1,M$1,[0]!CANDIDATO1,$C10,[0]!MUNICIPIO1,$B$2)</f>
        <v>0</v>
      </c>
      <c r="N10" s="16">
        <f>SUMIFS([0]!VOTOS2,[0]!TURNO1,N$1,[0]!CANDIDATO1,$C10,[0]!MUNICIPIO1,$B$2)</f>
        <v>0</v>
      </c>
      <c r="O10" s="16">
        <f>SUMIFS([0]!VOTOS2,[0]!TURNO1,O$1,[0]!CANDIDATO1,$C10,[0]!MUNICIPIO1,$B$2)</f>
        <v>0</v>
      </c>
      <c r="P10" s="16">
        <f>SUMIFS([0]!VOTOS2,[0]!TURNO1,P$1,[0]!CANDIDATO1,$C10,[0]!MUNICIPIO1,$B$2)</f>
        <v>0</v>
      </c>
      <c r="Q10" s="16">
        <f>SUMIFS([0]!VOTOS2,[0]!TURNO1,Q$1,[0]!CANDIDATO1,$C10,[0]!MUNICIPIO1,$B$2)</f>
        <v>0</v>
      </c>
      <c r="R10" s="16">
        <f>SUMIFS([0]!VOTOS2,[0]!TURNO1,R$1,[0]!CANDIDATO1,$C10,[0]!MUNICIPIO1,$B$2)</f>
        <v>0</v>
      </c>
      <c r="S10" s="16">
        <f>SUMIFS([0]!VOTOS2,[0]!TURNO1,S$1,[0]!CANDIDATO1,$C10,[0]!MUNICIPIO1,$B$2)</f>
        <v>0</v>
      </c>
      <c r="T10" s="16">
        <f>SUMIFS([0]!VOTOS2,[0]!TURNO1,T$1,[0]!CANDIDATO1,$C10,[0]!MUNICIPIO1,$B$2)</f>
        <v>0</v>
      </c>
      <c r="U10" s="16">
        <f>SUMIFS([0]!VOTOS2,[0]!TURNO1,U$1,[0]!CANDIDATO1,$C10,[0]!MUNICIPIO1,$B$2)</f>
        <v>0</v>
      </c>
      <c r="V10" s="16">
        <f>SUMIFS([0]!VOTOS2,[0]!TURNO1,V$1,[0]!CANDIDATO1,$C10,[0]!MUNICIPIO1,$B$2)</f>
        <v>0</v>
      </c>
      <c r="W10" s="16">
        <f>SUMIFS([0]!VOTOS2,[0]!TURNO1,W$1,[0]!CANDIDATO1,$C10,[0]!MUNICIPIO1,$B$2)</f>
        <v>0</v>
      </c>
      <c r="X10" s="24"/>
      <c r="Y10" s="18" t="str">
        <f t="shared" si="3"/>
        <v>MIGUEL A HERNANDEZ</v>
      </c>
      <c r="Z10" s="34">
        <f t="shared" si="3"/>
        <v>4</v>
      </c>
      <c r="AA10" s="34">
        <f>F10</f>
        <v>0</v>
      </c>
      <c r="AB10" s="34">
        <f t="shared" ref="AB10:AR10" si="14">IF(SUM(G2:G14)=0,NA(),G10+AA10)</f>
        <v>4</v>
      </c>
      <c r="AC10" s="34">
        <f t="shared" si="14"/>
        <v>4</v>
      </c>
      <c r="AD10" s="34">
        <f t="shared" si="14"/>
        <v>4</v>
      </c>
      <c r="AE10" s="34">
        <f t="shared" si="14"/>
        <v>4</v>
      </c>
      <c r="AF10" s="34">
        <f t="shared" si="14"/>
        <v>4</v>
      </c>
      <c r="AG10" s="34">
        <f t="shared" si="14"/>
        <v>4</v>
      </c>
      <c r="AH10" s="34">
        <f t="shared" si="14"/>
        <v>4</v>
      </c>
      <c r="AI10" s="34">
        <f t="shared" si="14"/>
        <v>4</v>
      </c>
      <c r="AJ10" s="34">
        <f t="shared" si="14"/>
        <v>4</v>
      </c>
      <c r="AK10" s="34" t="e">
        <f t="shared" si="14"/>
        <v>#N/A</v>
      </c>
      <c r="AL10" s="34" t="e">
        <f t="shared" si="14"/>
        <v>#N/A</v>
      </c>
      <c r="AM10" s="34" t="e">
        <f t="shared" si="14"/>
        <v>#N/A</v>
      </c>
      <c r="AN10" s="34" t="e">
        <f t="shared" si="14"/>
        <v>#N/A</v>
      </c>
      <c r="AO10" s="34" t="e">
        <f t="shared" si="14"/>
        <v>#N/A</v>
      </c>
      <c r="AP10" s="34" t="e">
        <f t="shared" si="14"/>
        <v>#N/A</v>
      </c>
      <c r="AQ10" s="34" t="e">
        <f t="shared" si="14"/>
        <v>#N/A</v>
      </c>
      <c r="AR10" s="34" t="e">
        <f t="shared" si="14"/>
        <v>#N/A</v>
      </c>
      <c r="AS10" s="27"/>
      <c r="AT10" s="41"/>
      <c r="AU10" s="41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30"/>
    </row>
    <row r="11" spans="1:66" ht="11.25" customHeight="1" x14ac:dyDescent="0.2">
      <c r="A11" s="44"/>
      <c r="B11" s="45"/>
      <c r="C11" s="46">
        <v>10</v>
      </c>
      <c r="D11" s="14" t="s">
        <v>76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24"/>
      <c r="Y11" s="18" t="str">
        <f t="shared" ref="Y11:Y14" si="15">D11</f>
        <v/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27"/>
      <c r="AT11" s="41"/>
      <c r="AU11" s="41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30"/>
    </row>
    <row r="12" spans="1:66" ht="11.25" customHeight="1" x14ac:dyDescent="0.2">
      <c r="A12" s="44"/>
      <c r="B12" s="45"/>
      <c r="C12" s="46">
        <v>11</v>
      </c>
      <c r="D12" s="14" t="s">
        <v>76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24"/>
      <c r="Y12" s="18" t="str">
        <f t="shared" si="15"/>
        <v/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27"/>
      <c r="AT12" s="41"/>
      <c r="AU12" s="41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30"/>
    </row>
    <row r="13" spans="1:66" ht="11.25" customHeight="1" x14ac:dyDescent="0.2">
      <c r="A13" s="44"/>
      <c r="B13" s="45"/>
      <c r="C13" s="46">
        <v>12</v>
      </c>
      <c r="D13" s="14" t="s">
        <v>76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24"/>
      <c r="Y13" s="18" t="str">
        <f t="shared" si="15"/>
        <v/>
      </c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27"/>
      <c r="AT13" s="41"/>
      <c r="AU13" s="41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30"/>
    </row>
    <row r="14" spans="1:66" ht="11.25" customHeight="1" x14ac:dyDescent="0.2">
      <c r="A14" s="44"/>
      <c r="B14" s="45"/>
      <c r="C14" s="46">
        <v>13</v>
      </c>
      <c r="D14" s="14" t="s">
        <v>76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24"/>
      <c r="Y14" s="18" t="str">
        <f t="shared" si="15"/>
        <v/>
      </c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27"/>
      <c r="AT14" s="41"/>
      <c r="AU14" s="41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30"/>
    </row>
    <row r="15" spans="1:66" ht="11.25" customHeight="1" x14ac:dyDescent="0.2">
      <c r="X15" s="24"/>
      <c r="Y15" s="19" t="s">
        <v>79</v>
      </c>
      <c r="Z15" s="34">
        <f>SUM(Z4:Z14)</f>
        <v>72</v>
      </c>
      <c r="AA15" s="34">
        <f t="shared" ref="AA15:AR15" si="16">SUM(AA4:AA14)</f>
        <v>0</v>
      </c>
      <c r="AB15" s="34">
        <f t="shared" si="16"/>
        <v>9</v>
      </c>
      <c r="AC15" s="34">
        <f t="shared" si="16"/>
        <v>26</v>
      </c>
      <c r="AD15" s="34">
        <f t="shared" si="16"/>
        <v>35</v>
      </c>
      <c r="AE15" s="34">
        <f t="shared" si="16"/>
        <v>43</v>
      </c>
      <c r="AF15" s="34">
        <f t="shared" si="16"/>
        <v>58</v>
      </c>
      <c r="AG15" s="34">
        <f t="shared" si="16"/>
        <v>63</v>
      </c>
      <c r="AH15" s="34">
        <f t="shared" si="16"/>
        <v>67</v>
      </c>
      <c r="AI15" s="34">
        <f t="shared" si="16"/>
        <v>67</v>
      </c>
      <c r="AJ15" s="34">
        <f t="shared" si="16"/>
        <v>67</v>
      </c>
      <c r="AK15" s="34" t="e">
        <f t="shared" si="16"/>
        <v>#N/A</v>
      </c>
      <c r="AL15" s="34" t="e">
        <f t="shared" si="16"/>
        <v>#N/A</v>
      </c>
      <c r="AM15" s="34" t="e">
        <f t="shared" si="16"/>
        <v>#N/A</v>
      </c>
      <c r="AN15" s="34" t="e">
        <f t="shared" si="16"/>
        <v>#N/A</v>
      </c>
      <c r="AO15" s="34" t="e">
        <f t="shared" si="16"/>
        <v>#N/A</v>
      </c>
      <c r="AP15" s="34" t="e">
        <f t="shared" si="16"/>
        <v>#N/A</v>
      </c>
      <c r="AQ15" s="34" t="e">
        <f t="shared" si="16"/>
        <v>#N/A</v>
      </c>
      <c r="AR15" s="34" t="e">
        <f t="shared" si="16"/>
        <v>#N/A</v>
      </c>
      <c r="AS15" s="27"/>
      <c r="AT15" s="41"/>
      <c r="AU15" s="41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30"/>
    </row>
    <row r="16" spans="1:66" ht="11.25" customHeight="1" x14ac:dyDescent="0.2">
      <c r="A16" s="75" t="s">
        <v>63</v>
      </c>
      <c r="B16" s="76"/>
      <c r="C16" s="21"/>
      <c r="D16" s="22" t="s">
        <v>75</v>
      </c>
      <c r="E16" s="23" t="s">
        <v>70</v>
      </c>
      <c r="F16" s="23">
        <v>0</v>
      </c>
      <c r="G16" s="23">
        <v>1</v>
      </c>
      <c r="H16" s="23">
        <v>2</v>
      </c>
      <c r="I16" s="23">
        <v>3</v>
      </c>
      <c r="J16" s="23">
        <v>4</v>
      </c>
      <c r="K16" s="23">
        <v>5</v>
      </c>
      <c r="L16" s="23">
        <v>6</v>
      </c>
      <c r="M16" s="23">
        <v>7</v>
      </c>
      <c r="N16" s="23">
        <v>8</v>
      </c>
      <c r="O16" s="23">
        <v>9</v>
      </c>
      <c r="P16" s="23">
        <v>10</v>
      </c>
      <c r="Q16" s="23">
        <v>11</v>
      </c>
      <c r="R16" s="23">
        <v>12</v>
      </c>
      <c r="S16" s="23">
        <v>13</v>
      </c>
      <c r="T16" s="23">
        <v>14</v>
      </c>
      <c r="U16" s="23">
        <v>15</v>
      </c>
      <c r="V16" s="23">
        <v>16</v>
      </c>
      <c r="W16" s="23">
        <v>17</v>
      </c>
      <c r="X16" s="24"/>
      <c r="Y16" s="17"/>
      <c r="Z16" s="25" t="s">
        <v>64</v>
      </c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7"/>
      <c r="AT16" s="28"/>
      <c r="AU16" s="28" t="s">
        <v>64</v>
      </c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30"/>
    </row>
    <row r="17" spans="1:66" ht="11.25" customHeight="1" x14ac:dyDescent="0.2">
      <c r="A17" s="32"/>
      <c r="B17" s="72">
        <v>2</v>
      </c>
      <c r="C17" s="33">
        <v>1</v>
      </c>
      <c r="D17" s="13" t="s">
        <v>272</v>
      </c>
      <c r="E17" s="16">
        <f t="shared" ref="E17:E26" si="17">SUM(F17:W17)</f>
        <v>15698</v>
      </c>
      <c r="F17" s="16">
        <f>SUMIFS([0]!VOTOS2,[0]!TURNO1,F$1,[0]!CANDIDATO1,$C17,[0]!MUNICIPIO1,$B$17)</f>
        <v>2044</v>
      </c>
      <c r="G17" s="16">
        <f>SUMIFS([0]!VOTOS2,[0]!TURNO1,G$1,[0]!CANDIDATO1,$C17,[0]!MUNICIPIO1,$B$17)</f>
        <v>1607</v>
      </c>
      <c r="H17" s="16">
        <f>SUMIFS([0]!VOTOS2,[0]!TURNO1,H$1,[0]!CANDIDATO1,$C17,[0]!MUNICIPIO1,$B$17)</f>
        <v>2568</v>
      </c>
      <c r="I17" s="16">
        <f>SUMIFS([0]!VOTOS2,[0]!TURNO1,I$1,[0]!CANDIDATO1,$C17,[0]!MUNICIPIO1,$B$17)</f>
        <v>2579</v>
      </c>
      <c r="J17" s="16">
        <f>SUMIFS([0]!VOTOS2,[0]!TURNO1,J$1,[0]!CANDIDATO1,$C17,[0]!MUNICIPIO1,$B$17)</f>
        <v>3462</v>
      </c>
      <c r="K17" s="16">
        <f>SUMIFS([0]!VOTOS2,[0]!TURNO1,K$1,[0]!CANDIDATO1,$C17,[0]!MUNICIPIO1,$B$17)</f>
        <v>2062</v>
      </c>
      <c r="L17" s="16">
        <f>SUMIFS([0]!VOTOS2,[0]!TURNO1,L$1,[0]!CANDIDATO1,$C17,[0]!MUNICIPIO1,$B$17)</f>
        <v>1167</v>
      </c>
      <c r="M17" s="16">
        <f>SUMIFS([0]!VOTOS2,[0]!TURNO1,M$1,[0]!CANDIDATO1,$C17,[0]!MUNICIPIO1,$B$17)</f>
        <v>115</v>
      </c>
      <c r="N17" s="16">
        <f>SUMIFS([0]!VOTOS2,[0]!TURNO1,N$1,[0]!CANDIDATO1,$C17,[0]!MUNICIPIO1,$B$17)</f>
        <v>53</v>
      </c>
      <c r="O17" s="16">
        <f>SUMIFS([0]!VOTOS2,[0]!TURNO1,O$1,[0]!CANDIDATO1,$C17,[0]!MUNICIPIO1,$B$17)</f>
        <v>41</v>
      </c>
      <c r="P17" s="16">
        <f>SUMIFS([0]!VOTOS2,[0]!TURNO1,P$1,[0]!CANDIDATO1,$C17,[0]!MUNICIPIO1,$B$17)</f>
        <v>0</v>
      </c>
      <c r="Q17" s="16">
        <f>SUMIFS([0]!VOTOS2,[0]!TURNO1,Q$1,[0]!CANDIDATO1,$C17,[0]!MUNICIPIO1,$B$17)</f>
        <v>0</v>
      </c>
      <c r="R17" s="16">
        <f>SUMIFS([0]!VOTOS2,[0]!TURNO1,R$1,[0]!CANDIDATO1,$C17,[0]!MUNICIPIO1,$B$17)</f>
        <v>0</v>
      </c>
      <c r="S17" s="16">
        <f>SUMIFS([0]!VOTOS2,[0]!TURNO1,S$1,[0]!CANDIDATO1,$C17,[0]!MUNICIPIO1,$B$17)</f>
        <v>0</v>
      </c>
      <c r="T17" s="16">
        <f>SUMIFS([0]!VOTOS2,[0]!TURNO1,T$1,[0]!CANDIDATO1,$C17,[0]!MUNICIPIO1,$B$17)</f>
        <v>0</v>
      </c>
      <c r="U17" s="16">
        <f>SUMIFS([0]!VOTOS2,[0]!TURNO1,U$1,[0]!CANDIDATO1,$C17,[0]!MUNICIPIO1,$B$17)</f>
        <v>0</v>
      </c>
      <c r="V17" s="16">
        <f>SUMIFS([0]!VOTOS2,[0]!TURNO1,V$1,[0]!CANDIDATO1,$C17,[0]!MUNICIPIO1,$B$17)</f>
        <v>0</v>
      </c>
      <c r="W17" s="16">
        <f>SUMIFS([0]!VOTOS2,[0]!TURNO1,W$1,[0]!CANDIDATO1,$C17,[0]!MUNICIPIO1,$B$17)</f>
        <v>0</v>
      </c>
      <c r="X17" s="24"/>
      <c r="Y17" s="18" t="str">
        <f t="shared" ref="Y17:Y29" si="18">D17</f>
        <v>JORGE RODRIGUEZ</v>
      </c>
      <c r="Z17" s="34">
        <f t="shared" ref="Z17:Z26" si="19">E17</f>
        <v>15698</v>
      </c>
      <c r="AA17" s="34">
        <f t="shared" ref="AA17:AA26" si="20">F17</f>
        <v>2044</v>
      </c>
      <c r="AB17" s="34">
        <f t="shared" ref="AB17:AR17" si="21">IF(SUM(G17:G29)=0,NA(),G17+AA17)</f>
        <v>3651</v>
      </c>
      <c r="AC17" s="34">
        <f t="shared" si="21"/>
        <v>6219</v>
      </c>
      <c r="AD17" s="34">
        <f t="shared" si="21"/>
        <v>8798</v>
      </c>
      <c r="AE17" s="34">
        <f t="shared" si="21"/>
        <v>12260</v>
      </c>
      <c r="AF17" s="34">
        <f t="shared" si="21"/>
        <v>14322</v>
      </c>
      <c r="AG17" s="34">
        <f t="shared" si="21"/>
        <v>15489</v>
      </c>
      <c r="AH17" s="34">
        <f t="shared" si="21"/>
        <v>15604</v>
      </c>
      <c r="AI17" s="34">
        <f t="shared" si="21"/>
        <v>15657</v>
      </c>
      <c r="AJ17" s="34">
        <f t="shared" si="21"/>
        <v>15698</v>
      </c>
      <c r="AK17" s="34" t="e">
        <f t="shared" si="21"/>
        <v>#N/A</v>
      </c>
      <c r="AL17" s="34" t="e">
        <f t="shared" si="21"/>
        <v>#N/A</v>
      </c>
      <c r="AM17" s="34" t="e">
        <f t="shared" si="21"/>
        <v>#N/A</v>
      </c>
      <c r="AN17" s="34" t="e">
        <f t="shared" si="21"/>
        <v>#N/A</v>
      </c>
      <c r="AO17" s="34" t="e">
        <f t="shared" si="21"/>
        <v>#N/A</v>
      </c>
      <c r="AP17" s="34" t="e">
        <f t="shared" si="21"/>
        <v>#N/A</v>
      </c>
      <c r="AQ17" s="34" t="e">
        <f t="shared" si="21"/>
        <v>#N/A</v>
      </c>
      <c r="AR17" s="34" t="e">
        <f t="shared" si="21"/>
        <v>#N/A</v>
      </c>
      <c r="AS17" s="27"/>
      <c r="AT17" s="35" t="str">
        <f t="shared" ref="AT17:AT18" si="22">Y17</f>
        <v>JORGE RODRIGUEZ</v>
      </c>
      <c r="AU17" s="36">
        <f t="shared" ref="AU17:BM17" si="23">Z17/(Z17+Z18+Z30)</f>
        <v>0.50230385255343657</v>
      </c>
      <c r="AV17" s="36">
        <f t="shared" si="23"/>
        <v>0.51138353765323996</v>
      </c>
      <c r="AW17" s="36">
        <f t="shared" si="23"/>
        <v>0.47663185378590078</v>
      </c>
      <c r="AX17" s="36">
        <f t="shared" si="23"/>
        <v>0.48491228070175441</v>
      </c>
      <c r="AY17" s="36">
        <f t="shared" si="23"/>
        <v>0.48943035157988429</v>
      </c>
      <c r="AZ17" s="36">
        <f t="shared" si="23"/>
        <v>0.51079076743604701</v>
      </c>
      <c r="BA17" s="36">
        <f t="shared" si="23"/>
        <v>0.50017461758748338</v>
      </c>
      <c r="BB17" s="36">
        <f t="shared" si="23"/>
        <v>0.50261219456793327</v>
      </c>
      <c r="BC17" s="36">
        <f t="shared" si="23"/>
        <v>0.50235013843281184</v>
      </c>
      <c r="BD17" s="36">
        <f t="shared" si="23"/>
        <v>0.50205220291156283</v>
      </c>
      <c r="BE17" s="36">
        <f t="shared" si="23"/>
        <v>0.50230385255343657</v>
      </c>
      <c r="BF17" s="36" t="e">
        <f t="shared" si="23"/>
        <v>#N/A</v>
      </c>
      <c r="BG17" s="36" t="e">
        <f t="shared" si="23"/>
        <v>#N/A</v>
      </c>
      <c r="BH17" s="36" t="e">
        <f t="shared" si="23"/>
        <v>#N/A</v>
      </c>
      <c r="BI17" s="36" t="e">
        <f t="shared" si="23"/>
        <v>#N/A</v>
      </c>
      <c r="BJ17" s="36" t="e">
        <f t="shared" si="23"/>
        <v>#N/A</v>
      </c>
      <c r="BK17" s="36" t="e">
        <f t="shared" si="23"/>
        <v>#N/A</v>
      </c>
      <c r="BL17" s="36" t="e">
        <f t="shared" si="23"/>
        <v>#N/A</v>
      </c>
      <c r="BM17" s="36" t="e">
        <f t="shared" si="23"/>
        <v>#N/A</v>
      </c>
      <c r="BN17" s="30"/>
    </row>
    <row r="18" spans="1:66" ht="11.25" customHeight="1" x14ac:dyDescent="0.2">
      <c r="A18" s="37"/>
      <c r="B18" s="73"/>
      <c r="C18" s="33">
        <v>2</v>
      </c>
      <c r="D18" s="13" t="s">
        <v>273</v>
      </c>
      <c r="E18" s="16">
        <f t="shared" si="17"/>
        <v>15378</v>
      </c>
      <c r="F18" s="16">
        <f>SUMIFS([0]!VOTOS2,[0]!TURNO1,F$1,[0]!CANDIDATO1,$C18,[0]!MUNICIPIO1,$B$17)</f>
        <v>1953</v>
      </c>
      <c r="G18" s="16">
        <f>SUMIFS([0]!VOTOS2,[0]!TURNO1,G$1,[0]!CANDIDATO1,$C18,[0]!MUNICIPIO1,$B$17)</f>
        <v>2037</v>
      </c>
      <c r="H18" s="16">
        <f>SUMIFS([0]!VOTOS2,[0]!TURNO1,H$1,[0]!CANDIDATO1,$C18,[0]!MUNICIPIO1,$B$17)</f>
        <v>2539</v>
      </c>
      <c r="I18" s="16">
        <f>SUMIFS([0]!VOTOS2,[0]!TURNO1,I$1,[0]!CANDIDATO1,$C18,[0]!MUNICIPIO1,$B$17)</f>
        <v>2544</v>
      </c>
      <c r="J18" s="16">
        <f>SUMIFS([0]!VOTOS2,[0]!TURNO1,J$1,[0]!CANDIDATO1,$C18,[0]!MUNICIPIO1,$B$17)</f>
        <v>2544</v>
      </c>
      <c r="K18" s="16">
        <f>SUMIFS([0]!VOTOS2,[0]!TURNO1,K$1,[0]!CANDIDATO1,$C18,[0]!MUNICIPIO1,$B$17)</f>
        <v>2542</v>
      </c>
      <c r="L18" s="16">
        <f>SUMIFS([0]!VOTOS2,[0]!TURNO1,L$1,[0]!CANDIDATO1,$C18,[0]!MUNICIPIO1,$B$17)</f>
        <v>1005</v>
      </c>
      <c r="M18" s="16">
        <f>SUMIFS([0]!VOTOS2,[0]!TURNO1,M$1,[0]!CANDIDATO1,$C18,[0]!MUNICIPIO1,$B$17)</f>
        <v>121</v>
      </c>
      <c r="N18" s="16">
        <f>SUMIFS([0]!VOTOS2,[0]!TURNO1,N$1,[0]!CANDIDATO1,$C18,[0]!MUNICIPIO1,$B$17)</f>
        <v>68</v>
      </c>
      <c r="O18" s="16">
        <f>SUMIFS([0]!VOTOS2,[0]!TURNO1,O$1,[0]!CANDIDATO1,$C18,[0]!MUNICIPIO1,$B$17)</f>
        <v>25</v>
      </c>
      <c r="P18" s="16">
        <f>SUMIFS([0]!VOTOS2,[0]!TURNO1,P$1,[0]!CANDIDATO1,$C18,[0]!MUNICIPIO1,$B$17)</f>
        <v>0</v>
      </c>
      <c r="Q18" s="16">
        <f>SUMIFS([0]!VOTOS2,[0]!TURNO1,Q$1,[0]!CANDIDATO1,$C18,[0]!MUNICIPIO1,$B$17)</f>
        <v>0</v>
      </c>
      <c r="R18" s="16">
        <f>SUMIFS([0]!VOTOS2,[0]!TURNO1,R$1,[0]!CANDIDATO1,$C18,[0]!MUNICIPIO1,$B$17)</f>
        <v>0</v>
      </c>
      <c r="S18" s="16">
        <f>SUMIFS([0]!VOTOS2,[0]!TURNO1,S$1,[0]!CANDIDATO1,$C18,[0]!MUNICIPIO1,$B$17)</f>
        <v>0</v>
      </c>
      <c r="T18" s="16">
        <f>SUMIFS([0]!VOTOS2,[0]!TURNO1,T$1,[0]!CANDIDATO1,$C18,[0]!MUNICIPIO1,$B$17)</f>
        <v>0</v>
      </c>
      <c r="U18" s="16">
        <f>SUMIFS([0]!VOTOS2,[0]!TURNO1,U$1,[0]!CANDIDATO1,$C18,[0]!MUNICIPIO1,$B$17)</f>
        <v>0</v>
      </c>
      <c r="V18" s="16">
        <f>SUMIFS([0]!VOTOS2,[0]!TURNO1,V$1,[0]!CANDIDATO1,$C18,[0]!MUNICIPIO1,$B$17)</f>
        <v>0</v>
      </c>
      <c r="W18" s="16">
        <f>SUMIFS([0]!VOTOS2,[0]!TURNO1,W$1,[0]!CANDIDATO1,$C18,[0]!MUNICIPIO1,$B$17)</f>
        <v>0</v>
      </c>
      <c r="X18" s="24"/>
      <c r="Y18" s="18" t="str">
        <f t="shared" si="18"/>
        <v>ISMAEL GARCIA</v>
      </c>
      <c r="Z18" s="34">
        <f t="shared" si="19"/>
        <v>15378</v>
      </c>
      <c r="AA18" s="34">
        <f t="shared" si="20"/>
        <v>1953</v>
      </c>
      <c r="AB18" s="34">
        <f t="shared" ref="AB18:AR18" si="24">IF(SUM(G17:G29)=0,NA(),G18+AA18)</f>
        <v>3990</v>
      </c>
      <c r="AC18" s="34">
        <f t="shared" si="24"/>
        <v>6529</v>
      </c>
      <c r="AD18" s="34">
        <f t="shared" si="24"/>
        <v>9073</v>
      </c>
      <c r="AE18" s="34">
        <f t="shared" si="24"/>
        <v>11617</v>
      </c>
      <c r="AF18" s="34">
        <f t="shared" si="24"/>
        <v>14159</v>
      </c>
      <c r="AG18" s="34">
        <f t="shared" si="24"/>
        <v>15164</v>
      </c>
      <c r="AH18" s="34">
        <f t="shared" si="24"/>
        <v>15285</v>
      </c>
      <c r="AI18" s="34">
        <f t="shared" si="24"/>
        <v>15353</v>
      </c>
      <c r="AJ18" s="34">
        <f t="shared" si="24"/>
        <v>15378</v>
      </c>
      <c r="AK18" s="34" t="e">
        <f t="shared" si="24"/>
        <v>#N/A</v>
      </c>
      <c r="AL18" s="34" t="e">
        <f t="shared" si="24"/>
        <v>#N/A</v>
      </c>
      <c r="AM18" s="34" t="e">
        <f t="shared" si="24"/>
        <v>#N/A</v>
      </c>
      <c r="AN18" s="34" t="e">
        <f t="shared" si="24"/>
        <v>#N/A</v>
      </c>
      <c r="AO18" s="34" t="e">
        <f t="shared" si="24"/>
        <v>#N/A</v>
      </c>
      <c r="AP18" s="34" t="e">
        <f t="shared" si="24"/>
        <v>#N/A</v>
      </c>
      <c r="AQ18" s="34" t="e">
        <f t="shared" si="24"/>
        <v>#N/A</v>
      </c>
      <c r="AR18" s="34" t="e">
        <f t="shared" si="24"/>
        <v>#N/A</v>
      </c>
      <c r="AS18" s="27"/>
      <c r="AT18" s="35" t="str">
        <f t="shared" si="22"/>
        <v>ISMAEL GARCIA</v>
      </c>
      <c r="AU18" s="36">
        <f t="shared" ref="AU18:BM18" si="25">Z18/(Z17+Z18+Z30)</f>
        <v>0.49206450787149625</v>
      </c>
      <c r="AV18" s="36">
        <f t="shared" si="25"/>
        <v>0.48861646234676009</v>
      </c>
      <c r="AW18" s="36">
        <f t="shared" si="25"/>
        <v>0.52088772845953002</v>
      </c>
      <c r="AX18" s="36">
        <f t="shared" si="25"/>
        <v>0.50908382066276803</v>
      </c>
      <c r="AY18" s="36">
        <f t="shared" si="25"/>
        <v>0.50472852692478865</v>
      </c>
      <c r="AZ18" s="36">
        <f t="shared" si="25"/>
        <v>0.48400133322223149</v>
      </c>
      <c r="BA18" s="36">
        <f t="shared" si="25"/>
        <v>0.4944820842355242</v>
      </c>
      <c r="BB18" s="36">
        <f t="shared" si="25"/>
        <v>0.49206606743031445</v>
      </c>
      <c r="BC18" s="36">
        <f t="shared" si="25"/>
        <v>0.49208035541819589</v>
      </c>
      <c r="BD18" s="36">
        <f t="shared" si="25"/>
        <v>0.49230423908163917</v>
      </c>
      <c r="BE18" s="36">
        <f t="shared" si="25"/>
        <v>0.49206450787149625</v>
      </c>
      <c r="BF18" s="36" t="e">
        <f t="shared" si="25"/>
        <v>#N/A</v>
      </c>
      <c r="BG18" s="36" t="e">
        <f t="shared" si="25"/>
        <v>#N/A</v>
      </c>
      <c r="BH18" s="36" t="e">
        <f t="shared" si="25"/>
        <v>#N/A</v>
      </c>
      <c r="BI18" s="36" t="e">
        <f t="shared" si="25"/>
        <v>#N/A</v>
      </c>
      <c r="BJ18" s="36" t="e">
        <f t="shared" si="25"/>
        <v>#N/A</v>
      </c>
      <c r="BK18" s="36" t="e">
        <f t="shared" si="25"/>
        <v>#N/A</v>
      </c>
      <c r="BL18" s="36" t="e">
        <f t="shared" si="25"/>
        <v>#N/A</v>
      </c>
      <c r="BM18" s="36" t="e">
        <f t="shared" si="25"/>
        <v>#N/A</v>
      </c>
      <c r="BN18" s="30"/>
    </row>
    <row r="19" spans="1:66" ht="11.25" customHeight="1" x14ac:dyDescent="0.2">
      <c r="A19" s="37"/>
      <c r="B19" s="73"/>
      <c r="C19" s="33">
        <v>3</v>
      </c>
      <c r="D19" s="13" t="s">
        <v>274</v>
      </c>
      <c r="E19" s="16">
        <f t="shared" si="17"/>
        <v>34</v>
      </c>
      <c r="F19" s="16">
        <f>SUMIFS([0]!VOTOS2,[0]!TURNO1,F$1,[0]!CANDIDATO1,$C19,[0]!MUNICIPIO1,$B$17)</f>
        <v>0</v>
      </c>
      <c r="G19" s="16">
        <f>SUMIFS([0]!VOTOS2,[0]!TURNO1,G$1,[0]!CANDIDATO1,$C19,[0]!MUNICIPIO1,$B$17)</f>
        <v>10</v>
      </c>
      <c r="H19" s="16">
        <f>SUMIFS([0]!VOTOS2,[0]!TURNO1,H$1,[0]!CANDIDATO1,$C19,[0]!MUNICIPIO1,$B$17)</f>
        <v>2</v>
      </c>
      <c r="I19" s="16">
        <f>SUMIFS([0]!VOTOS2,[0]!TURNO1,I$1,[0]!CANDIDATO1,$C19,[0]!MUNICIPIO1,$B$17)</f>
        <v>8</v>
      </c>
      <c r="J19" s="16">
        <f>SUMIFS([0]!VOTOS2,[0]!TURNO1,J$1,[0]!CANDIDATO1,$C19,[0]!MUNICIPIO1,$B$17)</f>
        <v>2</v>
      </c>
      <c r="K19" s="16">
        <f>SUMIFS([0]!VOTOS2,[0]!TURNO1,K$1,[0]!CANDIDATO1,$C19,[0]!MUNICIPIO1,$B$17)</f>
        <v>7</v>
      </c>
      <c r="L19" s="16">
        <f>SUMIFS([0]!VOTOS2,[0]!TURNO1,L$1,[0]!CANDIDATO1,$C19,[0]!MUNICIPIO1,$B$17)</f>
        <v>1</v>
      </c>
      <c r="M19" s="16">
        <f>SUMIFS([0]!VOTOS2,[0]!TURNO1,M$1,[0]!CANDIDATO1,$C19,[0]!MUNICIPIO1,$B$17)</f>
        <v>1</v>
      </c>
      <c r="N19" s="16">
        <f>SUMIFS([0]!VOTOS2,[0]!TURNO1,N$1,[0]!CANDIDATO1,$C19,[0]!MUNICIPIO1,$B$17)</f>
        <v>3</v>
      </c>
      <c r="O19" s="16">
        <f>SUMIFS([0]!VOTOS2,[0]!TURNO1,O$1,[0]!CANDIDATO1,$C19,[0]!MUNICIPIO1,$B$17)</f>
        <v>0</v>
      </c>
      <c r="P19" s="16">
        <f>SUMIFS([0]!VOTOS2,[0]!TURNO1,P$1,[0]!CANDIDATO1,$C19,[0]!MUNICIPIO1,$B$17)</f>
        <v>0</v>
      </c>
      <c r="Q19" s="16">
        <f>SUMIFS([0]!VOTOS2,[0]!TURNO1,Q$1,[0]!CANDIDATO1,$C19,[0]!MUNICIPIO1,$B$17)</f>
        <v>0</v>
      </c>
      <c r="R19" s="16">
        <f>SUMIFS([0]!VOTOS2,[0]!TURNO1,R$1,[0]!CANDIDATO1,$C19,[0]!MUNICIPIO1,$B$17)</f>
        <v>0</v>
      </c>
      <c r="S19" s="16">
        <f>SUMIFS([0]!VOTOS2,[0]!TURNO1,S$1,[0]!CANDIDATO1,$C19,[0]!MUNICIPIO1,$B$17)</f>
        <v>0</v>
      </c>
      <c r="T19" s="16">
        <f>SUMIFS([0]!VOTOS2,[0]!TURNO1,T$1,[0]!CANDIDATO1,$C19,[0]!MUNICIPIO1,$B$17)</f>
        <v>0</v>
      </c>
      <c r="U19" s="16">
        <f>SUMIFS([0]!VOTOS2,[0]!TURNO1,U$1,[0]!CANDIDATO1,$C19,[0]!MUNICIPIO1,$B$17)</f>
        <v>0</v>
      </c>
      <c r="V19" s="16">
        <f>SUMIFS([0]!VOTOS2,[0]!TURNO1,V$1,[0]!CANDIDATO1,$C19,[0]!MUNICIPIO1,$B$17)</f>
        <v>0</v>
      </c>
      <c r="W19" s="16">
        <f>SUMIFS([0]!VOTOS2,[0]!TURNO1,W$1,[0]!CANDIDATO1,$C19,[0]!MUNICIPIO1,$B$17)</f>
        <v>0</v>
      </c>
      <c r="X19" s="24"/>
      <c r="Y19" s="18" t="str">
        <f t="shared" si="18"/>
        <v>ANTONIO ECARRI</v>
      </c>
      <c r="Z19" s="34">
        <f t="shared" si="19"/>
        <v>34</v>
      </c>
      <c r="AA19" s="34">
        <f t="shared" si="20"/>
        <v>0</v>
      </c>
      <c r="AB19" s="34">
        <f t="shared" ref="AB19:AR19" si="26">IF(SUM(G17:G29)=0,NA(),G19+AA19)</f>
        <v>10</v>
      </c>
      <c r="AC19" s="34">
        <f t="shared" si="26"/>
        <v>12</v>
      </c>
      <c r="AD19" s="34">
        <f t="shared" si="26"/>
        <v>20</v>
      </c>
      <c r="AE19" s="34">
        <f t="shared" si="26"/>
        <v>22</v>
      </c>
      <c r="AF19" s="34">
        <f t="shared" si="26"/>
        <v>29</v>
      </c>
      <c r="AG19" s="34">
        <f t="shared" si="26"/>
        <v>30</v>
      </c>
      <c r="AH19" s="34">
        <f t="shared" si="26"/>
        <v>31</v>
      </c>
      <c r="AI19" s="34">
        <f t="shared" si="26"/>
        <v>34</v>
      </c>
      <c r="AJ19" s="34">
        <f t="shared" si="26"/>
        <v>34</v>
      </c>
      <c r="AK19" s="34" t="e">
        <f t="shared" si="26"/>
        <v>#N/A</v>
      </c>
      <c r="AL19" s="34" t="e">
        <f t="shared" si="26"/>
        <v>#N/A</v>
      </c>
      <c r="AM19" s="34" t="e">
        <f t="shared" si="26"/>
        <v>#N/A</v>
      </c>
      <c r="AN19" s="34" t="e">
        <f t="shared" si="26"/>
        <v>#N/A</v>
      </c>
      <c r="AO19" s="34" t="e">
        <f t="shared" si="26"/>
        <v>#N/A</v>
      </c>
      <c r="AP19" s="34" t="e">
        <f t="shared" si="26"/>
        <v>#N/A</v>
      </c>
      <c r="AQ19" s="34" t="e">
        <f t="shared" si="26"/>
        <v>#N/A</v>
      </c>
      <c r="AR19" s="34" t="e">
        <f t="shared" si="26"/>
        <v>#N/A</v>
      </c>
      <c r="AS19" s="27"/>
      <c r="AT19" s="35" t="str">
        <f t="shared" ref="AT19" si="27">Y30</f>
        <v>Otros</v>
      </c>
      <c r="AU19" s="36">
        <f t="shared" ref="AU19:BM19" si="28">Z30/(Z17+Z18+Z30)</f>
        <v>5.631639575067196E-3</v>
      </c>
      <c r="AV19" s="36">
        <f t="shared" si="28"/>
        <v>0</v>
      </c>
      <c r="AW19" s="36">
        <f t="shared" si="28"/>
        <v>2.4804177545691905E-3</v>
      </c>
      <c r="AX19" s="36">
        <f t="shared" si="28"/>
        <v>6.0038986354775826E-3</v>
      </c>
      <c r="AY19" s="36">
        <f t="shared" si="28"/>
        <v>5.8411214953271026E-3</v>
      </c>
      <c r="AZ19" s="36">
        <f t="shared" si="28"/>
        <v>5.2078993417215228E-3</v>
      </c>
      <c r="BA19" s="36">
        <f t="shared" si="28"/>
        <v>5.3432981769923867E-3</v>
      </c>
      <c r="BB19" s="36">
        <f t="shared" si="28"/>
        <v>5.3217380017522792E-3</v>
      </c>
      <c r="BC19" s="36">
        <f t="shared" si="28"/>
        <v>5.5695061489923377E-3</v>
      </c>
      <c r="BD19" s="36">
        <f t="shared" si="28"/>
        <v>5.6435580067979224E-3</v>
      </c>
      <c r="BE19" s="36">
        <f t="shared" si="28"/>
        <v>5.631639575067196E-3</v>
      </c>
      <c r="BF19" s="36" t="e">
        <f t="shared" si="28"/>
        <v>#N/A</v>
      </c>
      <c r="BG19" s="36" t="e">
        <f t="shared" si="28"/>
        <v>#N/A</v>
      </c>
      <c r="BH19" s="36" t="e">
        <f t="shared" si="28"/>
        <v>#N/A</v>
      </c>
      <c r="BI19" s="36" t="e">
        <f t="shared" si="28"/>
        <v>#N/A</v>
      </c>
      <c r="BJ19" s="36" t="e">
        <f t="shared" si="28"/>
        <v>#N/A</v>
      </c>
      <c r="BK19" s="36" t="e">
        <f t="shared" si="28"/>
        <v>#N/A</v>
      </c>
      <c r="BL19" s="36" t="e">
        <f t="shared" si="28"/>
        <v>#N/A</v>
      </c>
      <c r="BM19" s="36" t="e">
        <f t="shared" si="28"/>
        <v>#N/A</v>
      </c>
      <c r="BN19" s="30"/>
    </row>
    <row r="20" spans="1:66" ht="11.25" customHeight="1" x14ac:dyDescent="0.2">
      <c r="A20" s="38" t="s">
        <v>28</v>
      </c>
      <c r="B20" s="73"/>
      <c r="C20" s="33">
        <v>4</v>
      </c>
      <c r="D20" s="13" t="s">
        <v>275</v>
      </c>
      <c r="E20" s="16">
        <f t="shared" si="17"/>
        <v>6</v>
      </c>
      <c r="F20" s="16">
        <f>SUMIFS([0]!VOTOS2,[0]!TURNO1,F$1,[0]!CANDIDATO1,$C20,[0]!MUNICIPIO1,$B$17)</f>
        <v>0</v>
      </c>
      <c r="G20" s="16">
        <f>SUMIFS([0]!VOTOS2,[0]!TURNO1,G$1,[0]!CANDIDATO1,$C20,[0]!MUNICIPIO1,$B$17)</f>
        <v>0</v>
      </c>
      <c r="H20" s="16">
        <f>SUMIFS([0]!VOTOS2,[0]!TURNO1,H$1,[0]!CANDIDATO1,$C20,[0]!MUNICIPIO1,$B$17)</f>
        <v>1</v>
      </c>
      <c r="I20" s="16">
        <f>SUMIFS([0]!VOTOS2,[0]!TURNO1,I$1,[0]!CANDIDATO1,$C20,[0]!MUNICIPIO1,$B$17)</f>
        <v>1</v>
      </c>
      <c r="J20" s="16">
        <f>SUMIFS([0]!VOTOS2,[0]!TURNO1,J$1,[0]!CANDIDATO1,$C20,[0]!MUNICIPIO1,$B$17)</f>
        <v>2</v>
      </c>
      <c r="K20" s="16">
        <f>SUMIFS([0]!VOTOS2,[0]!TURNO1,K$1,[0]!CANDIDATO1,$C20,[0]!MUNICIPIO1,$B$17)</f>
        <v>0</v>
      </c>
      <c r="L20" s="16">
        <f>SUMIFS([0]!VOTOS2,[0]!TURNO1,L$1,[0]!CANDIDATO1,$C20,[0]!MUNICIPIO1,$B$17)</f>
        <v>1</v>
      </c>
      <c r="M20" s="16">
        <f>SUMIFS([0]!VOTOS2,[0]!TURNO1,M$1,[0]!CANDIDATO1,$C20,[0]!MUNICIPIO1,$B$17)</f>
        <v>1</v>
      </c>
      <c r="N20" s="16">
        <f>SUMIFS([0]!VOTOS2,[0]!TURNO1,N$1,[0]!CANDIDATO1,$C20,[0]!MUNICIPIO1,$B$17)</f>
        <v>0</v>
      </c>
      <c r="O20" s="16">
        <f>SUMIFS([0]!VOTOS2,[0]!TURNO1,O$1,[0]!CANDIDATO1,$C20,[0]!MUNICIPIO1,$B$17)</f>
        <v>0</v>
      </c>
      <c r="P20" s="16">
        <f>SUMIFS([0]!VOTOS2,[0]!TURNO1,P$1,[0]!CANDIDATO1,$C20,[0]!MUNICIPIO1,$B$17)</f>
        <v>0</v>
      </c>
      <c r="Q20" s="16">
        <f>SUMIFS([0]!VOTOS2,[0]!TURNO1,Q$1,[0]!CANDIDATO1,$C20,[0]!MUNICIPIO1,$B$17)</f>
        <v>0</v>
      </c>
      <c r="R20" s="16">
        <f>SUMIFS([0]!VOTOS2,[0]!TURNO1,R$1,[0]!CANDIDATO1,$C20,[0]!MUNICIPIO1,$B$17)</f>
        <v>0</v>
      </c>
      <c r="S20" s="16">
        <f>SUMIFS([0]!VOTOS2,[0]!TURNO1,S$1,[0]!CANDIDATO1,$C20,[0]!MUNICIPIO1,$B$17)</f>
        <v>0</v>
      </c>
      <c r="T20" s="16">
        <f>SUMIFS([0]!VOTOS2,[0]!TURNO1,T$1,[0]!CANDIDATO1,$C20,[0]!MUNICIPIO1,$B$17)</f>
        <v>0</v>
      </c>
      <c r="U20" s="16">
        <f>SUMIFS([0]!VOTOS2,[0]!TURNO1,U$1,[0]!CANDIDATO1,$C20,[0]!MUNICIPIO1,$B$17)</f>
        <v>0</v>
      </c>
      <c r="V20" s="16">
        <f>SUMIFS([0]!VOTOS2,[0]!TURNO1,V$1,[0]!CANDIDATO1,$C20,[0]!MUNICIPIO1,$B$17)</f>
        <v>0</v>
      </c>
      <c r="W20" s="16">
        <f>SUMIFS([0]!VOTOS2,[0]!TURNO1,W$1,[0]!CANDIDATO1,$C20,[0]!MUNICIPIO1,$B$17)</f>
        <v>0</v>
      </c>
      <c r="X20" s="24"/>
      <c r="Y20" s="18" t="str">
        <f t="shared" si="18"/>
        <v>FELIX RODRIGUEZ</v>
      </c>
      <c r="Z20" s="34">
        <f t="shared" si="19"/>
        <v>6</v>
      </c>
      <c r="AA20" s="34">
        <f t="shared" si="20"/>
        <v>0</v>
      </c>
      <c r="AB20" s="34">
        <f t="shared" ref="AB20:AR20" si="29">IF(SUM(G17:G29)=0,NA(),G20+AA20)</f>
        <v>0</v>
      </c>
      <c r="AC20" s="34">
        <f t="shared" si="29"/>
        <v>1</v>
      </c>
      <c r="AD20" s="34">
        <f t="shared" si="29"/>
        <v>2</v>
      </c>
      <c r="AE20" s="34">
        <f t="shared" si="29"/>
        <v>4</v>
      </c>
      <c r="AF20" s="34">
        <f t="shared" si="29"/>
        <v>4</v>
      </c>
      <c r="AG20" s="34">
        <f t="shared" si="29"/>
        <v>5</v>
      </c>
      <c r="AH20" s="34">
        <f t="shared" si="29"/>
        <v>6</v>
      </c>
      <c r="AI20" s="34">
        <f t="shared" si="29"/>
        <v>6</v>
      </c>
      <c r="AJ20" s="34">
        <f t="shared" si="29"/>
        <v>6</v>
      </c>
      <c r="AK20" s="34" t="e">
        <f t="shared" si="29"/>
        <v>#N/A</v>
      </c>
      <c r="AL20" s="34" t="e">
        <f t="shared" si="29"/>
        <v>#N/A</v>
      </c>
      <c r="AM20" s="34" t="e">
        <f t="shared" si="29"/>
        <v>#N/A</v>
      </c>
      <c r="AN20" s="34" t="e">
        <f t="shared" si="29"/>
        <v>#N/A</v>
      </c>
      <c r="AO20" s="34" t="e">
        <f t="shared" si="29"/>
        <v>#N/A</v>
      </c>
      <c r="AP20" s="34" t="e">
        <f t="shared" si="29"/>
        <v>#N/A</v>
      </c>
      <c r="AQ20" s="34" t="e">
        <f t="shared" si="29"/>
        <v>#N/A</v>
      </c>
      <c r="AR20" s="34" t="e">
        <f t="shared" si="29"/>
        <v>#N/A</v>
      </c>
      <c r="AS20" s="27"/>
      <c r="AT20" s="39"/>
      <c r="AU20" s="39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30"/>
    </row>
    <row r="21" spans="1:66" ht="11.25" customHeight="1" x14ac:dyDescent="0.2">
      <c r="A21" s="38" t="s">
        <v>12</v>
      </c>
      <c r="B21" s="73"/>
      <c r="C21" s="33">
        <v>5</v>
      </c>
      <c r="D21" s="13" t="s">
        <v>276</v>
      </c>
      <c r="E21" s="16">
        <f t="shared" si="17"/>
        <v>20</v>
      </c>
      <c r="F21" s="16">
        <f>SUMIFS([0]!VOTOS2,[0]!TURNO1,F$1,[0]!CANDIDATO1,$C21,[0]!MUNICIPIO1,$B$17)</f>
        <v>0</v>
      </c>
      <c r="G21" s="16">
        <f>SUMIFS([0]!VOTOS2,[0]!TURNO1,G$1,[0]!CANDIDATO1,$C21,[0]!MUNICIPIO1,$B$17)</f>
        <v>0</v>
      </c>
      <c r="H21" s="16">
        <f>SUMIFS([0]!VOTOS2,[0]!TURNO1,H$1,[0]!CANDIDATO1,$C21,[0]!MUNICIPIO1,$B$17)</f>
        <v>13</v>
      </c>
      <c r="I21" s="16">
        <f>SUMIFS([0]!VOTOS2,[0]!TURNO1,I$1,[0]!CANDIDATO1,$C21,[0]!MUNICIPIO1,$B$17)</f>
        <v>1</v>
      </c>
      <c r="J21" s="16">
        <f>SUMIFS([0]!VOTOS2,[0]!TURNO1,J$1,[0]!CANDIDATO1,$C21,[0]!MUNICIPIO1,$B$17)</f>
        <v>1</v>
      </c>
      <c r="K21" s="16">
        <f>SUMIFS([0]!VOTOS2,[0]!TURNO1,K$1,[0]!CANDIDATO1,$C21,[0]!MUNICIPIO1,$B$17)</f>
        <v>5</v>
      </c>
      <c r="L21" s="16">
        <f>SUMIFS([0]!VOTOS2,[0]!TURNO1,L$1,[0]!CANDIDATO1,$C21,[0]!MUNICIPIO1,$B$17)</f>
        <v>0</v>
      </c>
      <c r="M21" s="16">
        <f>SUMIFS([0]!VOTOS2,[0]!TURNO1,M$1,[0]!CANDIDATO1,$C21,[0]!MUNICIPIO1,$B$17)</f>
        <v>0</v>
      </c>
      <c r="N21" s="16">
        <f>SUMIFS([0]!VOTOS2,[0]!TURNO1,N$1,[0]!CANDIDATO1,$C21,[0]!MUNICIPIO1,$B$17)</f>
        <v>0</v>
      </c>
      <c r="O21" s="16">
        <f>SUMIFS([0]!VOTOS2,[0]!TURNO1,O$1,[0]!CANDIDATO1,$C21,[0]!MUNICIPIO1,$B$17)</f>
        <v>0</v>
      </c>
      <c r="P21" s="16">
        <f>SUMIFS([0]!VOTOS2,[0]!TURNO1,P$1,[0]!CANDIDATO1,$C21,[0]!MUNICIPIO1,$B$17)</f>
        <v>0</v>
      </c>
      <c r="Q21" s="16">
        <f>SUMIFS([0]!VOTOS2,[0]!TURNO1,Q$1,[0]!CANDIDATO1,$C21,[0]!MUNICIPIO1,$B$17)</f>
        <v>0</v>
      </c>
      <c r="R21" s="16">
        <f>SUMIFS([0]!VOTOS2,[0]!TURNO1,R$1,[0]!CANDIDATO1,$C21,[0]!MUNICIPIO1,$B$17)</f>
        <v>0</v>
      </c>
      <c r="S21" s="16">
        <f>SUMIFS([0]!VOTOS2,[0]!TURNO1,S$1,[0]!CANDIDATO1,$C21,[0]!MUNICIPIO1,$B$17)</f>
        <v>0</v>
      </c>
      <c r="T21" s="16">
        <f>SUMIFS([0]!VOTOS2,[0]!TURNO1,T$1,[0]!CANDIDATO1,$C21,[0]!MUNICIPIO1,$B$17)</f>
        <v>0</v>
      </c>
      <c r="U21" s="16">
        <f>SUMIFS([0]!VOTOS2,[0]!TURNO1,U$1,[0]!CANDIDATO1,$C21,[0]!MUNICIPIO1,$B$17)</f>
        <v>0</v>
      </c>
      <c r="V21" s="16">
        <f>SUMIFS([0]!VOTOS2,[0]!TURNO1,V$1,[0]!CANDIDATO1,$C21,[0]!MUNICIPIO1,$B$17)</f>
        <v>0</v>
      </c>
      <c r="W21" s="16">
        <f>SUMIFS([0]!VOTOS2,[0]!TURNO1,W$1,[0]!CANDIDATO1,$C21,[0]!MUNICIPIO1,$B$17)</f>
        <v>0</v>
      </c>
      <c r="X21" s="24"/>
      <c r="Y21" s="18" t="str">
        <f t="shared" si="18"/>
        <v>JAVIER PEÑALOZA</v>
      </c>
      <c r="Z21" s="34">
        <f t="shared" si="19"/>
        <v>20</v>
      </c>
      <c r="AA21" s="34">
        <f t="shared" si="20"/>
        <v>0</v>
      </c>
      <c r="AB21" s="34">
        <f t="shared" ref="AB21:AR21" si="30">IF(SUM(G17:G29)=0,NA(),G21+AA21)</f>
        <v>0</v>
      </c>
      <c r="AC21" s="34">
        <f t="shared" si="30"/>
        <v>13</v>
      </c>
      <c r="AD21" s="34">
        <f t="shared" si="30"/>
        <v>14</v>
      </c>
      <c r="AE21" s="34">
        <f t="shared" si="30"/>
        <v>15</v>
      </c>
      <c r="AF21" s="34">
        <f t="shared" si="30"/>
        <v>20</v>
      </c>
      <c r="AG21" s="34">
        <f t="shared" si="30"/>
        <v>20</v>
      </c>
      <c r="AH21" s="34">
        <f t="shared" si="30"/>
        <v>20</v>
      </c>
      <c r="AI21" s="34">
        <f t="shared" si="30"/>
        <v>20</v>
      </c>
      <c r="AJ21" s="34">
        <f t="shared" si="30"/>
        <v>20</v>
      </c>
      <c r="AK21" s="34" t="e">
        <f t="shared" si="30"/>
        <v>#N/A</v>
      </c>
      <c r="AL21" s="34" t="e">
        <f t="shared" si="30"/>
        <v>#N/A</v>
      </c>
      <c r="AM21" s="34" t="e">
        <f t="shared" si="30"/>
        <v>#N/A</v>
      </c>
      <c r="AN21" s="34" t="e">
        <f t="shared" si="30"/>
        <v>#N/A</v>
      </c>
      <c r="AO21" s="34" t="e">
        <f t="shared" si="30"/>
        <v>#N/A</v>
      </c>
      <c r="AP21" s="34" t="e">
        <f t="shared" si="30"/>
        <v>#N/A</v>
      </c>
      <c r="AQ21" s="34" t="e">
        <f t="shared" si="30"/>
        <v>#N/A</v>
      </c>
      <c r="AR21" s="34" t="e">
        <f t="shared" si="30"/>
        <v>#N/A</v>
      </c>
      <c r="AS21" s="27"/>
      <c r="AT21" s="39"/>
      <c r="AU21" s="39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30"/>
    </row>
    <row r="22" spans="1:66" ht="11.25" customHeight="1" x14ac:dyDescent="0.2">
      <c r="A22" s="37"/>
      <c r="B22" s="73"/>
      <c r="C22" s="33">
        <v>6</v>
      </c>
      <c r="D22" s="13" t="s">
        <v>277</v>
      </c>
      <c r="E22" s="16">
        <f t="shared" si="17"/>
        <v>10</v>
      </c>
      <c r="F22" s="16">
        <f>SUMIFS([0]!VOTOS2,[0]!TURNO1,F$1,[0]!CANDIDATO1,$C22,[0]!MUNICIPIO1,$B$17)</f>
        <v>0</v>
      </c>
      <c r="G22" s="16">
        <f>SUMIFS([0]!VOTOS2,[0]!TURNO1,G$1,[0]!CANDIDATO1,$C22,[0]!MUNICIPIO1,$B$17)</f>
        <v>0</v>
      </c>
      <c r="H22" s="16">
        <f>SUMIFS([0]!VOTOS2,[0]!TURNO1,H$1,[0]!CANDIDATO1,$C22,[0]!MUNICIPIO1,$B$17)</f>
        <v>0</v>
      </c>
      <c r="I22" s="16">
        <f>SUMIFS([0]!VOTOS2,[0]!TURNO1,I$1,[0]!CANDIDATO1,$C22,[0]!MUNICIPIO1,$B$17)</f>
        <v>5</v>
      </c>
      <c r="J22" s="16">
        <f>SUMIFS([0]!VOTOS2,[0]!TURNO1,J$1,[0]!CANDIDATO1,$C22,[0]!MUNICIPIO1,$B$17)</f>
        <v>2</v>
      </c>
      <c r="K22" s="16">
        <f>SUMIFS([0]!VOTOS2,[0]!TURNO1,K$1,[0]!CANDIDATO1,$C22,[0]!MUNICIPIO1,$B$17)</f>
        <v>1</v>
      </c>
      <c r="L22" s="16">
        <f>SUMIFS([0]!VOTOS2,[0]!TURNO1,L$1,[0]!CANDIDATO1,$C22,[0]!MUNICIPIO1,$B$17)</f>
        <v>2</v>
      </c>
      <c r="M22" s="16">
        <f>SUMIFS([0]!VOTOS2,[0]!TURNO1,M$1,[0]!CANDIDATO1,$C22,[0]!MUNICIPIO1,$B$17)</f>
        <v>0</v>
      </c>
      <c r="N22" s="16">
        <f>SUMIFS([0]!VOTOS2,[0]!TURNO1,N$1,[0]!CANDIDATO1,$C22,[0]!MUNICIPIO1,$B$17)</f>
        <v>0</v>
      </c>
      <c r="O22" s="16">
        <f>SUMIFS([0]!VOTOS2,[0]!TURNO1,O$1,[0]!CANDIDATO1,$C22,[0]!MUNICIPIO1,$B$17)</f>
        <v>0</v>
      </c>
      <c r="P22" s="16">
        <f>SUMIFS([0]!VOTOS2,[0]!TURNO1,P$1,[0]!CANDIDATO1,$C22,[0]!MUNICIPIO1,$B$17)</f>
        <v>0</v>
      </c>
      <c r="Q22" s="16">
        <f>SUMIFS([0]!VOTOS2,[0]!TURNO1,Q$1,[0]!CANDIDATO1,$C22,[0]!MUNICIPIO1,$B$17)</f>
        <v>0</v>
      </c>
      <c r="R22" s="16">
        <f>SUMIFS([0]!VOTOS2,[0]!TURNO1,R$1,[0]!CANDIDATO1,$C22,[0]!MUNICIPIO1,$B$17)</f>
        <v>0</v>
      </c>
      <c r="S22" s="16">
        <f>SUMIFS([0]!VOTOS2,[0]!TURNO1,S$1,[0]!CANDIDATO1,$C22,[0]!MUNICIPIO1,$B$17)</f>
        <v>0</v>
      </c>
      <c r="T22" s="16">
        <f>SUMIFS([0]!VOTOS2,[0]!TURNO1,T$1,[0]!CANDIDATO1,$C22,[0]!MUNICIPIO1,$B$17)</f>
        <v>0</v>
      </c>
      <c r="U22" s="16">
        <f>SUMIFS([0]!VOTOS2,[0]!TURNO1,U$1,[0]!CANDIDATO1,$C22,[0]!MUNICIPIO1,$B$17)</f>
        <v>0</v>
      </c>
      <c r="V22" s="16">
        <f>SUMIFS([0]!VOTOS2,[0]!TURNO1,V$1,[0]!CANDIDATO1,$C22,[0]!MUNICIPIO1,$B$17)</f>
        <v>0</v>
      </c>
      <c r="W22" s="16">
        <f>SUMIFS([0]!VOTOS2,[0]!TURNO1,W$1,[0]!CANDIDATO1,$C22,[0]!MUNICIPIO1,$B$17)</f>
        <v>0</v>
      </c>
      <c r="X22" s="24"/>
      <c r="Y22" s="18" t="str">
        <f t="shared" si="18"/>
        <v>BRIGIDA GARCIA</v>
      </c>
      <c r="Z22" s="34">
        <f t="shared" si="19"/>
        <v>10</v>
      </c>
      <c r="AA22" s="34">
        <f t="shared" si="20"/>
        <v>0</v>
      </c>
      <c r="AB22" s="34">
        <f t="shared" ref="AB22:AR22" si="31">IF(SUM(G17:G29)=0,NA(),G22+AA22)</f>
        <v>0</v>
      </c>
      <c r="AC22" s="34">
        <f t="shared" si="31"/>
        <v>0</v>
      </c>
      <c r="AD22" s="34">
        <f t="shared" si="31"/>
        <v>5</v>
      </c>
      <c r="AE22" s="34">
        <f t="shared" si="31"/>
        <v>7</v>
      </c>
      <c r="AF22" s="34">
        <f t="shared" si="31"/>
        <v>8</v>
      </c>
      <c r="AG22" s="34">
        <f t="shared" si="31"/>
        <v>10</v>
      </c>
      <c r="AH22" s="34">
        <f t="shared" si="31"/>
        <v>10</v>
      </c>
      <c r="AI22" s="34">
        <f t="shared" si="31"/>
        <v>10</v>
      </c>
      <c r="AJ22" s="34">
        <f t="shared" si="31"/>
        <v>10</v>
      </c>
      <c r="AK22" s="34" t="e">
        <f t="shared" si="31"/>
        <v>#N/A</v>
      </c>
      <c r="AL22" s="34" t="e">
        <f t="shared" si="31"/>
        <v>#N/A</v>
      </c>
      <c r="AM22" s="34" t="e">
        <f t="shared" si="31"/>
        <v>#N/A</v>
      </c>
      <c r="AN22" s="34" t="e">
        <f t="shared" si="31"/>
        <v>#N/A</v>
      </c>
      <c r="AO22" s="34" t="e">
        <f t="shared" si="31"/>
        <v>#N/A</v>
      </c>
      <c r="AP22" s="34" t="e">
        <f t="shared" si="31"/>
        <v>#N/A</v>
      </c>
      <c r="AQ22" s="34" t="e">
        <f t="shared" si="31"/>
        <v>#N/A</v>
      </c>
      <c r="AR22" s="34" t="e">
        <f t="shared" si="31"/>
        <v>#N/A</v>
      </c>
      <c r="AS22" s="27"/>
      <c r="AT22" s="39"/>
      <c r="AU22" s="39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30"/>
    </row>
    <row r="23" spans="1:66" ht="11.25" customHeight="1" x14ac:dyDescent="0.2">
      <c r="A23" s="37"/>
      <c r="B23" s="73"/>
      <c r="C23" s="33">
        <v>7</v>
      </c>
      <c r="D23" s="13" t="s">
        <v>278</v>
      </c>
      <c r="E23" s="16">
        <f t="shared" si="17"/>
        <v>9</v>
      </c>
      <c r="F23" s="16">
        <f>SUMIFS([0]!VOTOS2,[0]!TURNO1,F$1,[0]!CANDIDATO1,$C23,[0]!MUNICIPIO1,$B$17)</f>
        <v>0</v>
      </c>
      <c r="G23" s="16">
        <f>SUMIFS([0]!VOTOS2,[0]!TURNO1,G$1,[0]!CANDIDATO1,$C23,[0]!MUNICIPIO1,$B$17)</f>
        <v>0</v>
      </c>
      <c r="H23" s="16">
        <f>SUMIFS([0]!VOTOS2,[0]!TURNO1,H$1,[0]!CANDIDATO1,$C23,[0]!MUNICIPIO1,$B$17)</f>
        <v>9</v>
      </c>
      <c r="I23" s="16">
        <f>SUMIFS([0]!VOTOS2,[0]!TURNO1,I$1,[0]!CANDIDATO1,$C23,[0]!MUNICIPIO1,$B$17)</f>
        <v>0</v>
      </c>
      <c r="J23" s="16">
        <f>SUMIFS([0]!VOTOS2,[0]!TURNO1,J$1,[0]!CANDIDATO1,$C23,[0]!MUNICIPIO1,$B$17)</f>
        <v>0</v>
      </c>
      <c r="K23" s="16">
        <f>SUMIFS([0]!VOTOS2,[0]!TURNO1,K$1,[0]!CANDIDATO1,$C23,[0]!MUNICIPIO1,$B$17)</f>
        <v>0</v>
      </c>
      <c r="L23" s="16">
        <f>SUMIFS([0]!VOTOS2,[0]!TURNO1,L$1,[0]!CANDIDATO1,$C23,[0]!MUNICIPIO1,$B$17)</f>
        <v>0</v>
      </c>
      <c r="M23" s="16">
        <f>SUMIFS([0]!VOTOS2,[0]!TURNO1,M$1,[0]!CANDIDATO1,$C23,[0]!MUNICIPIO1,$B$17)</f>
        <v>0</v>
      </c>
      <c r="N23" s="16">
        <f>SUMIFS([0]!VOTOS2,[0]!TURNO1,N$1,[0]!CANDIDATO1,$C23,[0]!MUNICIPIO1,$B$17)</f>
        <v>0</v>
      </c>
      <c r="O23" s="16">
        <f>SUMIFS([0]!VOTOS2,[0]!TURNO1,O$1,[0]!CANDIDATO1,$C23,[0]!MUNICIPIO1,$B$17)</f>
        <v>0</v>
      </c>
      <c r="P23" s="16">
        <f>SUMIFS([0]!VOTOS2,[0]!TURNO1,P$1,[0]!CANDIDATO1,$C23,[0]!MUNICIPIO1,$B$17)</f>
        <v>0</v>
      </c>
      <c r="Q23" s="16">
        <f>SUMIFS([0]!VOTOS2,[0]!TURNO1,Q$1,[0]!CANDIDATO1,$C23,[0]!MUNICIPIO1,$B$17)</f>
        <v>0</v>
      </c>
      <c r="R23" s="16">
        <f>SUMIFS([0]!VOTOS2,[0]!TURNO1,R$1,[0]!CANDIDATO1,$C23,[0]!MUNICIPIO1,$B$17)</f>
        <v>0</v>
      </c>
      <c r="S23" s="16">
        <f>SUMIFS([0]!VOTOS2,[0]!TURNO1,S$1,[0]!CANDIDATO1,$C23,[0]!MUNICIPIO1,$B$17)</f>
        <v>0</v>
      </c>
      <c r="T23" s="16">
        <f>SUMIFS([0]!VOTOS2,[0]!TURNO1,T$1,[0]!CANDIDATO1,$C23,[0]!MUNICIPIO1,$B$17)</f>
        <v>0</v>
      </c>
      <c r="U23" s="16">
        <f>SUMIFS([0]!VOTOS2,[0]!TURNO1,U$1,[0]!CANDIDATO1,$C23,[0]!MUNICIPIO1,$B$17)</f>
        <v>0</v>
      </c>
      <c r="V23" s="16">
        <f>SUMIFS([0]!VOTOS2,[0]!TURNO1,V$1,[0]!CANDIDATO1,$C23,[0]!MUNICIPIO1,$B$17)</f>
        <v>0</v>
      </c>
      <c r="W23" s="16">
        <f>SUMIFS([0]!VOTOS2,[0]!TURNO1,W$1,[0]!CANDIDATO1,$C23,[0]!MUNICIPIO1,$B$17)</f>
        <v>0</v>
      </c>
      <c r="X23" s="24"/>
      <c r="Y23" s="18" t="str">
        <f t="shared" si="18"/>
        <v>LUIS VELASQUEZ</v>
      </c>
      <c r="Z23" s="34">
        <f t="shared" si="19"/>
        <v>9</v>
      </c>
      <c r="AA23" s="34">
        <f t="shared" si="20"/>
        <v>0</v>
      </c>
      <c r="AB23" s="34">
        <f t="shared" ref="AB23:AR23" si="32">IF(SUM(G17:G29)=0,NA(),G23+AA23)</f>
        <v>0</v>
      </c>
      <c r="AC23" s="34">
        <f t="shared" si="32"/>
        <v>9</v>
      </c>
      <c r="AD23" s="34">
        <f t="shared" si="32"/>
        <v>9</v>
      </c>
      <c r="AE23" s="34">
        <f t="shared" si="32"/>
        <v>9</v>
      </c>
      <c r="AF23" s="34">
        <f t="shared" si="32"/>
        <v>9</v>
      </c>
      <c r="AG23" s="34">
        <f t="shared" si="32"/>
        <v>9</v>
      </c>
      <c r="AH23" s="34">
        <f t="shared" si="32"/>
        <v>9</v>
      </c>
      <c r="AI23" s="34">
        <f t="shared" si="32"/>
        <v>9</v>
      </c>
      <c r="AJ23" s="34">
        <f t="shared" si="32"/>
        <v>9</v>
      </c>
      <c r="AK23" s="34" t="e">
        <f t="shared" si="32"/>
        <v>#N/A</v>
      </c>
      <c r="AL23" s="34" t="e">
        <f t="shared" si="32"/>
        <v>#N/A</v>
      </c>
      <c r="AM23" s="34" t="e">
        <f t="shared" si="32"/>
        <v>#N/A</v>
      </c>
      <c r="AN23" s="34" t="e">
        <f t="shared" si="32"/>
        <v>#N/A</v>
      </c>
      <c r="AO23" s="34" t="e">
        <f t="shared" si="32"/>
        <v>#N/A</v>
      </c>
      <c r="AP23" s="34" t="e">
        <f t="shared" si="32"/>
        <v>#N/A</v>
      </c>
      <c r="AQ23" s="34" t="e">
        <f t="shared" si="32"/>
        <v>#N/A</v>
      </c>
      <c r="AR23" s="34" t="e">
        <f t="shared" si="32"/>
        <v>#N/A</v>
      </c>
      <c r="AS23" s="27"/>
      <c r="AT23" s="39"/>
      <c r="AU23" s="39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30"/>
    </row>
    <row r="24" spans="1:66" ht="11.25" customHeight="1" x14ac:dyDescent="0.2">
      <c r="A24" s="37"/>
      <c r="B24" s="73"/>
      <c r="C24" s="33">
        <v>8</v>
      </c>
      <c r="D24" s="13" t="s">
        <v>279</v>
      </c>
      <c r="E24" s="16">
        <f t="shared" si="17"/>
        <v>5</v>
      </c>
      <c r="F24" s="16">
        <f>SUMIFS([0]!VOTOS2,[0]!TURNO1,F$1,[0]!CANDIDATO1,$C24,[0]!MUNICIPIO1,$B$17)</f>
        <v>0</v>
      </c>
      <c r="G24" s="16">
        <f>SUMIFS([0]!VOTOS2,[0]!TURNO1,G$1,[0]!CANDIDATO1,$C24,[0]!MUNICIPIO1,$B$17)</f>
        <v>0</v>
      </c>
      <c r="H24" s="16">
        <f>SUMIFS([0]!VOTOS2,[0]!TURNO1,H$1,[0]!CANDIDATO1,$C24,[0]!MUNICIPIO1,$B$17)</f>
        <v>4</v>
      </c>
      <c r="I24" s="16">
        <f>SUMIFS([0]!VOTOS2,[0]!TURNO1,I$1,[0]!CANDIDATO1,$C24,[0]!MUNICIPIO1,$B$17)</f>
        <v>0</v>
      </c>
      <c r="J24" s="16">
        <f>SUMIFS([0]!VOTOS2,[0]!TURNO1,J$1,[0]!CANDIDATO1,$C24,[0]!MUNICIPIO1,$B$17)</f>
        <v>0</v>
      </c>
      <c r="K24" s="16">
        <f>SUMIFS([0]!VOTOS2,[0]!TURNO1,K$1,[0]!CANDIDATO1,$C24,[0]!MUNICIPIO1,$B$17)</f>
        <v>0</v>
      </c>
      <c r="L24" s="16">
        <f>SUMIFS([0]!VOTOS2,[0]!TURNO1,L$1,[0]!CANDIDATO1,$C24,[0]!MUNICIPIO1,$B$17)</f>
        <v>1</v>
      </c>
      <c r="M24" s="16">
        <f>SUMIFS([0]!VOTOS2,[0]!TURNO1,M$1,[0]!CANDIDATO1,$C24,[0]!MUNICIPIO1,$B$17)</f>
        <v>0</v>
      </c>
      <c r="N24" s="16">
        <f>SUMIFS([0]!VOTOS2,[0]!TURNO1,N$1,[0]!CANDIDATO1,$C24,[0]!MUNICIPIO1,$B$17)</f>
        <v>0</v>
      </c>
      <c r="O24" s="16">
        <f>SUMIFS([0]!VOTOS2,[0]!TURNO1,O$1,[0]!CANDIDATO1,$C24,[0]!MUNICIPIO1,$B$17)</f>
        <v>0</v>
      </c>
      <c r="P24" s="16">
        <f>SUMIFS([0]!VOTOS2,[0]!TURNO1,P$1,[0]!CANDIDATO1,$C24,[0]!MUNICIPIO1,$B$17)</f>
        <v>0</v>
      </c>
      <c r="Q24" s="16">
        <f>SUMIFS([0]!VOTOS2,[0]!TURNO1,Q$1,[0]!CANDIDATO1,$C24,[0]!MUNICIPIO1,$B$17)</f>
        <v>0</v>
      </c>
      <c r="R24" s="16">
        <f>SUMIFS([0]!VOTOS2,[0]!TURNO1,R$1,[0]!CANDIDATO1,$C24,[0]!MUNICIPIO1,$B$17)</f>
        <v>0</v>
      </c>
      <c r="S24" s="16">
        <f>SUMIFS([0]!VOTOS2,[0]!TURNO1,S$1,[0]!CANDIDATO1,$C24,[0]!MUNICIPIO1,$B$17)</f>
        <v>0</v>
      </c>
      <c r="T24" s="16">
        <f>SUMIFS([0]!VOTOS2,[0]!TURNO1,T$1,[0]!CANDIDATO1,$C24,[0]!MUNICIPIO1,$B$17)</f>
        <v>0</v>
      </c>
      <c r="U24" s="16">
        <f>SUMIFS([0]!VOTOS2,[0]!TURNO1,U$1,[0]!CANDIDATO1,$C24,[0]!MUNICIPIO1,$B$17)</f>
        <v>0</v>
      </c>
      <c r="V24" s="16">
        <f>SUMIFS([0]!VOTOS2,[0]!TURNO1,V$1,[0]!CANDIDATO1,$C24,[0]!MUNICIPIO1,$B$17)</f>
        <v>0</v>
      </c>
      <c r="W24" s="16">
        <f>SUMIFS([0]!VOTOS2,[0]!TURNO1,W$1,[0]!CANDIDATO1,$C24,[0]!MUNICIPIO1,$B$17)</f>
        <v>0</v>
      </c>
      <c r="X24" s="24"/>
      <c r="Y24" s="18" t="str">
        <f t="shared" si="18"/>
        <v>DUSACAR ROJAS</v>
      </c>
      <c r="Z24" s="34">
        <f t="shared" si="19"/>
        <v>5</v>
      </c>
      <c r="AA24" s="34">
        <f t="shared" si="20"/>
        <v>0</v>
      </c>
      <c r="AB24" s="34">
        <f t="shared" ref="AB24:AR24" si="33">IF(SUM(G17:G29)=0,NA(),G24+AA24)</f>
        <v>0</v>
      </c>
      <c r="AC24" s="34">
        <f t="shared" si="33"/>
        <v>4</v>
      </c>
      <c r="AD24" s="34">
        <f t="shared" si="33"/>
        <v>4</v>
      </c>
      <c r="AE24" s="34">
        <f t="shared" si="33"/>
        <v>4</v>
      </c>
      <c r="AF24" s="34">
        <f t="shared" si="33"/>
        <v>4</v>
      </c>
      <c r="AG24" s="34">
        <f t="shared" si="33"/>
        <v>5</v>
      </c>
      <c r="AH24" s="34">
        <f t="shared" si="33"/>
        <v>5</v>
      </c>
      <c r="AI24" s="34">
        <f t="shared" si="33"/>
        <v>5</v>
      </c>
      <c r="AJ24" s="34">
        <f t="shared" si="33"/>
        <v>5</v>
      </c>
      <c r="AK24" s="34" t="e">
        <f t="shared" si="33"/>
        <v>#N/A</v>
      </c>
      <c r="AL24" s="34" t="e">
        <f t="shared" si="33"/>
        <v>#N/A</v>
      </c>
      <c r="AM24" s="34" t="e">
        <f t="shared" si="33"/>
        <v>#N/A</v>
      </c>
      <c r="AN24" s="34" t="e">
        <f t="shared" si="33"/>
        <v>#N/A</v>
      </c>
      <c r="AO24" s="34" t="e">
        <f t="shared" si="33"/>
        <v>#N/A</v>
      </c>
      <c r="AP24" s="34" t="e">
        <f t="shared" si="33"/>
        <v>#N/A</v>
      </c>
      <c r="AQ24" s="34" t="e">
        <f t="shared" si="33"/>
        <v>#N/A</v>
      </c>
      <c r="AR24" s="34" t="e">
        <f t="shared" si="33"/>
        <v>#N/A</v>
      </c>
      <c r="AS24" s="27"/>
      <c r="AT24" s="41"/>
      <c r="AU24" s="41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30"/>
    </row>
    <row r="25" spans="1:66" ht="11.25" customHeight="1" x14ac:dyDescent="0.2">
      <c r="A25" s="37"/>
      <c r="B25" s="73"/>
      <c r="C25" s="33">
        <v>9</v>
      </c>
      <c r="D25" s="13" t="s">
        <v>280</v>
      </c>
      <c r="E25" s="16">
        <f t="shared" si="17"/>
        <v>2</v>
      </c>
      <c r="F25" s="16">
        <f>SUMIFS([0]!VOTOS2,[0]!TURNO1,F$1,[0]!CANDIDATO1,$C25,[0]!MUNICIPIO1,$B$17)</f>
        <v>0</v>
      </c>
      <c r="G25" s="16">
        <f>SUMIFS([0]!VOTOS2,[0]!TURNO1,G$1,[0]!CANDIDATO1,$C25,[0]!MUNICIPIO1,$B$17)</f>
        <v>0</v>
      </c>
      <c r="H25" s="16">
        <f>SUMIFS([0]!VOTOS2,[0]!TURNO1,H$1,[0]!CANDIDATO1,$C25,[0]!MUNICIPIO1,$B$17)</f>
        <v>0</v>
      </c>
      <c r="I25" s="16">
        <f>SUMIFS([0]!VOTOS2,[0]!TURNO1,I$1,[0]!CANDIDATO1,$C25,[0]!MUNICIPIO1,$B$17)</f>
        <v>2</v>
      </c>
      <c r="J25" s="16">
        <f>SUMIFS([0]!VOTOS2,[0]!TURNO1,J$1,[0]!CANDIDATO1,$C25,[0]!MUNICIPIO1,$B$17)</f>
        <v>0</v>
      </c>
      <c r="K25" s="16">
        <f>SUMIFS([0]!VOTOS2,[0]!TURNO1,K$1,[0]!CANDIDATO1,$C25,[0]!MUNICIPIO1,$B$17)</f>
        <v>0</v>
      </c>
      <c r="L25" s="16">
        <f>SUMIFS([0]!VOTOS2,[0]!TURNO1,L$1,[0]!CANDIDATO1,$C25,[0]!MUNICIPIO1,$B$17)</f>
        <v>0</v>
      </c>
      <c r="M25" s="16">
        <f>SUMIFS([0]!VOTOS2,[0]!TURNO1,M$1,[0]!CANDIDATO1,$C25,[0]!MUNICIPIO1,$B$17)</f>
        <v>0</v>
      </c>
      <c r="N25" s="16">
        <f>SUMIFS([0]!VOTOS2,[0]!TURNO1,N$1,[0]!CANDIDATO1,$C25,[0]!MUNICIPIO1,$B$17)</f>
        <v>0</v>
      </c>
      <c r="O25" s="16">
        <f>SUMIFS([0]!VOTOS2,[0]!TURNO1,O$1,[0]!CANDIDATO1,$C25,[0]!MUNICIPIO1,$B$17)</f>
        <v>0</v>
      </c>
      <c r="P25" s="16">
        <f>SUMIFS([0]!VOTOS2,[0]!TURNO1,P$1,[0]!CANDIDATO1,$C25,[0]!MUNICIPIO1,$B$17)</f>
        <v>0</v>
      </c>
      <c r="Q25" s="16">
        <f>SUMIFS([0]!VOTOS2,[0]!TURNO1,Q$1,[0]!CANDIDATO1,$C25,[0]!MUNICIPIO1,$B$17)</f>
        <v>0</v>
      </c>
      <c r="R25" s="16">
        <f>SUMIFS([0]!VOTOS2,[0]!TURNO1,R$1,[0]!CANDIDATO1,$C25,[0]!MUNICIPIO1,$B$17)</f>
        <v>0</v>
      </c>
      <c r="S25" s="16">
        <f>SUMIFS([0]!VOTOS2,[0]!TURNO1,S$1,[0]!CANDIDATO1,$C25,[0]!MUNICIPIO1,$B$17)</f>
        <v>0</v>
      </c>
      <c r="T25" s="16">
        <f>SUMIFS([0]!VOTOS2,[0]!TURNO1,T$1,[0]!CANDIDATO1,$C25,[0]!MUNICIPIO1,$B$17)</f>
        <v>0</v>
      </c>
      <c r="U25" s="16">
        <f>SUMIFS([0]!VOTOS2,[0]!TURNO1,U$1,[0]!CANDIDATO1,$C25,[0]!MUNICIPIO1,$B$17)</f>
        <v>0</v>
      </c>
      <c r="V25" s="16">
        <f>SUMIFS([0]!VOTOS2,[0]!TURNO1,V$1,[0]!CANDIDATO1,$C25,[0]!MUNICIPIO1,$B$17)</f>
        <v>0</v>
      </c>
      <c r="W25" s="16">
        <f>SUMIFS([0]!VOTOS2,[0]!TURNO1,W$1,[0]!CANDIDATO1,$C25,[0]!MUNICIPIO1,$B$17)</f>
        <v>0</v>
      </c>
      <c r="X25" s="24"/>
      <c r="Y25" s="18" t="str">
        <f t="shared" si="18"/>
        <v>ANDRES DURAN RIOS</v>
      </c>
      <c r="Z25" s="34">
        <f t="shared" si="19"/>
        <v>2</v>
      </c>
      <c r="AA25" s="34">
        <f t="shared" si="20"/>
        <v>0</v>
      </c>
      <c r="AB25" s="34">
        <f t="shared" ref="AB25:AR25" si="34">IF(SUM(G17:G29)=0,NA(),G25+AA25)</f>
        <v>0</v>
      </c>
      <c r="AC25" s="34">
        <f t="shared" si="34"/>
        <v>0</v>
      </c>
      <c r="AD25" s="34">
        <f t="shared" si="34"/>
        <v>2</v>
      </c>
      <c r="AE25" s="34">
        <f t="shared" si="34"/>
        <v>2</v>
      </c>
      <c r="AF25" s="34">
        <f t="shared" si="34"/>
        <v>2</v>
      </c>
      <c r="AG25" s="34">
        <f t="shared" si="34"/>
        <v>2</v>
      </c>
      <c r="AH25" s="34">
        <f t="shared" si="34"/>
        <v>2</v>
      </c>
      <c r="AI25" s="34">
        <f t="shared" si="34"/>
        <v>2</v>
      </c>
      <c r="AJ25" s="34">
        <f t="shared" si="34"/>
        <v>2</v>
      </c>
      <c r="AK25" s="34" t="e">
        <f t="shared" si="34"/>
        <v>#N/A</v>
      </c>
      <c r="AL25" s="34" t="e">
        <f t="shared" si="34"/>
        <v>#N/A</v>
      </c>
      <c r="AM25" s="34" t="e">
        <f t="shared" si="34"/>
        <v>#N/A</v>
      </c>
      <c r="AN25" s="34" t="e">
        <f t="shared" si="34"/>
        <v>#N/A</v>
      </c>
      <c r="AO25" s="34" t="e">
        <f t="shared" si="34"/>
        <v>#N/A</v>
      </c>
      <c r="AP25" s="34" t="e">
        <f t="shared" si="34"/>
        <v>#N/A</v>
      </c>
      <c r="AQ25" s="34" t="e">
        <f t="shared" si="34"/>
        <v>#N/A</v>
      </c>
      <c r="AR25" s="34" t="e">
        <f t="shared" si="34"/>
        <v>#N/A</v>
      </c>
      <c r="AS25" s="27"/>
      <c r="AT25" s="41"/>
      <c r="AU25" s="41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30"/>
    </row>
    <row r="26" spans="1:66" ht="11.25" customHeight="1" x14ac:dyDescent="0.2">
      <c r="A26" s="42"/>
      <c r="B26" s="74"/>
      <c r="C26" s="33">
        <v>10</v>
      </c>
      <c r="D26" s="13" t="s">
        <v>281</v>
      </c>
      <c r="E26" s="16">
        <f t="shared" si="17"/>
        <v>90</v>
      </c>
      <c r="F26" s="16">
        <f>SUMIFS([0]!VOTOS2,[0]!TURNO1,F$1,[0]!CANDIDATO1,$C26,[0]!MUNICIPIO1,$B$17)</f>
        <v>0</v>
      </c>
      <c r="G26" s="16">
        <f>SUMIFS([0]!VOTOS2,[0]!TURNO1,G$1,[0]!CANDIDATO1,$C26,[0]!MUNICIPIO1,$B$17)</f>
        <v>9</v>
      </c>
      <c r="H26" s="16">
        <f>SUMIFS([0]!VOTOS2,[0]!TURNO1,H$1,[0]!CANDIDATO1,$C26,[0]!MUNICIPIO1,$B$17)</f>
        <v>29</v>
      </c>
      <c r="I26" s="16">
        <f>SUMIFS([0]!VOTOS2,[0]!TURNO1,I$1,[0]!CANDIDATO1,$C26,[0]!MUNICIPIO1,$B$17)</f>
        <v>11</v>
      </c>
      <c r="J26" s="16">
        <f>SUMIFS([0]!VOTOS2,[0]!TURNO1,J$1,[0]!CANDIDATO1,$C26,[0]!MUNICIPIO1,$B$17)</f>
        <v>13</v>
      </c>
      <c r="K26" s="16">
        <f>SUMIFS([0]!VOTOS2,[0]!TURNO1,K$1,[0]!CANDIDATO1,$C26,[0]!MUNICIPIO1,$B$17)</f>
        <v>15</v>
      </c>
      <c r="L26" s="16">
        <f>SUMIFS([0]!VOTOS2,[0]!TURNO1,L$1,[0]!CANDIDATO1,$C26,[0]!MUNICIPIO1,$B$17)</f>
        <v>6</v>
      </c>
      <c r="M26" s="16">
        <f>SUMIFS([0]!VOTOS2,[0]!TURNO1,M$1,[0]!CANDIDATO1,$C26,[0]!MUNICIPIO1,$B$17)</f>
        <v>7</v>
      </c>
      <c r="N26" s="16">
        <f>SUMIFS([0]!VOTOS2,[0]!TURNO1,N$1,[0]!CANDIDATO1,$C26,[0]!MUNICIPIO1,$B$17)</f>
        <v>0</v>
      </c>
      <c r="O26" s="16">
        <f>SUMIFS([0]!VOTOS2,[0]!TURNO1,O$1,[0]!CANDIDATO1,$C26,[0]!MUNICIPIO1,$B$17)</f>
        <v>0</v>
      </c>
      <c r="P26" s="16">
        <f>SUMIFS([0]!VOTOS2,[0]!TURNO1,P$1,[0]!CANDIDATO1,$C26,[0]!MUNICIPIO1,$B$17)</f>
        <v>0</v>
      </c>
      <c r="Q26" s="16">
        <f>SUMIFS([0]!VOTOS2,[0]!TURNO1,Q$1,[0]!CANDIDATO1,$C26,[0]!MUNICIPIO1,$B$17)</f>
        <v>0</v>
      </c>
      <c r="R26" s="16">
        <f>SUMIFS([0]!VOTOS2,[0]!TURNO1,R$1,[0]!CANDIDATO1,$C26,[0]!MUNICIPIO1,$B$17)</f>
        <v>0</v>
      </c>
      <c r="S26" s="16">
        <f>SUMIFS([0]!VOTOS2,[0]!TURNO1,S$1,[0]!CANDIDATO1,$C26,[0]!MUNICIPIO1,$B$17)</f>
        <v>0</v>
      </c>
      <c r="T26" s="16">
        <f>SUMIFS([0]!VOTOS2,[0]!TURNO1,T$1,[0]!CANDIDATO1,$C26,[0]!MUNICIPIO1,$B$17)</f>
        <v>0</v>
      </c>
      <c r="U26" s="16">
        <f>SUMIFS([0]!VOTOS2,[0]!TURNO1,U$1,[0]!CANDIDATO1,$C26,[0]!MUNICIPIO1,$B$17)</f>
        <v>0</v>
      </c>
      <c r="V26" s="16">
        <f>SUMIFS([0]!VOTOS2,[0]!TURNO1,V$1,[0]!CANDIDATO1,$C26,[0]!MUNICIPIO1,$B$17)</f>
        <v>0</v>
      </c>
      <c r="W26" s="16">
        <f>SUMIFS([0]!VOTOS2,[0]!TURNO1,W$1,[0]!CANDIDATO1,$C26,[0]!MUNICIPIO1,$B$17)</f>
        <v>0</v>
      </c>
      <c r="X26" s="24"/>
      <c r="Y26" s="18" t="str">
        <f t="shared" si="18"/>
        <v>YVAN OLIVARES</v>
      </c>
      <c r="Z26" s="34">
        <f t="shared" si="19"/>
        <v>90</v>
      </c>
      <c r="AA26" s="34">
        <f t="shared" si="20"/>
        <v>0</v>
      </c>
      <c r="AB26" s="34">
        <f t="shared" ref="AB26:AR26" si="35">IF(SUM(G17:G29)=0,NA(),G26+AA26)</f>
        <v>9</v>
      </c>
      <c r="AC26" s="34">
        <f t="shared" si="35"/>
        <v>38</v>
      </c>
      <c r="AD26" s="34">
        <f t="shared" si="35"/>
        <v>49</v>
      </c>
      <c r="AE26" s="34">
        <f t="shared" si="35"/>
        <v>62</v>
      </c>
      <c r="AF26" s="34">
        <f t="shared" si="35"/>
        <v>77</v>
      </c>
      <c r="AG26" s="34">
        <f t="shared" si="35"/>
        <v>83</v>
      </c>
      <c r="AH26" s="34">
        <f t="shared" si="35"/>
        <v>90</v>
      </c>
      <c r="AI26" s="34">
        <f t="shared" si="35"/>
        <v>90</v>
      </c>
      <c r="AJ26" s="34">
        <f t="shared" si="35"/>
        <v>90</v>
      </c>
      <c r="AK26" s="34" t="e">
        <f t="shared" si="35"/>
        <v>#N/A</v>
      </c>
      <c r="AL26" s="34" t="e">
        <f t="shared" si="35"/>
        <v>#N/A</v>
      </c>
      <c r="AM26" s="34" t="e">
        <f t="shared" si="35"/>
        <v>#N/A</v>
      </c>
      <c r="AN26" s="34" t="e">
        <f t="shared" si="35"/>
        <v>#N/A</v>
      </c>
      <c r="AO26" s="34" t="e">
        <f t="shared" si="35"/>
        <v>#N/A</v>
      </c>
      <c r="AP26" s="34" t="e">
        <f t="shared" si="35"/>
        <v>#N/A</v>
      </c>
      <c r="AQ26" s="34" t="e">
        <f t="shared" si="35"/>
        <v>#N/A</v>
      </c>
      <c r="AR26" s="34" t="e">
        <f t="shared" si="35"/>
        <v>#N/A</v>
      </c>
      <c r="AS26" s="27"/>
      <c r="AT26" s="41"/>
      <c r="AU26" s="41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30"/>
    </row>
    <row r="27" spans="1:66" ht="11.25" customHeight="1" x14ac:dyDescent="0.2">
      <c r="A27" s="44"/>
      <c r="B27" s="45"/>
      <c r="C27" s="46">
        <v>11</v>
      </c>
      <c r="D27" s="14" t="s">
        <v>76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24"/>
      <c r="Y27" s="18" t="str">
        <f t="shared" si="18"/>
        <v/>
      </c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27"/>
      <c r="AT27" s="41"/>
      <c r="AU27" s="41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30"/>
    </row>
    <row r="28" spans="1:66" ht="11.25" customHeight="1" x14ac:dyDescent="0.2">
      <c r="A28" s="44"/>
      <c r="B28" s="45"/>
      <c r="C28" s="46">
        <v>12</v>
      </c>
      <c r="D28" s="14" t="s">
        <v>76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24"/>
      <c r="Y28" s="18" t="str">
        <f t="shared" si="18"/>
        <v/>
      </c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27"/>
      <c r="AT28" s="41"/>
      <c r="AU28" s="41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30"/>
    </row>
    <row r="29" spans="1:66" ht="11.25" customHeight="1" x14ac:dyDescent="0.2">
      <c r="A29" s="44"/>
      <c r="B29" s="45"/>
      <c r="C29" s="46">
        <v>13</v>
      </c>
      <c r="D29" s="14" t="s">
        <v>76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24"/>
      <c r="Y29" s="18" t="str">
        <f t="shared" si="18"/>
        <v/>
      </c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27"/>
      <c r="AT29" s="41"/>
      <c r="AU29" s="41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30"/>
    </row>
    <row r="30" spans="1:66" ht="11.25" customHeight="1" x14ac:dyDescent="0.2">
      <c r="X30" s="24"/>
      <c r="Y30" s="19" t="s">
        <v>79</v>
      </c>
      <c r="Z30" s="34">
        <f t="shared" ref="Z30" si="36">SUM(Z19:Z29)</f>
        <v>176</v>
      </c>
      <c r="AA30" s="34">
        <f t="shared" ref="AA30" si="37">SUM(AA19:AA29)</f>
        <v>0</v>
      </c>
      <c r="AB30" s="34">
        <f t="shared" ref="AB30" si="38">SUM(AB19:AB29)</f>
        <v>19</v>
      </c>
      <c r="AC30" s="34">
        <f t="shared" ref="AC30" si="39">SUM(AC19:AC29)</f>
        <v>77</v>
      </c>
      <c r="AD30" s="34">
        <f t="shared" ref="AD30" si="40">SUM(AD19:AD29)</f>
        <v>105</v>
      </c>
      <c r="AE30" s="34">
        <f t="shared" ref="AE30" si="41">SUM(AE19:AE29)</f>
        <v>125</v>
      </c>
      <c r="AF30" s="34">
        <f t="shared" ref="AF30" si="42">SUM(AF19:AF29)</f>
        <v>153</v>
      </c>
      <c r="AG30" s="34">
        <f t="shared" ref="AG30" si="43">SUM(AG19:AG29)</f>
        <v>164</v>
      </c>
      <c r="AH30" s="34">
        <f t="shared" ref="AH30" si="44">SUM(AH19:AH29)</f>
        <v>173</v>
      </c>
      <c r="AI30" s="34">
        <f t="shared" ref="AI30" si="45">SUM(AI19:AI29)</f>
        <v>176</v>
      </c>
      <c r="AJ30" s="34">
        <f t="shared" ref="AJ30" si="46">SUM(AJ19:AJ29)</f>
        <v>176</v>
      </c>
      <c r="AK30" s="34" t="e">
        <f t="shared" ref="AK30" si="47">SUM(AK19:AK29)</f>
        <v>#N/A</v>
      </c>
      <c r="AL30" s="34" t="e">
        <f t="shared" ref="AL30" si="48">SUM(AL19:AL29)</f>
        <v>#N/A</v>
      </c>
      <c r="AM30" s="34" t="e">
        <f t="shared" ref="AM30" si="49">SUM(AM19:AM29)</f>
        <v>#N/A</v>
      </c>
      <c r="AN30" s="34" t="e">
        <f t="shared" ref="AN30" si="50">SUM(AN19:AN29)</f>
        <v>#N/A</v>
      </c>
      <c r="AO30" s="34" t="e">
        <f t="shared" ref="AO30" si="51">SUM(AO19:AO29)</f>
        <v>#N/A</v>
      </c>
      <c r="AP30" s="34" t="e">
        <f t="shared" ref="AP30" si="52">SUM(AP19:AP29)</f>
        <v>#N/A</v>
      </c>
      <c r="AQ30" s="34" t="e">
        <f t="shared" ref="AQ30" si="53">SUM(AQ19:AQ29)</f>
        <v>#N/A</v>
      </c>
      <c r="AR30" s="34" t="e">
        <f t="shared" ref="AR30" si="54">SUM(AR19:AR29)</f>
        <v>#N/A</v>
      </c>
      <c r="AS30" s="27"/>
      <c r="AT30" s="41"/>
      <c r="AU30" s="41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30"/>
    </row>
    <row r="31" spans="1:66" ht="11.25" customHeight="1" x14ac:dyDescent="0.2">
      <c r="A31" s="75" t="s">
        <v>63</v>
      </c>
      <c r="B31" s="76"/>
      <c r="C31" s="47"/>
      <c r="D31" s="48" t="s">
        <v>75</v>
      </c>
      <c r="E31" s="49" t="s">
        <v>70</v>
      </c>
      <c r="F31" s="49">
        <v>0</v>
      </c>
      <c r="G31" s="49">
        <v>1</v>
      </c>
      <c r="H31" s="49">
        <v>2</v>
      </c>
      <c r="I31" s="49">
        <v>3</v>
      </c>
      <c r="J31" s="49">
        <v>4</v>
      </c>
      <c r="K31" s="49">
        <v>5</v>
      </c>
      <c r="L31" s="49">
        <v>6</v>
      </c>
      <c r="M31" s="49">
        <v>7</v>
      </c>
      <c r="N31" s="49">
        <v>8</v>
      </c>
      <c r="O31" s="49">
        <v>9</v>
      </c>
      <c r="P31" s="49">
        <v>10</v>
      </c>
      <c r="Q31" s="49">
        <v>11</v>
      </c>
      <c r="R31" s="49">
        <v>12</v>
      </c>
      <c r="S31" s="49">
        <v>13</v>
      </c>
      <c r="T31" s="49">
        <v>14</v>
      </c>
      <c r="U31" s="49">
        <v>15</v>
      </c>
      <c r="V31" s="49">
        <v>16</v>
      </c>
      <c r="W31" s="23">
        <v>17</v>
      </c>
      <c r="X31" s="24"/>
      <c r="Y31" s="17"/>
      <c r="Z31" s="25" t="s">
        <v>64</v>
      </c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7"/>
      <c r="AT31" s="28"/>
      <c r="AU31" s="28" t="s">
        <v>64</v>
      </c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30"/>
    </row>
    <row r="32" spans="1:66" ht="11.25" customHeight="1" x14ac:dyDescent="0.2">
      <c r="A32" s="69" t="s">
        <v>71</v>
      </c>
      <c r="B32" s="72">
        <v>3</v>
      </c>
      <c r="C32" s="50">
        <v>1</v>
      </c>
      <c r="D32" s="7" t="s">
        <v>80</v>
      </c>
      <c r="E32" s="16">
        <f t="shared" ref="E32:E39" si="55">SUM(F32:W32)</f>
        <v>953</v>
      </c>
      <c r="F32" s="6">
        <f>SUMIFS([0]!VOTOS2,[0]!TURNO1,F$31,[0]!CANDIDATO1,$C32,[0]!MUNICIPIO1,$B$32)</f>
        <v>953</v>
      </c>
      <c r="G32" s="6">
        <f>SUMIFS([0]!VOTOS2,[0]!TURNO1,G$31,[0]!CANDIDATO1,$C32,[0]!MUNICIPIO1,$B$32)</f>
        <v>0</v>
      </c>
      <c r="H32" s="6">
        <f>SUMIFS([0]!VOTOS2,[0]!TURNO1,H$31,[0]!CANDIDATO1,$C32,[0]!MUNICIPIO1,$B$32)</f>
        <v>0</v>
      </c>
      <c r="I32" s="6">
        <f>SUMIFS([0]!VOTOS2,[0]!TURNO1,I$31,[0]!CANDIDATO1,$C32,[0]!MUNICIPIO1,$B$32)</f>
        <v>0</v>
      </c>
      <c r="J32" s="6">
        <f>SUMIFS([0]!VOTOS2,[0]!TURNO1,J$31,[0]!CANDIDATO1,$C32,[0]!MUNICIPIO1,$B$32)</f>
        <v>0</v>
      </c>
      <c r="K32" s="6">
        <f>SUMIFS([0]!VOTOS2,[0]!TURNO1,K$31,[0]!CANDIDATO1,$C32,[0]!MUNICIPIO1,$B$32)</f>
        <v>0</v>
      </c>
      <c r="L32" s="6">
        <f>SUMIFS([0]!VOTOS2,[0]!TURNO1,L$31,[0]!CANDIDATO1,$C32,[0]!MUNICIPIO1,$B$32)</f>
        <v>0</v>
      </c>
      <c r="M32" s="6">
        <f>SUMIFS([0]!VOTOS2,[0]!TURNO1,M$31,[0]!CANDIDATO1,$C32,[0]!MUNICIPIO1,$B$32)</f>
        <v>0</v>
      </c>
      <c r="N32" s="6">
        <f>SUMIFS([0]!VOTOS2,[0]!TURNO1,N$31,[0]!CANDIDATO1,$C32,[0]!MUNICIPIO1,$B$32)</f>
        <v>0</v>
      </c>
      <c r="O32" s="6">
        <f>SUMIFS([0]!VOTOS2,[0]!TURNO1,O$31,[0]!CANDIDATO1,$C32,[0]!MUNICIPIO1,$B$32)</f>
        <v>0</v>
      </c>
      <c r="P32" s="6">
        <f>SUMIFS([0]!VOTOS2,[0]!TURNO1,P$31,[0]!CANDIDATO1,$C32,[0]!MUNICIPIO1,$B$32)</f>
        <v>0</v>
      </c>
      <c r="Q32" s="6">
        <f>SUMIFS([0]!VOTOS2,[0]!TURNO1,Q$31,[0]!CANDIDATO1,$C32,[0]!MUNICIPIO1,$B$32)</f>
        <v>0</v>
      </c>
      <c r="R32" s="6">
        <f>SUMIFS([0]!VOTOS2,[0]!TURNO1,R$31,[0]!CANDIDATO1,$C32,[0]!MUNICIPIO1,$B$32)</f>
        <v>0</v>
      </c>
      <c r="S32" s="6">
        <f>SUMIFS([0]!VOTOS2,[0]!TURNO1,S$31,[0]!CANDIDATO1,$C32,[0]!MUNICIPIO1,$B$32)</f>
        <v>0</v>
      </c>
      <c r="T32" s="6">
        <f>SUMIFS([0]!VOTOS2,[0]!TURNO1,T$31,[0]!CANDIDATO1,$C32,[0]!MUNICIPIO1,$B$32)</f>
        <v>0</v>
      </c>
      <c r="U32" s="6">
        <f>SUMIFS([0]!VOTOS2,[0]!TURNO1,U$31,[0]!CANDIDATO1,$C32,[0]!MUNICIPIO1,$B$32)</f>
        <v>0</v>
      </c>
      <c r="V32" s="6">
        <f>SUMIFS([0]!VOTOS2,[0]!TURNO1,V$31,[0]!CANDIDATO1,$C32,[0]!MUNICIPIO1,$B$32)</f>
        <v>0</v>
      </c>
      <c r="W32" s="6">
        <f>SUMIFS([0]!VOTOS2,[0]!TURNO1,W$31,[0]!CANDIDATO1,$C32,[0]!MUNICIPIO1,$B$32)</f>
        <v>0</v>
      </c>
      <c r="X32" s="24"/>
      <c r="Y32" s="18" t="str">
        <f t="shared" ref="Y32:Y39" si="56">D32</f>
        <v>ELKIS BASTIDAS</v>
      </c>
      <c r="Z32" s="34">
        <f t="shared" ref="Z32:Z39" si="57">E32</f>
        <v>953</v>
      </c>
      <c r="AA32" s="34">
        <f t="shared" ref="AA32:AA39" si="58">F32</f>
        <v>953</v>
      </c>
      <c r="AB32" s="34" t="e">
        <f t="shared" ref="AB32:AR32" si="59">IF(SUM(G32:G44)=0,NA(),G32+AA32)</f>
        <v>#N/A</v>
      </c>
      <c r="AC32" s="34" t="e">
        <f t="shared" si="59"/>
        <v>#N/A</v>
      </c>
      <c r="AD32" s="34" t="e">
        <f t="shared" si="59"/>
        <v>#N/A</v>
      </c>
      <c r="AE32" s="34" t="e">
        <f t="shared" si="59"/>
        <v>#N/A</v>
      </c>
      <c r="AF32" s="34" t="e">
        <f t="shared" si="59"/>
        <v>#N/A</v>
      </c>
      <c r="AG32" s="34" t="e">
        <f t="shared" si="59"/>
        <v>#N/A</v>
      </c>
      <c r="AH32" s="34" t="e">
        <f t="shared" si="59"/>
        <v>#N/A</v>
      </c>
      <c r="AI32" s="34" t="e">
        <f t="shared" si="59"/>
        <v>#N/A</v>
      </c>
      <c r="AJ32" s="34" t="e">
        <f t="shared" si="59"/>
        <v>#N/A</v>
      </c>
      <c r="AK32" s="34" t="e">
        <f t="shared" si="59"/>
        <v>#N/A</v>
      </c>
      <c r="AL32" s="34" t="e">
        <f t="shared" si="59"/>
        <v>#N/A</v>
      </c>
      <c r="AM32" s="34" t="e">
        <f t="shared" si="59"/>
        <v>#N/A</v>
      </c>
      <c r="AN32" s="34" t="e">
        <f t="shared" si="59"/>
        <v>#N/A</v>
      </c>
      <c r="AO32" s="34" t="e">
        <f t="shared" si="59"/>
        <v>#N/A</v>
      </c>
      <c r="AP32" s="34" t="e">
        <f t="shared" si="59"/>
        <v>#N/A</v>
      </c>
      <c r="AQ32" s="34" t="e">
        <f t="shared" si="59"/>
        <v>#N/A</v>
      </c>
      <c r="AR32" s="34" t="e">
        <f t="shared" si="59"/>
        <v>#N/A</v>
      </c>
      <c r="AS32" s="27"/>
      <c r="AT32" s="35" t="str">
        <f t="shared" ref="AT32:AT33" si="60">Y32</f>
        <v>ELKIS BASTIDAS</v>
      </c>
      <c r="AU32" s="36">
        <f t="shared" ref="AU32:BM32" si="61">Z32/(Z32+Z33+Z45)</f>
        <v>0.47626186906546725</v>
      </c>
      <c r="AV32" s="36">
        <f t="shared" si="61"/>
        <v>0.47626186906546725</v>
      </c>
      <c r="AW32" s="36" t="e">
        <f t="shared" si="61"/>
        <v>#N/A</v>
      </c>
      <c r="AX32" s="36" t="e">
        <f t="shared" si="61"/>
        <v>#N/A</v>
      </c>
      <c r="AY32" s="36" t="e">
        <f t="shared" si="61"/>
        <v>#N/A</v>
      </c>
      <c r="AZ32" s="36" t="e">
        <f t="shared" si="61"/>
        <v>#N/A</v>
      </c>
      <c r="BA32" s="36" t="e">
        <f t="shared" si="61"/>
        <v>#N/A</v>
      </c>
      <c r="BB32" s="36" t="e">
        <f t="shared" si="61"/>
        <v>#N/A</v>
      </c>
      <c r="BC32" s="36" t="e">
        <f t="shared" si="61"/>
        <v>#N/A</v>
      </c>
      <c r="BD32" s="36" t="e">
        <f t="shared" si="61"/>
        <v>#N/A</v>
      </c>
      <c r="BE32" s="36" t="e">
        <f t="shared" si="61"/>
        <v>#N/A</v>
      </c>
      <c r="BF32" s="36" t="e">
        <f t="shared" si="61"/>
        <v>#N/A</v>
      </c>
      <c r="BG32" s="36" t="e">
        <f t="shared" si="61"/>
        <v>#N/A</v>
      </c>
      <c r="BH32" s="36" t="e">
        <f t="shared" si="61"/>
        <v>#N/A</v>
      </c>
      <c r="BI32" s="36" t="e">
        <f t="shared" si="61"/>
        <v>#N/A</v>
      </c>
      <c r="BJ32" s="36" t="e">
        <f t="shared" si="61"/>
        <v>#N/A</v>
      </c>
      <c r="BK32" s="36" t="e">
        <f t="shared" si="61"/>
        <v>#N/A</v>
      </c>
      <c r="BL32" s="36" t="e">
        <f t="shared" si="61"/>
        <v>#N/A</v>
      </c>
      <c r="BM32" s="36" t="e">
        <f t="shared" si="61"/>
        <v>#N/A</v>
      </c>
      <c r="BN32" s="30"/>
    </row>
    <row r="33" spans="1:66" ht="11.25" customHeight="1" x14ac:dyDescent="0.2">
      <c r="A33" s="70"/>
      <c r="B33" s="73"/>
      <c r="C33" s="51">
        <v>2</v>
      </c>
      <c r="D33" s="8" t="s">
        <v>81</v>
      </c>
      <c r="E33" s="16">
        <f t="shared" si="55"/>
        <v>1048</v>
      </c>
      <c r="F33" s="6">
        <f>SUMIFS([0]!VOTOS2,[0]!TURNO1,F$31,[0]!CANDIDATO1,$C33,[0]!MUNICIPIO1,$B$32)</f>
        <v>1048</v>
      </c>
      <c r="G33" s="6">
        <f>SUMIFS([0]!VOTOS2,[0]!TURNO1,G$31,[0]!CANDIDATO1,$C33,[0]!MUNICIPIO1,$B$32)</f>
        <v>0</v>
      </c>
      <c r="H33" s="6">
        <f>SUMIFS([0]!VOTOS2,[0]!TURNO1,H$31,[0]!CANDIDATO1,$C33,[0]!MUNICIPIO1,$B$32)</f>
        <v>0</v>
      </c>
      <c r="I33" s="6">
        <f>SUMIFS([0]!VOTOS2,[0]!TURNO1,I$31,[0]!CANDIDATO1,$C33,[0]!MUNICIPIO1,$B$32)</f>
        <v>0</v>
      </c>
      <c r="J33" s="6">
        <f>SUMIFS([0]!VOTOS2,[0]!TURNO1,J$31,[0]!CANDIDATO1,$C33,[0]!MUNICIPIO1,$B$32)</f>
        <v>0</v>
      </c>
      <c r="K33" s="6">
        <f>SUMIFS([0]!VOTOS2,[0]!TURNO1,K$31,[0]!CANDIDATO1,$C33,[0]!MUNICIPIO1,$B$32)</f>
        <v>0</v>
      </c>
      <c r="L33" s="6">
        <f>SUMIFS([0]!VOTOS2,[0]!TURNO1,L$31,[0]!CANDIDATO1,$C33,[0]!MUNICIPIO1,$B$32)</f>
        <v>0</v>
      </c>
      <c r="M33" s="6">
        <f>SUMIFS([0]!VOTOS2,[0]!TURNO1,M$31,[0]!CANDIDATO1,$C33,[0]!MUNICIPIO1,$B$32)</f>
        <v>0</v>
      </c>
      <c r="N33" s="6">
        <f>SUMIFS([0]!VOTOS2,[0]!TURNO1,N$31,[0]!CANDIDATO1,$C33,[0]!MUNICIPIO1,$B$32)</f>
        <v>0</v>
      </c>
      <c r="O33" s="6">
        <f>SUMIFS([0]!VOTOS2,[0]!TURNO1,O$31,[0]!CANDIDATO1,$C33,[0]!MUNICIPIO1,$B$32)</f>
        <v>0</v>
      </c>
      <c r="P33" s="6">
        <f>SUMIFS([0]!VOTOS2,[0]!TURNO1,P$31,[0]!CANDIDATO1,$C33,[0]!MUNICIPIO1,$B$32)</f>
        <v>0</v>
      </c>
      <c r="Q33" s="6">
        <f>SUMIFS([0]!VOTOS2,[0]!TURNO1,Q$31,[0]!CANDIDATO1,$C33,[0]!MUNICIPIO1,$B$32)</f>
        <v>0</v>
      </c>
      <c r="R33" s="6">
        <f>SUMIFS([0]!VOTOS2,[0]!TURNO1,R$31,[0]!CANDIDATO1,$C33,[0]!MUNICIPIO1,$B$32)</f>
        <v>0</v>
      </c>
      <c r="S33" s="6">
        <f>SUMIFS([0]!VOTOS2,[0]!TURNO1,S$31,[0]!CANDIDATO1,$C33,[0]!MUNICIPIO1,$B$32)</f>
        <v>0</v>
      </c>
      <c r="T33" s="6">
        <f>SUMIFS([0]!VOTOS2,[0]!TURNO1,T$31,[0]!CANDIDATO1,$C33,[0]!MUNICIPIO1,$B$32)</f>
        <v>0</v>
      </c>
      <c r="U33" s="6">
        <f>SUMIFS([0]!VOTOS2,[0]!TURNO1,U$31,[0]!CANDIDATO1,$C33,[0]!MUNICIPIO1,$B$32)</f>
        <v>0</v>
      </c>
      <c r="V33" s="6">
        <f>SUMIFS([0]!VOTOS2,[0]!TURNO1,V$31,[0]!CANDIDATO1,$C33,[0]!MUNICIPIO1,$B$32)</f>
        <v>0</v>
      </c>
      <c r="W33" s="6">
        <f>SUMIFS([0]!VOTOS2,[0]!TURNO1,W$31,[0]!CANDIDATO1,$C33,[0]!MUNICIPIO1,$B$32)</f>
        <v>0</v>
      </c>
      <c r="X33" s="24"/>
      <c r="Y33" s="18" t="str">
        <f t="shared" si="56"/>
        <v>ADRIANA GONZALEZ</v>
      </c>
      <c r="Z33" s="34">
        <f t="shared" si="57"/>
        <v>1048</v>
      </c>
      <c r="AA33" s="34">
        <f t="shared" si="58"/>
        <v>1048</v>
      </c>
      <c r="AB33" s="34" t="e">
        <f t="shared" ref="AB33:AR33" si="62">IF(SUM(G32:G44)=0,NA(),G33+AA33)</f>
        <v>#N/A</v>
      </c>
      <c r="AC33" s="34" t="e">
        <f t="shared" si="62"/>
        <v>#N/A</v>
      </c>
      <c r="AD33" s="34" t="e">
        <f t="shared" si="62"/>
        <v>#N/A</v>
      </c>
      <c r="AE33" s="34" t="e">
        <f t="shared" si="62"/>
        <v>#N/A</v>
      </c>
      <c r="AF33" s="34" t="e">
        <f t="shared" si="62"/>
        <v>#N/A</v>
      </c>
      <c r="AG33" s="34" t="e">
        <f t="shared" si="62"/>
        <v>#N/A</v>
      </c>
      <c r="AH33" s="34" t="e">
        <f t="shared" si="62"/>
        <v>#N/A</v>
      </c>
      <c r="AI33" s="34" t="e">
        <f t="shared" si="62"/>
        <v>#N/A</v>
      </c>
      <c r="AJ33" s="34" t="e">
        <f t="shared" si="62"/>
        <v>#N/A</v>
      </c>
      <c r="AK33" s="34" t="e">
        <f t="shared" si="62"/>
        <v>#N/A</v>
      </c>
      <c r="AL33" s="34" t="e">
        <f t="shared" si="62"/>
        <v>#N/A</v>
      </c>
      <c r="AM33" s="34" t="e">
        <f t="shared" si="62"/>
        <v>#N/A</v>
      </c>
      <c r="AN33" s="34" t="e">
        <f t="shared" si="62"/>
        <v>#N/A</v>
      </c>
      <c r="AO33" s="34" t="e">
        <f t="shared" si="62"/>
        <v>#N/A</v>
      </c>
      <c r="AP33" s="34" t="e">
        <f t="shared" si="62"/>
        <v>#N/A</v>
      </c>
      <c r="AQ33" s="34" t="e">
        <f t="shared" si="62"/>
        <v>#N/A</v>
      </c>
      <c r="AR33" s="34" t="e">
        <f t="shared" si="62"/>
        <v>#N/A</v>
      </c>
      <c r="AS33" s="27"/>
      <c r="AT33" s="35" t="str">
        <f t="shared" si="60"/>
        <v>ADRIANA GONZALEZ</v>
      </c>
      <c r="AU33" s="36">
        <f t="shared" ref="AU33:BM33" si="63">Z33/(Z32+Z33+Z45)</f>
        <v>0.5237381309345327</v>
      </c>
      <c r="AV33" s="36">
        <f t="shared" si="63"/>
        <v>0.5237381309345327</v>
      </c>
      <c r="AW33" s="36" t="e">
        <f t="shared" si="63"/>
        <v>#N/A</v>
      </c>
      <c r="AX33" s="36" t="e">
        <f t="shared" si="63"/>
        <v>#N/A</v>
      </c>
      <c r="AY33" s="36" t="e">
        <f t="shared" si="63"/>
        <v>#N/A</v>
      </c>
      <c r="AZ33" s="36" t="e">
        <f t="shared" si="63"/>
        <v>#N/A</v>
      </c>
      <c r="BA33" s="36" t="e">
        <f t="shared" si="63"/>
        <v>#N/A</v>
      </c>
      <c r="BB33" s="36" t="e">
        <f t="shared" si="63"/>
        <v>#N/A</v>
      </c>
      <c r="BC33" s="36" t="e">
        <f t="shared" si="63"/>
        <v>#N/A</v>
      </c>
      <c r="BD33" s="36" t="e">
        <f t="shared" si="63"/>
        <v>#N/A</v>
      </c>
      <c r="BE33" s="36" t="e">
        <f t="shared" si="63"/>
        <v>#N/A</v>
      </c>
      <c r="BF33" s="36" t="e">
        <f t="shared" si="63"/>
        <v>#N/A</v>
      </c>
      <c r="BG33" s="36" t="e">
        <f t="shared" si="63"/>
        <v>#N/A</v>
      </c>
      <c r="BH33" s="36" t="e">
        <f t="shared" si="63"/>
        <v>#N/A</v>
      </c>
      <c r="BI33" s="36" t="e">
        <f t="shared" si="63"/>
        <v>#N/A</v>
      </c>
      <c r="BJ33" s="36" t="e">
        <f t="shared" si="63"/>
        <v>#N/A</v>
      </c>
      <c r="BK33" s="36" t="e">
        <f t="shared" si="63"/>
        <v>#N/A</v>
      </c>
      <c r="BL33" s="36" t="e">
        <f t="shared" si="63"/>
        <v>#N/A</v>
      </c>
      <c r="BM33" s="36" t="e">
        <f t="shared" si="63"/>
        <v>#N/A</v>
      </c>
      <c r="BN33" s="30"/>
    </row>
    <row r="34" spans="1:66" ht="11.25" customHeight="1" x14ac:dyDescent="0.2">
      <c r="A34" s="70"/>
      <c r="B34" s="73"/>
      <c r="C34" s="52">
        <v>3</v>
      </c>
      <c r="D34" s="8" t="s">
        <v>82</v>
      </c>
      <c r="E34" s="16">
        <f t="shared" si="55"/>
        <v>0</v>
      </c>
      <c r="F34" s="6">
        <f>SUMIFS([0]!VOTOS2,[0]!TURNO1,F$31,[0]!CANDIDATO1,$C34,[0]!MUNICIPIO1,$B$32)</f>
        <v>0</v>
      </c>
      <c r="G34" s="6">
        <f>SUMIFS([0]!VOTOS2,[0]!TURNO1,G$31,[0]!CANDIDATO1,$C34,[0]!MUNICIPIO1,$B$32)</f>
        <v>0</v>
      </c>
      <c r="H34" s="6">
        <f>SUMIFS([0]!VOTOS2,[0]!TURNO1,H$31,[0]!CANDIDATO1,$C34,[0]!MUNICIPIO1,$B$32)</f>
        <v>0</v>
      </c>
      <c r="I34" s="6">
        <f>SUMIFS([0]!VOTOS2,[0]!TURNO1,I$31,[0]!CANDIDATO1,$C34,[0]!MUNICIPIO1,$B$32)</f>
        <v>0</v>
      </c>
      <c r="J34" s="6">
        <f>SUMIFS([0]!VOTOS2,[0]!TURNO1,J$31,[0]!CANDIDATO1,$C34,[0]!MUNICIPIO1,$B$32)</f>
        <v>0</v>
      </c>
      <c r="K34" s="6">
        <f>SUMIFS([0]!VOTOS2,[0]!TURNO1,K$31,[0]!CANDIDATO1,$C34,[0]!MUNICIPIO1,$B$32)</f>
        <v>0</v>
      </c>
      <c r="L34" s="6">
        <f>SUMIFS([0]!VOTOS2,[0]!TURNO1,L$31,[0]!CANDIDATO1,$C34,[0]!MUNICIPIO1,$B$32)</f>
        <v>0</v>
      </c>
      <c r="M34" s="6">
        <f>SUMIFS([0]!VOTOS2,[0]!TURNO1,M$31,[0]!CANDIDATO1,$C34,[0]!MUNICIPIO1,$B$32)</f>
        <v>0</v>
      </c>
      <c r="N34" s="6">
        <f>SUMIFS([0]!VOTOS2,[0]!TURNO1,N$31,[0]!CANDIDATO1,$C34,[0]!MUNICIPIO1,$B$32)</f>
        <v>0</v>
      </c>
      <c r="O34" s="6">
        <f>SUMIFS([0]!VOTOS2,[0]!TURNO1,O$31,[0]!CANDIDATO1,$C34,[0]!MUNICIPIO1,$B$32)</f>
        <v>0</v>
      </c>
      <c r="P34" s="6">
        <f>SUMIFS([0]!VOTOS2,[0]!TURNO1,P$31,[0]!CANDIDATO1,$C34,[0]!MUNICIPIO1,$B$32)</f>
        <v>0</v>
      </c>
      <c r="Q34" s="6">
        <f>SUMIFS([0]!VOTOS2,[0]!TURNO1,Q$31,[0]!CANDIDATO1,$C34,[0]!MUNICIPIO1,$B$32)</f>
        <v>0</v>
      </c>
      <c r="R34" s="6">
        <f>SUMIFS([0]!VOTOS2,[0]!TURNO1,R$31,[0]!CANDIDATO1,$C34,[0]!MUNICIPIO1,$B$32)</f>
        <v>0</v>
      </c>
      <c r="S34" s="6">
        <f>SUMIFS([0]!VOTOS2,[0]!TURNO1,S$31,[0]!CANDIDATO1,$C34,[0]!MUNICIPIO1,$B$32)</f>
        <v>0</v>
      </c>
      <c r="T34" s="6">
        <f>SUMIFS([0]!VOTOS2,[0]!TURNO1,T$31,[0]!CANDIDATO1,$C34,[0]!MUNICIPIO1,$B$32)</f>
        <v>0</v>
      </c>
      <c r="U34" s="6">
        <f>SUMIFS([0]!VOTOS2,[0]!TURNO1,U$31,[0]!CANDIDATO1,$C34,[0]!MUNICIPIO1,$B$32)</f>
        <v>0</v>
      </c>
      <c r="V34" s="6">
        <f>SUMIFS([0]!VOTOS2,[0]!TURNO1,V$31,[0]!CANDIDATO1,$C34,[0]!MUNICIPIO1,$B$32)</f>
        <v>0</v>
      </c>
      <c r="W34" s="6">
        <f>SUMIFS([0]!VOTOS2,[0]!TURNO1,W$31,[0]!CANDIDATO1,$C34,[0]!MUNICIPIO1,$B$32)</f>
        <v>0</v>
      </c>
      <c r="X34" s="24"/>
      <c r="Y34" s="18" t="str">
        <f t="shared" si="56"/>
        <v>JOSE ARIANAN</v>
      </c>
      <c r="Z34" s="34">
        <f t="shared" si="57"/>
        <v>0</v>
      </c>
      <c r="AA34" s="34">
        <f t="shared" si="58"/>
        <v>0</v>
      </c>
      <c r="AB34" s="34" t="e">
        <f t="shared" ref="AB34:AR34" si="64">IF(SUM(G32:G44)=0,NA(),G34+AA34)</f>
        <v>#N/A</v>
      </c>
      <c r="AC34" s="34" t="e">
        <f t="shared" si="64"/>
        <v>#N/A</v>
      </c>
      <c r="AD34" s="34" t="e">
        <f t="shared" si="64"/>
        <v>#N/A</v>
      </c>
      <c r="AE34" s="34" t="e">
        <f t="shared" si="64"/>
        <v>#N/A</v>
      </c>
      <c r="AF34" s="34" t="e">
        <f t="shared" si="64"/>
        <v>#N/A</v>
      </c>
      <c r="AG34" s="34" t="e">
        <f t="shared" si="64"/>
        <v>#N/A</v>
      </c>
      <c r="AH34" s="34" t="e">
        <f t="shared" si="64"/>
        <v>#N/A</v>
      </c>
      <c r="AI34" s="34" t="e">
        <f t="shared" si="64"/>
        <v>#N/A</v>
      </c>
      <c r="AJ34" s="34" t="e">
        <f t="shared" si="64"/>
        <v>#N/A</v>
      </c>
      <c r="AK34" s="34" t="e">
        <f t="shared" si="64"/>
        <v>#N/A</v>
      </c>
      <c r="AL34" s="34" t="e">
        <f t="shared" si="64"/>
        <v>#N/A</v>
      </c>
      <c r="AM34" s="34" t="e">
        <f t="shared" si="64"/>
        <v>#N/A</v>
      </c>
      <c r="AN34" s="34" t="e">
        <f t="shared" si="64"/>
        <v>#N/A</v>
      </c>
      <c r="AO34" s="34" t="e">
        <f t="shared" si="64"/>
        <v>#N/A</v>
      </c>
      <c r="AP34" s="34" t="e">
        <f t="shared" si="64"/>
        <v>#N/A</v>
      </c>
      <c r="AQ34" s="34" t="e">
        <f t="shared" si="64"/>
        <v>#N/A</v>
      </c>
      <c r="AR34" s="34" t="e">
        <f t="shared" si="64"/>
        <v>#N/A</v>
      </c>
      <c r="AS34" s="27"/>
      <c r="AT34" s="35" t="str">
        <f t="shared" ref="AT34" si="65">Y45</f>
        <v>Otros</v>
      </c>
      <c r="AU34" s="36">
        <f t="shared" ref="AU34:BM34" si="66">Z45/(Z32+Z33+Z45)</f>
        <v>0</v>
      </c>
      <c r="AV34" s="36">
        <f t="shared" si="66"/>
        <v>0</v>
      </c>
      <c r="AW34" s="36" t="e">
        <f t="shared" si="66"/>
        <v>#N/A</v>
      </c>
      <c r="AX34" s="36" t="e">
        <f t="shared" si="66"/>
        <v>#N/A</v>
      </c>
      <c r="AY34" s="36" t="e">
        <f t="shared" si="66"/>
        <v>#N/A</v>
      </c>
      <c r="AZ34" s="36" t="e">
        <f t="shared" si="66"/>
        <v>#N/A</v>
      </c>
      <c r="BA34" s="36" t="e">
        <f t="shared" si="66"/>
        <v>#N/A</v>
      </c>
      <c r="BB34" s="36" t="e">
        <f t="shared" si="66"/>
        <v>#N/A</v>
      </c>
      <c r="BC34" s="36" t="e">
        <f t="shared" si="66"/>
        <v>#N/A</v>
      </c>
      <c r="BD34" s="36" t="e">
        <f t="shared" si="66"/>
        <v>#N/A</v>
      </c>
      <c r="BE34" s="36" t="e">
        <f t="shared" si="66"/>
        <v>#N/A</v>
      </c>
      <c r="BF34" s="36" t="e">
        <f t="shared" si="66"/>
        <v>#N/A</v>
      </c>
      <c r="BG34" s="36" t="e">
        <f t="shared" si="66"/>
        <v>#N/A</v>
      </c>
      <c r="BH34" s="36" t="e">
        <f t="shared" si="66"/>
        <v>#N/A</v>
      </c>
      <c r="BI34" s="36" t="e">
        <f t="shared" si="66"/>
        <v>#N/A</v>
      </c>
      <c r="BJ34" s="36" t="e">
        <f t="shared" si="66"/>
        <v>#N/A</v>
      </c>
      <c r="BK34" s="36" t="e">
        <f t="shared" si="66"/>
        <v>#N/A</v>
      </c>
      <c r="BL34" s="36" t="e">
        <f t="shared" si="66"/>
        <v>#N/A</v>
      </c>
      <c r="BM34" s="36" t="e">
        <f t="shared" si="66"/>
        <v>#N/A</v>
      </c>
      <c r="BN34" s="30"/>
    </row>
    <row r="35" spans="1:66" ht="11.25" customHeight="1" x14ac:dyDescent="0.2">
      <c r="A35" s="70"/>
      <c r="B35" s="73"/>
      <c r="C35" s="51">
        <v>4</v>
      </c>
      <c r="D35" s="8" t="s">
        <v>83</v>
      </c>
      <c r="E35" s="16">
        <f t="shared" si="55"/>
        <v>0</v>
      </c>
      <c r="F35" s="6">
        <f>SUMIFS([0]!VOTOS2,[0]!TURNO1,F$31,[0]!CANDIDATO1,$C35,[0]!MUNICIPIO1,$B$32)</f>
        <v>0</v>
      </c>
      <c r="G35" s="6">
        <f>SUMIFS([0]!VOTOS2,[0]!TURNO1,G$31,[0]!CANDIDATO1,$C35,[0]!MUNICIPIO1,$B$32)</f>
        <v>0</v>
      </c>
      <c r="H35" s="6">
        <f>SUMIFS([0]!VOTOS2,[0]!TURNO1,H$31,[0]!CANDIDATO1,$C35,[0]!MUNICIPIO1,$B$32)</f>
        <v>0</v>
      </c>
      <c r="I35" s="6">
        <f>SUMIFS([0]!VOTOS2,[0]!TURNO1,I$31,[0]!CANDIDATO1,$C35,[0]!MUNICIPIO1,$B$32)</f>
        <v>0</v>
      </c>
      <c r="J35" s="6">
        <f>SUMIFS([0]!VOTOS2,[0]!TURNO1,J$31,[0]!CANDIDATO1,$C35,[0]!MUNICIPIO1,$B$32)</f>
        <v>0</v>
      </c>
      <c r="K35" s="6">
        <f>SUMIFS([0]!VOTOS2,[0]!TURNO1,K$31,[0]!CANDIDATO1,$C35,[0]!MUNICIPIO1,$B$32)</f>
        <v>0</v>
      </c>
      <c r="L35" s="6">
        <f>SUMIFS([0]!VOTOS2,[0]!TURNO1,L$31,[0]!CANDIDATO1,$C35,[0]!MUNICIPIO1,$B$32)</f>
        <v>0</v>
      </c>
      <c r="M35" s="6">
        <f>SUMIFS([0]!VOTOS2,[0]!TURNO1,M$31,[0]!CANDIDATO1,$C35,[0]!MUNICIPIO1,$B$32)</f>
        <v>0</v>
      </c>
      <c r="N35" s="6">
        <f>SUMIFS([0]!VOTOS2,[0]!TURNO1,N$31,[0]!CANDIDATO1,$C35,[0]!MUNICIPIO1,$B$32)</f>
        <v>0</v>
      </c>
      <c r="O35" s="6">
        <f>SUMIFS([0]!VOTOS2,[0]!TURNO1,O$31,[0]!CANDIDATO1,$C35,[0]!MUNICIPIO1,$B$32)</f>
        <v>0</v>
      </c>
      <c r="P35" s="6">
        <f>SUMIFS([0]!VOTOS2,[0]!TURNO1,P$31,[0]!CANDIDATO1,$C35,[0]!MUNICIPIO1,$B$32)</f>
        <v>0</v>
      </c>
      <c r="Q35" s="6">
        <f>SUMIFS([0]!VOTOS2,[0]!TURNO1,Q$31,[0]!CANDIDATO1,$C35,[0]!MUNICIPIO1,$B$32)</f>
        <v>0</v>
      </c>
      <c r="R35" s="6">
        <f>SUMIFS([0]!VOTOS2,[0]!TURNO1,R$31,[0]!CANDIDATO1,$C35,[0]!MUNICIPIO1,$B$32)</f>
        <v>0</v>
      </c>
      <c r="S35" s="6">
        <f>SUMIFS([0]!VOTOS2,[0]!TURNO1,S$31,[0]!CANDIDATO1,$C35,[0]!MUNICIPIO1,$B$32)</f>
        <v>0</v>
      </c>
      <c r="T35" s="6">
        <f>SUMIFS([0]!VOTOS2,[0]!TURNO1,T$31,[0]!CANDIDATO1,$C35,[0]!MUNICIPIO1,$B$32)</f>
        <v>0</v>
      </c>
      <c r="U35" s="6">
        <f>SUMIFS([0]!VOTOS2,[0]!TURNO1,U$31,[0]!CANDIDATO1,$C35,[0]!MUNICIPIO1,$B$32)</f>
        <v>0</v>
      </c>
      <c r="V35" s="6">
        <f>SUMIFS([0]!VOTOS2,[0]!TURNO1,V$31,[0]!CANDIDATO1,$C35,[0]!MUNICIPIO1,$B$32)</f>
        <v>0</v>
      </c>
      <c r="W35" s="6">
        <f>SUMIFS([0]!VOTOS2,[0]!TURNO1,W$31,[0]!CANDIDATO1,$C35,[0]!MUNICIPIO1,$B$32)</f>
        <v>0</v>
      </c>
      <c r="X35" s="24"/>
      <c r="Y35" s="18" t="str">
        <f t="shared" si="56"/>
        <v>WILMER HERNANDEZ</v>
      </c>
      <c r="Z35" s="34">
        <f t="shared" si="57"/>
        <v>0</v>
      </c>
      <c r="AA35" s="34">
        <f t="shared" si="58"/>
        <v>0</v>
      </c>
      <c r="AB35" s="34" t="e">
        <f t="shared" ref="AB35:AR35" si="67">IF(SUM(G32:G44)=0,NA(),G35+AA35)</f>
        <v>#N/A</v>
      </c>
      <c r="AC35" s="34" t="e">
        <f t="shared" si="67"/>
        <v>#N/A</v>
      </c>
      <c r="AD35" s="34" t="e">
        <f t="shared" si="67"/>
        <v>#N/A</v>
      </c>
      <c r="AE35" s="34" t="e">
        <f t="shared" si="67"/>
        <v>#N/A</v>
      </c>
      <c r="AF35" s="34" t="e">
        <f t="shared" si="67"/>
        <v>#N/A</v>
      </c>
      <c r="AG35" s="34" t="e">
        <f t="shared" si="67"/>
        <v>#N/A</v>
      </c>
      <c r="AH35" s="34" t="e">
        <f t="shared" si="67"/>
        <v>#N/A</v>
      </c>
      <c r="AI35" s="34" t="e">
        <f t="shared" si="67"/>
        <v>#N/A</v>
      </c>
      <c r="AJ35" s="34" t="e">
        <f t="shared" si="67"/>
        <v>#N/A</v>
      </c>
      <c r="AK35" s="34" t="e">
        <f t="shared" si="67"/>
        <v>#N/A</v>
      </c>
      <c r="AL35" s="34" t="e">
        <f t="shared" si="67"/>
        <v>#N/A</v>
      </c>
      <c r="AM35" s="34" t="e">
        <f t="shared" si="67"/>
        <v>#N/A</v>
      </c>
      <c r="AN35" s="34" t="e">
        <f t="shared" si="67"/>
        <v>#N/A</v>
      </c>
      <c r="AO35" s="34" t="e">
        <f t="shared" si="67"/>
        <v>#N/A</v>
      </c>
      <c r="AP35" s="34" t="e">
        <f t="shared" si="67"/>
        <v>#N/A</v>
      </c>
      <c r="AQ35" s="34" t="e">
        <f t="shared" si="67"/>
        <v>#N/A</v>
      </c>
      <c r="AR35" s="34" t="e">
        <f t="shared" si="67"/>
        <v>#N/A</v>
      </c>
      <c r="AS35" s="27"/>
      <c r="AT35" s="39"/>
      <c r="AU35" s="39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30"/>
    </row>
    <row r="36" spans="1:66" ht="11.25" customHeight="1" x14ac:dyDescent="0.2">
      <c r="A36" s="70"/>
      <c r="B36" s="73"/>
      <c r="C36" s="52">
        <v>5</v>
      </c>
      <c r="D36" s="8" t="s">
        <v>84</v>
      </c>
      <c r="E36" s="16">
        <f t="shared" si="55"/>
        <v>0</v>
      </c>
      <c r="F36" s="6">
        <f>SUMIFS([0]!VOTOS2,[0]!TURNO1,F$31,[0]!CANDIDATO1,$C36,[0]!MUNICIPIO1,$B$32)</f>
        <v>0</v>
      </c>
      <c r="G36" s="6">
        <f>SUMIFS([0]!VOTOS2,[0]!TURNO1,G$31,[0]!CANDIDATO1,$C36,[0]!MUNICIPIO1,$B$32)</f>
        <v>0</v>
      </c>
      <c r="H36" s="6">
        <f>SUMIFS([0]!VOTOS2,[0]!TURNO1,H$31,[0]!CANDIDATO1,$C36,[0]!MUNICIPIO1,$B$32)</f>
        <v>0</v>
      </c>
      <c r="I36" s="6">
        <f>SUMIFS([0]!VOTOS2,[0]!TURNO1,I$31,[0]!CANDIDATO1,$C36,[0]!MUNICIPIO1,$B$32)</f>
        <v>0</v>
      </c>
      <c r="J36" s="6">
        <f>SUMIFS([0]!VOTOS2,[0]!TURNO1,J$31,[0]!CANDIDATO1,$C36,[0]!MUNICIPIO1,$B$32)</f>
        <v>0</v>
      </c>
      <c r="K36" s="6">
        <f>SUMIFS([0]!VOTOS2,[0]!TURNO1,K$31,[0]!CANDIDATO1,$C36,[0]!MUNICIPIO1,$B$32)</f>
        <v>0</v>
      </c>
      <c r="L36" s="6">
        <f>SUMIFS([0]!VOTOS2,[0]!TURNO1,L$31,[0]!CANDIDATO1,$C36,[0]!MUNICIPIO1,$B$32)</f>
        <v>0</v>
      </c>
      <c r="M36" s="6">
        <f>SUMIFS([0]!VOTOS2,[0]!TURNO1,M$31,[0]!CANDIDATO1,$C36,[0]!MUNICIPIO1,$B$32)</f>
        <v>0</v>
      </c>
      <c r="N36" s="6">
        <f>SUMIFS([0]!VOTOS2,[0]!TURNO1,N$31,[0]!CANDIDATO1,$C36,[0]!MUNICIPIO1,$B$32)</f>
        <v>0</v>
      </c>
      <c r="O36" s="6">
        <f>SUMIFS([0]!VOTOS2,[0]!TURNO1,O$31,[0]!CANDIDATO1,$C36,[0]!MUNICIPIO1,$B$32)</f>
        <v>0</v>
      </c>
      <c r="P36" s="6">
        <f>SUMIFS([0]!VOTOS2,[0]!TURNO1,P$31,[0]!CANDIDATO1,$C36,[0]!MUNICIPIO1,$B$32)</f>
        <v>0</v>
      </c>
      <c r="Q36" s="6">
        <f>SUMIFS([0]!VOTOS2,[0]!TURNO1,Q$31,[0]!CANDIDATO1,$C36,[0]!MUNICIPIO1,$B$32)</f>
        <v>0</v>
      </c>
      <c r="R36" s="6">
        <f>SUMIFS([0]!VOTOS2,[0]!TURNO1,R$31,[0]!CANDIDATO1,$C36,[0]!MUNICIPIO1,$B$32)</f>
        <v>0</v>
      </c>
      <c r="S36" s="6">
        <f>SUMIFS([0]!VOTOS2,[0]!TURNO1,S$31,[0]!CANDIDATO1,$C36,[0]!MUNICIPIO1,$B$32)</f>
        <v>0</v>
      </c>
      <c r="T36" s="6">
        <f>SUMIFS([0]!VOTOS2,[0]!TURNO1,T$31,[0]!CANDIDATO1,$C36,[0]!MUNICIPIO1,$B$32)</f>
        <v>0</v>
      </c>
      <c r="U36" s="6">
        <f>SUMIFS([0]!VOTOS2,[0]!TURNO1,U$31,[0]!CANDIDATO1,$C36,[0]!MUNICIPIO1,$B$32)</f>
        <v>0</v>
      </c>
      <c r="V36" s="6">
        <f>SUMIFS([0]!VOTOS2,[0]!TURNO1,V$31,[0]!CANDIDATO1,$C36,[0]!MUNICIPIO1,$B$32)</f>
        <v>0</v>
      </c>
      <c r="W36" s="6">
        <f>SUMIFS([0]!VOTOS2,[0]!TURNO1,W$31,[0]!CANDIDATO1,$C36,[0]!MUNICIPIO1,$B$32)</f>
        <v>0</v>
      </c>
      <c r="X36" s="24"/>
      <c r="Y36" s="18" t="str">
        <f t="shared" si="56"/>
        <v>PLINIO GRATEROL</v>
      </c>
      <c r="Z36" s="34">
        <f t="shared" si="57"/>
        <v>0</v>
      </c>
      <c r="AA36" s="34">
        <f t="shared" si="58"/>
        <v>0</v>
      </c>
      <c r="AB36" s="34" t="e">
        <f t="shared" ref="AB36:AR36" si="68">IF(SUM(G32:G44)=0,NA(),G36+AA36)</f>
        <v>#N/A</v>
      </c>
      <c r="AC36" s="34" t="e">
        <f t="shared" si="68"/>
        <v>#N/A</v>
      </c>
      <c r="AD36" s="34" t="e">
        <f t="shared" si="68"/>
        <v>#N/A</v>
      </c>
      <c r="AE36" s="34" t="e">
        <f t="shared" si="68"/>
        <v>#N/A</v>
      </c>
      <c r="AF36" s="34" t="e">
        <f t="shared" si="68"/>
        <v>#N/A</v>
      </c>
      <c r="AG36" s="34" t="e">
        <f t="shared" si="68"/>
        <v>#N/A</v>
      </c>
      <c r="AH36" s="34" t="e">
        <f t="shared" si="68"/>
        <v>#N/A</v>
      </c>
      <c r="AI36" s="34" t="e">
        <f t="shared" si="68"/>
        <v>#N/A</v>
      </c>
      <c r="AJ36" s="34" t="e">
        <f t="shared" si="68"/>
        <v>#N/A</v>
      </c>
      <c r="AK36" s="34" t="e">
        <f t="shared" si="68"/>
        <v>#N/A</v>
      </c>
      <c r="AL36" s="34" t="e">
        <f t="shared" si="68"/>
        <v>#N/A</v>
      </c>
      <c r="AM36" s="34" t="e">
        <f t="shared" si="68"/>
        <v>#N/A</v>
      </c>
      <c r="AN36" s="34" t="e">
        <f t="shared" si="68"/>
        <v>#N/A</v>
      </c>
      <c r="AO36" s="34" t="e">
        <f t="shared" si="68"/>
        <v>#N/A</v>
      </c>
      <c r="AP36" s="34" t="e">
        <f t="shared" si="68"/>
        <v>#N/A</v>
      </c>
      <c r="AQ36" s="34" t="e">
        <f t="shared" si="68"/>
        <v>#N/A</v>
      </c>
      <c r="AR36" s="34" t="e">
        <f t="shared" si="68"/>
        <v>#N/A</v>
      </c>
      <c r="AS36" s="27"/>
      <c r="AT36" s="39"/>
      <c r="AU36" s="39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30"/>
    </row>
    <row r="37" spans="1:66" ht="11.25" customHeight="1" x14ac:dyDescent="0.2">
      <c r="A37" s="70"/>
      <c r="B37" s="73"/>
      <c r="C37" s="51">
        <v>6</v>
      </c>
      <c r="D37" s="8" t="s">
        <v>85</v>
      </c>
      <c r="E37" s="16">
        <f t="shared" si="55"/>
        <v>0</v>
      </c>
      <c r="F37" s="6">
        <f>SUMIFS([0]!VOTOS2,[0]!TURNO1,F$31,[0]!CANDIDATO1,$C37,[0]!MUNICIPIO1,$B$32)</f>
        <v>0</v>
      </c>
      <c r="G37" s="6">
        <f>SUMIFS([0]!VOTOS2,[0]!TURNO1,G$31,[0]!CANDIDATO1,$C37,[0]!MUNICIPIO1,$B$32)</f>
        <v>0</v>
      </c>
      <c r="H37" s="6">
        <f>SUMIFS([0]!VOTOS2,[0]!TURNO1,H$31,[0]!CANDIDATO1,$C37,[0]!MUNICIPIO1,$B$32)</f>
        <v>0</v>
      </c>
      <c r="I37" s="6">
        <f>SUMIFS([0]!VOTOS2,[0]!TURNO1,I$31,[0]!CANDIDATO1,$C37,[0]!MUNICIPIO1,$B$32)</f>
        <v>0</v>
      </c>
      <c r="J37" s="6">
        <f>SUMIFS([0]!VOTOS2,[0]!TURNO1,J$31,[0]!CANDIDATO1,$C37,[0]!MUNICIPIO1,$B$32)</f>
        <v>0</v>
      </c>
      <c r="K37" s="6">
        <f>SUMIFS([0]!VOTOS2,[0]!TURNO1,K$31,[0]!CANDIDATO1,$C37,[0]!MUNICIPIO1,$B$32)</f>
        <v>0</v>
      </c>
      <c r="L37" s="6">
        <f>SUMIFS([0]!VOTOS2,[0]!TURNO1,L$31,[0]!CANDIDATO1,$C37,[0]!MUNICIPIO1,$B$32)</f>
        <v>0</v>
      </c>
      <c r="M37" s="6">
        <f>SUMIFS([0]!VOTOS2,[0]!TURNO1,M$31,[0]!CANDIDATO1,$C37,[0]!MUNICIPIO1,$B$32)</f>
        <v>0</v>
      </c>
      <c r="N37" s="6">
        <f>SUMIFS([0]!VOTOS2,[0]!TURNO1,N$31,[0]!CANDIDATO1,$C37,[0]!MUNICIPIO1,$B$32)</f>
        <v>0</v>
      </c>
      <c r="O37" s="6">
        <f>SUMIFS([0]!VOTOS2,[0]!TURNO1,O$31,[0]!CANDIDATO1,$C37,[0]!MUNICIPIO1,$B$32)</f>
        <v>0</v>
      </c>
      <c r="P37" s="6">
        <f>SUMIFS([0]!VOTOS2,[0]!TURNO1,P$31,[0]!CANDIDATO1,$C37,[0]!MUNICIPIO1,$B$32)</f>
        <v>0</v>
      </c>
      <c r="Q37" s="6">
        <f>SUMIFS([0]!VOTOS2,[0]!TURNO1,Q$31,[0]!CANDIDATO1,$C37,[0]!MUNICIPIO1,$B$32)</f>
        <v>0</v>
      </c>
      <c r="R37" s="6">
        <f>SUMIFS([0]!VOTOS2,[0]!TURNO1,R$31,[0]!CANDIDATO1,$C37,[0]!MUNICIPIO1,$B$32)</f>
        <v>0</v>
      </c>
      <c r="S37" s="6">
        <f>SUMIFS([0]!VOTOS2,[0]!TURNO1,S$31,[0]!CANDIDATO1,$C37,[0]!MUNICIPIO1,$B$32)</f>
        <v>0</v>
      </c>
      <c r="T37" s="6">
        <f>SUMIFS([0]!VOTOS2,[0]!TURNO1,T$31,[0]!CANDIDATO1,$C37,[0]!MUNICIPIO1,$B$32)</f>
        <v>0</v>
      </c>
      <c r="U37" s="6">
        <f>SUMIFS([0]!VOTOS2,[0]!TURNO1,U$31,[0]!CANDIDATO1,$C37,[0]!MUNICIPIO1,$B$32)</f>
        <v>0</v>
      </c>
      <c r="V37" s="6">
        <f>SUMIFS([0]!VOTOS2,[0]!TURNO1,V$31,[0]!CANDIDATO1,$C37,[0]!MUNICIPIO1,$B$32)</f>
        <v>0</v>
      </c>
      <c r="W37" s="6">
        <f>SUMIFS([0]!VOTOS2,[0]!TURNO1,W$31,[0]!CANDIDATO1,$C37,[0]!MUNICIPIO1,$B$32)</f>
        <v>0</v>
      </c>
      <c r="X37" s="24"/>
      <c r="Y37" s="18" t="str">
        <f t="shared" si="56"/>
        <v>FREDDY ROQUE</v>
      </c>
      <c r="Z37" s="34">
        <f t="shared" si="57"/>
        <v>0</v>
      </c>
      <c r="AA37" s="34">
        <f t="shared" si="58"/>
        <v>0</v>
      </c>
      <c r="AB37" s="34" t="e">
        <f t="shared" ref="AB37:AR37" si="69">IF(SUM(G32:G44)=0,NA(),G37+AA37)</f>
        <v>#N/A</v>
      </c>
      <c r="AC37" s="34" t="e">
        <f t="shared" si="69"/>
        <v>#N/A</v>
      </c>
      <c r="AD37" s="34" t="e">
        <f t="shared" si="69"/>
        <v>#N/A</v>
      </c>
      <c r="AE37" s="34" t="e">
        <f t="shared" si="69"/>
        <v>#N/A</v>
      </c>
      <c r="AF37" s="34" t="e">
        <f t="shared" si="69"/>
        <v>#N/A</v>
      </c>
      <c r="AG37" s="34" t="e">
        <f t="shared" si="69"/>
        <v>#N/A</v>
      </c>
      <c r="AH37" s="34" t="e">
        <f t="shared" si="69"/>
        <v>#N/A</v>
      </c>
      <c r="AI37" s="34" t="e">
        <f t="shared" si="69"/>
        <v>#N/A</v>
      </c>
      <c r="AJ37" s="34" t="e">
        <f t="shared" si="69"/>
        <v>#N/A</v>
      </c>
      <c r="AK37" s="34" t="e">
        <f t="shared" si="69"/>
        <v>#N/A</v>
      </c>
      <c r="AL37" s="34" t="e">
        <f t="shared" si="69"/>
        <v>#N/A</v>
      </c>
      <c r="AM37" s="34" t="e">
        <f t="shared" si="69"/>
        <v>#N/A</v>
      </c>
      <c r="AN37" s="34" t="e">
        <f t="shared" si="69"/>
        <v>#N/A</v>
      </c>
      <c r="AO37" s="34" t="e">
        <f t="shared" si="69"/>
        <v>#N/A</v>
      </c>
      <c r="AP37" s="34" t="e">
        <f t="shared" si="69"/>
        <v>#N/A</v>
      </c>
      <c r="AQ37" s="34" t="e">
        <f t="shared" si="69"/>
        <v>#N/A</v>
      </c>
      <c r="AR37" s="34" t="e">
        <f t="shared" si="69"/>
        <v>#N/A</v>
      </c>
      <c r="AS37" s="27"/>
      <c r="AT37" s="39"/>
      <c r="AU37" s="39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30"/>
    </row>
    <row r="38" spans="1:66" ht="11.25" customHeight="1" x14ac:dyDescent="0.2">
      <c r="A38" s="70"/>
      <c r="B38" s="73"/>
      <c r="C38" s="52">
        <v>7</v>
      </c>
      <c r="D38" s="9" t="s">
        <v>86</v>
      </c>
      <c r="E38" s="16">
        <f t="shared" si="55"/>
        <v>0</v>
      </c>
      <c r="F38" s="6">
        <f>SUMIFS([0]!VOTOS2,[0]!TURNO1,F$31,[0]!CANDIDATO1,$C38,[0]!MUNICIPIO1,$B$32)</f>
        <v>0</v>
      </c>
      <c r="G38" s="6">
        <f>SUMIFS([0]!VOTOS2,[0]!TURNO1,G$31,[0]!CANDIDATO1,$C38,[0]!MUNICIPIO1,$B$32)</f>
        <v>0</v>
      </c>
      <c r="H38" s="6">
        <f>SUMIFS([0]!VOTOS2,[0]!TURNO1,H$31,[0]!CANDIDATO1,$C38,[0]!MUNICIPIO1,$B$32)</f>
        <v>0</v>
      </c>
      <c r="I38" s="6">
        <f>SUMIFS([0]!VOTOS2,[0]!TURNO1,I$31,[0]!CANDIDATO1,$C38,[0]!MUNICIPIO1,$B$32)</f>
        <v>0</v>
      </c>
      <c r="J38" s="6">
        <f>SUMIFS([0]!VOTOS2,[0]!TURNO1,J$31,[0]!CANDIDATO1,$C38,[0]!MUNICIPIO1,$B$32)</f>
        <v>0</v>
      </c>
      <c r="K38" s="6">
        <f>SUMIFS([0]!VOTOS2,[0]!TURNO1,K$31,[0]!CANDIDATO1,$C38,[0]!MUNICIPIO1,$B$32)</f>
        <v>0</v>
      </c>
      <c r="L38" s="6">
        <f>SUMIFS([0]!VOTOS2,[0]!TURNO1,L$31,[0]!CANDIDATO1,$C38,[0]!MUNICIPIO1,$B$32)</f>
        <v>0</v>
      </c>
      <c r="M38" s="6">
        <f>SUMIFS([0]!VOTOS2,[0]!TURNO1,M$31,[0]!CANDIDATO1,$C38,[0]!MUNICIPIO1,$B$32)</f>
        <v>0</v>
      </c>
      <c r="N38" s="6">
        <f>SUMIFS([0]!VOTOS2,[0]!TURNO1,N$31,[0]!CANDIDATO1,$C38,[0]!MUNICIPIO1,$B$32)</f>
        <v>0</v>
      </c>
      <c r="O38" s="6">
        <f>SUMIFS([0]!VOTOS2,[0]!TURNO1,O$31,[0]!CANDIDATO1,$C38,[0]!MUNICIPIO1,$B$32)</f>
        <v>0</v>
      </c>
      <c r="P38" s="6">
        <f>SUMIFS([0]!VOTOS2,[0]!TURNO1,P$31,[0]!CANDIDATO1,$C38,[0]!MUNICIPIO1,$B$32)</f>
        <v>0</v>
      </c>
      <c r="Q38" s="6">
        <f>SUMIFS([0]!VOTOS2,[0]!TURNO1,Q$31,[0]!CANDIDATO1,$C38,[0]!MUNICIPIO1,$B$32)</f>
        <v>0</v>
      </c>
      <c r="R38" s="6">
        <f>SUMIFS([0]!VOTOS2,[0]!TURNO1,R$31,[0]!CANDIDATO1,$C38,[0]!MUNICIPIO1,$B$32)</f>
        <v>0</v>
      </c>
      <c r="S38" s="6">
        <f>SUMIFS([0]!VOTOS2,[0]!TURNO1,S$31,[0]!CANDIDATO1,$C38,[0]!MUNICIPIO1,$B$32)</f>
        <v>0</v>
      </c>
      <c r="T38" s="6">
        <f>SUMIFS([0]!VOTOS2,[0]!TURNO1,T$31,[0]!CANDIDATO1,$C38,[0]!MUNICIPIO1,$B$32)</f>
        <v>0</v>
      </c>
      <c r="U38" s="6">
        <f>SUMIFS([0]!VOTOS2,[0]!TURNO1,U$31,[0]!CANDIDATO1,$C38,[0]!MUNICIPIO1,$B$32)</f>
        <v>0</v>
      </c>
      <c r="V38" s="6">
        <f>SUMIFS([0]!VOTOS2,[0]!TURNO1,V$31,[0]!CANDIDATO1,$C38,[0]!MUNICIPIO1,$B$32)</f>
        <v>0</v>
      </c>
      <c r="W38" s="6">
        <f>SUMIFS([0]!VOTOS2,[0]!TURNO1,W$31,[0]!CANDIDATO1,$C38,[0]!MUNICIPIO1,$B$32)</f>
        <v>0</v>
      </c>
      <c r="X38" s="24"/>
      <c r="Y38" s="18" t="str">
        <f t="shared" si="56"/>
        <v>GUTIERREZ GUILLERMO</v>
      </c>
      <c r="Z38" s="34">
        <f t="shared" si="57"/>
        <v>0</v>
      </c>
      <c r="AA38" s="34">
        <f t="shared" si="58"/>
        <v>0</v>
      </c>
      <c r="AB38" s="34" t="e">
        <f t="shared" ref="AB38:AR38" si="70">IF(SUM(G32:G44)=0,NA(),G38+AA38)</f>
        <v>#N/A</v>
      </c>
      <c r="AC38" s="34" t="e">
        <f t="shared" si="70"/>
        <v>#N/A</v>
      </c>
      <c r="AD38" s="34" t="e">
        <f t="shared" si="70"/>
        <v>#N/A</v>
      </c>
      <c r="AE38" s="34" t="e">
        <f t="shared" si="70"/>
        <v>#N/A</v>
      </c>
      <c r="AF38" s="34" t="e">
        <f t="shared" si="70"/>
        <v>#N/A</v>
      </c>
      <c r="AG38" s="34" t="e">
        <f t="shared" si="70"/>
        <v>#N/A</v>
      </c>
      <c r="AH38" s="34" t="e">
        <f t="shared" si="70"/>
        <v>#N/A</v>
      </c>
      <c r="AI38" s="34" t="e">
        <f t="shared" si="70"/>
        <v>#N/A</v>
      </c>
      <c r="AJ38" s="34" t="e">
        <f t="shared" si="70"/>
        <v>#N/A</v>
      </c>
      <c r="AK38" s="34" t="e">
        <f t="shared" si="70"/>
        <v>#N/A</v>
      </c>
      <c r="AL38" s="34" t="e">
        <f t="shared" si="70"/>
        <v>#N/A</v>
      </c>
      <c r="AM38" s="34" t="e">
        <f t="shared" si="70"/>
        <v>#N/A</v>
      </c>
      <c r="AN38" s="34" t="e">
        <f t="shared" si="70"/>
        <v>#N/A</v>
      </c>
      <c r="AO38" s="34" t="e">
        <f t="shared" si="70"/>
        <v>#N/A</v>
      </c>
      <c r="AP38" s="34" t="e">
        <f t="shared" si="70"/>
        <v>#N/A</v>
      </c>
      <c r="AQ38" s="34" t="e">
        <f t="shared" si="70"/>
        <v>#N/A</v>
      </c>
      <c r="AR38" s="34" t="e">
        <f t="shared" si="70"/>
        <v>#N/A</v>
      </c>
      <c r="AS38" s="27"/>
      <c r="AT38" s="39"/>
      <c r="AU38" s="39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30"/>
    </row>
    <row r="39" spans="1:66" ht="11.25" customHeight="1" x14ac:dyDescent="0.2">
      <c r="A39" s="71"/>
      <c r="B39" s="74"/>
      <c r="C39" s="33">
        <v>8</v>
      </c>
      <c r="D39" s="8" t="s">
        <v>87</v>
      </c>
      <c r="E39" s="16">
        <f t="shared" si="55"/>
        <v>0</v>
      </c>
      <c r="F39" s="6">
        <f>SUMIFS([0]!VOTOS2,[0]!TURNO1,F$31,[0]!CANDIDATO1,$C39,[0]!MUNICIPIO1,$B$32)</f>
        <v>0</v>
      </c>
      <c r="G39" s="6">
        <f>SUMIFS([0]!VOTOS2,[0]!TURNO1,G$31,[0]!CANDIDATO1,$C39,[0]!MUNICIPIO1,$B$32)</f>
        <v>0</v>
      </c>
      <c r="H39" s="6">
        <f>SUMIFS([0]!VOTOS2,[0]!TURNO1,H$31,[0]!CANDIDATO1,$C39,[0]!MUNICIPIO1,$B$32)</f>
        <v>0</v>
      </c>
      <c r="I39" s="6">
        <f>SUMIFS([0]!VOTOS2,[0]!TURNO1,I$31,[0]!CANDIDATO1,$C39,[0]!MUNICIPIO1,$B$32)</f>
        <v>0</v>
      </c>
      <c r="J39" s="6">
        <f>SUMIFS([0]!VOTOS2,[0]!TURNO1,J$31,[0]!CANDIDATO1,$C39,[0]!MUNICIPIO1,$B$32)</f>
        <v>0</v>
      </c>
      <c r="K39" s="6">
        <f>SUMIFS([0]!VOTOS2,[0]!TURNO1,K$31,[0]!CANDIDATO1,$C39,[0]!MUNICIPIO1,$B$32)</f>
        <v>0</v>
      </c>
      <c r="L39" s="6">
        <f>SUMIFS([0]!VOTOS2,[0]!TURNO1,L$31,[0]!CANDIDATO1,$C39,[0]!MUNICIPIO1,$B$32)</f>
        <v>0</v>
      </c>
      <c r="M39" s="6">
        <f>SUMIFS([0]!VOTOS2,[0]!TURNO1,M$31,[0]!CANDIDATO1,$C39,[0]!MUNICIPIO1,$B$32)</f>
        <v>0</v>
      </c>
      <c r="N39" s="6">
        <f>SUMIFS([0]!VOTOS2,[0]!TURNO1,N$31,[0]!CANDIDATO1,$C39,[0]!MUNICIPIO1,$B$32)</f>
        <v>0</v>
      </c>
      <c r="O39" s="6">
        <f>SUMIFS([0]!VOTOS2,[0]!TURNO1,O$31,[0]!CANDIDATO1,$C39,[0]!MUNICIPIO1,$B$32)</f>
        <v>0</v>
      </c>
      <c r="P39" s="6">
        <f>SUMIFS([0]!VOTOS2,[0]!TURNO1,P$31,[0]!CANDIDATO1,$C39,[0]!MUNICIPIO1,$B$32)</f>
        <v>0</v>
      </c>
      <c r="Q39" s="6">
        <f>SUMIFS([0]!VOTOS2,[0]!TURNO1,Q$31,[0]!CANDIDATO1,$C39,[0]!MUNICIPIO1,$B$32)</f>
        <v>0</v>
      </c>
      <c r="R39" s="6">
        <f>SUMIFS([0]!VOTOS2,[0]!TURNO1,R$31,[0]!CANDIDATO1,$C39,[0]!MUNICIPIO1,$B$32)</f>
        <v>0</v>
      </c>
      <c r="S39" s="6">
        <f>SUMIFS([0]!VOTOS2,[0]!TURNO1,S$31,[0]!CANDIDATO1,$C39,[0]!MUNICIPIO1,$B$32)</f>
        <v>0</v>
      </c>
      <c r="T39" s="6">
        <f>SUMIFS([0]!VOTOS2,[0]!TURNO1,T$31,[0]!CANDIDATO1,$C39,[0]!MUNICIPIO1,$B$32)</f>
        <v>0</v>
      </c>
      <c r="U39" s="6">
        <f>SUMIFS([0]!VOTOS2,[0]!TURNO1,U$31,[0]!CANDIDATO1,$C39,[0]!MUNICIPIO1,$B$32)</f>
        <v>0</v>
      </c>
      <c r="V39" s="6">
        <f>SUMIFS([0]!VOTOS2,[0]!TURNO1,V$31,[0]!CANDIDATO1,$C39,[0]!MUNICIPIO1,$B$32)</f>
        <v>0</v>
      </c>
      <c r="W39" s="6">
        <f>SUMIFS([0]!VOTOS2,[0]!TURNO1,W$31,[0]!CANDIDATO1,$C39,[0]!MUNICIPIO1,$B$32)</f>
        <v>0</v>
      </c>
      <c r="X39" s="24"/>
      <c r="Y39" s="18" t="str">
        <f t="shared" si="56"/>
        <v>LUIS URBINA</v>
      </c>
      <c r="Z39" s="34">
        <f t="shared" si="57"/>
        <v>0</v>
      </c>
      <c r="AA39" s="34">
        <f t="shared" si="58"/>
        <v>0</v>
      </c>
      <c r="AB39" s="34" t="e">
        <f t="shared" ref="AB39:AR39" si="71">IF(SUM(G32:G44)=0,NA(),G39+AA39)</f>
        <v>#N/A</v>
      </c>
      <c r="AC39" s="34" t="e">
        <f t="shared" si="71"/>
        <v>#N/A</v>
      </c>
      <c r="AD39" s="34" t="e">
        <f t="shared" si="71"/>
        <v>#N/A</v>
      </c>
      <c r="AE39" s="34" t="e">
        <f t="shared" si="71"/>
        <v>#N/A</v>
      </c>
      <c r="AF39" s="34" t="e">
        <f t="shared" si="71"/>
        <v>#N/A</v>
      </c>
      <c r="AG39" s="34" t="e">
        <f t="shared" si="71"/>
        <v>#N/A</v>
      </c>
      <c r="AH39" s="34" t="e">
        <f t="shared" si="71"/>
        <v>#N/A</v>
      </c>
      <c r="AI39" s="34" t="e">
        <f t="shared" si="71"/>
        <v>#N/A</v>
      </c>
      <c r="AJ39" s="34" t="e">
        <f t="shared" si="71"/>
        <v>#N/A</v>
      </c>
      <c r="AK39" s="34" t="e">
        <f t="shared" si="71"/>
        <v>#N/A</v>
      </c>
      <c r="AL39" s="34" t="e">
        <f t="shared" si="71"/>
        <v>#N/A</v>
      </c>
      <c r="AM39" s="34" t="e">
        <f t="shared" si="71"/>
        <v>#N/A</v>
      </c>
      <c r="AN39" s="34" t="e">
        <f t="shared" si="71"/>
        <v>#N/A</v>
      </c>
      <c r="AO39" s="34" t="e">
        <f t="shared" si="71"/>
        <v>#N/A</v>
      </c>
      <c r="AP39" s="34" t="e">
        <f t="shared" si="71"/>
        <v>#N/A</v>
      </c>
      <c r="AQ39" s="34" t="e">
        <f t="shared" si="71"/>
        <v>#N/A</v>
      </c>
      <c r="AR39" s="34" t="e">
        <f t="shared" si="71"/>
        <v>#N/A</v>
      </c>
      <c r="AS39" s="27"/>
      <c r="AT39" s="41"/>
      <c r="AU39" s="41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30"/>
    </row>
    <row r="40" spans="1:66" ht="11.25" customHeight="1" x14ac:dyDescent="0.2">
      <c r="A40" s="53"/>
      <c r="B40" s="54"/>
      <c r="C40" s="46">
        <v>9</v>
      </c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24"/>
      <c r="Y40" s="18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27"/>
      <c r="AT40" s="41"/>
      <c r="AU40" s="41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30"/>
    </row>
    <row r="41" spans="1:66" ht="11.25" customHeight="1" x14ac:dyDescent="0.2">
      <c r="A41" s="53"/>
      <c r="B41" s="54"/>
      <c r="C41" s="46">
        <v>10</v>
      </c>
      <c r="D41" s="14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24"/>
      <c r="Y41" s="18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27"/>
      <c r="AT41" s="41"/>
      <c r="AU41" s="41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30"/>
    </row>
    <row r="42" spans="1:66" ht="11.25" customHeight="1" x14ac:dyDescent="0.2">
      <c r="A42" s="53"/>
      <c r="B42" s="54"/>
      <c r="C42" s="46">
        <v>11</v>
      </c>
      <c r="D42" s="14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24"/>
      <c r="Y42" s="18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27"/>
      <c r="AT42" s="41"/>
      <c r="AU42" s="41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30"/>
    </row>
    <row r="43" spans="1:66" ht="11.25" customHeight="1" x14ac:dyDescent="0.2">
      <c r="A43" s="53"/>
      <c r="B43" s="54"/>
      <c r="C43" s="46">
        <v>12</v>
      </c>
      <c r="D43" s="14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24"/>
      <c r="Y43" s="18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27"/>
      <c r="AT43" s="41"/>
      <c r="AU43" s="41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30"/>
    </row>
    <row r="44" spans="1:66" ht="11.25" customHeight="1" x14ac:dyDescent="0.2">
      <c r="A44" s="53"/>
      <c r="B44" s="54"/>
      <c r="C44" s="46">
        <v>13</v>
      </c>
      <c r="D44" s="14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24"/>
      <c r="Y44" s="18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27"/>
      <c r="AT44" s="41"/>
      <c r="AU44" s="41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30"/>
    </row>
    <row r="45" spans="1:66" ht="11.25" customHeight="1" x14ac:dyDescent="0.2">
      <c r="D45" s="31" t="s">
        <v>76</v>
      </c>
      <c r="X45" s="55"/>
      <c r="Y45" s="19" t="s">
        <v>79</v>
      </c>
      <c r="Z45" s="34">
        <f t="shared" ref="Z45" si="72">SUM(Z34:Z44)</f>
        <v>0</v>
      </c>
      <c r="AA45" s="34">
        <f t="shared" ref="AA45" si="73">SUM(AA34:AA44)</f>
        <v>0</v>
      </c>
      <c r="AB45" s="34" t="e">
        <f t="shared" ref="AB45" si="74">SUM(AB34:AB44)</f>
        <v>#N/A</v>
      </c>
      <c r="AC45" s="34" t="e">
        <f t="shared" ref="AC45" si="75">SUM(AC34:AC44)</f>
        <v>#N/A</v>
      </c>
      <c r="AD45" s="34" t="e">
        <f t="shared" ref="AD45" si="76">SUM(AD34:AD44)</f>
        <v>#N/A</v>
      </c>
      <c r="AE45" s="34" t="e">
        <f t="shared" ref="AE45" si="77">SUM(AE34:AE44)</f>
        <v>#N/A</v>
      </c>
      <c r="AF45" s="34" t="e">
        <f t="shared" ref="AF45" si="78">SUM(AF34:AF44)</f>
        <v>#N/A</v>
      </c>
      <c r="AG45" s="34" t="e">
        <f t="shared" ref="AG45" si="79">SUM(AG34:AG44)</f>
        <v>#N/A</v>
      </c>
      <c r="AH45" s="34" t="e">
        <f t="shared" ref="AH45" si="80">SUM(AH34:AH44)</f>
        <v>#N/A</v>
      </c>
      <c r="AI45" s="34" t="e">
        <f t="shared" ref="AI45" si="81">SUM(AI34:AI44)</f>
        <v>#N/A</v>
      </c>
      <c r="AJ45" s="34" t="e">
        <f t="shared" ref="AJ45" si="82">SUM(AJ34:AJ44)</f>
        <v>#N/A</v>
      </c>
      <c r="AK45" s="34" t="e">
        <f t="shared" ref="AK45" si="83">SUM(AK34:AK44)</f>
        <v>#N/A</v>
      </c>
      <c r="AL45" s="34" t="e">
        <f t="shared" ref="AL45" si="84">SUM(AL34:AL44)</f>
        <v>#N/A</v>
      </c>
      <c r="AM45" s="34" t="e">
        <f t="shared" ref="AM45" si="85">SUM(AM34:AM44)</f>
        <v>#N/A</v>
      </c>
      <c r="AN45" s="34" t="e">
        <f t="shared" ref="AN45" si="86">SUM(AN34:AN44)</f>
        <v>#N/A</v>
      </c>
      <c r="AO45" s="34" t="e">
        <f t="shared" ref="AO45" si="87">SUM(AO34:AO44)</f>
        <v>#N/A</v>
      </c>
      <c r="AP45" s="34" t="e">
        <f t="shared" ref="AP45" si="88">SUM(AP34:AP44)</f>
        <v>#N/A</v>
      </c>
      <c r="AQ45" s="34" t="e">
        <f t="shared" ref="AQ45" si="89">SUM(AQ34:AQ44)</f>
        <v>#N/A</v>
      </c>
      <c r="AR45" s="34" t="e">
        <f t="shared" ref="AR45" si="90">SUM(AR34:AR44)</f>
        <v>#N/A</v>
      </c>
      <c r="AS45" s="27"/>
      <c r="AT45" s="41"/>
      <c r="AU45" s="41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30"/>
    </row>
    <row r="46" spans="1:66" ht="11.25" customHeight="1" x14ac:dyDescent="0.2">
      <c r="A46" s="75" t="s">
        <v>63</v>
      </c>
      <c r="B46" s="76"/>
      <c r="C46" s="47"/>
      <c r="D46" s="48" t="s">
        <v>75</v>
      </c>
      <c r="E46" s="49" t="s">
        <v>70</v>
      </c>
      <c r="F46" s="49">
        <v>0</v>
      </c>
      <c r="G46" s="49">
        <v>1</v>
      </c>
      <c r="H46" s="49">
        <v>2</v>
      </c>
      <c r="I46" s="49">
        <v>3</v>
      </c>
      <c r="J46" s="49">
        <v>4</v>
      </c>
      <c r="K46" s="49">
        <v>5</v>
      </c>
      <c r="L46" s="49">
        <v>6</v>
      </c>
      <c r="M46" s="49">
        <v>7</v>
      </c>
      <c r="N46" s="49">
        <v>8</v>
      </c>
      <c r="O46" s="49">
        <v>9</v>
      </c>
      <c r="P46" s="49">
        <v>10</v>
      </c>
      <c r="Q46" s="49">
        <v>11</v>
      </c>
      <c r="R46" s="49">
        <v>12</v>
      </c>
      <c r="S46" s="49">
        <v>13</v>
      </c>
      <c r="T46" s="49">
        <v>14</v>
      </c>
      <c r="U46" s="49">
        <v>15</v>
      </c>
      <c r="V46" s="49">
        <v>16</v>
      </c>
      <c r="W46" s="23">
        <v>17</v>
      </c>
      <c r="X46" s="24"/>
      <c r="Y46" s="17"/>
      <c r="Z46" s="25" t="s">
        <v>64</v>
      </c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7"/>
      <c r="AT46" s="28"/>
      <c r="AU46" s="28" t="s">
        <v>64</v>
      </c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30"/>
    </row>
    <row r="47" spans="1:66" ht="11.25" customHeight="1" x14ac:dyDescent="0.2">
      <c r="A47" s="32"/>
      <c r="B47" s="72">
        <v>4</v>
      </c>
      <c r="C47" s="56">
        <v>1</v>
      </c>
      <c r="D47" s="7" t="s">
        <v>88</v>
      </c>
      <c r="E47" s="16">
        <f t="shared" ref="E47:E56" si="91">SUM(F47:W47)</f>
        <v>5618</v>
      </c>
      <c r="F47" s="6">
        <f>SUMIFS([0]!VOTOS2,[0]!TURNO1,F$31,[0]!CANDIDATO1,$C47,[0]!MUNICIPIO1,$B$47)</f>
        <v>639</v>
      </c>
      <c r="G47" s="6">
        <f>SUMIFS([0]!VOTOS2,[0]!TURNO1,G$31,[0]!CANDIDATO1,$C47,[0]!MUNICIPIO1,$B$47)</f>
        <v>742</v>
      </c>
      <c r="H47" s="6">
        <f>SUMIFS([0]!VOTOS2,[0]!TURNO1,H$31,[0]!CANDIDATO1,$C47,[0]!MUNICIPIO1,$B$47)</f>
        <v>760</v>
      </c>
      <c r="I47" s="6">
        <f>SUMIFS([0]!VOTOS2,[0]!TURNO1,I$31,[0]!CANDIDATO1,$C47,[0]!MUNICIPIO1,$B$47)</f>
        <v>810</v>
      </c>
      <c r="J47" s="6">
        <f>SUMIFS([0]!VOTOS2,[0]!TURNO1,J$31,[0]!CANDIDATO1,$C47,[0]!MUNICIPIO1,$B$47)</f>
        <v>805</v>
      </c>
      <c r="K47" s="6">
        <f>SUMIFS([0]!VOTOS2,[0]!TURNO1,K$31,[0]!CANDIDATO1,$C47,[0]!MUNICIPIO1,$B$47)</f>
        <v>777</v>
      </c>
      <c r="L47" s="6">
        <f>SUMIFS([0]!VOTOS2,[0]!TURNO1,L$31,[0]!CANDIDATO1,$C47,[0]!MUNICIPIO1,$B$47)</f>
        <v>761</v>
      </c>
      <c r="M47" s="6">
        <f>SUMIFS([0]!VOTOS2,[0]!TURNO1,M$31,[0]!CANDIDATO1,$C47,[0]!MUNICIPIO1,$B$47)</f>
        <v>101</v>
      </c>
      <c r="N47" s="6">
        <f>SUMIFS([0]!VOTOS2,[0]!TURNO1,N$31,[0]!CANDIDATO1,$C47,[0]!MUNICIPIO1,$B$47)</f>
        <v>90</v>
      </c>
      <c r="O47" s="6">
        <f>SUMIFS([0]!VOTOS2,[0]!TURNO1,O$31,[0]!CANDIDATO1,$C47,[0]!MUNICIPIO1,$B$47)</f>
        <v>133</v>
      </c>
      <c r="P47" s="6">
        <f>SUMIFS([0]!VOTOS2,[0]!TURNO1,P$31,[0]!CANDIDATO1,$C47,[0]!MUNICIPIO1,$B$47)</f>
        <v>0</v>
      </c>
      <c r="Q47" s="6">
        <f>SUMIFS([0]!VOTOS2,[0]!TURNO1,Q$31,[0]!CANDIDATO1,$C47,[0]!MUNICIPIO1,$B$47)</f>
        <v>0</v>
      </c>
      <c r="R47" s="6">
        <f>SUMIFS([0]!VOTOS2,[0]!TURNO1,R$31,[0]!CANDIDATO1,$C47,[0]!MUNICIPIO1,$B$47)</f>
        <v>0</v>
      </c>
      <c r="S47" s="6">
        <f>SUMIFS([0]!VOTOS2,[0]!TURNO1,S$31,[0]!CANDIDATO1,$C47,[0]!MUNICIPIO1,$B$47)</f>
        <v>0</v>
      </c>
      <c r="T47" s="6">
        <f>SUMIFS([0]!VOTOS2,[0]!TURNO1,T$31,[0]!CANDIDATO1,$C47,[0]!MUNICIPIO1,$B$47)</f>
        <v>0</v>
      </c>
      <c r="U47" s="6">
        <f>SUMIFS([0]!VOTOS2,[0]!TURNO1,U$31,[0]!CANDIDATO1,$C47,[0]!MUNICIPIO1,$B$47)</f>
        <v>0</v>
      </c>
      <c r="V47" s="6">
        <f>SUMIFS([0]!VOTOS2,[0]!TURNO1,V$31,[0]!CANDIDATO1,$C47,[0]!MUNICIPIO1,$B$47)</f>
        <v>0</v>
      </c>
      <c r="W47" s="6">
        <f>SUMIFS([0]!VOTOS2,[0]!TURNO1,W$31,[0]!CANDIDATO1,$C47,[0]!MUNICIPIO1,$B$47)</f>
        <v>0</v>
      </c>
      <c r="X47" s="24"/>
      <c r="Y47" s="18" t="str">
        <f t="shared" ref="Y47:Y56" si="92">D47</f>
        <v>GUILLERMO MARTINEZ</v>
      </c>
      <c r="Z47" s="34">
        <f t="shared" ref="Z47:Z56" si="93">E47</f>
        <v>5618</v>
      </c>
      <c r="AA47" s="34">
        <f t="shared" ref="AA47:AA56" si="94">F47</f>
        <v>639</v>
      </c>
      <c r="AB47" s="34">
        <f t="shared" ref="AB47:AR47" si="95">IF(SUM(G47:G59)=0,NA(),G47+AA47)</f>
        <v>1381</v>
      </c>
      <c r="AC47" s="34">
        <f t="shared" si="95"/>
        <v>2141</v>
      </c>
      <c r="AD47" s="34">
        <f t="shared" si="95"/>
        <v>2951</v>
      </c>
      <c r="AE47" s="34">
        <f t="shared" si="95"/>
        <v>3756</v>
      </c>
      <c r="AF47" s="34">
        <f t="shared" si="95"/>
        <v>4533</v>
      </c>
      <c r="AG47" s="34">
        <f t="shared" si="95"/>
        <v>5294</v>
      </c>
      <c r="AH47" s="34">
        <f t="shared" si="95"/>
        <v>5395</v>
      </c>
      <c r="AI47" s="34">
        <f t="shared" si="95"/>
        <v>5485</v>
      </c>
      <c r="AJ47" s="34">
        <f t="shared" si="95"/>
        <v>5618</v>
      </c>
      <c r="AK47" s="34" t="e">
        <f t="shared" si="95"/>
        <v>#N/A</v>
      </c>
      <c r="AL47" s="34" t="e">
        <f t="shared" si="95"/>
        <v>#N/A</v>
      </c>
      <c r="AM47" s="34" t="e">
        <f t="shared" si="95"/>
        <v>#N/A</v>
      </c>
      <c r="AN47" s="34" t="e">
        <f t="shared" si="95"/>
        <v>#N/A</v>
      </c>
      <c r="AO47" s="34" t="e">
        <f t="shared" si="95"/>
        <v>#N/A</v>
      </c>
      <c r="AP47" s="34" t="e">
        <f t="shared" si="95"/>
        <v>#N/A</v>
      </c>
      <c r="AQ47" s="34" t="e">
        <f t="shared" si="95"/>
        <v>#N/A</v>
      </c>
      <c r="AR47" s="34" t="e">
        <f t="shared" si="95"/>
        <v>#N/A</v>
      </c>
      <c r="AS47" s="27"/>
      <c r="AT47" s="35" t="str">
        <f t="shared" ref="AT47:AT48" si="96">Y47</f>
        <v>GUILLERMO MARTINEZ</v>
      </c>
      <c r="AU47" s="36">
        <f t="shared" ref="AU47:BM47" si="97">Z47/(Z47+Z48+Z60)</f>
        <v>0.63725045372050815</v>
      </c>
      <c r="AV47" s="36">
        <f t="shared" si="97"/>
        <v>0.62955665024630547</v>
      </c>
      <c r="AW47" s="36">
        <f t="shared" si="97"/>
        <v>0.63030579643998175</v>
      </c>
      <c r="AX47" s="36">
        <f t="shared" si="97"/>
        <v>0.63418246445497628</v>
      </c>
      <c r="AY47" s="36">
        <f t="shared" si="97"/>
        <v>0.64096437880104262</v>
      </c>
      <c r="AZ47" s="36">
        <f t="shared" si="97"/>
        <v>0.64106502816180233</v>
      </c>
      <c r="BA47" s="36">
        <f t="shared" si="97"/>
        <v>0.63764242509495006</v>
      </c>
      <c r="BB47" s="36">
        <f t="shared" si="97"/>
        <v>0.6365275940844054</v>
      </c>
      <c r="BC47" s="36">
        <f t="shared" si="97"/>
        <v>0.63657817109144543</v>
      </c>
      <c r="BD47" s="36">
        <f t="shared" si="97"/>
        <v>0.63742010459035447</v>
      </c>
      <c r="BE47" s="36">
        <f t="shared" si="97"/>
        <v>0.63725045372050815</v>
      </c>
      <c r="BF47" s="36" t="e">
        <f t="shared" si="97"/>
        <v>#N/A</v>
      </c>
      <c r="BG47" s="36" t="e">
        <f t="shared" si="97"/>
        <v>#N/A</v>
      </c>
      <c r="BH47" s="36" t="e">
        <f t="shared" si="97"/>
        <v>#N/A</v>
      </c>
      <c r="BI47" s="36" t="e">
        <f t="shared" si="97"/>
        <v>#N/A</v>
      </c>
      <c r="BJ47" s="36" t="e">
        <f t="shared" si="97"/>
        <v>#N/A</v>
      </c>
      <c r="BK47" s="36" t="e">
        <f t="shared" si="97"/>
        <v>#N/A</v>
      </c>
      <c r="BL47" s="36" t="e">
        <f t="shared" si="97"/>
        <v>#N/A</v>
      </c>
      <c r="BM47" s="36" t="e">
        <f t="shared" si="97"/>
        <v>#N/A</v>
      </c>
      <c r="BN47" s="30"/>
    </row>
    <row r="48" spans="1:66" ht="11.25" customHeight="1" x14ac:dyDescent="0.2">
      <c r="A48" s="37"/>
      <c r="B48" s="73"/>
      <c r="C48" s="33">
        <v>2</v>
      </c>
      <c r="D48" s="8" t="s">
        <v>89</v>
      </c>
      <c r="E48" s="16">
        <f t="shared" si="91"/>
        <v>3167</v>
      </c>
      <c r="F48" s="6">
        <f>SUMIFS([0]!VOTOS2,[0]!TURNO1,F$31,[0]!CANDIDATO1,$C48,[0]!MUNICIPIO1,$B$47)</f>
        <v>376</v>
      </c>
      <c r="G48" s="6">
        <f>SUMIFS([0]!VOTOS2,[0]!TURNO1,G$31,[0]!CANDIDATO1,$C48,[0]!MUNICIPIO1,$B$47)</f>
        <v>425</v>
      </c>
      <c r="H48" s="6">
        <f>SUMIFS([0]!VOTOS2,[0]!TURNO1,H$31,[0]!CANDIDATO1,$C48,[0]!MUNICIPIO1,$B$47)</f>
        <v>415</v>
      </c>
      <c r="I48" s="6">
        <f>SUMIFS([0]!VOTOS2,[0]!TURNO1,I$31,[0]!CANDIDATO1,$C48,[0]!MUNICIPIO1,$B$47)</f>
        <v>414</v>
      </c>
      <c r="J48" s="6">
        <f>SUMIFS([0]!VOTOS2,[0]!TURNO1,J$31,[0]!CANDIDATO1,$C48,[0]!MUNICIPIO1,$B$47)</f>
        <v>449</v>
      </c>
      <c r="K48" s="6">
        <f>SUMIFS([0]!VOTOS2,[0]!TURNO1,K$31,[0]!CANDIDATO1,$C48,[0]!MUNICIPIO1,$B$47)</f>
        <v>472</v>
      </c>
      <c r="L48" s="6">
        <f>SUMIFS([0]!VOTOS2,[0]!TURNO1,L$31,[0]!CANDIDATO1,$C48,[0]!MUNICIPIO1,$B$47)</f>
        <v>447</v>
      </c>
      <c r="M48" s="6">
        <f>SUMIFS([0]!VOTOS2,[0]!TURNO1,M$31,[0]!CANDIDATO1,$C48,[0]!MUNICIPIO1,$B$47)</f>
        <v>55</v>
      </c>
      <c r="N48" s="6">
        <f>SUMIFS([0]!VOTOS2,[0]!TURNO1,N$31,[0]!CANDIDATO1,$C48,[0]!MUNICIPIO1,$B$47)</f>
        <v>40</v>
      </c>
      <c r="O48" s="6">
        <f>SUMIFS([0]!VOTOS2,[0]!TURNO1,O$31,[0]!CANDIDATO1,$C48,[0]!MUNICIPIO1,$B$47)</f>
        <v>74</v>
      </c>
      <c r="P48" s="6">
        <f>SUMIFS([0]!VOTOS2,[0]!TURNO1,P$31,[0]!CANDIDATO1,$C48,[0]!MUNICIPIO1,$B$47)</f>
        <v>0</v>
      </c>
      <c r="Q48" s="6">
        <f>SUMIFS([0]!VOTOS2,[0]!TURNO1,Q$31,[0]!CANDIDATO1,$C48,[0]!MUNICIPIO1,$B$47)</f>
        <v>0</v>
      </c>
      <c r="R48" s="6">
        <f>SUMIFS([0]!VOTOS2,[0]!TURNO1,R$31,[0]!CANDIDATO1,$C48,[0]!MUNICIPIO1,$B$47)</f>
        <v>0</v>
      </c>
      <c r="S48" s="6">
        <f>SUMIFS([0]!VOTOS2,[0]!TURNO1,S$31,[0]!CANDIDATO1,$C48,[0]!MUNICIPIO1,$B$47)</f>
        <v>0</v>
      </c>
      <c r="T48" s="6">
        <f>SUMIFS([0]!VOTOS2,[0]!TURNO1,T$31,[0]!CANDIDATO1,$C48,[0]!MUNICIPIO1,$B$47)</f>
        <v>0</v>
      </c>
      <c r="U48" s="6">
        <f>SUMIFS([0]!VOTOS2,[0]!TURNO1,U$31,[0]!CANDIDATO1,$C48,[0]!MUNICIPIO1,$B$47)</f>
        <v>0</v>
      </c>
      <c r="V48" s="6">
        <f>SUMIFS([0]!VOTOS2,[0]!TURNO1,V$31,[0]!CANDIDATO1,$C48,[0]!MUNICIPIO1,$B$47)</f>
        <v>0</v>
      </c>
      <c r="W48" s="6">
        <f>SUMIFS([0]!VOTOS2,[0]!TURNO1,W$31,[0]!CANDIDATO1,$C48,[0]!MUNICIPIO1,$B$47)</f>
        <v>0</v>
      </c>
      <c r="X48" s="24"/>
      <c r="Y48" s="18" t="str">
        <f t="shared" si="92"/>
        <v>CARLOS MICHELANGELI</v>
      </c>
      <c r="Z48" s="34">
        <f t="shared" si="93"/>
        <v>3167</v>
      </c>
      <c r="AA48" s="34">
        <f t="shared" si="94"/>
        <v>376</v>
      </c>
      <c r="AB48" s="34">
        <f t="shared" ref="AB48:AR48" si="98">IF(SUM(G47:G59)=0,NA(),G48+AA48)</f>
        <v>801</v>
      </c>
      <c r="AC48" s="34">
        <f t="shared" si="98"/>
        <v>1216</v>
      </c>
      <c r="AD48" s="34">
        <f t="shared" si="98"/>
        <v>1630</v>
      </c>
      <c r="AE48" s="34">
        <f t="shared" si="98"/>
        <v>2079</v>
      </c>
      <c r="AF48" s="34">
        <f t="shared" si="98"/>
        <v>2551</v>
      </c>
      <c r="AG48" s="34">
        <f t="shared" si="98"/>
        <v>2998</v>
      </c>
      <c r="AH48" s="34">
        <f t="shared" si="98"/>
        <v>3053</v>
      </c>
      <c r="AI48" s="34">
        <f t="shared" si="98"/>
        <v>3093</v>
      </c>
      <c r="AJ48" s="34">
        <f t="shared" si="98"/>
        <v>3167</v>
      </c>
      <c r="AK48" s="34" t="e">
        <f t="shared" si="98"/>
        <v>#N/A</v>
      </c>
      <c r="AL48" s="34" t="e">
        <f t="shared" si="98"/>
        <v>#N/A</v>
      </c>
      <c r="AM48" s="34" t="e">
        <f t="shared" si="98"/>
        <v>#N/A</v>
      </c>
      <c r="AN48" s="34" t="e">
        <f t="shared" si="98"/>
        <v>#N/A</v>
      </c>
      <c r="AO48" s="34" t="e">
        <f t="shared" si="98"/>
        <v>#N/A</v>
      </c>
      <c r="AP48" s="34" t="e">
        <f t="shared" si="98"/>
        <v>#N/A</v>
      </c>
      <c r="AQ48" s="34" t="e">
        <f t="shared" si="98"/>
        <v>#N/A</v>
      </c>
      <c r="AR48" s="34" t="e">
        <f t="shared" si="98"/>
        <v>#N/A</v>
      </c>
      <c r="AS48" s="27"/>
      <c r="AT48" s="35" t="str">
        <f t="shared" si="96"/>
        <v>CARLOS MICHELANGELI</v>
      </c>
      <c r="AU48" s="36">
        <f t="shared" ref="AU48:BM48" si="99">Z48/(Z47+Z48+Z60)</f>
        <v>0.35923321234119782</v>
      </c>
      <c r="AV48" s="36">
        <f t="shared" si="99"/>
        <v>0.37044334975369458</v>
      </c>
      <c r="AW48" s="36">
        <f t="shared" si="99"/>
        <v>0.36558649018712919</v>
      </c>
      <c r="AX48" s="36">
        <f t="shared" si="99"/>
        <v>0.36018957345971564</v>
      </c>
      <c r="AY48" s="36">
        <f t="shared" si="99"/>
        <v>0.35403996524761078</v>
      </c>
      <c r="AZ48" s="36">
        <f t="shared" si="99"/>
        <v>0.35483870967741937</v>
      </c>
      <c r="BA48" s="36">
        <f t="shared" si="99"/>
        <v>0.35884090589393725</v>
      </c>
      <c r="BB48" s="36">
        <f t="shared" si="99"/>
        <v>0.36046651436816157</v>
      </c>
      <c r="BC48" s="36">
        <f t="shared" si="99"/>
        <v>0.36023598820059</v>
      </c>
      <c r="BD48" s="36">
        <f t="shared" si="99"/>
        <v>0.35944218477629286</v>
      </c>
      <c r="BE48" s="36">
        <f t="shared" si="99"/>
        <v>0.35923321234119782</v>
      </c>
      <c r="BF48" s="36" t="e">
        <f t="shared" si="99"/>
        <v>#N/A</v>
      </c>
      <c r="BG48" s="36" t="e">
        <f t="shared" si="99"/>
        <v>#N/A</v>
      </c>
      <c r="BH48" s="36" t="e">
        <f t="shared" si="99"/>
        <v>#N/A</v>
      </c>
      <c r="BI48" s="36" t="e">
        <f t="shared" si="99"/>
        <v>#N/A</v>
      </c>
      <c r="BJ48" s="36" t="e">
        <f t="shared" si="99"/>
        <v>#N/A</v>
      </c>
      <c r="BK48" s="36" t="e">
        <f t="shared" si="99"/>
        <v>#N/A</v>
      </c>
      <c r="BL48" s="36" t="e">
        <f t="shared" si="99"/>
        <v>#N/A</v>
      </c>
      <c r="BM48" s="36" t="e">
        <f t="shared" si="99"/>
        <v>#N/A</v>
      </c>
      <c r="BN48" s="30"/>
    </row>
    <row r="49" spans="1:66" ht="11.25" customHeight="1" x14ac:dyDescent="0.2">
      <c r="A49" s="37"/>
      <c r="B49" s="73"/>
      <c r="C49" s="56">
        <v>3</v>
      </c>
      <c r="D49" s="8" t="s">
        <v>90</v>
      </c>
      <c r="E49" s="16">
        <f t="shared" si="91"/>
        <v>13</v>
      </c>
      <c r="F49" s="6">
        <f>SUMIFS([0]!VOTOS2,[0]!TURNO1,F$31,[0]!CANDIDATO1,$C49,[0]!MUNICIPIO1,$B$47)</f>
        <v>0</v>
      </c>
      <c r="G49" s="6">
        <f>SUMIFS([0]!VOTOS2,[0]!TURNO1,G$31,[0]!CANDIDATO1,$C49,[0]!MUNICIPIO1,$B$47)</f>
        <v>1</v>
      </c>
      <c r="H49" s="6">
        <f>SUMIFS([0]!VOTOS2,[0]!TURNO1,H$31,[0]!CANDIDATO1,$C49,[0]!MUNICIPIO1,$B$47)</f>
        <v>7</v>
      </c>
      <c r="I49" s="6">
        <f>SUMIFS([0]!VOTOS2,[0]!TURNO1,I$31,[0]!CANDIDATO1,$C49,[0]!MUNICIPIO1,$B$47)</f>
        <v>0</v>
      </c>
      <c r="J49" s="6">
        <f>SUMIFS([0]!VOTOS2,[0]!TURNO1,J$31,[0]!CANDIDATO1,$C49,[0]!MUNICIPIO1,$B$47)</f>
        <v>0</v>
      </c>
      <c r="K49" s="6">
        <f>SUMIFS([0]!VOTOS2,[0]!TURNO1,K$31,[0]!CANDIDATO1,$C49,[0]!MUNICIPIO1,$B$47)</f>
        <v>1</v>
      </c>
      <c r="L49" s="6">
        <f>SUMIFS([0]!VOTOS2,[0]!TURNO1,L$31,[0]!CANDIDATO1,$C49,[0]!MUNICIPIO1,$B$47)</f>
        <v>0</v>
      </c>
      <c r="M49" s="6">
        <f>SUMIFS([0]!VOTOS2,[0]!TURNO1,M$31,[0]!CANDIDATO1,$C49,[0]!MUNICIPIO1,$B$47)</f>
        <v>0</v>
      </c>
      <c r="N49" s="6">
        <f>SUMIFS([0]!VOTOS2,[0]!TURNO1,N$31,[0]!CANDIDATO1,$C49,[0]!MUNICIPIO1,$B$47)</f>
        <v>0</v>
      </c>
      <c r="O49" s="6">
        <f>SUMIFS([0]!VOTOS2,[0]!TURNO1,O$31,[0]!CANDIDATO1,$C49,[0]!MUNICIPIO1,$B$47)</f>
        <v>4</v>
      </c>
      <c r="P49" s="6">
        <f>SUMIFS([0]!VOTOS2,[0]!TURNO1,P$31,[0]!CANDIDATO1,$C49,[0]!MUNICIPIO1,$B$47)</f>
        <v>0</v>
      </c>
      <c r="Q49" s="6">
        <f>SUMIFS([0]!VOTOS2,[0]!TURNO1,Q$31,[0]!CANDIDATO1,$C49,[0]!MUNICIPIO1,$B$47)</f>
        <v>0</v>
      </c>
      <c r="R49" s="6">
        <f>SUMIFS([0]!VOTOS2,[0]!TURNO1,R$31,[0]!CANDIDATO1,$C49,[0]!MUNICIPIO1,$B$47)</f>
        <v>0</v>
      </c>
      <c r="S49" s="6">
        <f>SUMIFS([0]!VOTOS2,[0]!TURNO1,S$31,[0]!CANDIDATO1,$C49,[0]!MUNICIPIO1,$B$47)</f>
        <v>0</v>
      </c>
      <c r="T49" s="6">
        <f>SUMIFS([0]!VOTOS2,[0]!TURNO1,T$31,[0]!CANDIDATO1,$C49,[0]!MUNICIPIO1,$B$47)</f>
        <v>0</v>
      </c>
      <c r="U49" s="6">
        <f>SUMIFS([0]!VOTOS2,[0]!TURNO1,U$31,[0]!CANDIDATO1,$C49,[0]!MUNICIPIO1,$B$47)</f>
        <v>0</v>
      </c>
      <c r="V49" s="6">
        <f>SUMIFS([0]!VOTOS2,[0]!TURNO1,V$31,[0]!CANDIDATO1,$C49,[0]!MUNICIPIO1,$B$47)</f>
        <v>0</v>
      </c>
      <c r="W49" s="6">
        <f>SUMIFS([0]!VOTOS2,[0]!TURNO1,W$31,[0]!CANDIDATO1,$C49,[0]!MUNICIPIO1,$B$47)</f>
        <v>0</v>
      </c>
      <c r="X49" s="24"/>
      <c r="Y49" s="18" t="str">
        <f t="shared" si="92"/>
        <v>JESUS DIAZ</v>
      </c>
      <c r="Z49" s="34">
        <f t="shared" si="93"/>
        <v>13</v>
      </c>
      <c r="AA49" s="34">
        <f t="shared" si="94"/>
        <v>0</v>
      </c>
      <c r="AB49" s="34">
        <f t="shared" ref="AB49:AR49" si="100">IF(SUM(G47:G59)=0,NA(),G49+AA49)</f>
        <v>1</v>
      </c>
      <c r="AC49" s="34">
        <f t="shared" si="100"/>
        <v>8</v>
      </c>
      <c r="AD49" s="34">
        <f t="shared" si="100"/>
        <v>8</v>
      </c>
      <c r="AE49" s="34">
        <f t="shared" si="100"/>
        <v>8</v>
      </c>
      <c r="AF49" s="34">
        <f t="shared" si="100"/>
        <v>9</v>
      </c>
      <c r="AG49" s="34">
        <f t="shared" si="100"/>
        <v>9</v>
      </c>
      <c r="AH49" s="34">
        <f t="shared" si="100"/>
        <v>9</v>
      </c>
      <c r="AI49" s="34">
        <f t="shared" si="100"/>
        <v>9</v>
      </c>
      <c r="AJ49" s="34">
        <f t="shared" si="100"/>
        <v>13</v>
      </c>
      <c r="AK49" s="34" t="e">
        <f t="shared" si="100"/>
        <v>#N/A</v>
      </c>
      <c r="AL49" s="34" t="e">
        <f t="shared" si="100"/>
        <v>#N/A</v>
      </c>
      <c r="AM49" s="34" t="e">
        <f t="shared" si="100"/>
        <v>#N/A</v>
      </c>
      <c r="AN49" s="34" t="e">
        <f t="shared" si="100"/>
        <v>#N/A</v>
      </c>
      <c r="AO49" s="34" t="e">
        <f t="shared" si="100"/>
        <v>#N/A</v>
      </c>
      <c r="AP49" s="34" t="e">
        <f t="shared" si="100"/>
        <v>#N/A</v>
      </c>
      <c r="AQ49" s="34" t="e">
        <f t="shared" si="100"/>
        <v>#N/A</v>
      </c>
      <c r="AR49" s="34" t="e">
        <f t="shared" si="100"/>
        <v>#N/A</v>
      </c>
      <c r="AS49" s="27"/>
      <c r="AT49" s="35" t="str">
        <f t="shared" ref="AT49" si="101">Y60</f>
        <v>Otros</v>
      </c>
      <c r="AU49" s="36">
        <f t="shared" ref="AU49:BM49" si="102">Z60/(Z47+Z48+Z60)</f>
        <v>3.516333938294011E-3</v>
      </c>
      <c r="AV49" s="36">
        <f t="shared" si="102"/>
        <v>0</v>
      </c>
      <c r="AW49" s="36">
        <f t="shared" si="102"/>
        <v>4.1077133728890918E-3</v>
      </c>
      <c r="AX49" s="36">
        <f t="shared" si="102"/>
        <v>5.6279620853080569E-3</v>
      </c>
      <c r="AY49" s="36">
        <f t="shared" si="102"/>
        <v>4.995655951346655E-3</v>
      </c>
      <c r="AZ49" s="36">
        <f t="shared" si="102"/>
        <v>4.0962621607782898E-3</v>
      </c>
      <c r="BA49" s="36">
        <f t="shared" si="102"/>
        <v>3.5166690111126742E-3</v>
      </c>
      <c r="BB49" s="36">
        <f t="shared" si="102"/>
        <v>3.0058915474329684E-3</v>
      </c>
      <c r="BC49" s="36">
        <f t="shared" si="102"/>
        <v>3.185840707964602E-3</v>
      </c>
      <c r="BD49" s="36">
        <f t="shared" si="102"/>
        <v>3.137710633352702E-3</v>
      </c>
      <c r="BE49" s="36">
        <f t="shared" si="102"/>
        <v>3.516333938294011E-3</v>
      </c>
      <c r="BF49" s="36" t="e">
        <f t="shared" si="102"/>
        <v>#N/A</v>
      </c>
      <c r="BG49" s="36" t="e">
        <f t="shared" si="102"/>
        <v>#N/A</v>
      </c>
      <c r="BH49" s="36" t="e">
        <f t="shared" si="102"/>
        <v>#N/A</v>
      </c>
      <c r="BI49" s="36" t="e">
        <f t="shared" si="102"/>
        <v>#N/A</v>
      </c>
      <c r="BJ49" s="36" t="e">
        <f t="shared" si="102"/>
        <v>#N/A</v>
      </c>
      <c r="BK49" s="36" t="e">
        <f t="shared" si="102"/>
        <v>#N/A</v>
      </c>
      <c r="BL49" s="36" t="e">
        <f t="shared" si="102"/>
        <v>#N/A</v>
      </c>
      <c r="BM49" s="36" t="e">
        <f t="shared" si="102"/>
        <v>#N/A</v>
      </c>
      <c r="BN49" s="30"/>
    </row>
    <row r="50" spans="1:66" ht="11.25" customHeight="1" x14ac:dyDescent="0.2">
      <c r="A50" s="38" t="s">
        <v>0</v>
      </c>
      <c r="B50" s="73"/>
      <c r="C50" s="33">
        <v>4</v>
      </c>
      <c r="D50" s="8" t="s">
        <v>91</v>
      </c>
      <c r="E50" s="16">
        <f t="shared" si="91"/>
        <v>12</v>
      </c>
      <c r="F50" s="6">
        <f>SUMIFS([0]!VOTOS2,[0]!TURNO1,F$31,[0]!CANDIDATO1,$C50,[0]!MUNICIPIO1,$B$47)</f>
        <v>0</v>
      </c>
      <c r="G50" s="6">
        <f>SUMIFS([0]!VOTOS2,[0]!TURNO1,G$31,[0]!CANDIDATO1,$C50,[0]!MUNICIPIO1,$B$47)</f>
        <v>6</v>
      </c>
      <c r="H50" s="6">
        <f>SUMIFS([0]!VOTOS2,[0]!TURNO1,H$31,[0]!CANDIDATO1,$C50,[0]!MUNICIPIO1,$B$47)</f>
        <v>0</v>
      </c>
      <c r="I50" s="6">
        <f>SUMIFS([0]!VOTOS2,[0]!TURNO1,I$31,[0]!CANDIDATO1,$C50,[0]!MUNICIPIO1,$B$47)</f>
        <v>4</v>
      </c>
      <c r="J50" s="6">
        <f>SUMIFS([0]!VOTOS2,[0]!TURNO1,J$31,[0]!CANDIDATO1,$C50,[0]!MUNICIPIO1,$B$47)</f>
        <v>0</v>
      </c>
      <c r="K50" s="6">
        <f>SUMIFS([0]!VOTOS2,[0]!TURNO1,K$31,[0]!CANDIDATO1,$C50,[0]!MUNICIPIO1,$B$47)</f>
        <v>0</v>
      </c>
      <c r="L50" s="6">
        <f>SUMIFS([0]!VOTOS2,[0]!TURNO1,L$31,[0]!CANDIDATO1,$C50,[0]!MUNICIPIO1,$B$47)</f>
        <v>0</v>
      </c>
      <c r="M50" s="6">
        <f>SUMIFS([0]!VOTOS2,[0]!TURNO1,M$31,[0]!CANDIDATO1,$C50,[0]!MUNICIPIO1,$B$47)</f>
        <v>2</v>
      </c>
      <c r="N50" s="6">
        <f>SUMIFS([0]!VOTOS2,[0]!TURNO1,N$31,[0]!CANDIDATO1,$C50,[0]!MUNICIPIO1,$B$47)</f>
        <v>0</v>
      </c>
      <c r="O50" s="6">
        <f>SUMIFS([0]!VOTOS2,[0]!TURNO1,O$31,[0]!CANDIDATO1,$C50,[0]!MUNICIPIO1,$B$47)</f>
        <v>0</v>
      </c>
      <c r="P50" s="6">
        <f>SUMIFS([0]!VOTOS2,[0]!TURNO1,P$31,[0]!CANDIDATO1,$C50,[0]!MUNICIPIO1,$B$47)</f>
        <v>0</v>
      </c>
      <c r="Q50" s="6">
        <f>SUMIFS([0]!VOTOS2,[0]!TURNO1,Q$31,[0]!CANDIDATO1,$C50,[0]!MUNICIPIO1,$B$47)</f>
        <v>0</v>
      </c>
      <c r="R50" s="6">
        <f>SUMIFS([0]!VOTOS2,[0]!TURNO1,R$31,[0]!CANDIDATO1,$C50,[0]!MUNICIPIO1,$B$47)</f>
        <v>0</v>
      </c>
      <c r="S50" s="6">
        <f>SUMIFS([0]!VOTOS2,[0]!TURNO1,S$31,[0]!CANDIDATO1,$C50,[0]!MUNICIPIO1,$B$47)</f>
        <v>0</v>
      </c>
      <c r="T50" s="6">
        <f>SUMIFS([0]!VOTOS2,[0]!TURNO1,T$31,[0]!CANDIDATO1,$C50,[0]!MUNICIPIO1,$B$47)</f>
        <v>0</v>
      </c>
      <c r="U50" s="6">
        <f>SUMIFS([0]!VOTOS2,[0]!TURNO1,U$31,[0]!CANDIDATO1,$C50,[0]!MUNICIPIO1,$B$47)</f>
        <v>0</v>
      </c>
      <c r="V50" s="6">
        <f>SUMIFS([0]!VOTOS2,[0]!TURNO1,V$31,[0]!CANDIDATO1,$C50,[0]!MUNICIPIO1,$B$47)</f>
        <v>0</v>
      </c>
      <c r="W50" s="6">
        <f>SUMIFS([0]!VOTOS2,[0]!TURNO1,W$31,[0]!CANDIDATO1,$C50,[0]!MUNICIPIO1,$B$47)</f>
        <v>0</v>
      </c>
      <c r="X50" s="24"/>
      <c r="Y50" s="18" t="str">
        <f t="shared" si="92"/>
        <v>DENNIS BALZA</v>
      </c>
      <c r="Z50" s="34">
        <f t="shared" si="93"/>
        <v>12</v>
      </c>
      <c r="AA50" s="34">
        <f t="shared" si="94"/>
        <v>0</v>
      </c>
      <c r="AB50" s="34">
        <f t="shared" ref="AB50:AR50" si="103">IF(SUM(G47:G59)=0,NA(),G50+AA50)</f>
        <v>6</v>
      </c>
      <c r="AC50" s="34">
        <f t="shared" si="103"/>
        <v>6</v>
      </c>
      <c r="AD50" s="34">
        <f t="shared" si="103"/>
        <v>10</v>
      </c>
      <c r="AE50" s="34">
        <f t="shared" si="103"/>
        <v>10</v>
      </c>
      <c r="AF50" s="34">
        <f t="shared" si="103"/>
        <v>10</v>
      </c>
      <c r="AG50" s="34">
        <f t="shared" si="103"/>
        <v>10</v>
      </c>
      <c r="AH50" s="34">
        <f t="shared" si="103"/>
        <v>12</v>
      </c>
      <c r="AI50" s="34">
        <f t="shared" si="103"/>
        <v>12</v>
      </c>
      <c r="AJ50" s="34">
        <f t="shared" si="103"/>
        <v>12</v>
      </c>
      <c r="AK50" s="34" t="e">
        <f t="shared" si="103"/>
        <v>#N/A</v>
      </c>
      <c r="AL50" s="34" t="e">
        <f t="shared" si="103"/>
        <v>#N/A</v>
      </c>
      <c r="AM50" s="34" t="e">
        <f t="shared" si="103"/>
        <v>#N/A</v>
      </c>
      <c r="AN50" s="34" t="e">
        <f t="shared" si="103"/>
        <v>#N/A</v>
      </c>
      <c r="AO50" s="34" t="e">
        <f t="shared" si="103"/>
        <v>#N/A</v>
      </c>
      <c r="AP50" s="34" t="e">
        <f t="shared" si="103"/>
        <v>#N/A</v>
      </c>
      <c r="AQ50" s="34" t="e">
        <f t="shared" si="103"/>
        <v>#N/A</v>
      </c>
      <c r="AR50" s="34" t="e">
        <f t="shared" si="103"/>
        <v>#N/A</v>
      </c>
      <c r="AS50" s="27"/>
      <c r="AT50" s="39"/>
      <c r="AU50" s="39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30"/>
    </row>
    <row r="51" spans="1:66" ht="11.25" customHeight="1" x14ac:dyDescent="0.2">
      <c r="A51" s="38" t="s">
        <v>2</v>
      </c>
      <c r="B51" s="73"/>
      <c r="C51" s="56">
        <v>5</v>
      </c>
      <c r="D51" s="8" t="s">
        <v>92</v>
      </c>
      <c r="E51" s="16">
        <f t="shared" si="91"/>
        <v>4</v>
      </c>
      <c r="F51" s="6">
        <f>SUMIFS([0]!VOTOS2,[0]!TURNO1,F$31,[0]!CANDIDATO1,$C51,[0]!MUNICIPIO1,$B$47)</f>
        <v>0</v>
      </c>
      <c r="G51" s="6">
        <f>SUMIFS([0]!VOTOS2,[0]!TURNO1,G$31,[0]!CANDIDATO1,$C51,[0]!MUNICIPIO1,$B$47)</f>
        <v>1</v>
      </c>
      <c r="H51" s="6">
        <f>SUMIFS([0]!VOTOS2,[0]!TURNO1,H$31,[0]!CANDIDATO1,$C51,[0]!MUNICIPIO1,$B$47)</f>
        <v>3</v>
      </c>
      <c r="I51" s="6">
        <f>SUMIFS([0]!VOTOS2,[0]!TURNO1,I$31,[0]!CANDIDATO1,$C51,[0]!MUNICIPIO1,$B$47)</f>
        <v>0</v>
      </c>
      <c r="J51" s="6">
        <f>SUMIFS([0]!VOTOS2,[0]!TURNO1,J$31,[0]!CANDIDATO1,$C51,[0]!MUNICIPIO1,$B$47)</f>
        <v>0</v>
      </c>
      <c r="K51" s="6">
        <f>SUMIFS([0]!VOTOS2,[0]!TURNO1,K$31,[0]!CANDIDATO1,$C51,[0]!MUNICIPIO1,$B$47)</f>
        <v>0</v>
      </c>
      <c r="L51" s="6">
        <f>SUMIFS([0]!VOTOS2,[0]!TURNO1,L$31,[0]!CANDIDATO1,$C51,[0]!MUNICIPIO1,$B$47)</f>
        <v>0</v>
      </c>
      <c r="M51" s="6">
        <f>SUMIFS([0]!VOTOS2,[0]!TURNO1,M$31,[0]!CANDIDATO1,$C51,[0]!MUNICIPIO1,$B$47)</f>
        <v>0</v>
      </c>
      <c r="N51" s="6">
        <f>SUMIFS([0]!VOTOS2,[0]!TURNO1,N$31,[0]!CANDIDATO1,$C51,[0]!MUNICIPIO1,$B$47)</f>
        <v>0</v>
      </c>
      <c r="O51" s="6">
        <f>SUMIFS([0]!VOTOS2,[0]!TURNO1,O$31,[0]!CANDIDATO1,$C51,[0]!MUNICIPIO1,$B$47)</f>
        <v>0</v>
      </c>
      <c r="P51" s="6">
        <f>SUMIFS([0]!VOTOS2,[0]!TURNO1,P$31,[0]!CANDIDATO1,$C51,[0]!MUNICIPIO1,$B$47)</f>
        <v>0</v>
      </c>
      <c r="Q51" s="6">
        <f>SUMIFS([0]!VOTOS2,[0]!TURNO1,Q$31,[0]!CANDIDATO1,$C51,[0]!MUNICIPIO1,$B$47)</f>
        <v>0</v>
      </c>
      <c r="R51" s="6">
        <f>SUMIFS([0]!VOTOS2,[0]!TURNO1,R$31,[0]!CANDIDATO1,$C51,[0]!MUNICIPIO1,$B$47)</f>
        <v>0</v>
      </c>
      <c r="S51" s="6">
        <f>SUMIFS([0]!VOTOS2,[0]!TURNO1,S$31,[0]!CANDIDATO1,$C51,[0]!MUNICIPIO1,$B$47)</f>
        <v>0</v>
      </c>
      <c r="T51" s="6">
        <f>SUMIFS([0]!VOTOS2,[0]!TURNO1,T$31,[0]!CANDIDATO1,$C51,[0]!MUNICIPIO1,$B$47)</f>
        <v>0</v>
      </c>
      <c r="U51" s="6">
        <f>SUMIFS([0]!VOTOS2,[0]!TURNO1,U$31,[0]!CANDIDATO1,$C51,[0]!MUNICIPIO1,$B$47)</f>
        <v>0</v>
      </c>
      <c r="V51" s="6">
        <f>SUMIFS([0]!VOTOS2,[0]!TURNO1,V$31,[0]!CANDIDATO1,$C51,[0]!MUNICIPIO1,$B$47)</f>
        <v>0</v>
      </c>
      <c r="W51" s="6">
        <f>SUMIFS([0]!VOTOS2,[0]!TURNO1,W$31,[0]!CANDIDATO1,$C51,[0]!MUNICIPIO1,$B$47)</f>
        <v>0</v>
      </c>
      <c r="X51" s="24"/>
      <c r="Y51" s="18" t="str">
        <f t="shared" si="92"/>
        <v>JULIO C. MARCANO</v>
      </c>
      <c r="Z51" s="34">
        <f t="shared" si="93"/>
        <v>4</v>
      </c>
      <c r="AA51" s="34">
        <f t="shared" si="94"/>
        <v>0</v>
      </c>
      <c r="AB51" s="34">
        <f t="shared" ref="AB51:AR51" si="104">IF(SUM(G47:G59)=0,NA(),G51+AA51)</f>
        <v>1</v>
      </c>
      <c r="AC51" s="34">
        <f t="shared" si="104"/>
        <v>4</v>
      </c>
      <c r="AD51" s="34">
        <f t="shared" si="104"/>
        <v>4</v>
      </c>
      <c r="AE51" s="34">
        <f t="shared" si="104"/>
        <v>4</v>
      </c>
      <c r="AF51" s="34">
        <f t="shared" si="104"/>
        <v>4</v>
      </c>
      <c r="AG51" s="34">
        <f t="shared" si="104"/>
        <v>4</v>
      </c>
      <c r="AH51" s="34">
        <f t="shared" si="104"/>
        <v>4</v>
      </c>
      <c r="AI51" s="34">
        <f t="shared" si="104"/>
        <v>4</v>
      </c>
      <c r="AJ51" s="34">
        <f t="shared" si="104"/>
        <v>4</v>
      </c>
      <c r="AK51" s="34" t="e">
        <f t="shared" si="104"/>
        <v>#N/A</v>
      </c>
      <c r="AL51" s="34" t="e">
        <f t="shared" si="104"/>
        <v>#N/A</v>
      </c>
      <c r="AM51" s="34" t="e">
        <f t="shared" si="104"/>
        <v>#N/A</v>
      </c>
      <c r="AN51" s="34" t="e">
        <f t="shared" si="104"/>
        <v>#N/A</v>
      </c>
      <c r="AO51" s="34" t="e">
        <f t="shared" si="104"/>
        <v>#N/A</v>
      </c>
      <c r="AP51" s="34" t="e">
        <f t="shared" si="104"/>
        <v>#N/A</v>
      </c>
      <c r="AQ51" s="34" t="e">
        <f t="shared" si="104"/>
        <v>#N/A</v>
      </c>
      <c r="AR51" s="34" t="e">
        <f t="shared" si="104"/>
        <v>#N/A</v>
      </c>
      <c r="AS51" s="27"/>
      <c r="AT51" s="39"/>
      <c r="AU51" s="39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30"/>
    </row>
    <row r="52" spans="1:66" ht="11.25" customHeight="1" x14ac:dyDescent="0.2">
      <c r="A52" s="37"/>
      <c r="B52" s="73"/>
      <c r="C52" s="33">
        <v>6</v>
      </c>
      <c r="D52" s="8" t="s">
        <v>93</v>
      </c>
      <c r="E52" s="16">
        <f t="shared" si="91"/>
        <v>1</v>
      </c>
      <c r="F52" s="6">
        <f>SUMIFS([0]!VOTOS2,[0]!TURNO1,F$31,[0]!CANDIDATO1,$C52,[0]!MUNICIPIO1,$B$47)</f>
        <v>0</v>
      </c>
      <c r="G52" s="6">
        <f>SUMIFS([0]!VOTOS2,[0]!TURNO1,G$31,[0]!CANDIDATO1,$C52,[0]!MUNICIPIO1,$B$47)</f>
        <v>1</v>
      </c>
      <c r="H52" s="6">
        <f>SUMIFS([0]!VOTOS2,[0]!TURNO1,H$31,[0]!CANDIDATO1,$C52,[0]!MUNICIPIO1,$B$47)</f>
        <v>0</v>
      </c>
      <c r="I52" s="6">
        <f>SUMIFS([0]!VOTOS2,[0]!TURNO1,I$31,[0]!CANDIDATO1,$C52,[0]!MUNICIPIO1,$B$47)</f>
        <v>0</v>
      </c>
      <c r="J52" s="6">
        <f>SUMIFS([0]!VOTOS2,[0]!TURNO1,J$31,[0]!CANDIDATO1,$C52,[0]!MUNICIPIO1,$B$47)</f>
        <v>0</v>
      </c>
      <c r="K52" s="6">
        <f>SUMIFS([0]!VOTOS2,[0]!TURNO1,K$31,[0]!CANDIDATO1,$C52,[0]!MUNICIPIO1,$B$47)</f>
        <v>0</v>
      </c>
      <c r="L52" s="6">
        <f>SUMIFS([0]!VOTOS2,[0]!TURNO1,L$31,[0]!CANDIDATO1,$C52,[0]!MUNICIPIO1,$B$47)</f>
        <v>0</v>
      </c>
      <c r="M52" s="6">
        <f>SUMIFS([0]!VOTOS2,[0]!TURNO1,M$31,[0]!CANDIDATO1,$C52,[0]!MUNICIPIO1,$B$47)</f>
        <v>0</v>
      </c>
      <c r="N52" s="6">
        <f>SUMIFS([0]!VOTOS2,[0]!TURNO1,N$31,[0]!CANDIDATO1,$C52,[0]!MUNICIPIO1,$B$47)</f>
        <v>0</v>
      </c>
      <c r="O52" s="6">
        <f>SUMIFS([0]!VOTOS2,[0]!TURNO1,O$31,[0]!CANDIDATO1,$C52,[0]!MUNICIPIO1,$B$47)</f>
        <v>0</v>
      </c>
      <c r="P52" s="6">
        <f>SUMIFS([0]!VOTOS2,[0]!TURNO1,P$31,[0]!CANDIDATO1,$C52,[0]!MUNICIPIO1,$B$47)</f>
        <v>0</v>
      </c>
      <c r="Q52" s="6">
        <f>SUMIFS([0]!VOTOS2,[0]!TURNO1,Q$31,[0]!CANDIDATO1,$C52,[0]!MUNICIPIO1,$B$47)</f>
        <v>0</v>
      </c>
      <c r="R52" s="6">
        <f>SUMIFS([0]!VOTOS2,[0]!TURNO1,R$31,[0]!CANDIDATO1,$C52,[0]!MUNICIPIO1,$B$47)</f>
        <v>0</v>
      </c>
      <c r="S52" s="6">
        <f>SUMIFS([0]!VOTOS2,[0]!TURNO1,S$31,[0]!CANDIDATO1,$C52,[0]!MUNICIPIO1,$B$47)</f>
        <v>0</v>
      </c>
      <c r="T52" s="6">
        <f>SUMIFS([0]!VOTOS2,[0]!TURNO1,T$31,[0]!CANDIDATO1,$C52,[0]!MUNICIPIO1,$B$47)</f>
        <v>0</v>
      </c>
      <c r="U52" s="6">
        <f>SUMIFS([0]!VOTOS2,[0]!TURNO1,U$31,[0]!CANDIDATO1,$C52,[0]!MUNICIPIO1,$B$47)</f>
        <v>0</v>
      </c>
      <c r="V52" s="6">
        <f>SUMIFS([0]!VOTOS2,[0]!TURNO1,V$31,[0]!CANDIDATO1,$C52,[0]!MUNICIPIO1,$B$47)</f>
        <v>0</v>
      </c>
      <c r="W52" s="6">
        <f>SUMIFS([0]!VOTOS2,[0]!TURNO1,W$31,[0]!CANDIDATO1,$C52,[0]!MUNICIPIO1,$B$47)</f>
        <v>0</v>
      </c>
      <c r="X52" s="24"/>
      <c r="Y52" s="18" t="str">
        <f t="shared" si="92"/>
        <v>ORNALDO NARVAEZ</v>
      </c>
      <c r="Z52" s="34">
        <f t="shared" si="93"/>
        <v>1</v>
      </c>
      <c r="AA52" s="34">
        <f t="shared" si="94"/>
        <v>0</v>
      </c>
      <c r="AB52" s="34">
        <f t="shared" ref="AB52:AR52" si="105">IF(SUM(G47:G59)=0,NA(),G52+AA52)</f>
        <v>1</v>
      </c>
      <c r="AC52" s="34">
        <f t="shared" si="105"/>
        <v>1</v>
      </c>
      <c r="AD52" s="34">
        <f t="shared" si="105"/>
        <v>1</v>
      </c>
      <c r="AE52" s="34">
        <f t="shared" si="105"/>
        <v>1</v>
      </c>
      <c r="AF52" s="34">
        <f t="shared" si="105"/>
        <v>1</v>
      </c>
      <c r="AG52" s="34">
        <f t="shared" si="105"/>
        <v>1</v>
      </c>
      <c r="AH52" s="34">
        <f t="shared" si="105"/>
        <v>1</v>
      </c>
      <c r="AI52" s="34">
        <f t="shared" si="105"/>
        <v>1</v>
      </c>
      <c r="AJ52" s="34">
        <f t="shared" si="105"/>
        <v>1</v>
      </c>
      <c r="AK52" s="34" t="e">
        <f t="shared" si="105"/>
        <v>#N/A</v>
      </c>
      <c r="AL52" s="34" t="e">
        <f t="shared" si="105"/>
        <v>#N/A</v>
      </c>
      <c r="AM52" s="34" t="e">
        <f t="shared" si="105"/>
        <v>#N/A</v>
      </c>
      <c r="AN52" s="34" t="e">
        <f t="shared" si="105"/>
        <v>#N/A</v>
      </c>
      <c r="AO52" s="34" t="e">
        <f t="shared" si="105"/>
        <v>#N/A</v>
      </c>
      <c r="AP52" s="34" t="e">
        <f t="shared" si="105"/>
        <v>#N/A</v>
      </c>
      <c r="AQ52" s="34" t="e">
        <f t="shared" si="105"/>
        <v>#N/A</v>
      </c>
      <c r="AR52" s="34" t="e">
        <f t="shared" si="105"/>
        <v>#N/A</v>
      </c>
      <c r="AS52" s="27"/>
      <c r="AT52" s="39"/>
      <c r="AU52" s="39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30"/>
    </row>
    <row r="53" spans="1:66" ht="11.25" customHeight="1" x14ac:dyDescent="0.2">
      <c r="A53" s="37"/>
      <c r="B53" s="73"/>
      <c r="C53" s="56">
        <v>7</v>
      </c>
      <c r="D53" s="8" t="s">
        <v>94</v>
      </c>
      <c r="E53" s="16">
        <f t="shared" si="91"/>
        <v>0</v>
      </c>
      <c r="F53" s="6">
        <f>SUMIFS([0]!VOTOS2,[0]!TURNO1,F$31,[0]!CANDIDATO1,$C53,[0]!MUNICIPIO1,$B$47)</f>
        <v>0</v>
      </c>
      <c r="G53" s="6">
        <f>SUMIFS([0]!VOTOS2,[0]!TURNO1,G$31,[0]!CANDIDATO1,$C53,[0]!MUNICIPIO1,$B$47)</f>
        <v>0</v>
      </c>
      <c r="H53" s="6">
        <f>SUMIFS([0]!VOTOS2,[0]!TURNO1,H$31,[0]!CANDIDATO1,$C53,[0]!MUNICIPIO1,$B$47)</f>
        <v>0</v>
      </c>
      <c r="I53" s="6">
        <f>SUMIFS([0]!VOTOS2,[0]!TURNO1,I$31,[0]!CANDIDATO1,$C53,[0]!MUNICIPIO1,$B$47)</f>
        <v>0</v>
      </c>
      <c r="J53" s="6">
        <f>SUMIFS([0]!VOTOS2,[0]!TURNO1,J$31,[0]!CANDIDATO1,$C53,[0]!MUNICIPIO1,$B$47)</f>
        <v>0</v>
      </c>
      <c r="K53" s="6">
        <f>SUMIFS([0]!VOTOS2,[0]!TURNO1,K$31,[0]!CANDIDATO1,$C53,[0]!MUNICIPIO1,$B$47)</f>
        <v>0</v>
      </c>
      <c r="L53" s="6">
        <f>SUMIFS([0]!VOTOS2,[0]!TURNO1,L$31,[0]!CANDIDATO1,$C53,[0]!MUNICIPIO1,$B$47)</f>
        <v>0</v>
      </c>
      <c r="M53" s="6">
        <f>SUMIFS([0]!VOTOS2,[0]!TURNO1,M$31,[0]!CANDIDATO1,$C53,[0]!MUNICIPIO1,$B$47)</f>
        <v>0</v>
      </c>
      <c r="N53" s="6">
        <f>SUMIFS([0]!VOTOS2,[0]!TURNO1,N$31,[0]!CANDIDATO1,$C53,[0]!MUNICIPIO1,$B$47)</f>
        <v>0</v>
      </c>
      <c r="O53" s="6">
        <f>SUMIFS([0]!VOTOS2,[0]!TURNO1,O$31,[0]!CANDIDATO1,$C53,[0]!MUNICIPIO1,$B$47)</f>
        <v>0</v>
      </c>
      <c r="P53" s="6">
        <f>SUMIFS([0]!VOTOS2,[0]!TURNO1,P$31,[0]!CANDIDATO1,$C53,[0]!MUNICIPIO1,$B$47)</f>
        <v>0</v>
      </c>
      <c r="Q53" s="6">
        <f>SUMIFS([0]!VOTOS2,[0]!TURNO1,Q$31,[0]!CANDIDATO1,$C53,[0]!MUNICIPIO1,$B$47)</f>
        <v>0</v>
      </c>
      <c r="R53" s="6">
        <f>SUMIFS([0]!VOTOS2,[0]!TURNO1,R$31,[0]!CANDIDATO1,$C53,[0]!MUNICIPIO1,$B$47)</f>
        <v>0</v>
      </c>
      <c r="S53" s="6">
        <f>SUMIFS([0]!VOTOS2,[0]!TURNO1,S$31,[0]!CANDIDATO1,$C53,[0]!MUNICIPIO1,$B$47)</f>
        <v>0</v>
      </c>
      <c r="T53" s="6">
        <f>SUMIFS([0]!VOTOS2,[0]!TURNO1,T$31,[0]!CANDIDATO1,$C53,[0]!MUNICIPIO1,$B$47)</f>
        <v>0</v>
      </c>
      <c r="U53" s="6">
        <f>SUMIFS([0]!VOTOS2,[0]!TURNO1,U$31,[0]!CANDIDATO1,$C53,[0]!MUNICIPIO1,$B$47)</f>
        <v>0</v>
      </c>
      <c r="V53" s="6">
        <f>SUMIFS([0]!VOTOS2,[0]!TURNO1,V$31,[0]!CANDIDATO1,$C53,[0]!MUNICIPIO1,$B$47)</f>
        <v>0</v>
      </c>
      <c r="W53" s="6">
        <f>SUMIFS([0]!VOTOS2,[0]!TURNO1,W$31,[0]!CANDIDATO1,$C53,[0]!MUNICIPIO1,$B$47)</f>
        <v>0</v>
      </c>
      <c r="X53" s="24"/>
      <c r="Y53" s="18" t="str">
        <f t="shared" si="92"/>
        <v>JULIO MILLAN</v>
      </c>
      <c r="Z53" s="34">
        <f t="shared" si="93"/>
        <v>0</v>
      </c>
      <c r="AA53" s="34">
        <f t="shared" si="94"/>
        <v>0</v>
      </c>
      <c r="AB53" s="34">
        <f t="shared" ref="AB53:AR53" si="106">IF(SUM(G47:G59)=0,NA(),G53+AA53)</f>
        <v>0</v>
      </c>
      <c r="AC53" s="34">
        <f t="shared" si="106"/>
        <v>0</v>
      </c>
      <c r="AD53" s="34">
        <f t="shared" si="106"/>
        <v>0</v>
      </c>
      <c r="AE53" s="34">
        <f t="shared" si="106"/>
        <v>0</v>
      </c>
      <c r="AF53" s="34">
        <f t="shared" si="106"/>
        <v>0</v>
      </c>
      <c r="AG53" s="34">
        <f t="shared" si="106"/>
        <v>0</v>
      </c>
      <c r="AH53" s="34">
        <f t="shared" si="106"/>
        <v>0</v>
      </c>
      <c r="AI53" s="34">
        <f t="shared" si="106"/>
        <v>0</v>
      </c>
      <c r="AJ53" s="34">
        <f t="shared" si="106"/>
        <v>0</v>
      </c>
      <c r="AK53" s="34" t="e">
        <f t="shared" si="106"/>
        <v>#N/A</v>
      </c>
      <c r="AL53" s="34" t="e">
        <f t="shared" si="106"/>
        <v>#N/A</v>
      </c>
      <c r="AM53" s="34" t="e">
        <f t="shared" si="106"/>
        <v>#N/A</v>
      </c>
      <c r="AN53" s="34" t="e">
        <f t="shared" si="106"/>
        <v>#N/A</v>
      </c>
      <c r="AO53" s="34" t="e">
        <f t="shared" si="106"/>
        <v>#N/A</v>
      </c>
      <c r="AP53" s="34" t="e">
        <f t="shared" si="106"/>
        <v>#N/A</v>
      </c>
      <c r="AQ53" s="34" t="e">
        <f t="shared" si="106"/>
        <v>#N/A</v>
      </c>
      <c r="AR53" s="34" t="e">
        <f t="shared" si="106"/>
        <v>#N/A</v>
      </c>
      <c r="AS53" s="27"/>
      <c r="AT53" s="39"/>
      <c r="AU53" s="39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30"/>
    </row>
    <row r="54" spans="1:66" ht="11.25" customHeight="1" x14ac:dyDescent="0.2">
      <c r="A54" s="37"/>
      <c r="B54" s="73"/>
      <c r="C54" s="33">
        <v>8</v>
      </c>
      <c r="D54" s="8" t="s">
        <v>95</v>
      </c>
      <c r="E54" s="16">
        <f t="shared" si="91"/>
        <v>0</v>
      </c>
      <c r="F54" s="6">
        <f>SUMIFS([0]!VOTOS2,[0]!TURNO1,F$31,[0]!CANDIDATO1,$C54,[0]!MUNICIPIO1,$B$47)</f>
        <v>0</v>
      </c>
      <c r="G54" s="6">
        <f>SUMIFS([0]!VOTOS2,[0]!TURNO1,G$31,[0]!CANDIDATO1,$C54,[0]!MUNICIPIO1,$B$47)</f>
        <v>0</v>
      </c>
      <c r="H54" s="6">
        <f>SUMIFS([0]!VOTOS2,[0]!TURNO1,H$31,[0]!CANDIDATO1,$C54,[0]!MUNICIPIO1,$B$47)</f>
        <v>0</v>
      </c>
      <c r="I54" s="6">
        <f>SUMIFS([0]!VOTOS2,[0]!TURNO1,I$31,[0]!CANDIDATO1,$C54,[0]!MUNICIPIO1,$B$47)</f>
        <v>0</v>
      </c>
      <c r="J54" s="6">
        <f>SUMIFS([0]!VOTOS2,[0]!TURNO1,J$31,[0]!CANDIDATO1,$C54,[0]!MUNICIPIO1,$B$47)</f>
        <v>0</v>
      </c>
      <c r="K54" s="6">
        <f>SUMIFS([0]!VOTOS2,[0]!TURNO1,K$31,[0]!CANDIDATO1,$C54,[0]!MUNICIPIO1,$B$47)</f>
        <v>0</v>
      </c>
      <c r="L54" s="6">
        <f>SUMIFS([0]!VOTOS2,[0]!TURNO1,L$31,[0]!CANDIDATO1,$C54,[0]!MUNICIPIO1,$B$47)</f>
        <v>0</v>
      </c>
      <c r="M54" s="6">
        <f>SUMIFS([0]!VOTOS2,[0]!TURNO1,M$31,[0]!CANDIDATO1,$C54,[0]!MUNICIPIO1,$B$47)</f>
        <v>0</v>
      </c>
      <c r="N54" s="6">
        <f>SUMIFS([0]!VOTOS2,[0]!TURNO1,N$31,[0]!CANDIDATO1,$C54,[0]!MUNICIPIO1,$B$47)</f>
        <v>0</v>
      </c>
      <c r="O54" s="6">
        <f>SUMIFS([0]!VOTOS2,[0]!TURNO1,O$31,[0]!CANDIDATO1,$C54,[0]!MUNICIPIO1,$B$47)</f>
        <v>0</v>
      </c>
      <c r="P54" s="6">
        <f>SUMIFS([0]!VOTOS2,[0]!TURNO1,P$31,[0]!CANDIDATO1,$C54,[0]!MUNICIPIO1,$B$47)</f>
        <v>0</v>
      </c>
      <c r="Q54" s="6">
        <f>SUMIFS([0]!VOTOS2,[0]!TURNO1,Q$31,[0]!CANDIDATO1,$C54,[0]!MUNICIPIO1,$B$47)</f>
        <v>0</v>
      </c>
      <c r="R54" s="6">
        <f>SUMIFS([0]!VOTOS2,[0]!TURNO1,R$31,[0]!CANDIDATO1,$C54,[0]!MUNICIPIO1,$B$47)</f>
        <v>0</v>
      </c>
      <c r="S54" s="6">
        <f>SUMIFS([0]!VOTOS2,[0]!TURNO1,S$31,[0]!CANDIDATO1,$C54,[0]!MUNICIPIO1,$B$47)</f>
        <v>0</v>
      </c>
      <c r="T54" s="6">
        <f>SUMIFS([0]!VOTOS2,[0]!TURNO1,T$31,[0]!CANDIDATO1,$C54,[0]!MUNICIPIO1,$B$47)</f>
        <v>0</v>
      </c>
      <c r="U54" s="6">
        <f>SUMIFS([0]!VOTOS2,[0]!TURNO1,U$31,[0]!CANDIDATO1,$C54,[0]!MUNICIPIO1,$B$47)</f>
        <v>0</v>
      </c>
      <c r="V54" s="6">
        <f>SUMIFS([0]!VOTOS2,[0]!TURNO1,V$31,[0]!CANDIDATO1,$C54,[0]!MUNICIPIO1,$B$47)</f>
        <v>0</v>
      </c>
      <c r="W54" s="6">
        <f>SUMIFS([0]!VOTOS2,[0]!TURNO1,W$31,[0]!CANDIDATO1,$C54,[0]!MUNICIPIO1,$B$47)</f>
        <v>0</v>
      </c>
      <c r="X54" s="24"/>
      <c r="Y54" s="18" t="str">
        <f t="shared" si="92"/>
        <v>RAMON LOPEZ</v>
      </c>
      <c r="Z54" s="34">
        <f t="shared" si="93"/>
        <v>0</v>
      </c>
      <c r="AA54" s="34">
        <f t="shared" si="94"/>
        <v>0</v>
      </c>
      <c r="AB54" s="34">
        <f t="shared" ref="AB54:AR54" si="107">IF(SUM(G47:G59)=0,NA(),G54+AA54)</f>
        <v>0</v>
      </c>
      <c r="AC54" s="34">
        <f t="shared" si="107"/>
        <v>0</v>
      </c>
      <c r="AD54" s="34">
        <f t="shared" si="107"/>
        <v>0</v>
      </c>
      <c r="AE54" s="34">
        <f t="shared" si="107"/>
        <v>0</v>
      </c>
      <c r="AF54" s="34">
        <f t="shared" si="107"/>
        <v>0</v>
      </c>
      <c r="AG54" s="34">
        <f t="shared" si="107"/>
        <v>0</v>
      </c>
      <c r="AH54" s="34">
        <f t="shared" si="107"/>
        <v>0</v>
      </c>
      <c r="AI54" s="34">
        <f t="shared" si="107"/>
        <v>0</v>
      </c>
      <c r="AJ54" s="34">
        <f t="shared" si="107"/>
        <v>0</v>
      </c>
      <c r="AK54" s="34" t="e">
        <f t="shared" si="107"/>
        <v>#N/A</v>
      </c>
      <c r="AL54" s="34" t="e">
        <f t="shared" si="107"/>
        <v>#N/A</v>
      </c>
      <c r="AM54" s="34" t="e">
        <f t="shared" si="107"/>
        <v>#N/A</v>
      </c>
      <c r="AN54" s="34" t="e">
        <f t="shared" si="107"/>
        <v>#N/A</v>
      </c>
      <c r="AO54" s="34" t="e">
        <f t="shared" si="107"/>
        <v>#N/A</v>
      </c>
      <c r="AP54" s="34" t="e">
        <f t="shared" si="107"/>
        <v>#N/A</v>
      </c>
      <c r="AQ54" s="34" t="e">
        <f t="shared" si="107"/>
        <v>#N/A</v>
      </c>
      <c r="AR54" s="34" t="e">
        <f t="shared" si="107"/>
        <v>#N/A</v>
      </c>
      <c r="AS54" s="27"/>
      <c r="AT54" s="41"/>
      <c r="AU54" s="41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30"/>
    </row>
    <row r="55" spans="1:66" ht="11.25" customHeight="1" x14ac:dyDescent="0.2">
      <c r="A55" s="37"/>
      <c r="B55" s="73"/>
      <c r="C55" s="56">
        <v>9</v>
      </c>
      <c r="D55" s="8" t="s">
        <v>96</v>
      </c>
      <c r="E55" s="16">
        <f t="shared" si="91"/>
        <v>1</v>
      </c>
      <c r="F55" s="6">
        <f>SUMIFS([0]!VOTOS2,[0]!TURNO1,F$31,[0]!CANDIDATO1,$C55,[0]!MUNICIPIO1,$B$47)</f>
        <v>0</v>
      </c>
      <c r="G55" s="6">
        <f>SUMIFS([0]!VOTOS2,[0]!TURNO1,G$31,[0]!CANDIDATO1,$C55,[0]!MUNICIPIO1,$B$47)</f>
        <v>0</v>
      </c>
      <c r="H55" s="6">
        <f>SUMIFS([0]!VOTOS2,[0]!TURNO1,H$31,[0]!CANDIDATO1,$C55,[0]!MUNICIPIO1,$B$47)</f>
        <v>0</v>
      </c>
      <c r="I55" s="6">
        <f>SUMIFS([0]!VOTOS2,[0]!TURNO1,I$31,[0]!CANDIDATO1,$C55,[0]!MUNICIPIO1,$B$47)</f>
        <v>0</v>
      </c>
      <c r="J55" s="6">
        <f>SUMIFS([0]!VOTOS2,[0]!TURNO1,J$31,[0]!CANDIDATO1,$C55,[0]!MUNICIPIO1,$B$47)</f>
        <v>1</v>
      </c>
      <c r="K55" s="6">
        <f>SUMIFS([0]!VOTOS2,[0]!TURNO1,K$31,[0]!CANDIDATO1,$C55,[0]!MUNICIPIO1,$B$47)</f>
        <v>0</v>
      </c>
      <c r="L55" s="6">
        <f>SUMIFS([0]!VOTOS2,[0]!TURNO1,L$31,[0]!CANDIDATO1,$C55,[0]!MUNICIPIO1,$B$47)</f>
        <v>0</v>
      </c>
      <c r="M55" s="6">
        <f>SUMIFS([0]!VOTOS2,[0]!TURNO1,M$31,[0]!CANDIDATO1,$C55,[0]!MUNICIPIO1,$B$47)</f>
        <v>0</v>
      </c>
      <c r="N55" s="6">
        <f>SUMIFS([0]!VOTOS2,[0]!TURNO1,N$31,[0]!CANDIDATO1,$C55,[0]!MUNICIPIO1,$B$47)</f>
        <v>0</v>
      </c>
      <c r="O55" s="6">
        <f>SUMIFS([0]!VOTOS2,[0]!TURNO1,O$31,[0]!CANDIDATO1,$C55,[0]!MUNICIPIO1,$B$47)</f>
        <v>0</v>
      </c>
      <c r="P55" s="6">
        <f>SUMIFS([0]!VOTOS2,[0]!TURNO1,P$31,[0]!CANDIDATO1,$C55,[0]!MUNICIPIO1,$B$47)</f>
        <v>0</v>
      </c>
      <c r="Q55" s="6">
        <f>SUMIFS([0]!VOTOS2,[0]!TURNO1,Q$31,[0]!CANDIDATO1,$C55,[0]!MUNICIPIO1,$B$47)</f>
        <v>0</v>
      </c>
      <c r="R55" s="6">
        <f>SUMIFS([0]!VOTOS2,[0]!TURNO1,R$31,[0]!CANDIDATO1,$C55,[0]!MUNICIPIO1,$B$47)</f>
        <v>0</v>
      </c>
      <c r="S55" s="6">
        <f>SUMIFS([0]!VOTOS2,[0]!TURNO1,S$31,[0]!CANDIDATO1,$C55,[0]!MUNICIPIO1,$B$47)</f>
        <v>0</v>
      </c>
      <c r="T55" s="6">
        <f>SUMIFS([0]!VOTOS2,[0]!TURNO1,T$31,[0]!CANDIDATO1,$C55,[0]!MUNICIPIO1,$B$47)</f>
        <v>0</v>
      </c>
      <c r="U55" s="6">
        <f>SUMIFS([0]!VOTOS2,[0]!TURNO1,U$31,[0]!CANDIDATO1,$C55,[0]!MUNICIPIO1,$B$47)</f>
        <v>0</v>
      </c>
      <c r="V55" s="6">
        <f>SUMIFS([0]!VOTOS2,[0]!TURNO1,V$31,[0]!CANDIDATO1,$C55,[0]!MUNICIPIO1,$B$47)</f>
        <v>0</v>
      </c>
      <c r="W55" s="6">
        <f>SUMIFS([0]!VOTOS2,[0]!TURNO1,W$31,[0]!CANDIDATO1,$C55,[0]!MUNICIPIO1,$B$47)</f>
        <v>0</v>
      </c>
      <c r="X55" s="24"/>
      <c r="Y55" s="18" t="str">
        <f t="shared" si="92"/>
        <v>ANTONIO UZTARIZ</v>
      </c>
      <c r="Z55" s="34">
        <f t="shared" si="93"/>
        <v>1</v>
      </c>
      <c r="AA55" s="34">
        <f t="shared" si="94"/>
        <v>0</v>
      </c>
      <c r="AB55" s="34">
        <f t="shared" ref="AB55:AR55" si="108">IF(SUM(G47:G59)=0,NA(),G55+AA55)</f>
        <v>0</v>
      </c>
      <c r="AC55" s="34">
        <f t="shared" si="108"/>
        <v>0</v>
      </c>
      <c r="AD55" s="34">
        <f t="shared" si="108"/>
        <v>0</v>
      </c>
      <c r="AE55" s="34">
        <f t="shared" si="108"/>
        <v>1</v>
      </c>
      <c r="AF55" s="34">
        <f t="shared" si="108"/>
        <v>1</v>
      </c>
      <c r="AG55" s="34">
        <f t="shared" si="108"/>
        <v>1</v>
      </c>
      <c r="AH55" s="34">
        <f t="shared" si="108"/>
        <v>1</v>
      </c>
      <c r="AI55" s="34">
        <f t="shared" si="108"/>
        <v>1</v>
      </c>
      <c r="AJ55" s="34">
        <f t="shared" si="108"/>
        <v>1</v>
      </c>
      <c r="AK55" s="34" t="e">
        <f t="shared" si="108"/>
        <v>#N/A</v>
      </c>
      <c r="AL55" s="34" t="e">
        <f t="shared" si="108"/>
        <v>#N/A</v>
      </c>
      <c r="AM55" s="34" t="e">
        <f t="shared" si="108"/>
        <v>#N/A</v>
      </c>
      <c r="AN55" s="34" t="e">
        <f t="shared" si="108"/>
        <v>#N/A</v>
      </c>
      <c r="AO55" s="34" t="e">
        <f t="shared" si="108"/>
        <v>#N/A</v>
      </c>
      <c r="AP55" s="34" t="e">
        <f t="shared" si="108"/>
        <v>#N/A</v>
      </c>
      <c r="AQ55" s="34" t="e">
        <f t="shared" si="108"/>
        <v>#N/A</v>
      </c>
      <c r="AR55" s="34" t="e">
        <f t="shared" si="108"/>
        <v>#N/A</v>
      </c>
      <c r="AS55" s="27"/>
      <c r="AT55" s="41"/>
      <c r="AU55" s="41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30"/>
    </row>
    <row r="56" spans="1:66" ht="11.25" customHeight="1" x14ac:dyDescent="0.2">
      <c r="A56" s="42"/>
      <c r="B56" s="74"/>
      <c r="C56" s="33">
        <v>10</v>
      </c>
      <c r="D56" s="11" t="s">
        <v>97</v>
      </c>
      <c r="E56" s="16">
        <f t="shared" si="91"/>
        <v>0</v>
      </c>
      <c r="F56" s="6">
        <f>SUMIFS([0]!VOTOS2,[0]!TURNO1,F$31,[0]!CANDIDATO1,$C56,[0]!MUNICIPIO1,$B$47)</f>
        <v>0</v>
      </c>
      <c r="G56" s="6">
        <f>SUMIFS([0]!VOTOS2,[0]!TURNO1,G$31,[0]!CANDIDATO1,$C56,[0]!MUNICIPIO1,$B$47)</f>
        <v>0</v>
      </c>
      <c r="H56" s="6">
        <f>SUMIFS([0]!VOTOS2,[0]!TURNO1,H$31,[0]!CANDIDATO1,$C56,[0]!MUNICIPIO1,$B$47)</f>
        <v>0</v>
      </c>
      <c r="I56" s="6">
        <f>SUMIFS([0]!VOTOS2,[0]!TURNO1,I$31,[0]!CANDIDATO1,$C56,[0]!MUNICIPIO1,$B$47)</f>
        <v>0</v>
      </c>
      <c r="J56" s="6">
        <f>SUMIFS([0]!VOTOS2,[0]!TURNO1,J$31,[0]!CANDIDATO1,$C56,[0]!MUNICIPIO1,$B$47)</f>
        <v>0</v>
      </c>
      <c r="K56" s="6">
        <f>SUMIFS([0]!VOTOS2,[0]!TURNO1,K$31,[0]!CANDIDATO1,$C56,[0]!MUNICIPIO1,$B$47)</f>
        <v>0</v>
      </c>
      <c r="L56" s="6">
        <f>SUMIFS([0]!VOTOS2,[0]!TURNO1,L$31,[0]!CANDIDATO1,$C56,[0]!MUNICIPIO1,$B$47)</f>
        <v>0</v>
      </c>
      <c r="M56" s="6">
        <f>SUMIFS([0]!VOTOS2,[0]!TURNO1,M$31,[0]!CANDIDATO1,$C56,[0]!MUNICIPIO1,$B$47)</f>
        <v>0</v>
      </c>
      <c r="N56" s="6">
        <f>SUMIFS([0]!VOTOS2,[0]!TURNO1,N$31,[0]!CANDIDATO1,$C56,[0]!MUNICIPIO1,$B$47)</f>
        <v>0</v>
      </c>
      <c r="O56" s="6">
        <f>SUMIFS([0]!VOTOS2,[0]!TURNO1,O$31,[0]!CANDIDATO1,$C56,[0]!MUNICIPIO1,$B$47)</f>
        <v>0</v>
      </c>
      <c r="P56" s="6">
        <f>SUMIFS([0]!VOTOS2,[0]!TURNO1,P$31,[0]!CANDIDATO1,$C56,[0]!MUNICIPIO1,$B$47)</f>
        <v>0</v>
      </c>
      <c r="Q56" s="6">
        <f>SUMIFS([0]!VOTOS2,[0]!TURNO1,Q$31,[0]!CANDIDATO1,$C56,[0]!MUNICIPIO1,$B$47)</f>
        <v>0</v>
      </c>
      <c r="R56" s="6">
        <f>SUMIFS([0]!VOTOS2,[0]!TURNO1,R$31,[0]!CANDIDATO1,$C56,[0]!MUNICIPIO1,$B$47)</f>
        <v>0</v>
      </c>
      <c r="S56" s="6">
        <f>SUMIFS([0]!VOTOS2,[0]!TURNO1,S$31,[0]!CANDIDATO1,$C56,[0]!MUNICIPIO1,$B$47)</f>
        <v>0</v>
      </c>
      <c r="T56" s="6">
        <f>SUMIFS([0]!VOTOS2,[0]!TURNO1,T$31,[0]!CANDIDATO1,$C56,[0]!MUNICIPIO1,$B$47)</f>
        <v>0</v>
      </c>
      <c r="U56" s="6">
        <f>SUMIFS([0]!VOTOS2,[0]!TURNO1,U$31,[0]!CANDIDATO1,$C56,[0]!MUNICIPIO1,$B$47)</f>
        <v>0</v>
      </c>
      <c r="V56" s="6">
        <f>SUMIFS([0]!VOTOS2,[0]!TURNO1,V$31,[0]!CANDIDATO1,$C56,[0]!MUNICIPIO1,$B$47)</f>
        <v>0</v>
      </c>
      <c r="W56" s="6">
        <f>SUMIFS([0]!VOTOS2,[0]!TURNO1,W$31,[0]!CANDIDATO1,$C56,[0]!MUNICIPIO1,$B$47)</f>
        <v>0</v>
      </c>
      <c r="X56" s="24"/>
      <c r="Y56" s="18" t="str">
        <f t="shared" si="92"/>
        <v>DANIEL GOMEZ</v>
      </c>
      <c r="Z56" s="34">
        <f t="shared" si="93"/>
        <v>0</v>
      </c>
      <c r="AA56" s="34">
        <f t="shared" si="94"/>
        <v>0</v>
      </c>
      <c r="AB56" s="34">
        <f t="shared" ref="AB56:AR56" si="109">IF(SUM(G47:G59)=0,NA(),G56+AA56)</f>
        <v>0</v>
      </c>
      <c r="AC56" s="34">
        <f t="shared" si="109"/>
        <v>0</v>
      </c>
      <c r="AD56" s="34">
        <f t="shared" si="109"/>
        <v>0</v>
      </c>
      <c r="AE56" s="34">
        <f t="shared" si="109"/>
        <v>0</v>
      </c>
      <c r="AF56" s="34">
        <f t="shared" si="109"/>
        <v>0</v>
      </c>
      <c r="AG56" s="34">
        <f t="shared" si="109"/>
        <v>0</v>
      </c>
      <c r="AH56" s="34">
        <f t="shared" si="109"/>
        <v>0</v>
      </c>
      <c r="AI56" s="34">
        <f t="shared" si="109"/>
        <v>0</v>
      </c>
      <c r="AJ56" s="34">
        <f t="shared" si="109"/>
        <v>0</v>
      </c>
      <c r="AK56" s="34" t="e">
        <f t="shared" si="109"/>
        <v>#N/A</v>
      </c>
      <c r="AL56" s="34" t="e">
        <f t="shared" si="109"/>
        <v>#N/A</v>
      </c>
      <c r="AM56" s="34" t="e">
        <f t="shared" si="109"/>
        <v>#N/A</v>
      </c>
      <c r="AN56" s="34" t="e">
        <f t="shared" si="109"/>
        <v>#N/A</v>
      </c>
      <c r="AO56" s="34" t="e">
        <f t="shared" si="109"/>
        <v>#N/A</v>
      </c>
      <c r="AP56" s="34" t="e">
        <f t="shared" si="109"/>
        <v>#N/A</v>
      </c>
      <c r="AQ56" s="34" t="e">
        <f t="shared" si="109"/>
        <v>#N/A</v>
      </c>
      <c r="AR56" s="34" t="e">
        <f t="shared" si="109"/>
        <v>#N/A</v>
      </c>
      <c r="AS56" s="27"/>
      <c r="AT56" s="41"/>
      <c r="AU56" s="41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30"/>
    </row>
    <row r="57" spans="1:66" ht="11.25" customHeight="1" x14ac:dyDescent="0.2">
      <c r="A57" s="44"/>
      <c r="B57" s="54"/>
      <c r="C57" s="46">
        <v>11</v>
      </c>
      <c r="D57" s="14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24"/>
      <c r="Y57" s="18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27"/>
      <c r="AT57" s="41"/>
      <c r="AU57" s="41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30"/>
    </row>
    <row r="58" spans="1:66" ht="11.25" customHeight="1" x14ac:dyDescent="0.2">
      <c r="A58" s="44"/>
      <c r="B58" s="54"/>
      <c r="C58" s="46">
        <v>12</v>
      </c>
      <c r="D58" s="14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24"/>
      <c r="Y58" s="18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27"/>
      <c r="AT58" s="41"/>
      <c r="AU58" s="41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30"/>
    </row>
    <row r="59" spans="1:66" ht="11.25" customHeight="1" x14ac:dyDescent="0.2">
      <c r="A59" s="44"/>
      <c r="B59" s="54"/>
      <c r="C59" s="46">
        <v>13</v>
      </c>
      <c r="D59" s="14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24"/>
      <c r="Y59" s="18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27"/>
      <c r="AT59" s="41"/>
      <c r="AU59" s="41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30"/>
    </row>
    <row r="60" spans="1:66" ht="11.25" customHeight="1" x14ac:dyDescent="0.2">
      <c r="D60" s="31" t="s">
        <v>76</v>
      </c>
      <c r="N60" s="57"/>
      <c r="X60" s="24"/>
      <c r="Y60" s="19" t="s">
        <v>79</v>
      </c>
      <c r="Z60" s="34">
        <f t="shared" ref="Z60" si="110">SUM(Z49:Z59)</f>
        <v>31</v>
      </c>
      <c r="AA60" s="34">
        <f t="shared" ref="AA60" si="111">SUM(AA49:AA59)</f>
        <v>0</v>
      </c>
      <c r="AB60" s="34">
        <f t="shared" ref="AB60" si="112">SUM(AB49:AB59)</f>
        <v>9</v>
      </c>
      <c r="AC60" s="34">
        <f t="shared" ref="AC60" si="113">SUM(AC49:AC59)</f>
        <v>19</v>
      </c>
      <c r="AD60" s="34">
        <f t="shared" ref="AD60" si="114">SUM(AD49:AD59)</f>
        <v>23</v>
      </c>
      <c r="AE60" s="34">
        <f t="shared" ref="AE60" si="115">SUM(AE49:AE59)</f>
        <v>24</v>
      </c>
      <c r="AF60" s="34">
        <f t="shared" ref="AF60" si="116">SUM(AF49:AF59)</f>
        <v>25</v>
      </c>
      <c r="AG60" s="34">
        <f t="shared" ref="AG60" si="117">SUM(AG49:AG59)</f>
        <v>25</v>
      </c>
      <c r="AH60" s="34">
        <f t="shared" ref="AH60" si="118">SUM(AH49:AH59)</f>
        <v>27</v>
      </c>
      <c r="AI60" s="34">
        <f t="shared" ref="AI60" si="119">SUM(AI49:AI59)</f>
        <v>27</v>
      </c>
      <c r="AJ60" s="34">
        <f t="shared" ref="AJ60" si="120">SUM(AJ49:AJ59)</f>
        <v>31</v>
      </c>
      <c r="AK60" s="34" t="e">
        <f t="shared" ref="AK60" si="121">SUM(AK49:AK59)</f>
        <v>#N/A</v>
      </c>
      <c r="AL60" s="34" t="e">
        <f t="shared" ref="AL60" si="122">SUM(AL49:AL59)</f>
        <v>#N/A</v>
      </c>
      <c r="AM60" s="34" t="e">
        <f t="shared" ref="AM60" si="123">SUM(AM49:AM59)</f>
        <v>#N/A</v>
      </c>
      <c r="AN60" s="34" t="e">
        <f t="shared" ref="AN60" si="124">SUM(AN49:AN59)</f>
        <v>#N/A</v>
      </c>
      <c r="AO60" s="34" t="e">
        <f t="shared" ref="AO60" si="125">SUM(AO49:AO59)</f>
        <v>#N/A</v>
      </c>
      <c r="AP60" s="34" t="e">
        <f t="shared" ref="AP60" si="126">SUM(AP49:AP59)</f>
        <v>#N/A</v>
      </c>
      <c r="AQ60" s="34" t="e">
        <f t="shared" ref="AQ60" si="127">SUM(AQ49:AQ59)</f>
        <v>#N/A</v>
      </c>
      <c r="AR60" s="34" t="e">
        <f t="shared" ref="AR60" si="128">SUM(AR49:AR59)</f>
        <v>#N/A</v>
      </c>
      <c r="AS60" s="27"/>
      <c r="AT60" s="41"/>
      <c r="AU60" s="41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30"/>
    </row>
    <row r="61" spans="1:66" ht="11.25" customHeight="1" x14ac:dyDescent="0.2">
      <c r="A61" s="75" t="s">
        <v>63</v>
      </c>
      <c r="B61" s="76"/>
      <c r="C61" s="47"/>
      <c r="D61" s="48" t="s">
        <v>75</v>
      </c>
      <c r="E61" s="49" t="s">
        <v>70</v>
      </c>
      <c r="F61" s="49">
        <v>0</v>
      </c>
      <c r="G61" s="49">
        <v>1</v>
      </c>
      <c r="H61" s="49">
        <v>2</v>
      </c>
      <c r="I61" s="49">
        <v>3</v>
      </c>
      <c r="J61" s="49">
        <v>4</v>
      </c>
      <c r="K61" s="49">
        <v>5</v>
      </c>
      <c r="L61" s="49">
        <v>6</v>
      </c>
      <c r="M61" s="49">
        <v>7</v>
      </c>
      <c r="N61" s="49">
        <v>8</v>
      </c>
      <c r="O61" s="49">
        <v>9</v>
      </c>
      <c r="P61" s="49">
        <v>10</v>
      </c>
      <c r="Q61" s="49">
        <v>11</v>
      </c>
      <c r="R61" s="49">
        <v>12</v>
      </c>
      <c r="S61" s="49">
        <v>13</v>
      </c>
      <c r="T61" s="49">
        <v>14</v>
      </c>
      <c r="U61" s="49">
        <v>15</v>
      </c>
      <c r="V61" s="49">
        <v>16</v>
      </c>
      <c r="W61" s="23">
        <v>17</v>
      </c>
      <c r="X61" s="24"/>
      <c r="Y61" s="17"/>
      <c r="Z61" s="25" t="s">
        <v>64</v>
      </c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7"/>
      <c r="AT61" s="28"/>
      <c r="AU61" s="28" t="s">
        <v>64</v>
      </c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30"/>
    </row>
    <row r="62" spans="1:66" ht="11.25" customHeight="1" x14ac:dyDescent="0.2">
      <c r="A62" s="32"/>
      <c r="B62" s="72">
        <v>5</v>
      </c>
      <c r="C62" s="56">
        <v>1</v>
      </c>
      <c r="D62" s="7" t="s">
        <v>98</v>
      </c>
      <c r="E62" s="16">
        <f t="shared" ref="E62:E69" si="129">SUM(F62:W62)</f>
        <v>711</v>
      </c>
      <c r="F62" s="6">
        <f>SUMIFS([0]!VOTOS2,[0]!TURNO1,F$31,[0]!CANDIDATO1,$C62,[0]!MUNICIPIO1,$B$62)</f>
        <v>10</v>
      </c>
      <c r="G62" s="6">
        <f>SUMIFS([0]!VOTOS2,[0]!TURNO1,G$31,[0]!CANDIDATO1,$C62,[0]!MUNICIPIO1,$B$62)</f>
        <v>103</v>
      </c>
      <c r="H62" s="6">
        <f>SUMIFS([0]!VOTOS2,[0]!TURNO1,H$31,[0]!CANDIDATO1,$C62,[0]!MUNICIPIO1,$B$62)</f>
        <v>73</v>
      </c>
      <c r="I62" s="6">
        <f>SUMIFS([0]!VOTOS2,[0]!TURNO1,I$31,[0]!CANDIDATO1,$C62,[0]!MUNICIPIO1,$B$62)</f>
        <v>62</v>
      </c>
      <c r="J62" s="6">
        <f>SUMIFS([0]!VOTOS2,[0]!TURNO1,J$31,[0]!CANDIDATO1,$C62,[0]!MUNICIPIO1,$B$62)</f>
        <v>94</v>
      </c>
      <c r="K62" s="6">
        <f>SUMIFS([0]!VOTOS2,[0]!TURNO1,K$31,[0]!CANDIDATO1,$C62,[0]!MUNICIPIO1,$B$62)</f>
        <v>95</v>
      </c>
      <c r="L62" s="6">
        <f>SUMIFS([0]!VOTOS2,[0]!TURNO1,L$31,[0]!CANDIDATO1,$C62,[0]!MUNICIPIO1,$B$62)</f>
        <v>78</v>
      </c>
      <c r="M62" s="6">
        <f>SUMIFS([0]!VOTOS2,[0]!TURNO1,M$31,[0]!CANDIDATO1,$C62,[0]!MUNICIPIO1,$B$62)</f>
        <v>64</v>
      </c>
      <c r="N62" s="6">
        <f>SUMIFS([0]!VOTOS2,[0]!TURNO1,N$31,[0]!CANDIDATO1,$C62,[0]!MUNICIPIO1,$B$62)</f>
        <v>64</v>
      </c>
      <c r="O62" s="6">
        <f>SUMIFS([0]!VOTOS2,[0]!TURNO1,O$31,[0]!CANDIDATO1,$C62,[0]!MUNICIPIO1,$B$62)</f>
        <v>68</v>
      </c>
      <c r="P62" s="6">
        <f>SUMIFS([0]!VOTOS2,[0]!TURNO1,P$31,[0]!CANDIDATO1,$C62,[0]!MUNICIPIO1,$B$62)</f>
        <v>0</v>
      </c>
      <c r="Q62" s="6">
        <f>SUMIFS([0]!VOTOS2,[0]!TURNO1,Q$31,[0]!CANDIDATO1,$C62,[0]!MUNICIPIO1,$B$62)</f>
        <v>0</v>
      </c>
      <c r="R62" s="6">
        <f>SUMIFS([0]!VOTOS2,[0]!TURNO1,R$31,[0]!CANDIDATO1,$C62,[0]!MUNICIPIO1,$B$62)</f>
        <v>0</v>
      </c>
      <c r="S62" s="6">
        <f>SUMIFS([0]!VOTOS2,[0]!TURNO1,S$31,[0]!CANDIDATO1,$C62,[0]!MUNICIPIO1,$B$62)</f>
        <v>0</v>
      </c>
      <c r="T62" s="6">
        <f>SUMIFS([0]!VOTOS2,[0]!TURNO1,T$31,[0]!CANDIDATO1,$C62,[0]!MUNICIPIO1,$B$62)</f>
        <v>0</v>
      </c>
      <c r="U62" s="6">
        <f>SUMIFS([0]!VOTOS2,[0]!TURNO1,U$31,[0]!CANDIDATO1,$C62,[0]!MUNICIPIO1,$B$62)</f>
        <v>0</v>
      </c>
      <c r="V62" s="6">
        <f>SUMIFS([0]!VOTOS2,[0]!TURNO1,V$31,[0]!CANDIDATO1,$C62,[0]!MUNICIPIO1,$B$62)</f>
        <v>0</v>
      </c>
      <c r="W62" s="6">
        <f>SUMIFS([0]!VOTOS2,[0]!TURNO1,W$31,[0]!CANDIDATO1,$C62,[0]!MUNICIPIO1,$B$62)</f>
        <v>0</v>
      </c>
      <c r="X62" s="24"/>
      <c r="Y62" s="18" t="str">
        <f t="shared" ref="Y62:Y69" si="130">D62</f>
        <v>DANIEL HARO</v>
      </c>
      <c r="Z62" s="34">
        <f t="shared" ref="Z62:Z69" si="131">E62</f>
        <v>711</v>
      </c>
      <c r="AA62" s="34">
        <f t="shared" ref="AA62:AA69" si="132">F62</f>
        <v>10</v>
      </c>
      <c r="AB62" s="34">
        <f t="shared" ref="AB62:AR62" si="133">IF(SUM(G62:G74)=0,NA(),G62+AA62)</f>
        <v>113</v>
      </c>
      <c r="AC62" s="34">
        <f t="shared" si="133"/>
        <v>186</v>
      </c>
      <c r="AD62" s="34">
        <f t="shared" si="133"/>
        <v>248</v>
      </c>
      <c r="AE62" s="34">
        <f t="shared" si="133"/>
        <v>342</v>
      </c>
      <c r="AF62" s="34">
        <f t="shared" si="133"/>
        <v>437</v>
      </c>
      <c r="AG62" s="34">
        <f t="shared" si="133"/>
        <v>515</v>
      </c>
      <c r="AH62" s="34">
        <f t="shared" si="133"/>
        <v>579</v>
      </c>
      <c r="AI62" s="34">
        <f t="shared" si="133"/>
        <v>643</v>
      </c>
      <c r="AJ62" s="34">
        <f t="shared" si="133"/>
        <v>711</v>
      </c>
      <c r="AK62" s="34" t="e">
        <f t="shared" si="133"/>
        <v>#N/A</v>
      </c>
      <c r="AL62" s="34" t="e">
        <f t="shared" si="133"/>
        <v>#N/A</v>
      </c>
      <c r="AM62" s="34" t="e">
        <f t="shared" si="133"/>
        <v>#N/A</v>
      </c>
      <c r="AN62" s="34" t="e">
        <f t="shared" si="133"/>
        <v>#N/A</v>
      </c>
      <c r="AO62" s="34" t="e">
        <f t="shared" si="133"/>
        <v>#N/A</v>
      </c>
      <c r="AP62" s="34" t="e">
        <f t="shared" si="133"/>
        <v>#N/A</v>
      </c>
      <c r="AQ62" s="34" t="e">
        <f t="shared" si="133"/>
        <v>#N/A</v>
      </c>
      <c r="AR62" s="34" t="e">
        <f t="shared" si="133"/>
        <v>#N/A</v>
      </c>
      <c r="AS62" s="27"/>
      <c r="AT62" s="35" t="str">
        <f t="shared" ref="AT62:AT63" si="134">Y62</f>
        <v>DANIEL HARO</v>
      </c>
      <c r="AU62" s="36">
        <f t="shared" ref="AU62:BM62" si="135">Z62/(Z62+Z63+Z75)</f>
        <v>0.48203389830508475</v>
      </c>
      <c r="AV62" s="36">
        <f t="shared" si="135"/>
        <v>0.5</v>
      </c>
      <c r="AW62" s="36">
        <f t="shared" si="135"/>
        <v>0.36217948717948717</v>
      </c>
      <c r="AX62" s="36">
        <f t="shared" si="135"/>
        <v>0.39743589743589741</v>
      </c>
      <c r="AY62" s="36">
        <f t="shared" si="135"/>
        <v>0.4175084175084175</v>
      </c>
      <c r="AZ62" s="36">
        <f t="shared" si="135"/>
        <v>0.45059288537549408</v>
      </c>
      <c r="BA62" s="36">
        <f t="shared" si="135"/>
        <v>0.48021978021978023</v>
      </c>
      <c r="BB62" s="36">
        <f t="shared" si="135"/>
        <v>0.47421731123388583</v>
      </c>
      <c r="BC62" s="36">
        <f t="shared" si="135"/>
        <v>0.48451882845188282</v>
      </c>
      <c r="BD62" s="36">
        <f t="shared" si="135"/>
        <v>0.48491704374057315</v>
      </c>
      <c r="BE62" s="36">
        <f t="shared" si="135"/>
        <v>0.48203389830508475</v>
      </c>
      <c r="BF62" s="36" t="e">
        <f t="shared" si="135"/>
        <v>#N/A</v>
      </c>
      <c r="BG62" s="36" t="e">
        <f t="shared" si="135"/>
        <v>#N/A</v>
      </c>
      <c r="BH62" s="36" t="e">
        <f t="shared" si="135"/>
        <v>#N/A</v>
      </c>
      <c r="BI62" s="36" t="e">
        <f t="shared" si="135"/>
        <v>#N/A</v>
      </c>
      <c r="BJ62" s="36" t="e">
        <f t="shared" si="135"/>
        <v>#N/A</v>
      </c>
      <c r="BK62" s="36" t="e">
        <f t="shared" si="135"/>
        <v>#N/A</v>
      </c>
      <c r="BL62" s="36" t="e">
        <f t="shared" si="135"/>
        <v>#N/A</v>
      </c>
      <c r="BM62" s="36" t="e">
        <f t="shared" si="135"/>
        <v>#N/A</v>
      </c>
      <c r="BN62" s="30"/>
    </row>
    <row r="63" spans="1:66" ht="11.25" customHeight="1" x14ac:dyDescent="0.2">
      <c r="A63" s="37"/>
      <c r="B63" s="73"/>
      <c r="C63" s="33">
        <v>2</v>
      </c>
      <c r="D63" s="8" t="s">
        <v>99</v>
      </c>
      <c r="E63" s="16">
        <f t="shared" si="129"/>
        <v>680</v>
      </c>
      <c r="F63" s="6">
        <f>SUMIFS([0]!VOTOS2,[0]!TURNO1,F$31,[0]!CANDIDATO1,$C63,[0]!MUNICIPIO1,$B$62)</f>
        <v>10</v>
      </c>
      <c r="G63" s="6">
        <f>SUMIFS([0]!VOTOS2,[0]!TURNO1,G$31,[0]!CANDIDATO1,$C63,[0]!MUNICIPIO1,$B$62)</f>
        <v>182</v>
      </c>
      <c r="H63" s="6">
        <f>SUMIFS([0]!VOTOS2,[0]!TURNO1,H$31,[0]!CANDIDATO1,$C63,[0]!MUNICIPIO1,$B$62)</f>
        <v>71</v>
      </c>
      <c r="I63" s="6">
        <f>SUMIFS([0]!VOTOS2,[0]!TURNO1,I$31,[0]!CANDIDATO1,$C63,[0]!MUNICIPIO1,$B$62)</f>
        <v>60</v>
      </c>
      <c r="J63" s="6">
        <f>SUMIFS([0]!VOTOS2,[0]!TURNO1,J$31,[0]!CANDIDATO1,$C63,[0]!MUNICIPIO1,$B$62)</f>
        <v>66</v>
      </c>
      <c r="K63" s="6">
        <f>SUMIFS([0]!VOTOS2,[0]!TURNO1,K$31,[0]!CANDIDATO1,$C63,[0]!MUNICIPIO1,$B$62)</f>
        <v>48</v>
      </c>
      <c r="L63" s="6">
        <f>SUMIFS([0]!VOTOS2,[0]!TURNO1,L$31,[0]!CANDIDATO1,$C63,[0]!MUNICIPIO1,$B$62)</f>
        <v>91</v>
      </c>
      <c r="M63" s="6">
        <f>SUMIFS([0]!VOTOS2,[0]!TURNO1,M$31,[0]!CANDIDATO1,$C63,[0]!MUNICIPIO1,$B$62)</f>
        <v>42</v>
      </c>
      <c r="N63" s="6">
        <f>SUMIFS([0]!VOTOS2,[0]!TURNO1,N$31,[0]!CANDIDATO1,$C63,[0]!MUNICIPIO1,$B$62)</f>
        <v>57</v>
      </c>
      <c r="O63" s="6">
        <f>SUMIFS([0]!VOTOS2,[0]!TURNO1,O$31,[0]!CANDIDATO1,$C63,[0]!MUNICIPIO1,$B$62)</f>
        <v>53</v>
      </c>
      <c r="P63" s="6">
        <f>SUMIFS([0]!VOTOS2,[0]!TURNO1,P$31,[0]!CANDIDATO1,$C63,[0]!MUNICIPIO1,$B$62)</f>
        <v>0</v>
      </c>
      <c r="Q63" s="6">
        <f>SUMIFS([0]!VOTOS2,[0]!TURNO1,Q$31,[0]!CANDIDATO1,$C63,[0]!MUNICIPIO1,$B$62)</f>
        <v>0</v>
      </c>
      <c r="R63" s="6">
        <f>SUMIFS([0]!VOTOS2,[0]!TURNO1,R$31,[0]!CANDIDATO1,$C63,[0]!MUNICIPIO1,$B$62)</f>
        <v>0</v>
      </c>
      <c r="S63" s="6">
        <f>SUMIFS([0]!VOTOS2,[0]!TURNO1,S$31,[0]!CANDIDATO1,$C63,[0]!MUNICIPIO1,$B$62)</f>
        <v>0</v>
      </c>
      <c r="T63" s="6">
        <f>SUMIFS([0]!VOTOS2,[0]!TURNO1,T$31,[0]!CANDIDATO1,$C63,[0]!MUNICIPIO1,$B$62)</f>
        <v>0</v>
      </c>
      <c r="U63" s="6">
        <f>SUMIFS([0]!VOTOS2,[0]!TURNO1,U$31,[0]!CANDIDATO1,$C63,[0]!MUNICIPIO1,$B$62)</f>
        <v>0</v>
      </c>
      <c r="V63" s="6">
        <f>SUMIFS([0]!VOTOS2,[0]!TURNO1,V$31,[0]!CANDIDATO1,$C63,[0]!MUNICIPIO1,$B$62)</f>
        <v>0</v>
      </c>
      <c r="W63" s="6">
        <f>SUMIFS([0]!VOTOS2,[0]!TURNO1,W$31,[0]!CANDIDATO1,$C63,[0]!MUNICIPIO1,$B$62)</f>
        <v>0</v>
      </c>
      <c r="X63" s="24"/>
      <c r="Y63" s="18" t="str">
        <f t="shared" si="130"/>
        <v>EVELIN URDANETA</v>
      </c>
      <c r="Z63" s="34">
        <f t="shared" si="131"/>
        <v>680</v>
      </c>
      <c r="AA63" s="34">
        <f t="shared" si="132"/>
        <v>10</v>
      </c>
      <c r="AB63" s="34">
        <f t="shared" ref="AB63:AR63" si="136">IF(SUM(G62:G74)=0,NA(),G63+AA63)</f>
        <v>192</v>
      </c>
      <c r="AC63" s="34">
        <f t="shared" si="136"/>
        <v>263</v>
      </c>
      <c r="AD63" s="34">
        <f t="shared" si="136"/>
        <v>323</v>
      </c>
      <c r="AE63" s="34">
        <f t="shared" si="136"/>
        <v>389</v>
      </c>
      <c r="AF63" s="34">
        <f t="shared" si="136"/>
        <v>437</v>
      </c>
      <c r="AG63" s="34">
        <f t="shared" si="136"/>
        <v>528</v>
      </c>
      <c r="AH63" s="34">
        <f t="shared" si="136"/>
        <v>570</v>
      </c>
      <c r="AI63" s="34">
        <f t="shared" si="136"/>
        <v>627</v>
      </c>
      <c r="AJ63" s="34">
        <f t="shared" si="136"/>
        <v>680</v>
      </c>
      <c r="AK63" s="34" t="e">
        <f t="shared" si="136"/>
        <v>#N/A</v>
      </c>
      <c r="AL63" s="34" t="e">
        <f t="shared" si="136"/>
        <v>#N/A</v>
      </c>
      <c r="AM63" s="34" t="e">
        <f t="shared" si="136"/>
        <v>#N/A</v>
      </c>
      <c r="AN63" s="34" t="e">
        <f t="shared" si="136"/>
        <v>#N/A</v>
      </c>
      <c r="AO63" s="34" t="e">
        <f t="shared" si="136"/>
        <v>#N/A</v>
      </c>
      <c r="AP63" s="34" t="e">
        <f t="shared" si="136"/>
        <v>#N/A</v>
      </c>
      <c r="AQ63" s="34" t="e">
        <f t="shared" si="136"/>
        <v>#N/A</v>
      </c>
      <c r="AR63" s="34" t="e">
        <f t="shared" si="136"/>
        <v>#N/A</v>
      </c>
      <c r="AS63" s="27"/>
      <c r="AT63" s="35" t="str">
        <f t="shared" si="134"/>
        <v>EVELIN URDANETA</v>
      </c>
      <c r="AU63" s="36">
        <f t="shared" ref="AU63:BM63" si="137">Z63/(Z62+Z63+Z75)</f>
        <v>0.46101694915254238</v>
      </c>
      <c r="AV63" s="36">
        <f t="shared" si="137"/>
        <v>0.5</v>
      </c>
      <c r="AW63" s="36">
        <f t="shared" si="137"/>
        <v>0.61538461538461542</v>
      </c>
      <c r="AX63" s="36">
        <f t="shared" si="137"/>
        <v>0.56196581196581197</v>
      </c>
      <c r="AY63" s="36">
        <f t="shared" si="137"/>
        <v>0.54377104377104379</v>
      </c>
      <c r="AZ63" s="36">
        <f t="shared" si="137"/>
        <v>0.51251646903820813</v>
      </c>
      <c r="BA63" s="36">
        <f t="shared" si="137"/>
        <v>0.48021978021978023</v>
      </c>
      <c r="BB63" s="36">
        <f t="shared" si="137"/>
        <v>0.48618784530386738</v>
      </c>
      <c r="BC63" s="36">
        <f t="shared" si="137"/>
        <v>0.47698744769874479</v>
      </c>
      <c r="BD63" s="36">
        <f t="shared" si="137"/>
        <v>0.47285067873303166</v>
      </c>
      <c r="BE63" s="36">
        <f t="shared" si="137"/>
        <v>0.46101694915254238</v>
      </c>
      <c r="BF63" s="36" t="e">
        <f t="shared" si="137"/>
        <v>#N/A</v>
      </c>
      <c r="BG63" s="36" t="e">
        <f t="shared" si="137"/>
        <v>#N/A</v>
      </c>
      <c r="BH63" s="36" t="e">
        <f t="shared" si="137"/>
        <v>#N/A</v>
      </c>
      <c r="BI63" s="36" t="e">
        <f t="shared" si="137"/>
        <v>#N/A</v>
      </c>
      <c r="BJ63" s="36" t="e">
        <f t="shared" si="137"/>
        <v>#N/A</v>
      </c>
      <c r="BK63" s="36" t="e">
        <f t="shared" si="137"/>
        <v>#N/A</v>
      </c>
      <c r="BL63" s="36" t="e">
        <f t="shared" si="137"/>
        <v>#N/A</v>
      </c>
      <c r="BM63" s="36" t="e">
        <f t="shared" si="137"/>
        <v>#N/A</v>
      </c>
      <c r="BN63" s="30"/>
    </row>
    <row r="64" spans="1:66" ht="11.25" customHeight="1" x14ac:dyDescent="0.2">
      <c r="A64" s="37"/>
      <c r="B64" s="73"/>
      <c r="C64" s="56">
        <v>3</v>
      </c>
      <c r="D64" s="8" t="s">
        <v>100</v>
      </c>
      <c r="E64" s="16">
        <f t="shared" si="129"/>
        <v>26</v>
      </c>
      <c r="F64" s="6">
        <f>SUMIFS([0]!VOTOS2,[0]!TURNO1,F$31,[0]!CANDIDATO1,$C64,[0]!MUNICIPIO1,$B$62)</f>
        <v>0</v>
      </c>
      <c r="G64" s="6">
        <f>SUMIFS([0]!VOTOS2,[0]!TURNO1,G$31,[0]!CANDIDATO1,$C64,[0]!MUNICIPIO1,$B$62)</f>
        <v>4</v>
      </c>
      <c r="H64" s="6">
        <f>SUMIFS([0]!VOTOS2,[0]!TURNO1,H$31,[0]!CANDIDATO1,$C64,[0]!MUNICIPIO1,$B$62)</f>
        <v>3</v>
      </c>
      <c r="I64" s="6">
        <f>SUMIFS([0]!VOTOS2,[0]!TURNO1,I$31,[0]!CANDIDATO1,$C64,[0]!MUNICIPIO1,$B$62)</f>
        <v>2</v>
      </c>
      <c r="J64" s="6">
        <f>SUMIFS([0]!VOTOS2,[0]!TURNO1,J$31,[0]!CANDIDATO1,$C64,[0]!MUNICIPIO1,$B$62)</f>
        <v>2</v>
      </c>
      <c r="K64" s="6">
        <f>SUMIFS([0]!VOTOS2,[0]!TURNO1,K$31,[0]!CANDIDATO1,$C64,[0]!MUNICIPIO1,$B$62)</f>
        <v>6</v>
      </c>
      <c r="L64" s="6">
        <f>SUMIFS([0]!VOTOS2,[0]!TURNO1,L$31,[0]!CANDIDATO1,$C64,[0]!MUNICIPIO1,$B$62)</f>
        <v>5</v>
      </c>
      <c r="M64" s="6">
        <f>SUMIFS([0]!VOTOS2,[0]!TURNO1,M$31,[0]!CANDIDATO1,$C64,[0]!MUNICIPIO1,$B$62)</f>
        <v>1</v>
      </c>
      <c r="N64" s="6">
        <f>SUMIFS([0]!VOTOS2,[0]!TURNO1,N$31,[0]!CANDIDATO1,$C64,[0]!MUNICIPIO1,$B$62)</f>
        <v>2</v>
      </c>
      <c r="O64" s="6">
        <f>SUMIFS([0]!VOTOS2,[0]!TURNO1,O$31,[0]!CANDIDATO1,$C64,[0]!MUNICIPIO1,$B$62)</f>
        <v>1</v>
      </c>
      <c r="P64" s="6">
        <f>SUMIFS([0]!VOTOS2,[0]!TURNO1,P$31,[0]!CANDIDATO1,$C64,[0]!MUNICIPIO1,$B$62)</f>
        <v>0</v>
      </c>
      <c r="Q64" s="6">
        <f>SUMIFS([0]!VOTOS2,[0]!TURNO1,Q$31,[0]!CANDIDATO1,$C64,[0]!MUNICIPIO1,$B$62)</f>
        <v>0</v>
      </c>
      <c r="R64" s="6">
        <f>SUMIFS([0]!VOTOS2,[0]!TURNO1,R$31,[0]!CANDIDATO1,$C64,[0]!MUNICIPIO1,$B$62)</f>
        <v>0</v>
      </c>
      <c r="S64" s="6">
        <f>SUMIFS([0]!VOTOS2,[0]!TURNO1,S$31,[0]!CANDIDATO1,$C64,[0]!MUNICIPIO1,$B$62)</f>
        <v>0</v>
      </c>
      <c r="T64" s="6">
        <f>SUMIFS([0]!VOTOS2,[0]!TURNO1,T$31,[0]!CANDIDATO1,$C64,[0]!MUNICIPIO1,$B$62)</f>
        <v>0</v>
      </c>
      <c r="U64" s="6">
        <f>SUMIFS([0]!VOTOS2,[0]!TURNO1,U$31,[0]!CANDIDATO1,$C64,[0]!MUNICIPIO1,$B$62)</f>
        <v>0</v>
      </c>
      <c r="V64" s="6">
        <f>SUMIFS([0]!VOTOS2,[0]!TURNO1,V$31,[0]!CANDIDATO1,$C64,[0]!MUNICIPIO1,$B$62)</f>
        <v>0</v>
      </c>
      <c r="W64" s="6">
        <f>SUMIFS([0]!VOTOS2,[0]!TURNO1,W$31,[0]!CANDIDATO1,$C64,[0]!MUNICIPIO1,$B$62)</f>
        <v>0</v>
      </c>
      <c r="X64" s="24"/>
      <c r="Y64" s="18" t="str">
        <f t="shared" si="130"/>
        <v>CARLOS MIGUEL MOYA</v>
      </c>
      <c r="Z64" s="34">
        <f t="shared" si="131"/>
        <v>26</v>
      </c>
      <c r="AA64" s="34">
        <f t="shared" si="132"/>
        <v>0</v>
      </c>
      <c r="AB64" s="34">
        <f t="shared" ref="AB64:AR64" si="138">IF(SUM(G62:G74)=0,NA(),G64+AA64)</f>
        <v>4</v>
      </c>
      <c r="AC64" s="34">
        <f t="shared" si="138"/>
        <v>7</v>
      </c>
      <c r="AD64" s="34">
        <f t="shared" si="138"/>
        <v>9</v>
      </c>
      <c r="AE64" s="34">
        <f t="shared" si="138"/>
        <v>11</v>
      </c>
      <c r="AF64" s="34">
        <f t="shared" si="138"/>
        <v>17</v>
      </c>
      <c r="AG64" s="34">
        <f t="shared" si="138"/>
        <v>22</v>
      </c>
      <c r="AH64" s="34">
        <f t="shared" si="138"/>
        <v>23</v>
      </c>
      <c r="AI64" s="34">
        <f t="shared" si="138"/>
        <v>25</v>
      </c>
      <c r="AJ64" s="34">
        <f t="shared" si="138"/>
        <v>26</v>
      </c>
      <c r="AK64" s="34" t="e">
        <f t="shared" si="138"/>
        <v>#N/A</v>
      </c>
      <c r="AL64" s="34" t="e">
        <f t="shared" si="138"/>
        <v>#N/A</v>
      </c>
      <c r="AM64" s="34" t="e">
        <f t="shared" si="138"/>
        <v>#N/A</v>
      </c>
      <c r="AN64" s="34" t="e">
        <f t="shared" si="138"/>
        <v>#N/A</v>
      </c>
      <c r="AO64" s="34" t="e">
        <f t="shared" si="138"/>
        <v>#N/A</v>
      </c>
      <c r="AP64" s="34" t="e">
        <f t="shared" si="138"/>
        <v>#N/A</v>
      </c>
      <c r="AQ64" s="34" t="e">
        <f t="shared" si="138"/>
        <v>#N/A</v>
      </c>
      <c r="AR64" s="34" t="e">
        <f t="shared" si="138"/>
        <v>#N/A</v>
      </c>
      <c r="AS64" s="27"/>
      <c r="AT64" s="35" t="str">
        <f t="shared" ref="AT64" si="139">Y75</f>
        <v>Otros</v>
      </c>
      <c r="AU64" s="36">
        <f t="shared" ref="AU64:BM64" si="140">Z75/(Z62+Z63+Z75)</f>
        <v>5.6949152542372879E-2</v>
      </c>
      <c r="AV64" s="36">
        <f t="shared" si="140"/>
        <v>0</v>
      </c>
      <c r="AW64" s="36">
        <f t="shared" si="140"/>
        <v>2.2435897435897436E-2</v>
      </c>
      <c r="AX64" s="36">
        <f t="shared" si="140"/>
        <v>4.05982905982906E-2</v>
      </c>
      <c r="AY64" s="36">
        <f t="shared" si="140"/>
        <v>3.8720538720538718E-2</v>
      </c>
      <c r="AZ64" s="36">
        <f t="shared" si="140"/>
        <v>3.689064558629776E-2</v>
      </c>
      <c r="BA64" s="36">
        <f t="shared" si="140"/>
        <v>3.9560439560439559E-2</v>
      </c>
      <c r="BB64" s="36">
        <f t="shared" si="140"/>
        <v>3.959484346224678E-2</v>
      </c>
      <c r="BC64" s="36">
        <f t="shared" si="140"/>
        <v>3.8493723849372385E-2</v>
      </c>
      <c r="BD64" s="36">
        <f t="shared" si="140"/>
        <v>4.2232277526395176E-2</v>
      </c>
      <c r="BE64" s="36">
        <f t="shared" si="140"/>
        <v>5.6949152542372879E-2</v>
      </c>
      <c r="BF64" s="36" t="e">
        <f t="shared" si="140"/>
        <v>#N/A</v>
      </c>
      <c r="BG64" s="36" t="e">
        <f t="shared" si="140"/>
        <v>#N/A</v>
      </c>
      <c r="BH64" s="36" t="e">
        <f t="shared" si="140"/>
        <v>#N/A</v>
      </c>
      <c r="BI64" s="36" t="e">
        <f t="shared" si="140"/>
        <v>#N/A</v>
      </c>
      <c r="BJ64" s="36" t="e">
        <f t="shared" si="140"/>
        <v>#N/A</v>
      </c>
      <c r="BK64" s="36" t="e">
        <f t="shared" si="140"/>
        <v>#N/A</v>
      </c>
      <c r="BL64" s="36" t="e">
        <f t="shared" si="140"/>
        <v>#N/A</v>
      </c>
      <c r="BM64" s="36" t="e">
        <f t="shared" si="140"/>
        <v>#N/A</v>
      </c>
      <c r="BN64" s="30"/>
    </row>
    <row r="65" spans="1:66" ht="11.25" customHeight="1" x14ac:dyDescent="0.2">
      <c r="A65" s="38" t="s">
        <v>0</v>
      </c>
      <c r="B65" s="73"/>
      <c r="C65" s="33">
        <v>4</v>
      </c>
      <c r="D65" s="8" t="s">
        <v>101</v>
      </c>
      <c r="E65" s="16">
        <f t="shared" si="129"/>
        <v>6</v>
      </c>
      <c r="F65" s="6">
        <f>SUMIFS([0]!VOTOS2,[0]!TURNO1,F$31,[0]!CANDIDATO1,$C65,[0]!MUNICIPIO1,$B$62)</f>
        <v>0</v>
      </c>
      <c r="G65" s="6">
        <f>SUMIFS([0]!VOTOS2,[0]!TURNO1,G$31,[0]!CANDIDATO1,$C65,[0]!MUNICIPIO1,$B$62)</f>
        <v>1</v>
      </c>
      <c r="H65" s="6">
        <f>SUMIFS([0]!VOTOS2,[0]!TURNO1,H$31,[0]!CANDIDATO1,$C65,[0]!MUNICIPIO1,$B$62)</f>
        <v>0</v>
      </c>
      <c r="I65" s="6">
        <f>SUMIFS([0]!VOTOS2,[0]!TURNO1,I$31,[0]!CANDIDATO1,$C65,[0]!MUNICIPIO1,$B$62)</f>
        <v>1</v>
      </c>
      <c r="J65" s="6">
        <f>SUMIFS([0]!VOTOS2,[0]!TURNO1,J$31,[0]!CANDIDATO1,$C65,[0]!MUNICIPIO1,$B$62)</f>
        <v>2</v>
      </c>
      <c r="K65" s="6">
        <f>SUMIFS([0]!VOTOS2,[0]!TURNO1,K$31,[0]!CANDIDATO1,$C65,[0]!MUNICIPIO1,$B$62)</f>
        <v>0</v>
      </c>
      <c r="L65" s="6">
        <f>SUMIFS([0]!VOTOS2,[0]!TURNO1,L$31,[0]!CANDIDATO1,$C65,[0]!MUNICIPIO1,$B$62)</f>
        <v>1</v>
      </c>
      <c r="M65" s="6">
        <f>SUMIFS([0]!VOTOS2,[0]!TURNO1,M$31,[0]!CANDIDATO1,$C65,[0]!MUNICIPIO1,$B$62)</f>
        <v>0</v>
      </c>
      <c r="N65" s="6">
        <f>SUMIFS([0]!VOTOS2,[0]!TURNO1,N$31,[0]!CANDIDATO1,$C65,[0]!MUNICIPIO1,$B$62)</f>
        <v>1</v>
      </c>
      <c r="O65" s="6">
        <f>SUMIFS([0]!VOTOS2,[0]!TURNO1,O$31,[0]!CANDIDATO1,$C65,[0]!MUNICIPIO1,$B$62)</f>
        <v>0</v>
      </c>
      <c r="P65" s="6">
        <f>SUMIFS([0]!VOTOS2,[0]!TURNO1,P$31,[0]!CANDIDATO1,$C65,[0]!MUNICIPIO1,$B$62)</f>
        <v>0</v>
      </c>
      <c r="Q65" s="6">
        <f>SUMIFS([0]!VOTOS2,[0]!TURNO1,Q$31,[0]!CANDIDATO1,$C65,[0]!MUNICIPIO1,$B$62)</f>
        <v>0</v>
      </c>
      <c r="R65" s="6">
        <f>SUMIFS([0]!VOTOS2,[0]!TURNO1,R$31,[0]!CANDIDATO1,$C65,[0]!MUNICIPIO1,$B$62)</f>
        <v>0</v>
      </c>
      <c r="S65" s="6">
        <f>SUMIFS([0]!VOTOS2,[0]!TURNO1,S$31,[0]!CANDIDATO1,$C65,[0]!MUNICIPIO1,$B$62)</f>
        <v>0</v>
      </c>
      <c r="T65" s="6">
        <f>SUMIFS([0]!VOTOS2,[0]!TURNO1,T$31,[0]!CANDIDATO1,$C65,[0]!MUNICIPIO1,$B$62)</f>
        <v>0</v>
      </c>
      <c r="U65" s="6">
        <f>SUMIFS([0]!VOTOS2,[0]!TURNO1,U$31,[0]!CANDIDATO1,$C65,[0]!MUNICIPIO1,$B$62)</f>
        <v>0</v>
      </c>
      <c r="V65" s="6">
        <f>SUMIFS([0]!VOTOS2,[0]!TURNO1,V$31,[0]!CANDIDATO1,$C65,[0]!MUNICIPIO1,$B$62)</f>
        <v>0</v>
      </c>
      <c r="W65" s="6">
        <f>SUMIFS([0]!VOTOS2,[0]!TURNO1,W$31,[0]!CANDIDATO1,$C65,[0]!MUNICIPIO1,$B$62)</f>
        <v>0</v>
      </c>
      <c r="X65" s="24"/>
      <c r="Y65" s="18" t="str">
        <f t="shared" si="130"/>
        <v>AURELIO GARCIA</v>
      </c>
      <c r="Z65" s="34">
        <f t="shared" si="131"/>
        <v>6</v>
      </c>
      <c r="AA65" s="34">
        <f t="shared" si="132"/>
        <v>0</v>
      </c>
      <c r="AB65" s="34">
        <f t="shared" ref="AB65:AR65" si="141">IF(SUM(G62:G74)=0,NA(),G65+AA65)</f>
        <v>1</v>
      </c>
      <c r="AC65" s="34">
        <f t="shared" si="141"/>
        <v>1</v>
      </c>
      <c r="AD65" s="34">
        <f t="shared" si="141"/>
        <v>2</v>
      </c>
      <c r="AE65" s="34">
        <f t="shared" si="141"/>
        <v>4</v>
      </c>
      <c r="AF65" s="34">
        <f t="shared" si="141"/>
        <v>4</v>
      </c>
      <c r="AG65" s="34">
        <f t="shared" si="141"/>
        <v>5</v>
      </c>
      <c r="AH65" s="34">
        <f t="shared" si="141"/>
        <v>5</v>
      </c>
      <c r="AI65" s="34">
        <f t="shared" si="141"/>
        <v>6</v>
      </c>
      <c r="AJ65" s="34">
        <f t="shared" si="141"/>
        <v>6</v>
      </c>
      <c r="AK65" s="34" t="e">
        <f t="shared" si="141"/>
        <v>#N/A</v>
      </c>
      <c r="AL65" s="34" t="e">
        <f t="shared" si="141"/>
        <v>#N/A</v>
      </c>
      <c r="AM65" s="34" t="e">
        <f t="shared" si="141"/>
        <v>#N/A</v>
      </c>
      <c r="AN65" s="34" t="e">
        <f t="shared" si="141"/>
        <v>#N/A</v>
      </c>
      <c r="AO65" s="34" t="e">
        <f t="shared" si="141"/>
        <v>#N/A</v>
      </c>
      <c r="AP65" s="34" t="e">
        <f t="shared" si="141"/>
        <v>#N/A</v>
      </c>
      <c r="AQ65" s="34" t="e">
        <f t="shared" si="141"/>
        <v>#N/A</v>
      </c>
      <c r="AR65" s="34" t="e">
        <f t="shared" si="141"/>
        <v>#N/A</v>
      </c>
      <c r="AS65" s="27"/>
      <c r="AT65" s="39"/>
      <c r="AU65" s="39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30"/>
    </row>
    <row r="66" spans="1:66" ht="11.25" customHeight="1" x14ac:dyDescent="0.2">
      <c r="A66" s="38" t="s">
        <v>3</v>
      </c>
      <c r="B66" s="73"/>
      <c r="C66" s="56">
        <v>5</v>
      </c>
      <c r="D66" s="8" t="s">
        <v>102</v>
      </c>
      <c r="E66" s="16">
        <f t="shared" si="129"/>
        <v>14</v>
      </c>
      <c r="F66" s="6">
        <f>SUMIFS([0]!VOTOS2,[0]!TURNO1,F$31,[0]!CANDIDATO1,$C66,[0]!MUNICIPIO1,$B$62)</f>
        <v>0</v>
      </c>
      <c r="G66" s="6">
        <f>SUMIFS([0]!VOTOS2,[0]!TURNO1,G$31,[0]!CANDIDATO1,$C66,[0]!MUNICIPIO1,$B$62)</f>
        <v>2</v>
      </c>
      <c r="H66" s="6">
        <f>SUMIFS([0]!VOTOS2,[0]!TURNO1,H$31,[0]!CANDIDATO1,$C66,[0]!MUNICIPIO1,$B$62)</f>
        <v>5</v>
      </c>
      <c r="I66" s="6">
        <f>SUMIFS([0]!VOTOS2,[0]!TURNO1,I$31,[0]!CANDIDATO1,$C66,[0]!MUNICIPIO1,$B$62)</f>
        <v>1</v>
      </c>
      <c r="J66" s="6">
        <f>SUMIFS([0]!VOTOS2,[0]!TURNO1,J$31,[0]!CANDIDATO1,$C66,[0]!MUNICIPIO1,$B$62)</f>
        <v>1</v>
      </c>
      <c r="K66" s="6">
        <f>SUMIFS([0]!VOTOS2,[0]!TURNO1,K$31,[0]!CANDIDATO1,$C66,[0]!MUNICIPIO1,$B$62)</f>
        <v>2</v>
      </c>
      <c r="L66" s="6">
        <f>SUMIFS([0]!VOTOS2,[0]!TURNO1,L$31,[0]!CANDIDATO1,$C66,[0]!MUNICIPIO1,$B$62)</f>
        <v>0</v>
      </c>
      <c r="M66" s="6">
        <f>SUMIFS([0]!VOTOS2,[0]!TURNO1,M$31,[0]!CANDIDATO1,$C66,[0]!MUNICIPIO1,$B$62)</f>
        <v>2</v>
      </c>
      <c r="N66" s="6">
        <f>SUMIFS([0]!VOTOS2,[0]!TURNO1,N$31,[0]!CANDIDATO1,$C66,[0]!MUNICIPIO1,$B$62)</f>
        <v>1</v>
      </c>
      <c r="O66" s="6">
        <f>SUMIFS([0]!VOTOS2,[0]!TURNO1,O$31,[0]!CANDIDATO1,$C66,[0]!MUNICIPIO1,$B$62)</f>
        <v>0</v>
      </c>
      <c r="P66" s="6">
        <f>SUMIFS([0]!VOTOS2,[0]!TURNO1,P$31,[0]!CANDIDATO1,$C66,[0]!MUNICIPIO1,$B$62)</f>
        <v>0</v>
      </c>
      <c r="Q66" s="6">
        <f>SUMIFS([0]!VOTOS2,[0]!TURNO1,Q$31,[0]!CANDIDATO1,$C66,[0]!MUNICIPIO1,$B$62)</f>
        <v>0</v>
      </c>
      <c r="R66" s="6">
        <f>SUMIFS([0]!VOTOS2,[0]!TURNO1,R$31,[0]!CANDIDATO1,$C66,[0]!MUNICIPIO1,$B$62)</f>
        <v>0</v>
      </c>
      <c r="S66" s="6">
        <f>SUMIFS([0]!VOTOS2,[0]!TURNO1,S$31,[0]!CANDIDATO1,$C66,[0]!MUNICIPIO1,$B$62)</f>
        <v>0</v>
      </c>
      <c r="T66" s="6">
        <f>SUMIFS([0]!VOTOS2,[0]!TURNO1,T$31,[0]!CANDIDATO1,$C66,[0]!MUNICIPIO1,$B$62)</f>
        <v>0</v>
      </c>
      <c r="U66" s="6">
        <f>SUMIFS([0]!VOTOS2,[0]!TURNO1,U$31,[0]!CANDIDATO1,$C66,[0]!MUNICIPIO1,$B$62)</f>
        <v>0</v>
      </c>
      <c r="V66" s="6">
        <f>SUMIFS([0]!VOTOS2,[0]!TURNO1,V$31,[0]!CANDIDATO1,$C66,[0]!MUNICIPIO1,$B$62)</f>
        <v>0</v>
      </c>
      <c r="W66" s="6">
        <f>SUMIFS([0]!VOTOS2,[0]!TURNO1,W$31,[0]!CANDIDATO1,$C66,[0]!MUNICIPIO1,$B$62)</f>
        <v>0</v>
      </c>
      <c r="X66" s="24"/>
      <c r="Y66" s="18" t="str">
        <f t="shared" si="130"/>
        <v>MORAIMA MEDINA</v>
      </c>
      <c r="Z66" s="34">
        <f t="shared" si="131"/>
        <v>14</v>
      </c>
      <c r="AA66" s="34">
        <f t="shared" si="132"/>
        <v>0</v>
      </c>
      <c r="AB66" s="34">
        <f t="shared" ref="AB66:AR66" si="142">IF(SUM(G62:G74)=0,NA(),G66+AA66)</f>
        <v>2</v>
      </c>
      <c r="AC66" s="34">
        <f t="shared" si="142"/>
        <v>7</v>
      </c>
      <c r="AD66" s="34">
        <f t="shared" si="142"/>
        <v>8</v>
      </c>
      <c r="AE66" s="34">
        <f t="shared" si="142"/>
        <v>9</v>
      </c>
      <c r="AF66" s="34">
        <f t="shared" si="142"/>
        <v>11</v>
      </c>
      <c r="AG66" s="34">
        <f t="shared" si="142"/>
        <v>11</v>
      </c>
      <c r="AH66" s="34">
        <f t="shared" si="142"/>
        <v>13</v>
      </c>
      <c r="AI66" s="34">
        <f t="shared" si="142"/>
        <v>14</v>
      </c>
      <c r="AJ66" s="34">
        <f t="shared" si="142"/>
        <v>14</v>
      </c>
      <c r="AK66" s="34" t="e">
        <f t="shared" si="142"/>
        <v>#N/A</v>
      </c>
      <c r="AL66" s="34" t="e">
        <f t="shared" si="142"/>
        <v>#N/A</v>
      </c>
      <c r="AM66" s="34" t="e">
        <f t="shared" si="142"/>
        <v>#N/A</v>
      </c>
      <c r="AN66" s="34" t="e">
        <f t="shared" si="142"/>
        <v>#N/A</v>
      </c>
      <c r="AO66" s="34" t="e">
        <f t="shared" si="142"/>
        <v>#N/A</v>
      </c>
      <c r="AP66" s="34" t="e">
        <f t="shared" si="142"/>
        <v>#N/A</v>
      </c>
      <c r="AQ66" s="34" t="e">
        <f t="shared" si="142"/>
        <v>#N/A</v>
      </c>
      <c r="AR66" s="34" t="e">
        <f t="shared" si="142"/>
        <v>#N/A</v>
      </c>
      <c r="AS66" s="27"/>
      <c r="AT66" s="39"/>
      <c r="AU66" s="39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30"/>
    </row>
    <row r="67" spans="1:66" ht="11.25" customHeight="1" x14ac:dyDescent="0.2">
      <c r="A67" s="37"/>
      <c r="B67" s="73"/>
      <c r="C67" s="33">
        <v>6</v>
      </c>
      <c r="D67" s="8" t="s">
        <v>103</v>
      </c>
      <c r="E67" s="16">
        <f t="shared" si="129"/>
        <v>8</v>
      </c>
      <c r="F67" s="6">
        <f>SUMIFS([0]!VOTOS2,[0]!TURNO1,F$31,[0]!CANDIDATO1,$C67,[0]!MUNICIPIO1,$B$62)</f>
        <v>0</v>
      </c>
      <c r="G67" s="6">
        <f>SUMIFS([0]!VOTOS2,[0]!TURNO1,G$31,[0]!CANDIDATO1,$C67,[0]!MUNICIPIO1,$B$62)</f>
        <v>0</v>
      </c>
      <c r="H67" s="6">
        <f>SUMIFS([0]!VOTOS2,[0]!TURNO1,H$31,[0]!CANDIDATO1,$C67,[0]!MUNICIPIO1,$B$62)</f>
        <v>3</v>
      </c>
      <c r="I67" s="6">
        <f>SUMIFS([0]!VOTOS2,[0]!TURNO1,I$31,[0]!CANDIDATO1,$C67,[0]!MUNICIPIO1,$B$62)</f>
        <v>0</v>
      </c>
      <c r="J67" s="6">
        <f>SUMIFS([0]!VOTOS2,[0]!TURNO1,J$31,[0]!CANDIDATO1,$C67,[0]!MUNICIPIO1,$B$62)</f>
        <v>0</v>
      </c>
      <c r="K67" s="6">
        <f>SUMIFS([0]!VOTOS2,[0]!TURNO1,K$31,[0]!CANDIDATO1,$C67,[0]!MUNICIPIO1,$B$62)</f>
        <v>0</v>
      </c>
      <c r="L67" s="6">
        <f>SUMIFS([0]!VOTOS2,[0]!TURNO1,L$31,[0]!CANDIDATO1,$C67,[0]!MUNICIPIO1,$B$62)</f>
        <v>0</v>
      </c>
      <c r="M67" s="6">
        <f>SUMIFS([0]!VOTOS2,[0]!TURNO1,M$31,[0]!CANDIDATO1,$C67,[0]!MUNICIPIO1,$B$62)</f>
        <v>0</v>
      </c>
      <c r="N67" s="6">
        <f>SUMIFS([0]!VOTOS2,[0]!TURNO1,N$31,[0]!CANDIDATO1,$C67,[0]!MUNICIPIO1,$B$62)</f>
        <v>4</v>
      </c>
      <c r="O67" s="6">
        <f>SUMIFS([0]!VOTOS2,[0]!TURNO1,O$31,[0]!CANDIDATO1,$C67,[0]!MUNICIPIO1,$B$62)</f>
        <v>1</v>
      </c>
      <c r="P67" s="6">
        <f>SUMIFS([0]!VOTOS2,[0]!TURNO1,P$31,[0]!CANDIDATO1,$C67,[0]!MUNICIPIO1,$B$62)</f>
        <v>0</v>
      </c>
      <c r="Q67" s="6">
        <f>SUMIFS([0]!VOTOS2,[0]!TURNO1,Q$31,[0]!CANDIDATO1,$C67,[0]!MUNICIPIO1,$B$62)</f>
        <v>0</v>
      </c>
      <c r="R67" s="6">
        <f>SUMIFS([0]!VOTOS2,[0]!TURNO1,R$31,[0]!CANDIDATO1,$C67,[0]!MUNICIPIO1,$B$62)</f>
        <v>0</v>
      </c>
      <c r="S67" s="6">
        <f>SUMIFS([0]!VOTOS2,[0]!TURNO1,S$31,[0]!CANDIDATO1,$C67,[0]!MUNICIPIO1,$B$62)</f>
        <v>0</v>
      </c>
      <c r="T67" s="6">
        <f>SUMIFS([0]!VOTOS2,[0]!TURNO1,T$31,[0]!CANDIDATO1,$C67,[0]!MUNICIPIO1,$B$62)</f>
        <v>0</v>
      </c>
      <c r="U67" s="6">
        <f>SUMIFS([0]!VOTOS2,[0]!TURNO1,U$31,[0]!CANDIDATO1,$C67,[0]!MUNICIPIO1,$B$62)</f>
        <v>0</v>
      </c>
      <c r="V67" s="6">
        <f>SUMIFS([0]!VOTOS2,[0]!TURNO1,V$31,[0]!CANDIDATO1,$C67,[0]!MUNICIPIO1,$B$62)</f>
        <v>0</v>
      </c>
      <c r="W67" s="6">
        <f>SUMIFS([0]!VOTOS2,[0]!TURNO1,W$31,[0]!CANDIDATO1,$C67,[0]!MUNICIPIO1,$B$62)</f>
        <v>0</v>
      </c>
      <c r="X67" s="24"/>
      <c r="Y67" s="18" t="str">
        <f t="shared" si="130"/>
        <v>EFRAIN RODRIGUEZ</v>
      </c>
      <c r="Z67" s="34">
        <f t="shared" si="131"/>
        <v>8</v>
      </c>
      <c r="AA67" s="34">
        <f t="shared" si="132"/>
        <v>0</v>
      </c>
      <c r="AB67" s="34">
        <f t="shared" ref="AB67:AR67" si="143">IF(SUM(G62:G74)=0,NA(),G67+AA67)</f>
        <v>0</v>
      </c>
      <c r="AC67" s="34">
        <f t="shared" si="143"/>
        <v>3</v>
      </c>
      <c r="AD67" s="34">
        <f t="shared" si="143"/>
        <v>3</v>
      </c>
      <c r="AE67" s="34">
        <f t="shared" si="143"/>
        <v>3</v>
      </c>
      <c r="AF67" s="34">
        <f t="shared" si="143"/>
        <v>3</v>
      </c>
      <c r="AG67" s="34">
        <f t="shared" si="143"/>
        <v>3</v>
      </c>
      <c r="AH67" s="34">
        <f t="shared" si="143"/>
        <v>3</v>
      </c>
      <c r="AI67" s="34">
        <f t="shared" si="143"/>
        <v>7</v>
      </c>
      <c r="AJ67" s="34">
        <f t="shared" si="143"/>
        <v>8</v>
      </c>
      <c r="AK67" s="34" t="e">
        <f t="shared" si="143"/>
        <v>#N/A</v>
      </c>
      <c r="AL67" s="34" t="e">
        <f t="shared" si="143"/>
        <v>#N/A</v>
      </c>
      <c r="AM67" s="34" t="e">
        <f t="shared" si="143"/>
        <v>#N/A</v>
      </c>
      <c r="AN67" s="34" t="e">
        <f t="shared" si="143"/>
        <v>#N/A</v>
      </c>
      <c r="AO67" s="34" t="e">
        <f t="shared" si="143"/>
        <v>#N/A</v>
      </c>
      <c r="AP67" s="34" t="e">
        <f t="shared" si="143"/>
        <v>#N/A</v>
      </c>
      <c r="AQ67" s="34" t="e">
        <f t="shared" si="143"/>
        <v>#N/A</v>
      </c>
      <c r="AR67" s="34" t="e">
        <f t="shared" si="143"/>
        <v>#N/A</v>
      </c>
      <c r="AS67" s="27"/>
      <c r="AT67" s="39"/>
      <c r="AU67" s="39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30"/>
    </row>
    <row r="68" spans="1:66" ht="11.25" customHeight="1" x14ac:dyDescent="0.2">
      <c r="A68" s="37"/>
      <c r="B68" s="73"/>
      <c r="C68" s="56">
        <v>7</v>
      </c>
      <c r="D68" s="8" t="s">
        <v>104</v>
      </c>
      <c r="E68" s="16">
        <f t="shared" si="129"/>
        <v>25</v>
      </c>
      <c r="F68" s="6">
        <f>SUMIFS([0]!VOTOS2,[0]!TURNO1,F$31,[0]!CANDIDATO1,$C68,[0]!MUNICIPIO1,$B$62)</f>
        <v>0</v>
      </c>
      <c r="G68" s="6">
        <f>SUMIFS([0]!VOTOS2,[0]!TURNO1,G$31,[0]!CANDIDATO1,$C68,[0]!MUNICIPIO1,$B$62)</f>
        <v>0</v>
      </c>
      <c r="H68" s="6">
        <f>SUMIFS([0]!VOTOS2,[0]!TURNO1,H$31,[0]!CANDIDATO1,$C68,[0]!MUNICIPIO1,$B$62)</f>
        <v>0</v>
      </c>
      <c r="I68" s="6">
        <f>SUMIFS([0]!VOTOS2,[0]!TURNO1,I$31,[0]!CANDIDATO1,$C68,[0]!MUNICIPIO1,$B$62)</f>
        <v>0</v>
      </c>
      <c r="J68" s="6">
        <f>SUMIFS([0]!VOTOS2,[0]!TURNO1,J$31,[0]!CANDIDATO1,$C68,[0]!MUNICIPIO1,$B$62)</f>
        <v>0</v>
      </c>
      <c r="K68" s="6">
        <f>SUMIFS([0]!VOTOS2,[0]!TURNO1,K$31,[0]!CANDIDATO1,$C68,[0]!MUNICIPIO1,$B$62)</f>
        <v>0</v>
      </c>
      <c r="L68" s="6">
        <f>SUMIFS([0]!VOTOS2,[0]!TURNO1,L$31,[0]!CANDIDATO1,$C68,[0]!MUNICIPIO1,$B$62)</f>
        <v>1</v>
      </c>
      <c r="M68" s="6">
        <f>SUMIFS([0]!VOTOS2,[0]!TURNO1,M$31,[0]!CANDIDATO1,$C68,[0]!MUNICIPIO1,$B$62)</f>
        <v>0</v>
      </c>
      <c r="N68" s="6">
        <f>SUMIFS([0]!VOTOS2,[0]!TURNO1,N$31,[0]!CANDIDATO1,$C68,[0]!MUNICIPIO1,$B$62)</f>
        <v>0</v>
      </c>
      <c r="O68" s="6">
        <f>SUMIFS([0]!VOTOS2,[0]!TURNO1,O$31,[0]!CANDIDATO1,$C68,[0]!MUNICIPIO1,$B$62)</f>
        <v>24</v>
      </c>
      <c r="P68" s="6">
        <f>SUMIFS([0]!VOTOS2,[0]!TURNO1,P$31,[0]!CANDIDATO1,$C68,[0]!MUNICIPIO1,$B$62)</f>
        <v>0</v>
      </c>
      <c r="Q68" s="6">
        <f>SUMIFS([0]!VOTOS2,[0]!TURNO1,Q$31,[0]!CANDIDATO1,$C68,[0]!MUNICIPIO1,$B$62)</f>
        <v>0</v>
      </c>
      <c r="R68" s="6">
        <f>SUMIFS([0]!VOTOS2,[0]!TURNO1,R$31,[0]!CANDIDATO1,$C68,[0]!MUNICIPIO1,$B$62)</f>
        <v>0</v>
      </c>
      <c r="S68" s="6">
        <f>SUMIFS([0]!VOTOS2,[0]!TURNO1,S$31,[0]!CANDIDATO1,$C68,[0]!MUNICIPIO1,$B$62)</f>
        <v>0</v>
      </c>
      <c r="T68" s="6">
        <f>SUMIFS([0]!VOTOS2,[0]!TURNO1,T$31,[0]!CANDIDATO1,$C68,[0]!MUNICIPIO1,$B$62)</f>
        <v>0</v>
      </c>
      <c r="U68" s="6">
        <f>SUMIFS([0]!VOTOS2,[0]!TURNO1,U$31,[0]!CANDIDATO1,$C68,[0]!MUNICIPIO1,$B$62)</f>
        <v>0</v>
      </c>
      <c r="V68" s="6">
        <f>SUMIFS([0]!VOTOS2,[0]!TURNO1,V$31,[0]!CANDIDATO1,$C68,[0]!MUNICIPIO1,$B$62)</f>
        <v>0</v>
      </c>
      <c r="W68" s="6">
        <f>SUMIFS([0]!VOTOS2,[0]!TURNO1,W$31,[0]!CANDIDATO1,$C68,[0]!MUNICIPIO1,$B$62)</f>
        <v>0</v>
      </c>
      <c r="X68" s="24"/>
      <c r="Y68" s="18" t="str">
        <f t="shared" si="130"/>
        <v>CLAUDIA BARRAGAN</v>
      </c>
      <c r="Z68" s="34">
        <f t="shared" si="131"/>
        <v>25</v>
      </c>
      <c r="AA68" s="34">
        <f t="shared" si="132"/>
        <v>0</v>
      </c>
      <c r="AB68" s="34">
        <f t="shared" ref="AB68:AR68" si="144">IF(SUM(G62:G74)=0,NA(),G68+AA68)</f>
        <v>0</v>
      </c>
      <c r="AC68" s="34">
        <f t="shared" si="144"/>
        <v>0</v>
      </c>
      <c r="AD68" s="34">
        <f t="shared" si="144"/>
        <v>0</v>
      </c>
      <c r="AE68" s="34">
        <f t="shared" si="144"/>
        <v>0</v>
      </c>
      <c r="AF68" s="34">
        <f t="shared" si="144"/>
        <v>0</v>
      </c>
      <c r="AG68" s="34">
        <f t="shared" si="144"/>
        <v>1</v>
      </c>
      <c r="AH68" s="34">
        <f t="shared" si="144"/>
        <v>1</v>
      </c>
      <c r="AI68" s="34">
        <f t="shared" si="144"/>
        <v>1</v>
      </c>
      <c r="AJ68" s="34">
        <f t="shared" si="144"/>
        <v>25</v>
      </c>
      <c r="AK68" s="34" t="e">
        <f t="shared" si="144"/>
        <v>#N/A</v>
      </c>
      <c r="AL68" s="34" t="e">
        <f t="shared" si="144"/>
        <v>#N/A</v>
      </c>
      <c r="AM68" s="34" t="e">
        <f t="shared" si="144"/>
        <v>#N/A</v>
      </c>
      <c r="AN68" s="34" t="e">
        <f t="shared" si="144"/>
        <v>#N/A</v>
      </c>
      <c r="AO68" s="34" t="e">
        <f t="shared" si="144"/>
        <v>#N/A</v>
      </c>
      <c r="AP68" s="34" t="e">
        <f t="shared" si="144"/>
        <v>#N/A</v>
      </c>
      <c r="AQ68" s="34" t="e">
        <f t="shared" si="144"/>
        <v>#N/A</v>
      </c>
      <c r="AR68" s="34" t="e">
        <f t="shared" si="144"/>
        <v>#N/A</v>
      </c>
      <c r="AS68" s="27"/>
      <c r="AT68" s="39"/>
      <c r="AU68" s="39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30"/>
    </row>
    <row r="69" spans="1:66" ht="11.25" customHeight="1" x14ac:dyDescent="0.2">
      <c r="A69" s="42"/>
      <c r="B69" s="74"/>
      <c r="C69" s="33">
        <v>8</v>
      </c>
      <c r="D69" s="8" t="s">
        <v>105</v>
      </c>
      <c r="E69" s="16">
        <f t="shared" si="129"/>
        <v>5</v>
      </c>
      <c r="F69" s="6">
        <f>SUMIFS([0]!VOTOS2,[0]!TURNO1,F$31,[0]!CANDIDATO1,$C69,[0]!MUNICIPIO1,$B$62)</f>
        <v>0</v>
      </c>
      <c r="G69" s="6">
        <f>SUMIFS([0]!VOTOS2,[0]!TURNO1,G$31,[0]!CANDIDATO1,$C69,[0]!MUNICIPIO1,$B$62)</f>
        <v>0</v>
      </c>
      <c r="H69" s="6">
        <f>SUMIFS([0]!VOTOS2,[0]!TURNO1,H$31,[0]!CANDIDATO1,$C69,[0]!MUNICIPIO1,$B$62)</f>
        <v>1</v>
      </c>
      <c r="I69" s="6">
        <f>SUMIFS([0]!VOTOS2,[0]!TURNO1,I$31,[0]!CANDIDATO1,$C69,[0]!MUNICIPIO1,$B$62)</f>
        <v>0</v>
      </c>
      <c r="J69" s="6">
        <f>SUMIFS([0]!VOTOS2,[0]!TURNO1,J$31,[0]!CANDIDATO1,$C69,[0]!MUNICIPIO1,$B$62)</f>
        <v>0</v>
      </c>
      <c r="K69" s="6">
        <f>SUMIFS([0]!VOTOS2,[0]!TURNO1,K$31,[0]!CANDIDATO1,$C69,[0]!MUNICIPIO1,$B$62)</f>
        <v>0</v>
      </c>
      <c r="L69" s="6">
        <f>SUMIFS([0]!VOTOS2,[0]!TURNO1,L$31,[0]!CANDIDATO1,$C69,[0]!MUNICIPIO1,$B$62)</f>
        <v>0</v>
      </c>
      <c r="M69" s="6">
        <f>SUMIFS([0]!VOTOS2,[0]!TURNO1,M$31,[0]!CANDIDATO1,$C69,[0]!MUNICIPIO1,$B$62)</f>
        <v>0</v>
      </c>
      <c r="N69" s="6">
        <f>SUMIFS([0]!VOTOS2,[0]!TURNO1,N$31,[0]!CANDIDATO1,$C69,[0]!MUNICIPIO1,$B$62)</f>
        <v>2</v>
      </c>
      <c r="O69" s="6">
        <f>SUMIFS([0]!VOTOS2,[0]!TURNO1,O$31,[0]!CANDIDATO1,$C69,[0]!MUNICIPIO1,$B$62)</f>
        <v>2</v>
      </c>
      <c r="P69" s="6">
        <f>SUMIFS([0]!VOTOS2,[0]!TURNO1,P$31,[0]!CANDIDATO1,$C69,[0]!MUNICIPIO1,$B$62)</f>
        <v>0</v>
      </c>
      <c r="Q69" s="6">
        <f>SUMIFS([0]!VOTOS2,[0]!TURNO1,Q$31,[0]!CANDIDATO1,$C69,[0]!MUNICIPIO1,$B$62)</f>
        <v>0</v>
      </c>
      <c r="R69" s="6">
        <f>SUMIFS([0]!VOTOS2,[0]!TURNO1,R$31,[0]!CANDIDATO1,$C69,[0]!MUNICIPIO1,$B$62)</f>
        <v>0</v>
      </c>
      <c r="S69" s="6">
        <f>SUMIFS([0]!VOTOS2,[0]!TURNO1,S$31,[0]!CANDIDATO1,$C69,[0]!MUNICIPIO1,$B$62)</f>
        <v>0</v>
      </c>
      <c r="T69" s="6">
        <f>SUMIFS([0]!VOTOS2,[0]!TURNO1,T$31,[0]!CANDIDATO1,$C69,[0]!MUNICIPIO1,$B$62)</f>
        <v>0</v>
      </c>
      <c r="U69" s="6">
        <f>SUMIFS([0]!VOTOS2,[0]!TURNO1,U$31,[0]!CANDIDATO1,$C69,[0]!MUNICIPIO1,$B$62)</f>
        <v>0</v>
      </c>
      <c r="V69" s="6">
        <f>SUMIFS([0]!VOTOS2,[0]!TURNO1,V$31,[0]!CANDIDATO1,$C69,[0]!MUNICIPIO1,$B$62)</f>
        <v>0</v>
      </c>
      <c r="W69" s="6">
        <f>SUMIFS([0]!VOTOS2,[0]!TURNO1,W$31,[0]!CANDIDATO1,$C69,[0]!MUNICIPIO1,$B$62)</f>
        <v>0</v>
      </c>
      <c r="X69" s="24"/>
      <c r="Y69" s="18" t="str">
        <f t="shared" si="130"/>
        <v>JULIO MARIN</v>
      </c>
      <c r="Z69" s="34">
        <f t="shared" si="131"/>
        <v>5</v>
      </c>
      <c r="AA69" s="34">
        <f t="shared" si="132"/>
        <v>0</v>
      </c>
      <c r="AB69" s="34">
        <f t="shared" ref="AB69:AR69" si="145">IF(SUM(G62:G74)=0,NA(),G69+AA69)</f>
        <v>0</v>
      </c>
      <c r="AC69" s="34">
        <f t="shared" si="145"/>
        <v>1</v>
      </c>
      <c r="AD69" s="34">
        <f t="shared" si="145"/>
        <v>1</v>
      </c>
      <c r="AE69" s="34">
        <f t="shared" si="145"/>
        <v>1</v>
      </c>
      <c r="AF69" s="34">
        <f t="shared" si="145"/>
        <v>1</v>
      </c>
      <c r="AG69" s="34">
        <f t="shared" si="145"/>
        <v>1</v>
      </c>
      <c r="AH69" s="34">
        <f t="shared" si="145"/>
        <v>1</v>
      </c>
      <c r="AI69" s="34">
        <f t="shared" si="145"/>
        <v>3</v>
      </c>
      <c r="AJ69" s="34">
        <f t="shared" si="145"/>
        <v>5</v>
      </c>
      <c r="AK69" s="34" t="e">
        <f t="shared" si="145"/>
        <v>#N/A</v>
      </c>
      <c r="AL69" s="34" t="e">
        <f t="shared" si="145"/>
        <v>#N/A</v>
      </c>
      <c r="AM69" s="34" t="e">
        <f t="shared" si="145"/>
        <v>#N/A</v>
      </c>
      <c r="AN69" s="34" t="e">
        <f t="shared" si="145"/>
        <v>#N/A</v>
      </c>
      <c r="AO69" s="34" t="e">
        <f t="shared" si="145"/>
        <v>#N/A</v>
      </c>
      <c r="AP69" s="34" t="e">
        <f t="shared" si="145"/>
        <v>#N/A</v>
      </c>
      <c r="AQ69" s="34" t="e">
        <f t="shared" si="145"/>
        <v>#N/A</v>
      </c>
      <c r="AR69" s="34" t="e">
        <f t="shared" si="145"/>
        <v>#N/A</v>
      </c>
      <c r="AS69" s="27"/>
      <c r="AT69" s="41"/>
      <c r="AU69" s="41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30"/>
    </row>
    <row r="70" spans="1:66" ht="11.25" customHeight="1" x14ac:dyDescent="0.2">
      <c r="A70" s="44"/>
      <c r="B70" s="54"/>
      <c r="C70" s="46">
        <v>9</v>
      </c>
      <c r="D70" s="14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24"/>
      <c r="Y70" s="18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27"/>
      <c r="AT70" s="41"/>
      <c r="AU70" s="41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30"/>
    </row>
    <row r="71" spans="1:66" ht="11.25" customHeight="1" x14ac:dyDescent="0.2">
      <c r="A71" s="44"/>
      <c r="B71" s="54"/>
      <c r="C71" s="46">
        <v>10</v>
      </c>
      <c r="D71" s="14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24"/>
      <c r="Y71" s="18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27"/>
      <c r="AT71" s="41"/>
      <c r="AU71" s="41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30"/>
    </row>
    <row r="72" spans="1:66" ht="11.25" customHeight="1" x14ac:dyDescent="0.2">
      <c r="A72" s="44"/>
      <c r="B72" s="54"/>
      <c r="C72" s="46">
        <v>11</v>
      </c>
      <c r="D72" s="14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24"/>
      <c r="Y72" s="18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27"/>
      <c r="AT72" s="41"/>
      <c r="AU72" s="41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30"/>
    </row>
    <row r="73" spans="1:66" ht="11.25" customHeight="1" x14ac:dyDescent="0.2">
      <c r="A73" s="44"/>
      <c r="B73" s="54"/>
      <c r="C73" s="46">
        <v>12</v>
      </c>
      <c r="D73" s="14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24"/>
      <c r="Y73" s="18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27"/>
      <c r="AT73" s="41"/>
      <c r="AU73" s="41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30"/>
    </row>
    <row r="74" spans="1:66" ht="11.25" customHeight="1" x14ac:dyDescent="0.2">
      <c r="A74" s="44"/>
      <c r="B74" s="54"/>
      <c r="C74" s="46">
        <v>13</v>
      </c>
      <c r="D74" s="14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24"/>
      <c r="Y74" s="18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27"/>
      <c r="AT74" s="41"/>
      <c r="AU74" s="41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30"/>
    </row>
    <row r="75" spans="1:66" ht="11.25" customHeight="1" x14ac:dyDescent="0.2">
      <c r="D75" s="31" t="s">
        <v>76</v>
      </c>
      <c r="X75" s="24"/>
      <c r="Y75" s="19" t="s">
        <v>79</v>
      </c>
      <c r="Z75" s="34">
        <f t="shared" ref="Z75" si="146">SUM(Z64:Z74)</f>
        <v>84</v>
      </c>
      <c r="AA75" s="34">
        <f t="shared" ref="AA75" si="147">SUM(AA64:AA74)</f>
        <v>0</v>
      </c>
      <c r="AB75" s="34">
        <f t="shared" ref="AB75" si="148">SUM(AB64:AB74)</f>
        <v>7</v>
      </c>
      <c r="AC75" s="34">
        <f t="shared" ref="AC75" si="149">SUM(AC64:AC74)</f>
        <v>19</v>
      </c>
      <c r="AD75" s="34">
        <f t="shared" ref="AD75" si="150">SUM(AD64:AD74)</f>
        <v>23</v>
      </c>
      <c r="AE75" s="34">
        <f t="shared" ref="AE75" si="151">SUM(AE64:AE74)</f>
        <v>28</v>
      </c>
      <c r="AF75" s="34">
        <f t="shared" ref="AF75" si="152">SUM(AF64:AF74)</f>
        <v>36</v>
      </c>
      <c r="AG75" s="34">
        <f t="shared" ref="AG75" si="153">SUM(AG64:AG74)</f>
        <v>43</v>
      </c>
      <c r="AH75" s="34">
        <f t="shared" ref="AH75" si="154">SUM(AH64:AH74)</f>
        <v>46</v>
      </c>
      <c r="AI75" s="34">
        <f t="shared" ref="AI75" si="155">SUM(AI64:AI74)</f>
        <v>56</v>
      </c>
      <c r="AJ75" s="34">
        <f t="shared" ref="AJ75" si="156">SUM(AJ64:AJ74)</f>
        <v>84</v>
      </c>
      <c r="AK75" s="34" t="e">
        <f t="shared" ref="AK75" si="157">SUM(AK64:AK74)</f>
        <v>#N/A</v>
      </c>
      <c r="AL75" s="34" t="e">
        <f t="shared" ref="AL75" si="158">SUM(AL64:AL74)</f>
        <v>#N/A</v>
      </c>
      <c r="AM75" s="34" t="e">
        <f t="shared" ref="AM75" si="159">SUM(AM64:AM74)</f>
        <v>#N/A</v>
      </c>
      <c r="AN75" s="34" t="e">
        <f t="shared" ref="AN75" si="160">SUM(AN64:AN74)</f>
        <v>#N/A</v>
      </c>
      <c r="AO75" s="34" t="e">
        <f t="shared" ref="AO75" si="161">SUM(AO64:AO74)</f>
        <v>#N/A</v>
      </c>
      <c r="AP75" s="34" t="e">
        <f t="shared" ref="AP75" si="162">SUM(AP64:AP74)</f>
        <v>#N/A</v>
      </c>
      <c r="AQ75" s="34" t="e">
        <f t="shared" ref="AQ75" si="163">SUM(AQ64:AQ74)</f>
        <v>#N/A</v>
      </c>
      <c r="AR75" s="34" t="e">
        <f t="shared" ref="AR75" si="164">SUM(AR64:AR74)</f>
        <v>#N/A</v>
      </c>
      <c r="AS75" s="27"/>
      <c r="AT75" s="41"/>
      <c r="AU75" s="41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30"/>
    </row>
    <row r="76" spans="1:66" ht="11.25" customHeight="1" x14ac:dyDescent="0.2">
      <c r="A76" s="75" t="s">
        <v>63</v>
      </c>
      <c r="B76" s="76"/>
      <c r="C76" s="47"/>
      <c r="D76" s="48" t="s">
        <v>75</v>
      </c>
      <c r="E76" s="49" t="s">
        <v>70</v>
      </c>
      <c r="F76" s="49">
        <v>0</v>
      </c>
      <c r="G76" s="49">
        <v>1</v>
      </c>
      <c r="H76" s="49">
        <v>2</v>
      </c>
      <c r="I76" s="49">
        <v>3</v>
      </c>
      <c r="J76" s="49">
        <v>4</v>
      </c>
      <c r="K76" s="49">
        <v>5</v>
      </c>
      <c r="L76" s="49">
        <v>6</v>
      </c>
      <c r="M76" s="49">
        <v>7</v>
      </c>
      <c r="N76" s="49">
        <v>8</v>
      </c>
      <c r="O76" s="49">
        <v>9</v>
      </c>
      <c r="P76" s="49">
        <v>10</v>
      </c>
      <c r="Q76" s="49">
        <v>11</v>
      </c>
      <c r="R76" s="49">
        <v>12</v>
      </c>
      <c r="S76" s="49">
        <v>13</v>
      </c>
      <c r="T76" s="49">
        <v>14</v>
      </c>
      <c r="U76" s="49">
        <v>15</v>
      </c>
      <c r="V76" s="49">
        <v>16</v>
      </c>
      <c r="W76" s="23">
        <v>17</v>
      </c>
      <c r="X76" s="24"/>
      <c r="Y76" s="17"/>
      <c r="Z76" s="25" t="s">
        <v>64</v>
      </c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7"/>
      <c r="AT76" s="28"/>
      <c r="AU76" s="28" t="s">
        <v>64</v>
      </c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30"/>
    </row>
    <row r="77" spans="1:66" ht="11.25" customHeight="1" x14ac:dyDescent="0.2">
      <c r="A77" s="32"/>
      <c r="B77" s="72">
        <v>6</v>
      </c>
      <c r="C77" s="56">
        <v>1</v>
      </c>
      <c r="D77" s="7" t="s">
        <v>106</v>
      </c>
      <c r="E77" s="16">
        <f t="shared" ref="E77:E84" si="165">SUM(F77:W77)</f>
        <v>963</v>
      </c>
      <c r="F77" s="6">
        <f>SUMIFS([0]!VOTOS2,[0]!TURNO1,F$31,[0]!CANDIDATO1,$C77,[0]!MUNICIPIO1,$B$77)</f>
        <v>10</v>
      </c>
      <c r="G77" s="6">
        <f>SUMIFS([0]!VOTOS2,[0]!TURNO1,G$31,[0]!CANDIDATO1,$C77,[0]!MUNICIPIO1,$B$77)</f>
        <v>23</v>
      </c>
      <c r="H77" s="6">
        <f>SUMIFS([0]!VOTOS2,[0]!TURNO1,H$31,[0]!CANDIDATO1,$C77,[0]!MUNICIPIO1,$B$77)</f>
        <v>30</v>
      </c>
      <c r="I77" s="6">
        <f>SUMIFS([0]!VOTOS2,[0]!TURNO1,I$31,[0]!CANDIDATO1,$C77,[0]!MUNICIPIO1,$B$77)</f>
        <v>30</v>
      </c>
      <c r="J77" s="6">
        <f>SUMIFS([0]!VOTOS2,[0]!TURNO1,J$31,[0]!CANDIDATO1,$C77,[0]!MUNICIPIO1,$B$77)</f>
        <v>53</v>
      </c>
      <c r="K77" s="6">
        <f>SUMIFS([0]!VOTOS2,[0]!TURNO1,K$31,[0]!CANDIDATO1,$C77,[0]!MUNICIPIO1,$B$77)</f>
        <v>54</v>
      </c>
      <c r="L77" s="6">
        <f>SUMIFS([0]!VOTOS2,[0]!TURNO1,L$31,[0]!CANDIDATO1,$C77,[0]!MUNICIPIO1,$B$77)</f>
        <v>39</v>
      </c>
      <c r="M77" s="6">
        <f>SUMIFS([0]!VOTOS2,[0]!TURNO1,M$31,[0]!CANDIDATO1,$C77,[0]!MUNICIPIO1,$B$77)</f>
        <v>42</v>
      </c>
      <c r="N77" s="6">
        <f>SUMIFS([0]!VOTOS2,[0]!TURNO1,N$31,[0]!CANDIDATO1,$C77,[0]!MUNICIPIO1,$B$77)</f>
        <v>50</v>
      </c>
      <c r="O77" s="6">
        <f>SUMIFS([0]!VOTOS2,[0]!TURNO1,O$31,[0]!CANDIDATO1,$C77,[0]!MUNICIPIO1,$B$77)</f>
        <v>632</v>
      </c>
      <c r="P77" s="6">
        <f>SUMIFS([0]!VOTOS2,[0]!TURNO1,P$31,[0]!CANDIDATO1,$C77,[0]!MUNICIPIO1,$B$77)</f>
        <v>0</v>
      </c>
      <c r="Q77" s="6">
        <f>SUMIFS([0]!VOTOS2,[0]!TURNO1,Q$31,[0]!CANDIDATO1,$C77,[0]!MUNICIPIO1,$B$77)</f>
        <v>0</v>
      </c>
      <c r="R77" s="6">
        <f>SUMIFS([0]!VOTOS2,[0]!TURNO1,R$31,[0]!CANDIDATO1,$C77,[0]!MUNICIPIO1,$B$77)</f>
        <v>0</v>
      </c>
      <c r="S77" s="6">
        <f>SUMIFS([0]!VOTOS2,[0]!TURNO1,S$31,[0]!CANDIDATO1,$C77,[0]!MUNICIPIO1,$B$77)</f>
        <v>0</v>
      </c>
      <c r="T77" s="6">
        <f>SUMIFS([0]!VOTOS2,[0]!TURNO1,T$31,[0]!CANDIDATO1,$C77,[0]!MUNICIPIO1,$B$77)</f>
        <v>0</v>
      </c>
      <c r="U77" s="6">
        <f>SUMIFS([0]!VOTOS2,[0]!TURNO1,U$31,[0]!CANDIDATO1,$C77,[0]!MUNICIPIO1,$B$77)</f>
        <v>0</v>
      </c>
      <c r="V77" s="6">
        <f>SUMIFS([0]!VOTOS2,[0]!TURNO1,V$31,[0]!CANDIDATO1,$C77,[0]!MUNICIPIO1,$B$77)</f>
        <v>0</v>
      </c>
      <c r="W77" s="6">
        <f>SUMIFS([0]!VOTOS2,[0]!TURNO1,W$31,[0]!CANDIDATO1,$C77,[0]!MUNICIPIO1,$B$77)</f>
        <v>0</v>
      </c>
      <c r="X77" s="24"/>
      <c r="Y77" s="18" t="str">
        <f t="shared" ref="Y77:Y84" si="166">D77</f>
        <v>JESUS FIGUERA</v>
      </c>
      <c r="Z77" s="34">
        <f t="shared" ref="Z77:Z84" si="167">E77</f>
        <v>963</v>
      </c>
      <c r="AA77" s="34">
        <f t="shared" ref="AA77:AA84" si="168">F77</f>
        <v>10</v>
      </c>
      <c r="AB77" s="34">
        <f t="shared" ref="AB77:AR77" si="169">IF(SUM(G77:G89)=0,NA(),G77+AA77)</f>
        <v>33</v>
      </c>
      <c r="AC77" s="34">
        <f t="shared" si="169"/>
        <v>63</v>
      </c>
      <c r="AD77" s="34">
        <f t="shared" si="169"/>
        <v>93</v>
      </c>
      <c r="AE77" s="34">
        <f t="shared" si="169"/>
        <v>146</v>
      </c>
      <c r="AF77" s="34">
        <f t="shared" si="169"/>
        <v>200</v>
      </c>
      <c r="AG77" s="34">
        <f t="shared" si="169"/>
        <v>239</v>
      </c>
      <c r="AH77" s="34">
        <f t="shared" si="169"/>
        <v>281</v>
      </c>
      <c r="AI77" s="34">
        <f t="shared" si="169"/>
        <v>331</v>
      </c>
      <c r="AJ77" s="34">
        <f t="shared" si="169"/>
        <v>963</v>
      </c>
      <c r="AK77" s="34" t="e">
        <f t="shared" si="169"/>
        <v>#N/A</v>
      </c>
      <c r="AL77" s="34" t="e">
        <f t="shared" si="169"/>
        <v>#N/A</v>
      </c>
      <c r="AM77" s="34" t="e">
        <f t="shared" si="169"/>
        <v>#N/A</v>
      </c>
      <c r="AN77" s="34" t="e">
        <f t="shared" si="169"/>
        <v>#N/A</v>
      </c>
      <c r="AO77" s="34" t="e">
        <f t="shared" si="169"/>
        <v>#N/A</v>
      </c>
      <c r="AP77" s="34" t="e">
        <f t="shared" si="169"/>
        <v>#N/A</v>
      </c>
      <c r="AQ77" s="34" t="e">
        <f t="shared" si="169"/>
        <v>#N/A</v>
      </c>
      <c r="AR77" s="34" t="e">
        <f t="shared" si="169"/>
        <v>#N/A</v>
      </c>
      <c r="AS77" s="27"/>
      <c r="AT77" s="35" t="str">
        <f t="shared" ref="AT77:AT78" si="170">Y77</f>
        <v>JESUS FIGUERA</v>
      </c>
      <c r="AU77" s="36">
        <f t="shared" ref="AU77:BM77" si="171">Z77/(Z77+Z78+Z90)</f>
        <v>0.57389749702026227</v>
      </c>
      <c r="AV77" s="36">
        <f t="shared" si="171"/>
        <v>0.5</v>
      </c>
      <c r="AW77" s="36">
        <f t="shared" si="171"/>
        <v>0.23741007194244604</v>
      </c>
      <c r="AX77" s="36">
        <f t="shared" si="171"/>
        <v>0.24803149606299213</v>
      </c>
      <c r="AY77" s="36">
        <f t="shared" si="171"/>
        <v>0.27514792899408286</v>
      </c>
      <c r="AZ77" s="36">
        <f t="shared" si="171"/>
        <v>0.32017543859649122</v>
      </c>
      <c r="BA77" s="36">
        <f t="shared" si="171"/>
        <v>0.3401360544217687</v>
      </c>
      <c r="BB77" s="36">
        <f t="shared" si="171"/>
        <v>0.34339080459770116</v>
      </c>
      <c r="BC77" s="36">
        <f t="shared" si="171"/>
        <v>0.35257214554579674</v>
      </c>
      <c r="BD77" s="36">
        <f t="shared" si="171"/>
        <v>0.33100000000000002</v>
      </c>
      <c r="BE77" s="36">
        <f t="shared" si="171"/>
        <v>0.57389749702026227</v>
      </c>
      <c r="BF77" s="36" t="e">
        <f t="shared" si="171"/>
        <v>#N/A</v>
      </c>
      <c r="BG77" s="36" t="e">
        <f t="shared" si="171"/>
        <v>#N/A</v>
      </c>
      <c r="BH77" s="36" t="e">
        <f t="shared" si="171"/>
        <v>#N/A</v>
      </c>
      <c r="BI77" s="36" t="e">
        <f t="shared" si="171"/>
        <v>#N/A</v>
      </c>
      <c r="BJ77" s="36" t="e">
        <f t="shared" si="171"/>
        <v>#N/A</v>
      </c>
      <c r="BK77" s="36" t="e">
        <f t="shared" si="171"/>
        <v>#N/A</v>
      </c>
      <c r="BL77" s="36" t="e">
        <f t="shared" si="171"/>
        <v>#N/A</v>
      </c>
      <c r="BM77" s="36" t="e">
        <f t="shared" si="171"/>
        <v>#N/A</v>
      </c>
      <c r="BN77" s="30"/>
    </row>
    <row r="78" spans="1:66" ht="11.25" customHeight="1" x14ac:dyDescent="0.2">
      <c r="A78" s="37"/>
      <c r="B78" s="73"/>
      <c r="C78" s="33">
        <v>2</v>
      </c>
      <c r="D78" s="8" t="s">
        <v>107</v>
      </c>
      <c r="E78" s="16">
        <f t="shared" si="165"/>
        <v>490</v>
      </c>
      <c r="F78" s="6">
        <f>SUMIFS([0]!VOTOS2,[0]!TURNO1,F$31,[0]!CANDIDATO1,$C78,[0]!MUNICIPIO1,$B$77)</f>
        <v>10</v>
      </c>
      <c r="G78" s="6">
        <f>SUMIFS([0]!VOTOS2,[0]!TURNO1,G$31,[0]!CANDIDATO1,$C78,[0]!MUNICIPIO1,$B$77)</f>
        <v>66</v>
      </c>
      <c r="H78" s="6">
        <f>SUMIFS([0]!VOTOS2,[0]!TURNO1,H$31,[0]!CANDIDATO1,$C78,[0]!MUNICIPIO1,$B$77)</f>
        <v>55</v>
      </c>
      <c r="I78" s="6">
        <f>SUMIFS([0]!VOTOS2,[0]!TURNO1,I$31,[0]!CANDIDATO1,$C78,[0]!MUNICIPIO1,$B$77)</f>
        <v>33</v>
      </c>
      <c r="J78" s="6">
        <f>SUMIFS([0]!VOTOS2,[0]!TURNO1,J$31,[0]!CANDIDATO1,$C78,[0]!MUNICIPIO1,$B$77)</f>
        <v>38</v>
      </c>
      <c r="K78" s="6">
        <f>SUMIFS([0]!VOTOS2,[0]!TURNO1,K$31,[0]!CANDIDATO1,$C78,[0]!MUNICIPIO1,$B$77)</f>
        <v>53</v>
      </c>
      <c r="L78" s="6">
        <f>SUMIFS([0]!VOTOS2,[0]!TURNO1,L$31,[0]!CANDIDATO1,$C78,[0]!MUNICIPIO1,$B$77)</f>
        <v>44</v>
      </c>
      <c r="M78" s="6">
        <f>SUMIFS([0]!VOTOS2,[0]!TURNO1,M$31,[0]!CANDIDATO1,$C78,[0]!MUNICIPIO1,$B$77)</f>
        <v>34</v>
      </c>
      <c r="N78" s="6">
        <f>SUMIFS([0]!VOTOS2,[0]!TURNO1,N$31,[0]!CANDIDATO1,$C78,[0]!MUNICIPIO1,$B$77)</f>
        <v>131</v>
      </c>
      <c r="O78" s="6">
        <f>SUMIFS([0]!VOTOS2,[0]!TURNO1,O$31,[0]!CANDIDATO1,$C78,[0]!MUNICIPIO1,$B$77)</f>
        <v>26</v>
      </c>
      <c r="P78" s="6">
        <f>SUMIFS([0]!VOTOS2,[0]!TURNO1,P$31,[0]!CANDIDATO1,$C78,[0]!MUNICIPIO1,$B$77)</f>
        <v>0</v>
      </c>
      <c r="Q78" s="6">
        <f>SUMIFS([0]!VOTOS2,[0]!TURNO1,Q$31,[0]!CANDIDATO1,$C78,[0]!MUNICIPIO1,$B$77)</f>
        <v>0</v>
      </c>
      <c r="R78" s="6">
        <f>SUMIFS([0]!VOTOS2,[0]!TURNO1,R$31,[0]!CANDIDATO1,$C78,[0]!MUNICIPIO1,$B$77)</f>
        <v>0</v>
      </c>
      <c r="S78" s="6">
        <f>SUMIFS([0]!VOTOS2,[0]!TURNO1,S$31,[0]!CANDIDATO1,$C78,[0]!MUNICIPIO1,$B$77)</f>
        <v>0</v>
      </c>
      <c r="T78" s="6">
        <f>SUMIFS([0]!VOTOS2,[0]!TURNO1,T$31,[0]!CANDIDATO1,$C78,[0]!MUNICIPIO1,$B$77)</f>
        <v>0</v>
      </c>
      <c r="U78" s="6">
        <f>SUMIFS([0]!VOTOS2,[0]!TURNO1,U$31,[0]!CANDIDATO1,$C78,[0]!MUNICIPIO1,$B$77)</f>
        <v>0</v>
      </c>
      <c r="V78" s="6">
        <f>SUMIFS([0]!VOTOS2,[0]!TURNO1,V$31,[0]!CANDIDATO1,$C78,[0]!MUNICIPIO1,$B$77)</f>
        <v>0</v>
      </c>
      <c r="W78" s="6">
        <f>SUMIFS([0]!VOTOS2,[0]!TURNO1,W$31,[0]!CANDIDATO1,$C78,[0]!MUNICIPIO1,$B$77)</f>
        <v>0</v>
      </c>
      <c r="X78" s="24"/>
      <c r="Y78" s="18" t="str">
        <f t="shared" si="166"/>
        <v>JOSE BRITO</v>
      </c>
      <c r="Z78" s="34">
        <f t="shared" si="167"/>
        <v>490</v>
      </c>
      <c r="AA78" s="34">
        <f t="shared" si="168"/>
        <v>10</v>
      </c>
      <c r="AB78" s="34">
        <f t="shared" ref="AB78:AR78" si="172">IF(SUM(G77:G89)=0,NA(),G78+AA78)</f>
        <v>76</v>
      </c>
      <c r="AC78" s="34">
        <f t="shared" si="172"/>
        <v>131</v>
      </c>
      <c r="AD78" s="34">
        <f t="shared" si="172"/>
        <v>164</v>
      </c>
      <c r="AE78" s="34">
        <f t="shared" si="172"/>
        <v>202</v>
      </c>
      <c r="AF78" s="34">
        <f t="shared" si="172"/>
        <v>255</v>
      </c>
      <c r="AG78" s="34">
        <f t="shared" si="172"/>
        <v>299</v>
      </c>
      <c r="AH78" s="34">
        <f t="shared" si="172"/>
        <v>333</v>
      </c>
      <c r="AI78" s="34">
        <f t="shared" si="172"/>
        <v>464</v>
      </c>
      <c r="AJ78" s="34">
        <f t="shared" si="172"/>
        <v>490</v>
      </c>
      <c r="AK78" s="34" t="e">
        <f t="shared" si="172"/>
        <v>#N/A</v>
      </c>
      <c r="AL78" s="34" t="e">
        <f t="shared" si="172"/>
        <v>#N/A</v>
      </c>
      <c r="AM78" s="34" t="e">
        <f t="shared" si="172"/>
        <v>#N/A</v>
      </c>
      <c r="AN78" s="34" t="e">
        <f t="shared" si="172"/>
        <v>#N/A</v>
      </c>
      <c r="AO78" s="34" t="e">
        <f t="shared" si="172"/>
        <v>#N/A</v>
      </c>
      <c r="AP78" s="34" t="e">
        <f t="shared" si="172"/>
        <v>#N/A</v>
      </c>
      <c r="AQ78" s="34" t="e">
        <f t="shared" si="172"/>
        <v>#N/A</v>
      </c>
      <c r="AR78" s="34" t="e">
        <f t="shared" si="172"/>
        <v>#N/A</v>
      </c>
      <c r="AS78" s="27"/>
      <c r="AT78" s="35" t="str">
        <f t="shared" si="170"/>
        <v>JOSE BRITO</v>
      </c>
      <c r="AU78" s="36">
        <f t="shared" ref="AU78:BM78" si="173">Z78/(Z77+Z78+Z90)</f>
        <v>0.29201430274135876</v>
      </c>
      <c r="AV78" s="36">
        <f t="shared" si="173"/>
        <v>0.5</v>
      </c>
      <c r="AW78" s="36">
        <f t="shared" si="173"/>
        <v>0.5467625899280576</v>
      </c>
      <c r="AX78" s="36">
        <f t="shared" si="173"/>
        <v>0.51574803149606296</v>
      </c>
      <c r="AY78" s="36">
        <f t="shared" si="173"/>
        <v>0.48520710059171596</v>
      </c>
      <c r="AZ78" s="36">
        <f t="shared" si="173"/>
        <v>0.44298245614035087</v>
      </c>
      <c r="BA78" s="36">
        <f t="shared" si="173"/>
        <v>0.43367346938775508</v>
      </c>
      <c r="BB78" s="36">
        <f t="shared" si="173"/>
        <v>0.4295977011494253</v>
      </c>
      <c r="BC78" s="36">
        <f t="shared" si="173"/>
        <v>0.41781681304893348</v>
      </c>
      <c r="BD78" s="36">
        <f t="shared" si="173"/>
        <v>0.46400000000000002</v>
      </c>
      <c r="BE78" s="36">
        <f t="shared" si="173"/>
        <v>0.29201430274135876</v>
      </c>
      <c r="BF78" s="36" t="e">
        <f t="shared" si="173"/>
        <v>#N/A</v>
      </c>
      <c r="BG78" s="36" t="e">
        <f t="shared" si="173"/>
        <v>#N/A</v>
      </c>
      <c r="BH78" s="36" t="e">
        <f t="shared" si="173"/>
        <v>#N/A</v>
      </c>
      <c r="BI78" s="36" t="e">
        <f t="shared" si="173"/>
        <v>#N/A</v>
      </c>
      <c r="BJ78" s="36" t="e">
        <f t="shared" si="173"/>
        <v>#N/A</v>
      </c>
      <c r="BK78" s="36" t="e">
        <f t="shared" si="173"/>
        <v>#N/A</v>
      </c>
      <c r="BL78" s="36" t="e">
        <f t="shared" si="173"/>
        <v>#N/A</v>
      </c>
      <c r="BM78" s="36" t="e">
        <f t="shared" si="173"/>
        <v>#N/A</v>
      </c>
      <c r="BN78" s="30"/>
    </row>
    <row r="79" spans="1:66" ht="11.25" customHeight="1" x14ac:dyDescent="0.2">
      <c r="A79" s="37"/>
      <c r="B79" s="73"/>
      <c r="C79" s="56">
        <v>3</v>
      </c>
      <c r="D79" s="8" t="s">
        <v>108</v>
      </c>
      <c r="E79" s="16">
        <f t="shared" si="165"/>
        <v>218</v>
      </c>
      <c r="F79" s="6">
        <f>SUMIFS([0]!VOTOS2,[0]!TURNO1,F$31,[0]!CANDIDATO1,$C79,[0]!MUNICIPIO1,$B$77)</f>
        <v>0</v>
      </c>
      <c r="G79" s="6">
        <f>SUMIFS([0]!VOTOS2,[0]!TURNO1,G$31,[0]!CANDIDATO1,$C79,[0]!MUNICIPIO1,$B$77)</f>
        <v>28</v>
      </c>
      <c r="H79" s="6">
        <f>SUMIFS([0]!VOTOS2,[0]!TURNO1,H$31,[0]!CANDIDATO1,$C79,[0]!MUNICIPIO1,$B$77)</f>
        <v>29</v>
      </c>
      <c r="I79" s="6">
        <f>SUMIFS([0]!VOTOS2,[0]!TURNO1,I$31,[0]!CANDIDATO1,$C79,[0]!MUNICIPIO1,$B$77)</f>
        <v>21</v>
      </c>
      <c r="J79" s="6">
        <f>SUMIFS([0]!VOTOS2,[0]!TURNO1,J$31,[0]!CANDIDATO1,$C79,[0]!MUNICIPIO1,$B$77)</f>
        <v>26</v>
      </c>
      <c r="K79" s="6">
        <f>SUMIFS([0]!VOTOS2,[0]!TURNO1,K$31,[0]!CANDIDATO1,$C79,[0]!MUNICIPIO1,$B$77)</f>
        <v>25</v>
      </c>
      <c r="L79" s="6">
        <f>SUMIFS([0]!VOTOS2,[0]!TURNO1,L$31,[0]!CANDIDATO1,$C79,[0]!MUNICIPIO1,$B$77)</f>
        <v>25</v>
      </c>
      <c r="M79" s="6">
        <f>SUMIFS([0]!VOTOS2,[0]!TURNO1,M$31,[0]!CANDIDATO1,$C79,[0]!MUNICIPIO1,$B$77)</f>
        <v>24</v>
      </c>
      <c r="N79" s="6">
        <f>SUMIFS([0]!VOTOS2,[0]!TURNO1,N$31,[0]!CANDIDATO1,$C79,[0]!MUNICIPIO1,$B$77)</f>
        <v>22</v>
      </c>
      <c r="O79" s="6">
        <f>SUMIFS([0]!VOTOS2,[0]!TURNO1,O$31,[0]!CANDIDATO1,$C79,[0]!MUNICIPIO1,$B$77)</f>
        <v>18</v>
      </c>
      <c r="P79" s="6">
        <f>SUMIFS([0]!VOTOS2,[0]!TURNO1,P$31,[0]!CANDIDATO1,$C79,[0]!MUNICIPIO1,$B$77)</f>
        <v>0</v>
      </c>
      <c r="Q79" s="6">
        <f>SUMIFS([0]!VOTOS2,[0]!TURNO1,Q$31,[0]!CANDIDATO1,$C79,[0]!MUNICIPIO1,$B$77)</f>
        <v>0</v>
      </c>
      <c r="R79" s="6">
        <f>SUMIFS([0]!VOTOS2,[0]!TURNO1,R$31,[0]!CANDIDATO1,$C79,[0]!MUNICIPIO1,$B$77)</f>
        <v>0</v>
      </c>
      <c r="S79" s="6">
        <f>SUMIFS([0]!VOTOS2,[0]!TURNO1,S$31,[0]!CANDIDATO1,$C79,[0]!MUNICIPIO1,$B$77)</f>
        <v>0</v>
      </c>
      <c r="T79" s="6">
        <f>SUMIFS([0]!VOTOS2,[0]!TURNO1,T$31,[0]!CANDIDATO1,$C79,[0]!MUNICIPIO1,$B$77)</f>
        <v>0</v>
      </c>
      <c r="U79" s="6">
        <f>SUMIFS([0]!VOTOS2,[0]!TURNO1,U$31,[0]!CANDIDATO1,$C79,[0]!MUNICIPIO1,$B$77)</f>
        <v>0</v>
      </c>
      <c r="V79" s="6">
        <f>SUMIFS([0]!VOTOS2,[0]!TURNO1,V$31,[0]!CANDIDATO1,$C79,[0]!MUNICIPIO1,$B$77)</f>
        <v>0</v>
      </c>
      <c r="W79" s="6">
        <f>SUMIFS([0]!VOTOS2,[0]!TURNO1,W$31,[0]!CANDIDATO1,$C79,[0]!MUNICIPIO1,$B$77)</f>
        <v>0</v>
      </c>
      <c r="X79" s="24"/>
      <c r="Y79" s="18" t="str">
        <f t="shared" si="166"/>
        <v>ERNESTO PARAQUEIMA</v>
      </c>
      <c r="Z79" s="34">
        <f t="shared" si="167"/>
        <v>218</v>
      </c>
      <c r="AA79" s="34">
        <f t="shared" si="168"/>
        <v>0</v>
      </c>
      <c r="AB79" s="34">
        <f t="shared" ref="AB79:AR79" si="174">IF(SUM(G77:G89)=0,NA(),G79+AA79)</f>
        <v>28</v>
      </c>
      <c r="AC79" s="34">
        <f t="shared" si="174"/>
        <v>57</v>
      </c>
      <c r="AD79" s="34">
        <f t="shared" si="174"/>
        <v>78</v>
      </c>
      <c r="AE79" s="34">
        <f t="shared" si="174"/>
        <v>104</v>
      </c>
      <c r="AF79" s="34">
        <f t="shared" si="174"/>
        <v>129</v>
      </c>
      <c r="AG79" s="34">
        <f t="shared" si="174"/>
        <v>154</v>
      </c>
      <c r="AH79" s="34">
        <f t="shared" si="174"/>
        <v>178</v>
      </c>
      <c r="AI79" s="34">
        <f t="shared" si="174"/>
        <v>200</v>
      </c>
      <c r="AJ79" s="34">
        <f t="shared" si="174"/>
        <v>218</v>
      </c>
      <c r="AK79" s="34" t="e">
        <f t="shared" si="174"/>
        <v>#N/A</v>
      </c>
      <c r="AL79" s="34" t="e">
        <f t="shared" si="174"/>
        <v>#N/A</v>
      </c>
      <c r="AM79" s="34" t="e">
        <f t="shared" si="174"/>
        <v>#N/A</v>
      </c>
      <c r="AN79" s="34" t="e">
        <f t="shared" si="174"/>
        <v>#N/A</v>
      </c>
      <c r="AO79" s="34" t="e">
        <f t="shared" si="174"/>
        <v>#N/A</v>
      </c>
      <c r="AP79" s="34" t="e">
        <f t="shared" si="174"/>
        <v>#N/A</v>
      </c>
      <c r="AQ79" s="34" t="e">
        <f t="shared" si="174"/>
        <v>#N/A</v>
      </c>
      <c r="AR79" s="34" t="e">
        <f t="shared" si="174"/>
        <v>#N/A</v>
      </c>
      <c r="AS79" s="27"/>
      <c r="AT79" s="35" t="str">
        <f t="shared" ref="AT79" si="175">Y90</f>
        <v>Otros</v>
      </c>
      <c r="AU79" s="36">
        <f t="shared" ref="AU79:BM79" si="176">Z90/(Z77+Z78+Z90)</f>
        <v>0.13408820023837903</v>
      </c>
      <c r="AV79" s="36">
        <f t="shared" si="176"/>
        <v>0</v>
      </c>
      <c r="AW79" s="36">
        <f t="shared" si="176"/>
        <v>0.21582733812949639</v>
      </c>
      <c r="AX79" s="36">
        <f t="shared" si="176"/>
        <v>0.23622047244094488</v>
      </c>
      <c r="AY79" s="36">
        <f t="shared" si="176"/>
        <v>0.23964497041420119</v>
      </c>
      <c r="AZ79" s="36">
        <f t="shared" si="176"/>
        <v>0.23684210526315788</v>
      </c>
      <c r="BA79" s="36">
        <f t="shared" si="176"/>
        <v>0.22619047619047619</v>
      </c>
      <c r="BB79" s="36">
        <f t="shared" si="176"/>
        <v>0.22701149425287356</v>
      </c>
      <c r="BC79" s="36">
        <f t="shared" si="176"/>
        <v>0.22961104140526975</v>
      </c>
      <c r="BD79" s="36">
        <f t="shared" si="176"/>
        <v>0.20499999999999999</v>
      </c>
      <c r="BE79" s="36">
        <f t="shared" si="176"/>
        <v>0.13408820023837903</v>
      </c>
      <c r="BF79" s="36" t="e">
        <f t="shared" si="176"/>
        <v>#N/A</v>
      </c>
      <c r="BG79" s="36" t="e">
        <f t="shared" si="176"/>
        <v>#N/A</v>
      </c>
      <c r="BH79" s="36" t="e">
        <f t="shared" si="176"/>
        <v>#N/A</v>
      </c>
      <c r="BI79" s="36" t="e">
        <f t="shared" si="176"/>
        <v>#N/A</v>
      </c>
      <c r="BJ79" s="36" t="e">
        <f t="shared" si="176"/>
        <v>#N/A</v>
      </c>
      <c r="BK79" s="36" t="e">
        <f t="shared" si="176"/>
        <v>#N/A</v>
      </c>
      <c r="BL79" s="36" t="e">
        <f t="shared" si="176"/>
        <v>#N/A</v>
      </c>
      <c r="BM79" s="36" t="e">
        <f t="shared" si="176"/>
        <v>#N/A</v>
      </c>
      <c r="BN79" s="30"/>
    </row>
    <row r="80" spans="1:66" ht="11.25" customHeight="1" x14ac:dyDescent="0.2">
      <c r="A80" s="38" t="s">
        <v>0</v>
      </c>
      <c r="B80" s="73"/>
      <c r="C80" s="33">
        <v>4</v>
      </c>
      <c r="D80" s="8" t="s">
        <v>109</v>
      </c>
      <c r="E80" s="16">
        <f t="shared" si="165"/>
        <v>7</v>
      </c>
      <c r="F80" s="6">
        <f>SUMIFS([0]!VOTOS2,[0]!TURNO1,F$31,[0]!CANDIDATO1,$C80,[0]!MUNICIPIO1,$B$77)</f>
        <v>0</v>
      </c>
      <c r="G80" s="6">
        <f>SUMIFS([0]!VOTOS2,[0]!TURNO1,G$31,[0]!CANDIDATO1,$C80,[0]!MUNICIPIO1,$B$77)</f>
        <v>2</v>
      </c>
      <c r="H80" s="6">
        <f>SUMIFS([0]!VOTOS2,[0]!TURNO1,H$31,[0]!CANDIDATO1,$C80,[0]!MUNICIPIO1,$B$77)</f>
        <v>1</v>
      </c>
      <c r="I80" s="6">
        <f>SUMIFS([0]!VOTOS2,[0]!TURNO1,I$31,[0]!CANDIDATO1,$C80,[0]!MUNICIPIO1,$B$77)</f>
        <v>0</v>
      </c>
      <c r="J80" s="6">
        <f>SUMIFS([0]!VOTOS2,[0]!TURNO1,J$31,[0]!CANDIDATO1,$C80,[0]!MUNICIPIO1,$B$77)</f>
        <v>1</v>
      </c>
      <c r="K80" s="6">
        <f>SUMIFS([0]!VOTOS2,[0]!TURNO1,K$31,[0]!CANDIDATO1,$C80,[0]!MUNICIPIO1,$B$77)</f>
        <v>0</v>
      </c>
      <c r="L80" s="6">
        <f>SUMIFS([0]!VOTOS2,[0]!TURNO1,L$31,[0]!CANDIDATO1,$C80,[0]!MUNICIPIO1,$B$77)</f>
        <v>0</v>
      </c>
      <c r="M80" s="6">
        <f>SUMIFS([0]!VOTOS2,[0]!TURNO1,M$31,[0]!CANDIDATO1,$C80,[0]!MUNICIPIO1,$B$77)</f>
        <v>1</v>
      </c>
      <c r="N80" s="6">
        <f>SUMIFS([0]!VOTOS2,[0]!TURNO1,N$31,[0]!CANDIDATO1,$C80,[0]!MUNICIPIO1,$B$77)</f>
        <v>0</v>
      </c>
      <c r="O80" s="6">
        <f>SUMIFS([0]!VOTOS2,[0]!TURNO1,O$31,[0]!CANDIDATO1,$C80,[0]!MUNICIPIO1,$B$77)</f>
        <v>2</v>
      </c>
      <c r="P80" s="6">
        <f>SUMIFS([0]!VOTOS2,[0]!TURNO1,P$31,[0]!CANDIDATO1,$C80,[0]!MUNICIPIO1,$B$77)</f>
        <v>0</v>
      </c>
      <c r="Q80" s="6">
        <f>SUMIFS([0]!VOTOS2,[0]!TURNO1,Q$31,[0]!CANDIDATO1,$C80,[0]!MUNICIPIO1,$B$77)</f>
        <v>0</v>
      </c>
      <c r="R80" s="6">
        <f>SUMIFS([0]!VOTOS2,[0]!TURNO1,R$31,[0]!CANDIDATO1,$C80,[0]!MUNICIPIO1,$B$77)</f>
        <v>0</v>
      </c>
      <c r="S80" s="6">
        <f>SUMIFS([0]!VOTOS2,[0]!TURNO1,S$31,[0]!CANDIDATO1,$C80,[0]!MUNICIPIO1,$B$77)</f>
        <v>0</v>
      </c>
      <c r="T80" s="6">
        <f>SUMIFS([0]!VOTOS2,[0]!TURNO1,T$31,[0]!CANDIDATO1,$C80,[0]!MUNICIPIO1,$B$77)</f>
        <v>0</v>
      </c>
      <c r="U80" s="6">
        <f>SUMIFS([0]!VOTOS2,[0]!TURNO1,U$31,[0]!CANDIDATO1,$C80,[0]!MUNICIPIO1,$B$77)</f>
        <v>0</v>
      </c>
      <c r="V80" s="6">
        <f>SUMIFS([0]!VOTOS2,[0]!TURNO1,V$31,[0]!CANDIDATO1,$C80,[0]!MUNICIPIO1,$B$77)</f>
        <v>0</v>
      </c>
      <c r="W80" s="6">
        <f>SUMIFS([0]!VOTOS2,[0]!TURNO1,W$31,[0]!CANDIDATO1,$C80,[0]!MUNICIPIO1,$B$77)</f>
        <v>0</v>
      </c>
      <c r="X80" s="24"/>
      <c r="Y80" s="18" t="str">
        <f t="shared" si="166"/>
        <v>MIGUEL MILLAN</v>
      </c>
      <c r="Z80" s="34">
        <f t="shared" si="167"/>
        <v>7</v>
      </c>
      <c r="AA80" s="34">
        <f t="shared" si="168"/>
        <v>0</v>
      </c>
      <c r="AB80" s="34">
        <f t="shared" ref="AB80:AR80" si="177">IF(SUM(G77:G89)=0,NA(),G80+AA80)</f>
        <v>2</v>
      </c>
      <c r="AC80" s="34">
        <f t="shared" si="177"/>
        <v>3</v>
      </c>
      <c r="AD80" s="34">
        <f t="shared" si="177"/>
        <v>3</v>
      </c>
      <c r="AE80" s="34">
        <f t="shared" si="177"/>
        <v>4</v>
      </c>
      <c r="AF80" s="34">
        <f t="shared" si="177"/>
        <v>4</v>
      </c>
      <c r="AG80" s="34">
        <f t="shared" si="177"/>
        <v>4</v>
      </c>
      <c r="AH80" s="34">
        <f t="shared" si="177"/>
        <v>5</v>
      </c>
      <c r="AI80" s="34">
        <f t="shared" si="177"/>
        <v>5</v>
      </c>
      <c r="AJ80" s="34">
        <f t="shared" si="177"/>
        <v>7</v>
      </c>
      <c r="AK80" s="34" t="e">
        <f t="shared" si="177"/>
        <v>#N/A</v>
      </c>
      <c r="AL80" s="34" t="e">
        <f t="shared" si="177"/>
        <v>#N/A</v>
      </c>
      <c r="AM80" s="34" t="e">
        <f t="shared" si="177"/>
        <v>#N/A</v>
      </c>
      <c r="AN80" s="34" t="e">
        <f t="shared" si="177"/>
        <v>#N/A</v>
      </c>
      <c r="AO80" s="34" t="e">
        <f t="shared" si="177"/>
        <v>#N/A</v>
      </c>
      <c r="AP80" s="34" t="e">
        <f t="shared" si="177"/>
        <v>#N/A</v>
      </c>
      <c r="AQ80" s="34" t="e">
        <f t="shared" si="177"/>
        <v>#N/A</v>
      </c>
      <c r="AR80" s="34" t="e">
        <f t="shared" si="177"/>
        <v>#N/A</v>
      </c>
      <c r="AS80" s="27"/>
      <c r="AT80" s="39"/>
      <c r="AU80" s="39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30"/>
    </row>
    <row r="81" spans="1:66" ht="11.25" customHeight="1" x14ac:dyDescent="0.2">
      <c r="A81" s="38" t="s">
        <v>5</v>
      </c>
      <c r="B81" s="73"/>
      <c r="C81" s="56">
        <v>5</v>
      </c>
      <c r="D81" s="8" t="s">
        <v>110</v>
      </c>
      <c r="E81" s="16">
        <f t="shared" si="165"/>
        <v>0</v>
      </c>
      <c r="F81" s="6">
        <f>SUMIFS([0]!VOTOS2,[0]!TURNO1,F$31,[0]!CANDIDATO1,$C81,[0]!MUNICIPIO1,$B$77)</f>
        <v>0</v>
      </c>
      <c r="G81" s="6">
        <f>SUMIFS([0]!VOTOS2,[0]!TURNO1,G$31,[0]!CANDIDATO1,$C81,[0]!MUNICIPIO1,$B$77)</f>
        <v>0</v>
      </c>
      <c r="H81" s="6">
        <f>SUMIFS([0]!VOTOS2,[0]!TURNO1,H$31,[0]!CANDIDATO1,$C81,[0]!MUNICIPIO1,$B$77)</f>
        <v>0</v>
      </c>
      <c r="I81" s="6">
        <f>SUMIFS([0]!VOTOS2,[0]!TURNO1,I$31,[0]!CANDIDATO1,$C81,[0]!MUNICIPIO1,$B$77)</f>
        <v>0</v>
      </c>
      <c r="J81" s="6">
        <f>SUMIFS([0]!VOTOS2,[0]!TURNO1,J$31,[0]!CANDIDATO1,$C81,[0]!MUNICIPIO1,$B$77)</f>
        <v>0</v>
      </c>
      <c r="K81" s="6">
        <f>SUMIFS([0]!VOTOS2,[0]!TURNO1,K$31,[0]!CANDIDATO1,$C81,[0]!MUNICIPIO1,$B$77)</f>
        <v>0</v>
      </c>
      <c r="L81" s="6">
        <f>SUMIFS([0]!VOTOS2,[0]!TURNO1,L$31,[0]!CANDIDATO1,$C81,[0]!MUNICIPIO1,$B$77)</f>
        <v>0</v>
      </c>
      <c r="M81" s="6">
        <f>SUMIFS([0]!VOTOS2,[0]!TURNO1,M$31,[0]!CANDIDATO1,$C81,[0]!MUNICIPIO1,$B$77)</f>
        <v>0</v>
      </c>
      <c r="N81" s="6">
        <f>SUMIFS([0]!VOTOS2,[0]!TURNO1,N$31,[0]!CANDIDATO1,$C81,[0]!MUNICIPIO1,$B$77)</f>
        <v>0</v>
      </c>
      <c r="O81" s="6">
        <f>SUMIFS([0]!VOTOS2,[0]!TURNO1,O$31,[0]!CANDIDATO1,$C81,[0]!MUNICIPIO1,$B$77)</f>
        <v>0</v>
      </c>
      <c r="P81" s="6">
        <f>SUMIFS([0]!VOTOS2,[0]!TURNO1,P$31,[0]!CANDIDATO1,$C81,[0]!MUNICIPIO1,$B$77)</f>
        <v>0</v>
      </c>
      <c r="Q81" s="6">
        <f>SUMIFS([0]!VOTOS2,[0]!TURNO1,Q$31,[0]!CANDIDATO1,$C81,[0]!MUNICIPIO1,$B$77)</f>
        <v>0</v>
      </c>
      <c r="R81" s="6">
        <f>SUMIFS([0]!VOTOS2,[0]!TURNO1,R$31,[0]!CANDIDATO1,$C81,[0]!MUNICIPIO1,$B$77)</f>
        <v>0</v>
      </c>
      <c r="S81" s="6">
        <f>SUMIFS([0]!VOTOS2,[0]!TURNO1,S$31,[0]!CANDIDATO1,$C81,[0]!MUNICIPIO1,$B$77)</f>
        <v>0</v>
      </c>
      <c r="T81" s="6">
        <f>SUMIFS([0]!VOTOS2,[0]!TURNO1,T$31,[0]!CANDIDATO1,$C81,[0]!MUNICIPIO1,$B$77)</f>
        <v>0</v>
      </c>
      <c r="U81" s="6">
        <f>SUMIFS([0]!VOTOS2,[0]!TURNO1,U$31,[0]!CANDIDATO1,$C81,[0]!MUNICIPIO1,$B$77)</f>
        <v>0</v>
      </c>
      <c r="V81" s="6">
        <f>SUMIFS([0]!VOTOS2,[0]!TURNO1,V$31,[0]!CANDIDATO1,$C81,[0]!MUNICIPIO1,$B$77)</f>
        <v>0</v>
      </c>
      <c r="W81" s="6">
        <f>SUMIFS([0]!VOTOS2,[0]!TURNO1,W$31,[0]!CANDIDATO1,$C81,[0]!MUNICIPIO1,$B$77)</f>
        <v>0</v>
      </c>
      <c r="X81" s="24"/>
      <c r="Y81" s="18" t="str">
        <f t="shared" si="166"/>
        <v>RAMON HURTADO</v>
      </c>
      <c r="Z81" s="34">
        <f t="shared" si="167"/>
        <v>0</v>
      </c>
      <c r="AA81" s="34">
        <f t="shared" si="168"/>
        <v>0</v>
      </c>
      <c r="AB81" s="34">
        <f t="shared" ref="AB81:AR81" si="178">IF(SUM(G77:G89)=0,NA(),G81+AA81)</f>
        <v>0</v>
      </c>
      <c r="AC81" s="34">
        <f t="shared" si="178"/>
        <v>0</v>
      </c>
      <c r="AD81" s="34">
        <f t="shared" si="178"/>
        <v>0</v>
      </c>
      <c r="AE81" s="34">
        <f t="shared" si="178"/>
        <v>0</v>
      </c>
      <c r="AF81" s="34">
        <f t="shared" si="178"/>
        <v>0</v>
      </c>
      <c r="AG81" s="34">
        <f t="shared" si="178"/>
        <v>0</v>
      </c>
      <c r="AH81" s="34">
        <f t="shared" si="178"/>
        <v>0</v>
      </c>
      <c r="AI81" s="34">
        <f t="shared" si="178"/>
        <v>0</v>
      </c>
      <c r="AJ81" s="34">
        <f t="shared" si="178"/>
        <v>0</v>
      </c>
      <c r="AK81" s="34" t="e">
        <f t="shared" si="178"/>
        <v>#N/A</v>
      </c>
      <c r="AL81" s="34" t="e">
        <f t="shared" si="178"/>
        <v>#N/A</v>
      </c>
      <c r="AM81" s="34" t="e">
        <f t="shared" si="178"/>
        <v>#N/A</v>
      </c>
      <c r="AN81" s="34" t="e">
        <f t="shared" si="178"/>
        <v>#N/A</v>
      </c>
      <c r="AO81" s="34" t="e">
        <f t="shared" si="178"/>
        <v>#N/A</v>
      </c>
      <c r="AP81" s="34" t="e">
        <f t="shared" si="178"/>
        <v>#N/A</v>
      </c>
      <c r="AQ81" s="34" t="e">
        <f t="shared" si="178"/>
        <v>#N/A</v>
      </c>
      <c r="AR81" s="34" t="e">
        <f t="shared" si="178"/>
        <v>#N/A</v>
      </c>
      <c r="AS81" s="27"/>
      <c r="AT81" s="39"/>
      <c r="AU81" s="39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30"/>
    </row>
    <row r="82" spans="1:66" ht="11.25" customHeight="1" x14ac:dyDescent="0.2">
      <c r="A82" s="37"/>
      <c r="B82" s="73"/>
      <c r="C82" s="33">
        <v>6</v>
      </c>
      <c r="D82" s="8" t="s">
        <v>111</v>
      </c>
      <c r="E82" s="16">
        <f t="shared" si="165"/>
        <v>0</v>
      </c>
      <c r="F82" s="6">
        <f>SUMIFS([0]!VOTOS2,[0]!TURNO1,F$31,[0]!CANDIDATO1,$C82,[0]!MUNICIPIO1,$B$77)</f>
        <v>0</v>
      </c>
      <c r="G82" s="6">
        <f>SUMIFS([0]!VOTOS2,[0]!TURNO1,G$31,[0]!CANDIDATO1,$C82,[0]!MUNICIPIO1,$B$77)</f>
        <v>0</v>
      </c>
      <c r="H82" s="6">
        <f>SUMIFS([0]!VOTOS2,[0]!TURNO1,H$31,[0]!CANDIDATO1,$C82,[0]!MUNICIPIO1,$B$77)</f>
        <v>0</v>
      </c>
      <c r="I82" s="6">
        <f>SUMIFS([0]!VOTOS2,[0]!TURNO1,I$31,[0]!CANDIDATO1,$C82,[0]!MUNICIPIO1,$B$77)</f>
        <v>0</v>
      </c>
      <c r="J82" s="6">
        <f>SUMIFS([0]!VOTOS2,[0]!TURNO1,J$31,[0]!CANDIDATO1,$C82,[0]!MUNICIPIO1,$B$77)</f>
        <v>0</v>
      </c>
      <c r="K82" s="6">
        <f>SUMIFS([0]!VOTOS2,[0]!TURNO1,K$31,[0]!CANDIDATO1,$C82,[0]!MUNICIPIO1,$B$77)</f>
        <v>0</v>
      </c>
      <c r="L82" s="6">
        <f>SUMIFS([0]!VOTOS2,[0]!TURNO1,L$31,[0]!CANDIDATO1,$C82,[0]!MUNICIPIO1,$B$77)</f>
        <v>0</v>
      </c>
      <c r="M82" s="6">
        <f>SUMIFS([0]!VOTOS2,[0]!TURNO1,M$31,[0]!CANDIDATO1,$C82,[0]!MUNICIPIO1,$B$77)</f>
        <v>0</v>
      </c>
      <c r="N82" s="6">
        <f>SUMIFS([0]!VOTOS2,[0]!TURNO1,N$31,[0]!CANDIDATO1,$C82,[0]!MUNICIPIO1,$B$77)</f>
        <v>0</v>
      </c>
      <c r="O82" s="6">
        <f>SUMIFS([0]!VOTOS2,[0]!TURNO1,O$31,[0]!CANDIDATO1,$C82,[0]!MUNICIPIO1,$B$77)</f>
        <v>0</v>
      </c>
      <c r="P82" s="6">
        <f>SUMIFS([0]!VOTOS2,[0]!TURNO1,P$31,[0]!CANDIDATO1,$C82,[0]!MUNICIPIO1,$B$77)</f>
        <v>0</v>
      </c>
      <c r="Q82" s="6">
        <f>SUMIFS([0]!VOTOS2,[0]!TURNO1,Q$31,[0]!CANDIDATO1,$C82,[0]!MUNICIPIO1,$B$77)</f>
        <v>0</v>
      </c>
      <c r="R82" s="6">
        <f>SUMIFS([0]!VOTOS2,[0]!TURNO1,R$31,[0]!CANDIDATO1,$C82,[0]!MUNICIPIO1,$B$77)</f>
        <v>0</v>
      </c>
      <c r="S82" s="6">
        <f>SUMIFS([0]!VOTOS2,[0]!TURNO1,S$31,[0]!CANDIDATO1,$C82,[0]!MUNICIPIO1,$B$77)</f>
        <v>0</v>
      </c>
      <c r="T82" s="6">
        <f>SUMIFS([0]!VOTOS2,[0]!TURNO1,T$31,[0]!CANDIDATO1,$C82,[0]!MUNICIPIO1,$B$77)</f>
        <v>0</v>
      </c>
      <c r="U82" s="6">
        <f>SUMIFS([0]!VOTOS2,[0]!TURNO1,U$31,[0]!CANDIDATO1,$C82,[0]!MUNICIPIO1,$B$77)</f>
        <v>0</v>
      </c>
      <c r="V82" s="6">
        <f>SUMIFS([0]!VOTOS2,[0]!TURNO1,V$31,[0]!CANDIDATO1,$C82,[0]!MUNICIPIO1,$B$77)</f>
        <v>0</v>
      </c>
      <c r="W82" s="6">
        <f>SUMIFS([0]!VOTOS2,[0]!TURNO1,W$31,[0]!CANDIDATO1,$C82,[0]!MUNICIPIO1,$B$77)</f>
        <v>0</v>
      </c>
      <c r="X82" s="24"/>
      <c r="Y82" s="18" t="str">
        <f t="shared" si="166"/>
        <v>SILVIA MAURERA</v>
      </c>
      <c r="Z82" s="34">
        <f t="shared" si="167"/>
        <v>0</v>
      </c>
      <c r="AA82" s="34">
        <f t="shared" si="168"/>
        <v>0</v>
      </c>
      <c r="AB82" s="34">
        <f t="shared" ref="AB82:AR82" si="179">IF(SUM(G77:G89)=0,NA(),G82+AA82)</f>
        <v>0</v>
      </c>
      <c r="AC82" s="34">
        <f t="shared" si="179"/>
        <v>0</v>
      </c>
      <c r="AD82" s="34">
        <f t="shared" si="179"/>
        <v>0</v>
      </c>
      <c r="AE82" s="34">
        <f t="shared" si="179"/>
        <v>0</v>
      </c>
      <c r="AF82" s="34">
        <f t="shared" si="179"/>
        <v>0</v>
      </c>
      <c r="AG82" s="34">
        <f t="shared" si="179"/>
        <v>0</v>
      </c>
      <c r="AH82" s="34">
        <f t="shared" si="179"/>
        <v>0</v>
      </c>
      <c r="AI82" s="34">
        <f t="shared" si="179"/>
        <v>0</v>
      </c>
      <c r="AJ82" s="34">
        <f t="shared" si="179"/>
        <v>0</v>
      </c>
      <c r="AK82" s="34" t="e">
        <f t="shared" si="179"/>
        <v>#N/A</v>
      </c>
      <c r="AL82" s="34" t="e">
        <f t="shared" si="179"/>
        <v>#N/A</v>
      </c>
      <c r="AM82" s="34" t="e">
        <f t="shared" si="179"/>
        <v>#N/A</v>
      </c>
      <c r="AN82" s="34" t="e">
        <f t="shared" si="179"/>
        <v>#N/A</v>
      </c>
      <c r="AO82" s="34" t="e">
        <f t="shared" si="179"/>
        <v>#N/A</v>
      </c>
      <c r="AP82" s="34" t="e">
        <f t="shared" si="179"/>
        <v>#N/A</v>
      </c>
      <c r="AQ82" s="34" t="e">
        <f t="shared" si="179"/>
        <v>#N/A</v>
      </c>
      <c r="AR82" s="34" t="e">
        <f t="shared" si="179"/>
        <v>#N/A</v>
      </c>
      <c r="AS82" s="27"/>
      <c r="AT82" s="39"/>
      <c r="AU82" s="39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30"/>
    </row>
    <row r="83" spans="1:66" ht="11.25" customHeight="1" x14ac:dyDescent="0.2">
      <c r="A83" s="37"/>
      <c r="B83" s="73"/>
      <c r="C83" s="56">
        <v>7</v>
      </c>
      <c r="D83" s="8" t="s">
        <v>112</v>
      </c>
      <c r="E83" s="16">
        <f t="shared" si="165"/>
        <v>0</v>
      </c>
      <c r="F83" s="6">
        <f>SUMIFS([0]!VOTOS2,[0]!TURNO1,F$31,[0]!CANDIDATO1,$C83,[0]!MUNICIPIO1,$B$77)</f>
        <v>0</v>
      </c>
      <c r="G83" s="6">
        <f>SUMIFS([0]!VOTOS2,[0]!TURNO1,G$31,[0]!CANDIDATO1,$C83,[0]!MUNICIPIO1,$B$77)</f>
        <v>0</v>
      </c>
      <c r="H83" s="6">
        <f>SUMIFS([0]!VOTOS2,[0]!TURNO1,H$31,[0]!CANDIDATO1,$C83,[0]!MUNICIPIO1,$B$77)</f>
        <v>0</v>
      </c>
      <c r="I83" s="6">
        <f>SUMIFS([0]!VOTOS2,[0]!TURNO1,I$31,[0]!CANDIDATO1,$C83,[0]!MUNICIPIO1,$B$77)</f>
        <v>0</v>
      </c>
      <c r="J83" s="6">
        <f>SUMIFS([0]!VOTOS2,[0]!TURNO1,J$31,[0]!CANDIDATO1,$C83,[0]!MUNICIPIO1,$B$77)</f>
        <v>0</v>
      </c>
      <c r="K83" s="6">
        <f>SUMIFS([0]!VOTOS2,[0]!TURNO1,K$31,[0]!CANDIDATO1,$C83,[0]!MUNICIPIO1,$B$77)</f>
        <v>0</v>
      </c>
      <c r="L83" s="6">
        <f>SUMIFS([0]!VOTOS2,[0]!TURNO1,L$31,[0]!CANDIDATO1,$C83,[0]!MUNICIPIO1,$B$77)</f>
        <v>0</v>
      </c>
      <c r="M83" s="6">
        <f>SUMIFS([0]!VOTOS2,[0]!TURNO1,M$31,[0]!CANDIDATO1,$C83,[0]!MUNICIPIO1,$B$77)</f>
        <v>0</v>
      </c>
      <c r="N83" s="6">
        <f>SUMIFS([0]!VOTOS2,[0]!TURNO1,N$31,[0]!CANDIDATO1,$C83,[0]!MUNICIPIO1,$B$77)</f>
        <v>0</v>
      </c>
      <c r="O83" s="6">
        <f>SUMIFS([0]!VOTOS2,[0]!TURNO1,O$31,[0]!CANDIDATO1,$C83,[0]!MUNICIPIO1,$B$77)</f>
        <v>0</v>
      </c>
      <c r="P83" s="6">
        <f>SUMIFS([0]!VOTOS2,[0]!TURNO1,P$31,[0]!CANDIDATO1,$C83,[0]!MUNICIPIO1,$B$77)</f>
        <v>0</v>
      </c>
      <c r="Q83" s="6">
        <f>SUMIFS([0]!VOTOS2,[0]!TURNO1,Q$31,[0]!CANDIDATO1,$C83,[0]!MUNICIPIO1,$B$77)</f>
        <v>0</v>
      </c>
      <c r="R83" s="6">
        <f>SUMIFS([0]!VOTOS2,[0]!TURNO1,R$31,[0]!CANDIDATO1,$C83,[0]!MUNICIPIO1,$B$77)</f>
        <v>0</v>
      </c>
      <c r="S83" s="6">
        <f>SUMIFS([0]!VOTOS2,[0]!TURNO1,S$31,[0]!CANDIDATO1,$C83,[0]!MUNICIPIO1,$B$77)</f>
        <v>0</v>
      </c>
      <c r="T83" s="6">
        <f>SUMIFS([0]!VOTOS2,[0]!TURNO1,T$31,[0]!CANDIDATO1,$C83,[0]!MUNICIPIO1,$B$77)</f>
        <v>0</v>
      </c>
      <c r="U83" s="6">
        <f>SUMIFS([0]!VOTOS2,[0]!TURNO1,U$31,[0]!CANDIDATO1,$C83,[0]!MUNICIPIO1,$B$77)</f>
        <v>0</v>
      </c>
      <c r="V83" s="6">
        <f>SUMIFS([0]!VOTOS2,[0]!TURNO1,V$31,[0]!CANDIDATO1,$C83,[0]!MUNICIPIO1,$B$77)</f>
        <v>0</v>
      </c>
      <c r="W83" s="6">
        <f>SUMIFS([0]!VOTOS2,[0]!TURNO1,W$31,[0]!CANDIDATO1,$C83,[0]!MUNICIPIO1,$B$77)</f>
        <v>0</v>
      </c>
      <c r="X83" s="24"/>
      <c r="Y83" s="18" t="str">
        <f t="shared" si="166"/>
        <v>RAISA QUIJADA</v>
      </c>
      <c r="Z83" s="34">
        <f t="shared" si="167"/>
        <v>0</v>
      </c>
      <c r="AA83" s="34">
        <f t="shared" si="168"/>
        <v>0</v>
      </c>
      <c r="AB83" s="34">
        <f t="shared" ref="AB83:AR83" si="180">IF(SUM(G77:G89)=0,NA(),G83+AA83)</f>
        <v>0</v>
      </c>
      <c r="AC83" s="34">
        <f t="shared" si="180"/>
        <v>0</v>
      </c>
      <c r="AD83" s="34">
        <f t="shared" si="180"/>
        <v>0</v>
      </c>
      <c r="AE83" s="34">
        <f t="shared" si="180"/>
        <v>0</v>
      </c>
      <c r="AF83" s="34">
        <f t="shared" si="180"/>
        <v>0</v>
      </c>
      <c r="AG83" s="34">
        <f t="shared" si="180"/>
        <v>0</v>
      </c>
      <c r="AH83" s="34">
        <f t="shared" si="180"/>
        <v>0</v>
      </c>
      <c r="AI83" s="34">
        <f t="shared" si="180"/>
        <v>0</v>
      </c>
      <c r="AJ83" s="34">
        <f t="shared" si="180"/>
        <v>0</v>
      </c>
      <c r="AK83" s="34" t="e">
        <f t="shared" si="180"/>
        <v>#N/A</v>
      </c>
      <c r="AL83" s="34" t="e">
        <f t="shared" si="180"/>
        <v>#N/A</v>
      </c>
      <c r="AM83" s="34" t="e">
        <f t="shared" si="180"/>
        <v>#N/A</v>
      </c>
      <c r="AN83" s="34" t="e">
        <f t="shared" si="180"/>
        <v>#N/A</v>
      </c>
      <c r="AO83" s="34" t="e">
        <f t="shared" si="180"/>
        <v>#N/A</v>
      </c>
      <c r="AP83" s="34" t="e">
        <f t="shared" si="180"/>
        <v>#N/A</v>
      </c>
      <c r="AQ83" s="34" t="e">
        <f t="shared" si="180"/>
        <v>#N/A</v>
      </c>
      <c r="AR83" s="34" t="e">
        <f t="shared" si="180"/>
        <v>#N/A</v>
      </c>
      <c r="AS83" s="27"/>
      <c r="AT83" s="39"/>
      <c r="AU83" s="39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30"/>
    </row>
    <row r="84" spans="1:66" ht="11.25" customHeight="1" x14ac:dyDescent="0.2">
      <c r="A84" s="42"/>
      <c r="B84" s="74"/>
      <c r="C84" s="33">
        <v>8</v>
      </c>
      <c r="D84" s="8" t="s">
        <v>113</v>
      </c>
      <c r="E84" s="16">
        <f t="shared" si="165"/>
        <v>0</v>
      </c>
      <c r="F84" s="6">
        <f>SUMIFS([0]!VOTOS2,[0]!TURNO1,F$31,[0]!CANDIDATO1,$C84,[0]!MUNICIPIO1,$B$77)</f>
        <v>0</v>
      </c>
      <c r="G84" s="6">
        <f>SUMIFS([0]!VOTOS2,[0]!TURNO1,G$31,[0]!CANDIDATO1,$C84,[0]!MUNICIPIO1,$B$77)</f>
        <v>0</v>
      </c>
      <c r="H84" s="6">
        <f>SUMIFS([0]!VOTOS2,[0]!TURNO1,H$31,[0]!CANDIDATO1,$C84,[0]!MUNICIPIO1,$B$77)</f>
        <v>0</v>
      </c>
      <c r="I84" s="6">
        <f>SUMIFS([0]!VOTOS2,[0]!TURNO1,I$31,[0]!CANDIDATO1,$C84,[0]!MUNICIPIO1,$B$77)</f>
        <v>0</v>
      </c>
      <c r="J84" s="6">
        <f>SUMIFS([0]!VOTOS2,[0]!TURNO1,J$31,[0]!CANDIDATO1,$C84,[0]!MUNICIPIO1,$B$77)</f>
        <v>0</v>
      </c>
      <c r="K84" s="6">
        <f>SUMIFS([0]!VOTOS2,[0]!TURNO1,K$31,[0]!CANDIDATO1,$C84,[0]!MUNICIPIO1,$B$77)</f>
        <v>0</v>
      </c>
      <c r="L84" s="6">
        <f>SUMIFS([0]!VOTOS2,[0]!TURNO1,L$31,[0]!CANDIDATO1,$C84,[0]!MUNICIPIO1,$B$77)</f>
        <v>0</v>
      </c>
      <c r="M84" s="6">
        <f>SUMIFS([0]!VOTOS2,[0]!TURNO1,M$31,[0]!CANDIDATO1,$C84,[0]!MUNICIPIO1,$B$77)</f>
        <v>0</v>
      </c>
      <c r="N84" s="6">
        <f>SUMIFS([0]!VOTOS2,[0]!TURNO1,N$31,[0]!CANDIDATO1,$C84,[0]!MUNICIPIO1,$B$77)</f>
        <v>0</v>
      </c>
      <c r="O84" s="6">
        <f>SUMIFS([0]!VOTOS2,[0]!TURNO1,O$31,[0]!CANDIDATO1,$C84,[0]!MUNICIPIO1,$B$77)</f>
        <v>0</v>
      </c>
      <c r="P84" s="6">
        <f>SUMIFS([0]!VOTOS2,[0]!TURNO1,P$31,[0]!CANDIDATO1,$C84,[0]!MUNICIPIO1,$B$77)</f>
        <v>0</v>
      </c>
      <c r="Q84" s="6">
        <f>SUMIFS([0]!VOTOS2,[0]!TURNO1,Q$31,[0]!CANDIDATO1,$C84,[0]!MUNICIPIO1,$B$77)</f>
        <v>0</v>
      </c>
      <c r="R84" s="6">
        <f>SUMIFS([0]!VOTOS2,[0]!TURNO1,R$31,[0]!CANDIDATO1,$C84,[0]!MUNICIPIO1,$B$77)</f>
        <v>0</v>
      </c>
      <c r="S84" s="6">
        <f>SUMIFS([0]!VOTOS2,[0]!TURNO1,S$31,[0]!CANDIDATO1,$C84,[0]!MUNICIPIO1,$B$77)</f>
        <v>0</v>
      </c>
      <c r="T84" s="6">
        <f>SUMIFS([0]!VOTOS2,[0]!TURNO1,T$31,[0]!CANDIDATO1,$C84,[0]!MUNICIPIO1,$B$77)</f>
        <v>0</v>
      </c>
      <c r="U84" s="6">
        <f>SUMIFS([0]!VOTOS2,[0]!TURNO1,U$31,[0]!CANDIDATO1,$C84,[0]!MUNICIPIO1,$B$77)</f>
        <v>0</v>
      </c>
      <c r="V84" s="6">
        <f>SUMIFS([0]!VOTOS2,[0]!TURNO1,V$31,[0]!CANDIDATO1,$C84,[0]!MUNICIPIO1,$B$77)</f>
        <v>0</v>
      </c>
      <c r="W84" s="6">
        <f>SUMIFS([0]!VOTOS2,[0]!TURNO1,W$31,[0]!CANDIDATO1,$C84,[0]!MUNICIPIO1,$B$77)</f>
        <v>0</v>
      </c>
      <c r="X84" s="24"/>
      <c r="Y84" s="18" t="str">
        <f t="shared" si="166"/>
        <v>JOSE TIRADO</v>
      </c>
      <c r="Z84" s="34">
        <f t="shared" si="167"/>
        <v>0</v>
      </c>
      <c r="AA84" s="34">
        <f t="shared" si="168"/>
        <v>0</v>
      </c>
      <c r="AB84" s="34">
        <f t="shared" ref="AB84:AR84" si="181">IF(SUM(G77:G89)=0,NA(),G84+AA84)</f>
        <v>0</v>
      </c>
      <c r="AC84" s="34">
        <f t="shared" si="181"/>
        <v>0</v>
      </c>
      <c r="AD84" s="34">
        <f t="shared" si="181"/>
        <v>0</v>
      </c>
      <c r="AE84" s="34">
        <f t="shared" si="181"/>
        <v>0</v>
      </c>
      <c r="AF84" s="34">
        <f t="shared" si="181"/>
        <v>0</v>
      </c>
      <c r="AG84" s="34">
        <f t="shared" si="181"/>
        <v>0</v>
      </c>
      <c r="AH84" s="34">
        <f t="shared" si="181"/>
        <v>0</v>
      </c>
      <c r="AI84" s="34">
        <f t="shared" si="181"/>
        <v>0</v>
      </c>
      <c r="AJ84" s="34">
        <f t="shared" si="181"/>
        <v>0</v>
      </c>
      <c r="AK84" s="34" t="e">
        <f t="shared" si="181"/>
        <v>#N/A</v>
      </c>
      <c r="AL84" s="34" t="e">
        <f t="shared" si="181"/>
        <v>#N/A</v>
      </c>
      <c r="AM84" s="34" t="e">
        <f t="shared" si="181"/>
        <v>#N/A</v>
      </c>
      <c r="AN84" s="34" t="e">
        <f t="shared" si="181"/>
        <v>#N/A</v>
      </c>
      <c r="AO84" s="34" t="e">
        <f t="shared" si="181"/>
        <v>#N/A</v>
      </c>
      <c r="AP84" s="34" t="e">
        <f t="shared" si="181"/>
        <v>#N/A</v>
      </c>
      <c r="AQ84" s="34" t="e">
        <f t="shared" si="181"/>
        <v>#N/A</v>
      </c>
      <c r="AR84" s="34" t="e">
        <f t="shared" si="181"/>
        <v>#N/A</v>
      </c>
      <c r="AS84" s="27"/>
      <c r="AT84" s="41"/>
      <c r="AU84" s="41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30"/>
    </row>
    <row r="85" spans="1:66" ht="11.25" customHeight="1" x14ac:dyDescent="0.2">
      <c r="A85" s="44"/>
      <c r="B85" s="54"/>
      <c r="C85" s="46">
        <v>9</v>
      </c>
      <c r="D85" s="14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24"/>
      <c r="Y85" s="18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27"/>
      <c r="AT85" s="41"/>
      <c r="AU85" s="41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30"/>
    </row>
    <row r="86" spans="1:66" ht="11.25" customHeight="1" x14ac:dyDescent="0.2">
      <c r="A86" s="44"/>
      <c r="B86" s="54"/>
      <c r="C86" s="46">
        <v>10</v>
      </c>
      <c r="D86" s="14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24"/>
      <c r="Y86" s="18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27"/>
      <c r="AT86" s="41"/>
      <c r="AU86" s="41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30"/>
    </row>
    <row r="87" spans="1:66" ht="11.25" customHeight="1" x14ac:dyDescent="0.2">
      <c r="A87" s="44"/>
      <c r="B87" s="54"/>
      <c r="C87" s="46">
        <v>11</v>
      </c>
      <c r="D87" s="14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24"/>
      <c r="Y87" s="18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27"/>
      <c r="AT87" s="41"/>
      <c r="AU87" s="41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30"/>
    </row>
    <row r="88" spans="1:66" ht="11.25" customHeight="1" x14ac:dyDescent="0.2">
      <c r="A88" s="44"/>
      <c r="B88" s="54"/>
      <c r="C88" s="46">
        <v>12</v>
      </c>
      <c r="D88" s="14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24"/>
      <c r="Y88" s="18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27"/>
      <c r="AT88" s="41"/>
      <c r="AU88" s="41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30"/>
    </row>
    <row r="89" spans="1:66" ht="11.25" customHeight="1" x14ac:dyDescent="0.2">
      <c r="A89" s="44"/>
      <c r="B89" s="54"/>
      <c r="C89" s="46">
        <v>13</v>
      </c>
      <c r="D89" s="14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24"/>
      <c r="Y89" s="18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27"/>
      <c r="AT89" s="41"/>
      <c r="AU89" s="41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30"/>
    </row>
    <row r="90" spans="1:66" ht="11.25" customHeight="1" x14ac:dyDescent="0.2">
      <c r="D90" s="31" t="s">
        <v>76</v>
      </c>
      <c r="X90" s="24"/>
      <c r="Y90" s="19" t="s">
        <v>79</v>
      </c>
      <c r="Z90" s="34">
        <f t="shared" ref="Z90" si="182">SUM(Z79:Z89)</f>
        <v>225</v>
      </c>
      <c r="AA90" s="34">
        <f t="shared" ref="AA90" si="183">SUM(AA79:AA89)</f>
        <v>0</v>
      </c>
      <c r="AB90" s="34">
        <f t="shared" ref="AB90" si="184">SUM(AB79:AB89)</f>
        <v>30</v>
      </c>
      <c r="AC90" s="34">
        <f t="shared" ref="AC90" si="185">SUM(AC79:AC89)</f>
        <v>60</v>
      </c>
      <c r="AD90" s="34">
        <f t="shared" ref="AD90" si="186">SUM(AD79:AD89)</f>
        <v>81</v>
      </c>
      <c r="AE90" s="34">
        <f t="shared" ref="AE90" si="187">SUM(AE79:AE89)</f>
        <v>108</v>
      </c>
      <c r="AF90" s="34">
        <f t="shared" ref="AF90" si="188">SUM(AF79:AF89)</f>
        <v>133</v>
      </c>
      <c r="AG90" s="34">
        <f t="shared" ref="AG90" si="189">SUM(AG79:AG89)</f>
        <v>158</v>
      </c>
      <c r="AH90" s="34">
        <f t="shared" ref="AH90" si="190">SUM(AH79:AH89)</f>
        <v>183</v>
      </c>
      <c r="AI90" s="34">
        <f t="shared" ref="AI90" si="191">SUM(AI79:AI89)</f>
        <v>205</v>
      </c>
      <c r="AJ90" s="34">
        <f t="shared" ref="AJ90" si="192">SUM(AJ79:AJ89)</f>
        <v>225</v>
      </c>
      <c r="AK90" s="34" t="e">
        <f t="shared" ref="AK90" si="193">SUM(AK79:AK89)</f>
        <v>#N/A</v>
      </c>
      <c r="AL90" s="34" t="e">
        <f t="shared" ref="AL90" si="194">SUM(AL79:AL89)</f>
        <v>#N/A</v>
      </c>
      <c r="AM90" s="34" t="e">
        <f t="shared" ref="AM90" si="195">SUM(AM79:AM89)</f>
        <v>#N/A</v>
      </c>
      <c r="AN90" s="34" t="e">
        <f t="shared" ref="AN90" si="196">SUM(AN79:AN89)</f>
        <v>#N/A</v>
      </c>
      <c r="AO90" s="34" t="e">
        <f t="shared" ref="AO90" si="197">SUM(AO79:AO89)</f>
        <v>#N/A</v>
      </c>
      <c r="AP90" s="34" t="e">
        <f t="shared" ref="AP90" si="198">SUM(AP79:AP89)</f>
        <v>#N/A</v>
      </c>
      <c r="AQ90" s="34" t="e">
        <f t="shared" ref="AQ90" si="199">SUM(AQ79:AQ89)</f>
        <v>#N/A</v>
      </c>
      <c r="AR90" s="34" t="e">
        <f t="shared" ref="AR90" si="200">SUM(AR79:AR89)</f>
        <v>#N/A</v>
      </c>
      <c r="AS90" s="27"/>
      <c r="AT90" s="41"/>
      <c r="AU90" s="41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30"/>
    </row>
    <row r="91" spans="1:66" ht="11.25" customHeight="1" x14ac:dyDescent="0.2">
      <c r="A91" s="75" t="s">
        <v>63</v>
      </c>
      <c r="B91" s="76"/>
      <c r="C91" s="47"/>
      <c r="D91" s="48" t="s">
        <v>75</v>
      </c>
      <c r="E91" s="49" t="s">
        <v>70</v>
      </c>
      <c r="F91" s="49">
        <v>0</v>
      </c>
      <c r="G91" s="49">
        <v>1</v>
      </c>
      <c r="H91" s="49">
        <v>2</v>
      </c>
      <c r="I91" s="49">
        <v>3</v>
      </c>
      <c r="J91" s="49">
        <v>4</v>
      </c>
      <c r="K91" s="49">
        <v>5</v>
      </c>
      <c r="L91" s="49">
        <v>6</v>
      </c>
      <c r="M91" s="49">
        <v>7</v>
      </c>
      <c r="N91" s="49">
        <v>8</v>
      </c>
      <c r="O91" s="49">
        <v>9</v>
      </c>
      <c r="P91" s="49">
        <v>10</v>
      </c>
      <c r="Q91" s="49">
        <v>11</v>
      </c>
      <c r="R91" s="49">
        <v>12</v>
      </c>
      <c r="S91" s="49">
        <v>13</v>
      </c>
      <c r="T91" s="49">
        <v>14</v>
      </c>
      <c r="U91" s="49">
        <v>15</v>
      </c>
      <c r="V91" s="49">
        <v>16</v>
      </c>
      <c r="W91" s="23">
        <v>17</v>
      </c>
      <c r="X91" s="24"/>
      <c r="Y91" s="17"/>
      <c r="Z91" s="25" t="s">
        <v>64</v>
      </c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7"/>
      <c r="AT91" s="28"/>
      <c r="AU91" s="28" t="s">
        <v>64</v>
      </c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30"/>
    </row>
    <row r="92" spans="1:66" ht="11.25" customHeight="1" x14ac:dyDescent="0.2">
      <c r="A92" s="32"/>
      <c r="B92" s="72">
        <v>7</v>
      </c>
      <c r="C92" s="56">
        <v>1</v>
      </c>
      <c r="D92" s="7" t="s">
        <v>114</v>
      </c>
      <c r="E92" s="16">
        <f t="shared" ref="E92:E98" si="201">SUM(F92:W92)</f>
        <v>81</v>
      </c>
      <c r="F92" s="6">
        <f>SUMIFS([0]!VOTOS2,[0]!TURNO1,F$31,[0]!CANDIDATO1,$C92,[0]!MUNICIPIO1,$B$92)</f>
        <v>10</v>
      </c>
      <c r="G92" s="6">
        <f>SUMIFS([0]!VOTOS2,[0]!TURNO1,G$31,[0]!CANDIDATO1,$C92,[0]!MUNICIPIO1,$B$92)</f>
        <v>3</v>
      </c>
      <c r="H92" s="6">
        <f>SUMIFS([0]!VOTOS2,[0]!TURNO1,H$31,[0]!CANDIDATO1,$C92,[0]!MUNICIPIO1,$B$92)</f>
        <v>10</v>
      </c>
      <c r="I92" s="6">
        <f>SUMIFS([0]!VOTOS2,[0]!TURNO1,I$31,[0]!CANDIDATO1,$C92,[0]!MUNICIPIO1,$B$92)</f>
        <v>8</v>
      </c>
      <c r="J92" s="6">
        <f>SUMIFS([0]!VOTOS2,[0]!TURNO1,J$31,[0]!CANDIDATO1,$C92,[0]!MUNICIPIO1,$B$92)</f>
        <v>10</v>
      </c>
      <c r="K92" s="6">
        <f>SUMIFS([0]!VOTOS2,[0]!TURNO1,K$31,[0]!CANDIDATO1,$C92,[0]!MUNICIPIO1,$B$92)</f>
        <v>9</v>
      </c>
      <c r="L92" s="6">
        <f>SUMIFS([0]!VOTOS2,[0]!TURNO1,L$31,[0]!CANDIDATO1,$C92,[0]!MUNICIPIO1,$B$92)</f>
        <v>11</v>
      </c>
      <c r="M92" s="6">
        <f>SUMIFS([0]!VOTOS2,[0]!TURNO1,M$31,[0]!CANDIDATO1,$C92,[0]!MUNICIPIO1,$B$92)</f>
        <v>12</v>
      </c>
      <c r="N92" s="6">
        <f>SUMIFS([0]!VOTOS2,[0]!TURNO1,N$31,[0]!CANDIDATO1,$C92,[0]!MUNICIPIO1,$B$92)</f>
        <v>6</v>
      </c>
      <c r="O92" s="6">
        <f>SUMIFS([0]!VOTOS2,[0]!TURNO1,O$31,[0]!CANDIDATO1,$C92,[0]!MUNICIPIO1,$B$92)</f>
        <v>2</v>
      </c>
      <c r="P92" s="6">
        <f>SUMIFS([0]!VOTOS2,[0]!TURNO1,P$31,[0]!CANDIDATO1,$C92,[0]!MUNICIPIO1,$B$92)</f>
        <v>0</v>
      </c>
      <c r="Q92" s="6">
        <f>SUMIFS([0]!VOTOS2,[0]!TURNO1,Q$31,[0]!CANDIDATO1,$C92,[0]!MUNICIPIO1,$B$92)</f>
        <v>0</v>
      </c>
      <c r="R92" s="6">
        <f>SUMIFS([0]!VOTOS2,[0]!TURNO1,R$31,[0]!CANDIDATO1,$C92,[0]!MUNICIPIO1,$B$92)</f>
        <v>0</v>
      </c>
      <c r="S92" s="6">
        <f>SUMIFS([0]!VOTOS2,[0]!TURNO1,S$31,[0]!CANDIDATO1,$C92,[0]!MUNICIPIO1,$B$92)</f>
        <v>0</v>
      </c>
      <c r="T92" s="6">
        <f>SUMIFS([0]!VOTOS2,[0]!TURNO1,T$31,[0]!CANDIDATO1,$C92,[0]!MUNICIPIO1,$B$92)</f>
        <v>0</v>
      </c>
      <c r="U92" s="6">
        <f>SUMIFS([0]!VOTOS2,[0]!TURNO1,U$31,[0]!CANDIDATO1,$C92,[0]!MUNICIPIO1,$B$92)</f>
        <v>0</v>
      </c>
      <c r="V92" s="6">
        <f>SUMIFS([0]!VOTOS2,[0]!TURNO1,V$31,[0]!CANDIDATO1,$C92,[0]!MUNICIPIO1,$B$92)</f>
        <v>0</v>
      </c>
      <c r="W92" s="6">
        <f>SUMIFS([0]!VOTOS2,[0]!TURNO1,W$31,[0]!CANDIDATO1,$C92,[0]!MUNICIPIO1,$B$92)</f>
        <v>0</v>
      </c>
      <c r="X92" s="24"/>
      <c r="Y92" s="18" t="str">
        <f t="shared" ref="Y92:Y98" si="202">D92</f>
        <v>MAGGLIO ORDOÑEZ</v>
      </c>
      <c r="Z92" s="34">
        <f t="shared" ref="Z92:Z98" si="203">E92</f>
        <v>81</v>
      </c>
      <c r="AA92" s="34">
        <f t="shared" ref="AA92:AA98" si="204">F92</f>
        <v>10</v>
      </c>
      <c r="AB92" s="34">
        <f t="shared" ref="AB92:AR92" si="205">IF(SUM(G92:G104)=0,NA(),G92+AA92)</f>
        <v>13</v>
      </c>
      <c r="AC92" s="34">
        <f t="shared" si="205"/>
        <v>23</v>
      </c>
      <c r="AD92" s="34">
        <f t="shared" si="205"/>
        <v>31</v>
      </c>
      <c r="AE92" s="34">
        <f t="shared" si="205"/>
        <v>41</v>
      </c>
      <c r="AF92" s="34">
        <f t="shared" si="205"/>
        <v>50</v>
      </c>
      <c r="AG92" s="34">
        <f t="shared" si="205"/>
        <v>61</v>
      </c>
      <c r="AH92" s="34">
        <f t="shared" si="205"/>
        <v>73</v>
      </c>
      <c r="AI92" s="34">
        <f t="shared" si="205"/>
        <v>79</v>
      </c>
      <c r="AJ92" s="34">
        <f t="shared" si="205"/>
        <v>81</v>
      </c>
      <c r="AK92" s="34" t="e">
        <f t="shared" si="205"/>
        <v>#N/A</v>
      </c>
      <c r="AL92" s="34" t="e">
        <f t="shared" si="205"/>
        <v>#N/A</v>
      </c>
      <c r="AM92" s="34" t="e">
        <f t="shared" si="205"/>
        <v>#N/A</v>
      </c>
      <c r="AN92" s="34" t="e">
        <f t="shared" si="205"/>
        <v>#N/A</v>
      </c>
      <c r="AO92" s="34" t="e">
        <f t="shared" si="205"/>
        <v>#N/A</v>
      </c>
      <c r="AP92" s="34" t="e">
        <f t="shared" si="205"/>
        <v>#N/A</v>
      </c>
      <c r="AQ92" s="34" t="e">
        <f t="shared" si="205"/>
        <v>#N/A</v>
      </c>
      <c r="AR92" s="34" t="e">
        <f t="shared" si="205"/>
        <v>#N/A</v>
      </c>
      <c r="AS92" s="27"/>
      <c r="AT92" s="35" t="str">
        <f t="shared" ref="AT92:AT93" si="206">Y92</f>
        <v>MAGGLIO ORDOÑEZ</v>
      </c>
      <c r="AU92" s="36">
        <f t="shared" ref="AU92:BM92" si="207">Z92/(Z92+Z93+Z105)</f>
        <v>0.4550561797752809</v>
      </c>
      <c r="AV92" s="36">
        <f t="shared" si="207"/>
        <v>0.5</v>
      </c>
      <c r="AW92" s="36">
        <f t="shared" si="207"/>
        <v>0.44827586206896552</v>
      </c>
      <c r="AX92" s="36">
        <f t="shared" si="207"/>
        <v>0.48936170212765956</v>
      </c>
      <c r="AY92" s="36">
        <f t="shared" si="207"/>
        <v>0.484375</v>
      </c>
      <c r="AZ92" s="36">
        <f t="shared" si="207"/>
        <v>0.4606741573033708</v>
      </c>
      <c r="BA92" s="36">
        <f t="shared" si="207"/>
        <v>0.43859649122807015</v>
      </c>
      <c r="BB92" s="36">
        <f t="shared" si="207"/>
        <v>0.45185185185185184</v>
      </c>
      <c r="BC92" s="36">
        <f t="shared" si="207"/>
        <v>0.44242424242424244</v>
      </c>
      <c r="BD92" s="36">
        <f t="shared" si="207"/>
        <v>0.44886363636363635</v>
      </c>
      <c r="BE92" s="36">
        <f t="shared" si="207"/>
        <v>0.4550561797752809</v>
      </c>
      <c r="BF92" s="36" t="e">
        <f t="shared" si="207"/>
        <v>#N/A</v>
      </c>
      <c r="BG92" s="36" t="e">
        <f t="shared" si="207"/>
        <v>#N/A</v>
      </c>
      <c r="BH92" s="36" t="e">
        <f t="shared" si="207"/>
        <v>#N/A</v>
      </c>
      <c r="BI92" s="36" t="e">
        <f t="shared" si="207"/>
        <v>#N/A</v>
      </c>
      <c r="BJ92" s="36" t="e">
        <f t="shared" si="207"/>
        <v>#N/A</v>
      </c>
      <c r="BK92" s="36" t="e">
        <f t="shared" si="207"/>
        <v>#N/A</v>
      </c>
      <c r="BL92" s="36" t="e">
        <f t="shared" si="207"/>
        <v>#N/A</v>
      </c>
      <c r="BM92" s="36" t="e">
        <f t="shared" si="207"/>
        <v>#N/A</v>
      </c>
      <c r="BN92" s="30"/>
    </row>
    <row r="93" spans="1:66" ht="11.25" customHeight="1" x14ac:dyDescent="0.2">
      <c r="A93" s="37"/>
      <c r="B93" s="73"/>
      <c r="C93" s="33">
        <v>2</v>
      </c>
      <c r="D93" s="8" t="s">
        <v>115</v>
      </c>
      <c r="E93" s="16">
        <f t="shared" si="201"/>
        <v>77</v>
      </c>
      <c r="F93" s="6">
        <f>SUMIFS([0]!VOTOS2,[0]!TURNO1,F$31,[0]!CANDIDATO1,$C93,[0]!MUNICIPIO1,$B$92)</f>
        <v>10</v>
      </c>
      <c r="G93" s="6">
        <f>SUMIFS([0]!VOTOS2,[0]!TURNO1,G$31,[0]!CANDIDATO1,$C93,[0]!MUNICIPIO1,$B$92)</f>
        <v>5</v>
      </c>
      <c r="H93" s="6">
        <f>SUMIFS([0]!VOTOS2,[0]!TURNO1,H$31,[0]!CANDIDATO1,$C93,[0]!MUNICIPIO1,$B$92)</f>
        <v>5</v>
      </c>
      <c r="I93" s="6">
        <f>SUMIFS([0]!VOTOS2,[0]!TURNO1,I$31,[0]!CANDIDATO1,$C93,[0]!MUNICIPIO1,$B$92)</f>
        <v>7</v>
      </c>
      <c r="J93" s="6">
        <f>SUMIFS([0]!VOTOS2,[0]!TURNO1,J$31,[0]!CANDIDATO1,$C93,[0]!MUNICIPIO1,$B$92)</f>
        <v>12</v>
      </c>
      <c r="K93" s="6">
        <f>SUMIFS([0]!VOTOS2,[0]!TURNO1,K$31,[0]!CANDIDATO1,$C93,[0]!MUNICIPIO1,$B$92)</f>
        <v>12</v>
      </c>
      <c r="L93" s="6">
        <f>SUMIFS([0]!VOTOS2,[0]!TURNO1,L$31,[0]!CANDIDATO1,$C93,[0]!MUNICIPIO1,$B$92)</f>
        <v>7</v>
      </c>
      <c r="M93" s="6">
        <f>SUMIFS([0]!VOTOS2,[0]!TURNO1,M$31,[0]!CANDIDATO1,$C93,[0]!MUNICIPIO1,$B$92)</f>
        <v>15</v>
      </c>
      <c r="N93" s="6">
        <f>SUMIFS([0]!VOTOS2,[0]!TURNO1,N$31,[0]!CANDIDATO1,$C93,[0]!MUNICIPIO1,$B$92)</f>
        <v>4</v>
      </c>
      <c r="O93" s="6">
        <f>SUMIFS([0]!VOTOS2,[0]!TURNO1,O$31,[0]!CANDIDATO1,$C93,[0]!MUNICIPIO1,$B$92)</f>
        <v>0</v>
      </c>
      <c r="P93" s="6">
        <f>SUMIFS([0]!VOTOS2,[0]!TURNO1,P$31,[0]!CANDIDATO1,$C93,[0]!MUNICIPIO1,$B$92)</f>
        <v>0</v>
      </c>
      <c r="Q93" s="6">
        <f>SUMIFS([0]!VOTOS2,[0]!TURNO1,Q$31,[0]!CANDIDATO1,$C93,[0]!MUNICIPIO1,$B$92)</f>
        <v>0</v>
      </c>
      <c r="R93" s="6">
        <f>SUMIFS([0]!VOTOS2,[0]!TURNO1,R$31,[0]!CANDIDATO1,$C93,[0]!MUNICIPIO1,$B$92)</f>
        <v>0</v>
      </c>
      <c r="S93" s="6">
        <f>SUMIFS([0]!VOTOS2,[0]!TURNO1,S$31,[0]!CANDIDATO1,$C93,[0]!MUNICIPIO1,$B$92)</f>
        <v>0</v>
      </c>
      <c r="T93" s="6">
        <f>SUMIFS([0]!VOTOS2,[0]!TURNO1,T$31,[0]!CANDIDATO1,$C93,[0]!MUNICIPIO1,$B$92)</f>
        <v>0</v>
      </c>
      <c r="U93" s="6">
        <f>SUMIFS([0]!VOTOS2,[0]!TURNO1,U$31,[0]!CANDIDATO1,$C93,[0]!MUNICIPIO1,$B$92)</f>
        <v>0</v>
      </c>
      <c r="V93" s="6">
        <f>SUMIFS([0]!VOTOS2,[0]!TURNO1,V$31,[0]!CANDIDATO1,$C93,[0]!MUNICIPIO1,$B$92)</f>
        <v>0</v>
      </c>
      <c r="W93" s="6">
        <f>SUMIFS([0]!VOTOS2,[0]!TURNO1,W$31,[0]!CANDIDATO1,$C93,[0]!MUNICIPIO1,$B$92)</f>
        <v>0</v>
      </c>
      <c r="X93" s="24"/>
      <c r="Y93" s="18" t="str">
        <f t="shared" si="202"/>
        <v>MARCO FIGUEROA</v>
      </c>
      <c r="Z93" s="34">
        <f t="shared" si="203"/>
        <v>77</v>
      </c>
      <c r="AA93" s="34">
        <f t="shared" si="204"/>
        <v>10</v>
      </c>
      <c r="AB93" s="34">
        <f t="shared" ref="AB93:AR93" si="208">IF(SUM(G92:G104)=0,NA(),G93+AA93)</f>
        <v>15</v>
      </c>
      <c r="AC93" s="34">
        <f t="shared" si="208"/>
        <v>20</v>
      </c>
      <c r="AD93" s="34">
        <f t="shared" si="208"/>
        <v>27</v>
      </c>
      <c r="AE93" s="34">
        <f t="shared" si="208"/>
        <v>39</v>
      </c>
      <c r="AF93" s="34">
        <f t="shared" si="208"/>
        <v>51</v>
      </c>
      <c r="AG93" s="34">
        <f t="shared" si="208"/>
        <v>58</v>
      </c>
      <c r="AH93" s="34">
        <f t="shared" si="208"/>
        <v>73</v>
      </c>
      <c r="AI93" s="34">
        <f t="shared" si="208"/>
        <v>77</v>
      </c>
      <c r="AJ93" s="34">
        <f t="shared" si="208"/>
        <v>77</v>
      </c>
      <c r="AK93" s="34" t="e">
        <f t="shared" si="208"/>
        <v>#N/A</v>
      </c>
      <c r="AL93" s="34" t="e">
        <f t="shared" si="208"/>
        <v>#N/A</v>
      </c>
      <c r="AM93" s="34" t="e">
        <f t="shared" si="208"/>
        <v>#N/A</v>
      </c>
      <c r="AN93" s="34" t="e">
        <f t="shared" si="208"/>
        <v>#N/A</v>
      </c>
      <c r="AO93" s="34" t="e">
        <f t="shared" si="208"/>
        <v>#N/A</v>
      </c>
      <c r="AP93" s="34" t="e">
        <f t="shared" si="208"/>
        <v>#N/A</v>
      </c>
      <c r="AQ93" s="34" t="e">
        <f t="shared" si="208"/>
        <v>#N/A</v>
      </c>
      <c r="AR93" s="34" t="e">
        <f t="shared" si="208"/>
        <v>#N/A</v>
      </c>
      <c r="AS93" s="27"/>
      <c r="AT93" s="35" t="str">
        <f t="shared" si="206"/>
        <v>MARCO FIGUEROA</v>
      </c>
      <c r="AU93" s="36">
        <f t="shared" ref="AU93:BM93" si="209">Z93/(Z92+Z93+Z105)</f>
        <v>0.43258426966292135</v>
      </c>
      <c r="AV93" s="36">
        <f t="shared" si="209"/>
        <v>0.5</v>
      </c>
      <c r="AW93" s="36">
        <f t="shared" si="209"/>
        <v>0.51724137931034486</v>
      </c>
      <c r="AX93" s="36">
        <f t="shared" si="209"/>
        <v>0.42553191489361702</v>
      </c>
      <c r="AY93" s="36">
        <f t="shared" si="209"/>
        <v>0.421875</v>
      </c>
      <c r="AZ93" s="36">
        <f t="shared" si="209"/>
        <v>0.43820224719101125</v>
      </c>
      <c r="BA93" s="36">
        <f t="shared" si="209"/>
        <v>0.44736842105263158</v>
      </c>
      <c r="BB93" s="36">
        <f t="shared" si="209"/>
        <v>0.42962962962962964</v>
      </c>
      <c r="BC93" s="36">
        <f t="shared" si="209"/>
        <v>0.44242424242424244</v>
      </c>
      <c r="BD93" s="36">
        <f t="shared" si="209"/>
        <v>0.4375</v>
      </c>
      <c r="BE93" s="36">
        <f t="shared" si="209"/>
        <v>0.43258426966292135</v>
      </c>
      <c r="BF93" s="36" t="e">
        <f t="shared" si="209"/>
        <v>#N/A</v>
      </c>
      <c r="BG93" s="36" t="e">
        <f t="shared" si="209"/>
        <v>#N/A</v>
      </c>
      <c r="BH93" s="36" t="e">
        <f t="shared" si="209"/>
        <v>#N/A</v>
      </c>
      <c r="BI93" s="36" t="e">
        <f t="shared" si="209"/>
        <v>#N/A</v>
      </c>
      <c r="BJ93" s="36" t="e">
        <f t="shared" si="209"/>
        <v>#N/A</v>
      </c>
      <c r="BK93" s="36" t="e">
        <f t="shared" si="209"/>
        <v>#N/A</v>
      </c>
      <c r="BL93" s="36" t="e">
        <f t="shared" si="209"/>
        <v>#N/A</v>
      </c>
      <c r="BM93" s="36" t="e">
        <f t="shared" si="209"/>
        <v>#N/A</v>
      </c>
      <c r="BN93" s="30"/>
    </row>
    <row r="94" spans="1:66" ht="11.25" customHeight="1" x14ac:dyDescent="0.2">
      <c r="A94" s="38" t="s">
        <v>0</v>
      </c>
      <c r="B94" s="73"/>
      <c r="C94" s="56">
        <v>3</v>
      </c>
      <c r="D94" s="8" t="s">
        <v>116</v>
      </c>
      <c r="E94" s="16">
        <f t="shared" si="201"/>
        <v>9</v>
      </c>
      <c r="F94" s="6">
        <f>SUMIFS([0]!VOTOS2,[0]!TURNO1,F$31,[0]!CANDIDATO1,$C94,[0]!MUNICIPIO1,$B$92)</f>
        <v>0</v>
      </c>
      <c r="G94" s="6">
        <f>SUMIFS([0]!VOTOS2,[0]!TURNO1,G$31,[0]!CANDIDATO1,$C94,[0]!MUNICIPIO1,$B$92)</f>
        <v>1</v>
      </c>
      <c r="H94" s="6">
        <f>SUMIFS([0]!VOTOS2,[0]!TURNO1,H$31,[0]!CANDIDATO1,$C94,[0]!MUNICIPIO1,$B$92)</f>
        <v>1</v>
      </c>
      <c r="I94" s="6">
        <f>SUMIFS([0]!VOTOS2,[0]!TURNO1,I$31,[0]!CANDIDATO1,$C94,[0]!MUNICIPIO1,$B$92)</f>
        <v>1</v>
      </c>
      <c r="J94" s="6">
        <f>SUMIFS([0]!VOTOS2,[0]!TURNO1,J$31,[0]!CANDIDATO1,$C94,[0]!MUNICIPIO1,$B$92)</f>
        <v>2</v>
      </c>
      <c r="K94" s="6">
        <f>SUMIFS([0]!VOTOS2,[0]!TURNO1,K$31,[0]!CANDIDATO1,$C94,[0]!MUNICIPIO1,$B$92)</f>
        <v>1</v>
      </c>
      <c r="L94" s="6">
        <f>SUMIFS([0]!VOTOS2,[0]!TURNO1,L$31,[0]!CANDIDATO1,$C94,[0]!MUNICIPIO1,$B$92)</f>
        <v>2</v>
      </c>
      <c r="M94" s="6">
        <f>SUMIFS([0]!VOTOS2,[0]!TURNO1,M$31,[0]!CANDIDATO1,$C94,[0]!MUNICIPIO1,$B$92)</f>
        <v>1</v>
      </c>
      <c r="N94" s="6">
        <f>SUMIFS([0]!VOTOS2,[0]!TURNO1,N$31,[0]!CANDIDATO1,$C94,[0]!MUNICIPIO1,$B$92)</f>
        <v>0</v>
      </c>
      <c r="O94" s="6">
        <f>SUMIFS([0]!VOTOS2,[0]!TURNO1,O$31,[0]!CANDIDATO1,$C94,[0]!MUNICIPIO1,$B$92)</f>
        <v>0</v>
      </c>
      <c r="P94" s="6">
        <f>SUMIFS([0]!VOTOS2,[0]!TURNO1,P$31,[0]!CANDIDATO1,$C94,[0]!MUNICIPIO1,$B$92)</f>
        <v>0</v>
      </c>
      <c r="Q94" s="6">
        <f>SUMIFS([0]!VOTOS2,[0]!TURNO1,Q$31,[0]!CANDIDATO1,$C94,[0]!MUNICIPIO1,$B$92)</f>
        <v>0</v>
      </c>
      <c r="R94" s="6">
        <f>SUMIFS([0]!VOTOS2,[0]!TURNO1,R$31,[0]!CANDIDATO1,$C94,[0]!MUNICIPIO1,$B$92)</f>
        <v>0</v>
      </c>
      <c r="S94" s="6">
        <f>SUMIFS([0]!VOTOS2,[0]!TURNO1,S$31,[0]!CANDIDATO1,$C94,[0]!MUNICIPIO1,$B$92)</f>
        <v>0</v>
      </c>
      <c r="T94" s="6">
        <f>SUMIFS([0]!VOTOS2,[0]!TURNO1,T$31,[0]!CANDIDATO1,$C94,[0]!MUNICIPIO1,$B$92)</f>
        <v>0</v>
      </c>
      <c r="U94" s="6">
        <f>SUMIFS([0]!VOTOS2,[0]!TURNO1,U$31,[0]!CANDIDATO1,$C94,[0]!MUNICIPIO1,$B$92)</f>
        <v>0</v>
      </c>
      <c r="V94" s="6">
        <f>SUMIFS([0]!VOTOS2,[0]!TURNO1,V$31,[0]!CANDIDATO1,$C94,[0]!MUNICIPIO1,$B$92)</f>
        <v>0</v>
      </c>
      <c r="W94" s="6">
        <f>SUMIFS([0]!VOTOS2,[0]!TURNO1,W$31,[0]!CANDIDATO1,$C94,[0]!MUNICIPIO1,$B$92)</f>
        <v>0</v>
      </c>
      <c r="X94" s="24"/>
      <c r="Y94" s="18" t="str">
        <f t="shared" si="202"/>
        <v>LUIS BASTIDAS</v>
      </c>
      <c r="Z94" s="34">
        <f t="shared" si="203"/>
        <v>9</v>
      </c>
      <c r="AA94" s="34">
        <f t="shared" si="204"/>
        <v>0</v>
      </c>
      <c r="AB94" s="34">
        <f t="shared" ref="AB94:AR94" si="210">IF(SUM(G92:G104)=0,NA(),G94+AA94)</f>
        <v>1</v>
      </c>
      <c r="AC94" s="34">
        <f t="shared" si="210"/>
        <v>2</v>
      </c>
      <c r="AD94" s="34">
        <f t="shared" si="210"/>
        <v>3</v>
      </c>
      <c r="AE94" s="34">
        <f t="shared" si="210"/>
        <v>5</v>
      </c>
      <c r="AF94" s="34">
        <f t="shared" si="210"/>
        <v>6</v>
      </c>
      <c r="AG94" s="34">
        <f t="shared" si="210"/>
        <v>8</v>
      </c>
      <c r="AH94" s="34">
        <f t="shared" si="210"/>
        <v>9</v>
      </c>
      <c r="AI94" s="34">
        <f t="shared" si="210"/>
        <v>9</v>
      </c>
      <c r="AJ94" s="34">
        <f t="shared" si="210"/>
        <v>9</v>
      </c>
      <c r="AK94" s="34" t="e">
        <f t="shared" si="210"/>
        <v>#N/A</v>
      </c>
      <c r="AL94" s="34" t="e">
        <f t="shared" si="210"/>
        <v>#N/A</v>
      </c>
      <c r="AM94" s="34" t="e">
        <f t="shared" si="210"/>
        <v>#N/A</v>
      </c>
      <c r="AN94" s="34" t="e">
        <f t="shared" si="210"/>
        <v>#N/A</v>
      </c>
      <c r="AO94" s="34" t="e">
        <f t="shared" si="210"/>
        <v>#N/A</v>
      </c>
      <c r="AP94" s="34" t="e">
        <f t="shared" si="210"/>
        <v>#N/A</v>
      </c>
      <c r="AQ94" s="34" t="e">
        <f t="shared" si="210"/>
        <v>#N/A</v>
      </c>
      <c r="AR94" s="34" t="e">
        <f t="shared" si="210"/>
        <v>#N/A</v>
      </c>
      <c r="AS94" s="27"/>
      <c r="AT94" s="35" t="str">
        <f t="shared" ref="AT94" si="211">Y105</f>
        <v>Otros</v>
      </c>
      <c r="AU94" s="36">
        <f t="shared" ref="AU94:BM94" si="212">Z105/(Z92+Z93+Z105)</f>
        <v>0.11235955056179775</v>
      </c>
      <c r="AV94" s="36">
        <f t="shared" si="212"/>
        <v>0</v>
      </c>
      <c r="AW94" s="36">
        <f t="shared" si="212"/>
        <v>3.4482758620689655E-2</v>
      </c>
      <c r="AX94" s="36">
        <f t="shared" si="212"/>
        <v>8.5106382978723402E-2</v>
      </c>
      <c r="AY94" s="36">
        <f t="shared" si="212"/>
        <v>9.375E-2</v>
      </c>
      <c r="AZ94" s="36">
        <f t="shared" si="212"/>
        <v>0.10112359550561797</v>
      </c>
      <c r="BA94" s="36">
        <f t="shared" si="212"/>
        <v>0.11403508771929824</v>
      </c>
      <c r="BB94" s="36">
        <f t="shared" si="212"/>
        <v>0.11851851851851852</v>
      </c>
      <c r="BC94" s="36">
        <f t="shared" si="212"/>
        <v>0.11515151515151516</v>
      </c>
      <c r="BD94" s="36">
        <f t="shared" si="212"/>
        <v>0.11363636363636363</v>
      </c>
      <c r="BE94" s="36">
        <f t="shared" si="212"/>
        <v>0.11235955056179775</v>
      </c>
      <c r="BF94" s="36" t="e">
        <f t="shared" si="212"/>
        <v>#N/A</v>
      </c>
      <c r="BG94" s="36" t="e">
        <f t="shared" si="212"/>
        <v>#N/A</v>
      </c>
      <c r="BH94" s="36" t="e">
        <f t="shared" si="212"/>
        <v>#N/A</v>
      </c>
      <c r="BI94" s="36" t="e">
        <f t="shared" si="212"/>
        <v>#N/A</v>
      </c>
      <c r="BJ94" s="36" t="e">
        <f t="shared" si="212"/>
        <v>#N/A</v>
      </c>
      <c r="BK94" s="36" t="e">
        <f t="shared" si="212"/>
        <v>#N/A</v>
      </c>
      <c r="BL94" s="36" t="e">
        <f t="shared" si="212"/>
        <v>#N/A</v>
      </c>
      <c r="BM94" s="36" t="e">
        <f t="shared" si="212"/>
        <v>#N/A</v>
      </c>
      <c r="BN94" s="30"/>
    </row>
    <row r="95" spans="1:66" ht="11.25" customHeight="1" x14ac:dyDescent="0.2">
      <c r="A95" s="38" t="s">
        <v>6</v>
      </c>
      <c r="B95" s="73"/>
      <c r="C95" s="33">
        <v>4</v>
      </c>
      <c r="D95" s="8" t="s">
        <v>117</v>
      </c>
      <c r="E95" s="16">
        <f t="shared" si="201"/>
        <v>6</v>
      </c>
      <c r="F95" s="6">
        <f>SUMIFS([0]!VOTOS2,[0]!TURNO1,F$31,[0]!CANDIDATO1,$C95,[0]!MUNICIPIO1,$B$92)</f>
        <v>0</v>
      </c>
      <c r="G95" s="6">
        <f>SUMIFS([0]!VOTOS2,[0]!TURNO1,G$31,[0]!CANDIDATO1,$C95,[0]!MUNICIPIO1,$B$92)</f>
        <v>0</v>
      </c>
      <c r="H95" s="6">
        <f>SUMIFS([0]!VOTOS2,[0]!TURNO1,H$31,[0]!CANDIDATO1,$C95,[0]!MUNICIPIO1,$B$92)</f>
        <v>2</v>
      </c>
      <c r="I95" s="6">
        <f>SUMIFS([0]!VOTOS2,[0]!TURNO1,I$31,[0]!CANDIDATO1,$C95,[0]!MUNICIPIO1,$B$92)</f>
        <v>0</v>
      </c>
      <c r="J95" s="6">
        <f>SUMIFS([0]!VOTOS2,[0]!TURNO1,J$31,[0]!CANDIDATO1,$C95,[0]!MUNICIPIO1,$B$92)</f>
        <v>1</v>
      </c>
      <c r="K95" s="6">
        <f>SUMIFS([0]!VOTOS2,[0]!TURNO1,K$31,[0]!CANDIDATO1,$C95,[0]!MUNICIPIO1,$B$92)</f>
        <v>2</v>
      </c>
      <c r="L95" s="6">
        <f>SUMIFS([0]!VOTOS2,[0]!TURNO1,L$31,[0]!CANDIDATO1,$C95,[0]!MUNICIPIO1,$B$92)</f>
        <v>0</v>
      </c>
      <c r="M95" s="6">
        <f>SUMIFS([0]!VOTOS2,[0]!TURNO1,M$31,[0]!CANDIDATO1,$C95,[0]!MUNICIPIO1,$B$92)</f>
        <v>1</v>
      </c>
      <c r="N95" s="6">
        <f>SUMIFS([0]!VOTOS2,[0]!TURNO1,N$31,[0]!CANDIDATO1,$C95,[0]!MUNICIPIO1,$B$92)</f>
        <v>0</v>
      </c>
      <c r="O95" s="6">
        <f>SUMIFS([0]!VOTOS2,[0]!TURNO1,O$31,[0]!CANDIDATO1,$C95,[0]!MUNICIPIO1,$B$92)</f>
        <v>0</v>
      </c>
      <c r="P95" s="6">
        <f>SUMIFS([0]!VOTOS2,[0]!TURNO1,P$31,[0]!CANDIDATO1,$C95,[0]!MUNICIPIO1,$B$92)</f>
        <v>0</v>
      </c>
      <c r="Q95" s="6">
        <f>SUMIFS([0]!VOTOS2,[0]!TURNO1,Q$31,[0]!CANDIDATO1,$C95,[0]!MUNICIPIO1,$B$92)</f>
        <v>0</v>
      </c>
      <c r="R95" s="6">
        <f>SUMIFS([0]!VOTOS2,[0]!TURNO1,R$31,[0]!CANDIDATO1,$C95,[0]!MUNICIPIO1,$B$92)</f>
        <v>0</v>
      </c>
      <c r="S95" s="6">
        <f>SUMIFS([0]!VOTOS2,[0]!TURNO1,S$31,[0]!CANDIDATO1,$C95,[0]!MUNICIPIO1,$B$92)</f>
        <v>0</v>
      </c>
      <c r="T95" s="6">
        <f>SUMIFS([0]!VOTOS2,[0]!TURNO1,T$31,[0]!CANDIDATO1,$C95,[0]!MUNICIPIO1,$B$92)</f>
        <v>0</v>
      </c>
      <c r="U95" s="6">
        <f>SUMIFS([0]!VOTOS2,[0]!TURNO1,U$31,[0]!CANDIDATO1,$C95,[0]!MUNICIPIO1,$B$92)</f>
        <v>0</v>
      </c>
      <c r="V95" s="6">
        <f>SUMIFS([0]!VOTOS2,[0]!TURNO1,V$31,[0]!CANDIDATO1,$C95,[0]!MUNICIPIO1,$B$92)</f>
        <v>0</v>
      </c>
      <c r="W95" s="6">
        <f>SUMIFS([0]!VOTOS2,[0]!TURNO1,W$31,[0]!CANDIDATO1,$C95,[0]!MUNICIPIO1,$B$92)</f>
        <v>0</v>
      </c>
      <c r="X95" s="24"/>
      <c r="Y95" s="18" t="str">
        <f t="shared" si="202"/>
        <v>ARNOLDO LEON</v>
      </c>
      <c r="Z95" s="34">
        <f t="shared" si="203"/>
        <v>6</v>
      </c>
      <c r="AA95" s="34">
        <f t="shared" si="204"/>
        <v>0</v>
      </c>
      <c r="AB95" s="34">
        <f t="shared" ref="AB95:AR95" si="213">IF(SUM(G92:G104)=0,NA(),G95+AA95)</f>
        <v>0</v>
      </c>
      <c r="AC95" s="34">
        <f t="shared" si="213"/>
        <v>2</v>
      </c>
      <c r="AD95" s="34">
        <f t="shared" si="213"/>
        <v>2</v>
      </c>
      <c r="AE95" s="34">
        <f t="shared" si="213"/>
        <v>3</v>
      </c>
      <c r="AF95" s="34">
        <f t="shared" si="213"/>
        <v>5</v>
      </c>
      <c r="AG95" s="34">
        <f t="shared" si="213"/>
        <v>5</v>
      </c>
      <c r="AH95" s="34">
        <f t="shared" si="213"/>
        <v>6</v>
      </c>
      <c r="AI95" s="34">
        <f t="shared" si="213"/>
        <v>6</v>
      </c>
      <c r="AJ95" s="34">
        <f t="shared" si="213"/>
        <v>6</v>
      </c>
      <c r="AK95" s="34" t="e">
        <f t="shared" si="213"/>
        <v>#N/A</v>
      </c>
      <c r="AL95" s="34" t="e">
        <f t="shared" si="213"/>
        <v>#N/A</v>
      </c>
      <c r="AM95" s="34" t="e">
        <f t="shared" si="213"/>
        <v>#N/A</v>
      </c>
      <c r="AN95" s="34" t="e">
        <f t="shared" si="213"/>
        <v>#N/A</v>
      </c>
      <c r="AO95" s="34" t="e">
        <f t="shared" si="213"/>
        <v>#N/A</v>
      </c>
      <c r="AP95" s="34" t="e">
        <f t="shared" si="213"/>
        <v>#N/A</v>
      </c>
      <c r="AQ95" s="34" t="e">
        <f t="shared" si="213"/>
        <v>#N/A</v>
      </c>
      <c r="AR95" s="34" t="e">
        <f t="shared" si="213"/>
        <v>#N/A</v>
      </c>
      <c r="AS95" s="27"/>
      <c r="AT95" s="39"/>
      <c r="AU95" s="39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30"/>
    </row>
    <row r="96" spans="1:66" ht="11.25" customHeight="1" x14ac:dyDescent="0.2">
      <c r="A96" s="38"/>
      <c r="B96" s="73"/>
      <c r="C96" s="56">
        <v>5</v>
      </c>
      <c r="D96" s="8" t="s">
        <v>118</v>
      </c>
      <c r="E96" s="16">
        <f t="shared" si="201"/>
        <v>1</v>
      </c>
      <c r="F96" s="6">
        <f>SUMIFS([0]!VOTOS2,[0]!TURNO1,F$31,[0]!CANDIDATO1,$C96,[0]!MUNICIPIO1,$B$92)</f>
        <v>0</v>
      </c>
      <c r="G96" s="6">
        <f>SUMIFS([0]!VOTOS2,[0]!TURNO1,G$31,[0]!CANDIDATO1,$C96,[0]!MUNICIPIO1,$B$92)</f>
        <v>0</v>
      </c>
      <c r="H96" s="6">
        <f>SUMIFS([0]!VOTOS2,[0]!TURNO1,H$31,[0]!CANDIDATO1,$C96,[0]!MUNICIPIO1,$B$92)</f>
        <v>0</v>
      </c>
      <c r="I96" s="6">
        <f>SUMIFS([0]!VOTOS2,[0]!TURNO1,I$31,[0]!CANDIDATO1,$C96,[0]!MUNICIPIO1,$B$92)</f>
        <v>0</v>
      </c>
      <c r="J96" s="6">
        <f>SUMIFS([0]!VOTOS2,[0]!TURNO1,J$31,[0]!CANDIDATO1,$C96,[0]!MUNICIPIO1,$B$92)</f>
        <v>0</v>
      </c>
      <c r="K96" s="6">
        <f>SUMIFS([0]!VOTOS2,[0]!TURNO1,K$31,[0]!CANDIDATO1,$C96,[0]!MUNICIPIO1,$B$92)</f>
        <v>0</v>
      </c>
      <c r="L96" s="6">
        <f>SUMIFS([0]!VOTOS2,[0]!TURNO1,L$31,[0]!CANDIDATO1,$C96,[0]!MUNICIPIO1,$B$92)</f>
        <v>0</v>
      </c>
      <c r="M96" s="6">
        <f>SUMIFS([0]!VOTOS2,[0]!TURNO1,M$31,[0]!CANDIDATO1,$C96,[0]!MUNICIPIO1,$B$92)</f>
        <v>0</v>
      </c>
      <c r="N96" s="6">
        <f>SUMIFS([0]!VOTOS2,[0]!TURNO1,N$31,[0]!CANDIDATO1,$C96,[0]!MUNICIPIO1,$B$92)</f>
        <v>1</v>
      </c>
      <c r="O96" s="6">
        <f>SUMIFS([0]!VOTOS2,[0]!TURNO1,O$31,[0]!CANDIDATO1,$C96,[0]!MUNICIPIO1,$B$92)</f>
        <v>0</v>
      </c>
      <c r="P96" s="6">
        <f>SUMIFS([0]!VOTOS2,[0]!TURNO1,P$31,[0]!CANDIDATO1,$C96,[0]!MUNICIPIO1,$B$92)</f>
        <v>0</v>
      </c>
      <c r="Q96" s="6">
        <f>SUMIFS([0]!VOTOS2,[0]!TURNO1,Q$31,[0]!CANDIDATO1,$C96,[0]!MUNICIPIO1,$B$92)</f>
        <v>0</v>
      </c>
      <c r="R96" s="6">
        <f>SUMIFS([0]!VOTOS2,[0]!TURNO1,R$31,[0]!CANDIDATO1,$C96,[0]!MUNICIPIO1,$B$92)</f>
        <v>0</v>
      </c>
      <c r="S96" s="6">
        <f>SUMIFS([0]!VOTOS2,[0]!TURNO1,S$31,[0]!CANDIDATO1,$C96,[0]!MUNICIPIO1,$B$92)</f>
        <v>0</v>
      </c>
      <c r="T96" s="6">
        <f>SUMIFS([0]!VOTOS2,[0]!TURNO1,T$31,[0]!CANDIDATO1,$C96,[0]!MUNICIPIO1,$B$92)</f>
        <v>0</v>
      </c>
      <c r="U96" s="6">
        <f>SUMIFS([0]!VOTOS2,[0]!TURNO1,U$31,[0]!CANDIDATO1,$C96,[0]!MUNICIPIO1,$B$92)</f>
        <v>0</v>
      </c>
      <c r="V96" s="6">
        <f>SUMIFS([0]!VOTOS2,[0]!TURNO1,V$31,[0]!CANDIDATO1,$C96,[0]!MUNICIPIO1,$B$92)</f>
        <v>0</v>
      </c>
      <c r="W96" s="6">
        <f>SUMIFS([0]!VOTOS2,[0]!TURNO1,W$31,[0]!CANDIDATO1,$C96,[0]!MUNICIPIO1,$B$92)</f>
        <v>0</v>
      </c>
      <c r="X96" s="24"/>
      <c r="Y96" s="18" t="str">
        <f t="shared" si="202"/>
        <v>IRVIN MOSQUERA</v>
      </c>
      <c r="Z96" s="34">
        <f t="shared" si="203"/>
        <v>1</v>
      </c>
      <c r="AA96" s="34">
        <f t="shared" si="204"/>
        <v>0</v>
      </c>
      <c r="AB96" s="34">
        <f t="shared" ref="AB96:AR96" si="214">IF(SUM(G92:G104)=0,NA(),G96+AA96)</f>
        <v>0</v>
      </c>
      <c r="AC96" s="34">
        <f t="shared" si="214"/>
        <v>0</v>
      </c>
      <c r="AD96" s="34">
        <f t="shared" si="214"/>
        <v>0</v>
      </c>
      <c r="AE96" s="34">
        <f t="shared" si="214"/>
        <v>0</v>
      </c>
      <c r="AF96" s="34">
        <f t="shared" si="214"/>
        <v>0</v>
      </c>
      <c r="AG96" s="34">
        <f t="shared" si="214"/>
        <v>0</v>
      </c>
      <c r="AH96" s="34">
        <f t="shared" si="214"/>
        <v>0</v>
      </c>
      <c r="AI96" s="34">
        <f t="shared" si="214"/>
        <v>1</v>
      </c>
      <c r="AJ96" s="34">
        <f t="shared" si="214"/>
        <v>1</v>
      </c>
      <c r="AK96" s="34" t="e">
        <f t="shared" si="214"/>
        <v>#N/A</v>
      </c>
      <c r="AL96" s="34" t="e">
        <f t="shared" si="214"/>
        <v>#N/A</v>
      </c>
      <c r="AM96" s="34" t="e">
        <f t="shared" si="214"/>
        <v>#N/A</v>
      </c>
      <c r="AN96" s="34" t="e">
        <f t="shared" si="214"/>
        <v>#N/A</v>
      </c>
      <c r="AO96" s="34" t="e">
        <f t="shared" si="214"/>
        <v>#N/A</v>
      </c>
      <c r="AP96" s="34" t="e">
        <f t="shared" si="214"/>
        <v>#N/A</v>
      </c>
      <c r="AQ96" s="34" t="e">
        <f t="shared" si="214"/>
        <v>#N/A</v>
      </c>
      <c r="AR96" s="34" t="e">
        <f t="shared" si="214"/>
        <v>#N/A</v>
      </c>
      <c r="AS96" s="27"/>
      <c r="AT96" s="39"/>
      <c r="AU96" s="39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30"/>
    </row>
    <row r="97" spans="1:66" ht="11.25" customHeight="1" x14ac:dyDescent="0.2">
      <c r="A97" s="37"/>
      <c r="B97" s="73"/>
      <c r="C97" s="56">
        <v>6</v>
      </c>
      <c r="D97" s="8" t="s">
        <v>119</v>
      </c>
      <c r="E97" s="16">
        <f t="shared" si="201"/>
        <v>3</v>
      </c>
      <c r="F97" s="6">
        <f>SUMIFS([0]!VOTOS2,[0]!TURNO1,F$31,[0]!CANDIDATO1,$C97,[0]!MUNICIPIO1,$B$92)</f>
        <v>0</v>
      </c>
      <c r="G97" s="6">
        <f>SUMIFS([0]!VOTOS2,[0]!TURNO1,G$31,[0]!CANDIDATO1,$C97,[0]!MUNICIPIO1,$B$92)</f>
        <v>0</v>
      </c>
      <c r="H97" s="6">
        <f>SUMIFS([0]!VOTOS2,[0]!TURNO1,H$31,[0]!CANDIDATO1,$C97,[0]!MUNICIPIO1,$B$92)</f>
        <v>0</v>
      </c>
      <c r="I97" s="6">
        <f>SUMIFS([0]!VOTOS2,[0]!TURNO1,I$31,[0]!CANDIDATO1,$C97,[0]!MUNICIPIO1,$B$92)</f>
        <v>1</v>
      </c>
      <c r="J97" s="6">
        <f>SUMIFS([0]!VOTOS2,[0]!TURNO1,J$31,[0]!CANDIDATO1,$C97,[0]!MUNICIPIO1,$B$92)</f>
        <v>0</v>
      </c>
      <c r="K97" s="6">
        <f>SUMIFS([0]!VOTOS2,[0]!TURNO1,K$31,[0]!CANDIDATO1,$C97,[0]!MUNICIPIO1,$B$92)</f>
        <v>1</v>
      </c>
      <c r="L97" s="6">
        <f>SUMIFS([0]!VOTOS2,[0]!TURNO1,L$31,[0]!CANDIDATO1,$C97,[0]!MUNICIPIO1,$B$92)</f>
        <v>1</v>
      </c>
      <c r="M97" s="6">
        <f>SUMIFS([0]!VOTOS2,[0]!TURNO1,M$31,[0]!CANDIDATO1,$C97,[0]!MUNICIPIO1,$B$92)</f>
        <v>0</v>
      </c>
      <c r="N97" s="6">
        <f>SUMIFS([0]!VOTOS2,[0]!TURNO1,N$31,[0]!CANDIDATO1,$C97,[0]!MUNICIPIO1,$B$92)</f>
        <v>0</v>
      </c>
      <c r="O97" s="6">
        <f>SUMIFS([0]!VOTOS2,[0]!TURNO1,O$31,[0]!CANDIDATO1,$C97,[0]!MUNICIPIO1,$B$92)</f>
        <v>0</v>
      </c>
      <c r="P97" s="6">
        <f>SUMIFS([0]!VOTOS2,[0]!TURNO1,P$31,[0]!CANDIDATO1,$C97,[0]!MUNICIPIO1,$B$92)</f>
        <v>0</v>
      </c>
      <c r="Q97" s="6">
        <f>SUMIFS([0]!VOTOS2,[0]!TURNO1,Q$31,[0]!CANDIDATO1,$C97,[0]!MUNICIPIO1,$B$92)</f>
        <v>0</v>
      </c>
      <c r="R97" s="6">
        <f>SUMIFS([0]!VOTOS2,[0]!TURNO1,R$31,[0]!CANDIDATO1,$C97,[0]!MUNICIPIO1,$B$92)</f>
        <v>0</v>
      </c>
      <c r="S97" s="6">
        <f>SUMIFS([0]!VOTOS2,[0]!TURNO1,S$31,[0]!CANDIDATO1,$C97,[0]!MUNICIPIO1,$B$92)</f>
        <v>0</v>
      </c>
      <c r="T97" s="6">
        <f>SUMIFS([0]!VOTOS2,[0]!TURNO1,T$31,[0]!CANDIDATO1,$C97,[0]!MUNICIPIO1,$B$92)</f>
        <v>0</v>
      </c>
      <c r="U97" s="6">
        <f>SUMIFS([0]!VOTOS2,[0]!TURNO1,U$31,[0]!CANDIDATO1,$C97,[0]!MUNICIPIO1,$B$92)</f>
        <v>0</v>
      </c>
      <c r="V97" s="6">
        <f>SUMIFS([0]!VOTOS2,[0]!TURNO1,V$31,[0]!CANDIDATO1,$C97,[0]!MUNICIPIO1,$B$92)</f>
        <v>0</v>
      </c>
      <c r="W97" s="6">
        <f>SUMIFS([0]!VOTOS2,[0]!TURNO1,W$31,[0]!CANDIDATO1,$C97,[0]!MUNICIPIO1,$B$92)</f>
        <v>0</v>
      </c>
      <c r="X97" s="24"/>
      <c r="Y97" s="18" t="str">
        <f t="shared" si="202"/>
        <v>JUAN PEÑA</v>
      </c>
      <c r="Z97" s="34">
        <f t="shared" si="203"/>
        <v>3</v>
      </c>
      <c r="AA97" s="34">
        <f t="shared" si="204"/>
        <v>0</v>
      </c>
      <c r="AB97" s="34">
        <f t="shared" ref="AB97:AR97" si="215">IF(SUM(G92:G104)=0,NA(),G97+AA97)</f>
        <v>0</v>
      </c>
      <c r="AC97" s="34">
        <f t="shared" si="215"/>
        <v>0</v>
      </c>
      <c r="AD97" s="34">
        <f t="shared" si="215"/>
        <v>1</v>
      </c>
      <c r="AE97" s="34">
        <f t="shared" si="215"/>
        <v>1</v>
      </c>
      <c r="AF97" s="34">
        <f t="shared" si="215"/>
        <v>2</v>
      </c>
      <c r="AG97" s="34">
        <f t="shared" si="215"/>
        <v>3</v>
      </c>
      <c r="AH97" s="34">
        <f t="shared" si="215"/>
        <v>3</v>
      </c>
      <c r="AI97" s="34">
        <f t="shared" si="215"/>
        <v>3</v>
      </c>
      <c r="AJ97" s="34">
        <f t="shared" si="215"/>
        <v>3</v>
      </c>
      <c r="AK97" s="34" t="e">
        <f t="shared" si="215"/>
        <v>#N/A</v>
      </c>
      <c r="AL97" s="34" t="e">
        <f t="shared" si="215"/>
        <v>#N/A</v>
      </c>
      <c r="AM97" s="34" t="e">
        <f t="shared" si="215"/>
        <v>#N/A</v>
      </c>
      <c r="AN97" s="34" t="e">
        <f t="shared" si="215"/>
        <v>#N/A</v>
      </c>
      <c r="AO97" s="34" t="e">
        <f t="shared" si="215"/>
        <v>#N/A</v>
      </c>
      <c r="AP97" s="34" t="e">
        <f t="shared" si="215"/>
        <v>#N/A</v>
      </c>
      <c r="AQ97" s="34" t="e">
        <f t="shared" si="215"/>
        <v>#N/A</v>
      </c>
      <c r="AR97" s="34" t="e">
        <f t="shared" si="215"/>
        <v>#N/A</v>
      </c>
      <c r="AS97" s="27"/>
      <c r="AT97" s="39"/>
      <c r="AU97" s="39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30"/>
    </row>
    <row r="98" spans="1:66" ht="11.25" customHeight="1" x14ac:dyDescent="0.2">
      <c r="A98" s="42"/>
      <c r="B98" s="74"/>
      <c r="C98" s="33">
        <v>7</v>
      </c>
      <c r="D98" s="8" t="s">
        <v>120</v>
      </c>
      <c r="E98" s="16">
        <f t="shared" si="201"/>
        <v>1</v>
      </c>
      <c r="F98" s="6">
        <f>SUMIFS([0]!VOTOS2,[0]!TURNO1,F$31,[0]!CANDIDATO1,$C98,[0]!MUNICIPIO1,$B$92)</f>
        <v>0</v>
      </c>
      <c r="G98" s="6">
        <f>SUMIFS([0]!VOTOS2,[0]!TURNO1,G$31,[0]!CANDIDATO1,$C98,[0]!MUNICIPIO1,$B$92)</f>
        <v>0</v>
      </c>
      <c r="H98" s="6">
        <f>SUMIFS([0]!VOTOS2,[0]!TURNO1,H$31,[0]!CANDIDATO1,$C98,[0]!MUNICIPIO1,$B$92)</f>
        <v>0</v>
      </c>
      <c r="I98" s="6">
        <f>SUMIFS([0]!VOTOS2,[0]!TURNO1,I$31,[0]!CANDIDATO1,$C98,[0]!MUNICIPIO1,$B$92)</f>
        <v>0</v>
      </c>
      <c r="J98" s="6">
        <f>SUMIFS([0]!VOTOS2,[0]!TURNO1,J$31,[0]!CANDIDATO1,$C98,[0]!MUNICIPIO1,$B$92)</f>
        <v>0</v>
      </c>
      <c r="K98" s="6">
        <f>SUMIFS([0]!VOTOS2,[0]!TURNO1,K$31,[0]!CANDIDATO1,$C98,[0]!MUNICIPIO1,$B$92)</f>
        <v>0</v>
      </c>
      <c r="L98" s="6">
        <f>SUMIFS([0]!VOTOS2,[0]!TURNO1,L$31,[0]!CANDIDATO1,$C98,[0]!MUNICIPIO1,$B$92)</f>
        <v>0</v>
      </c>
      <c r="M98" s="6">
        <f>SUMIFS([0]!VOTOS2,[0]!TURNO1,M$31,[0]!CANDIDATO1,$C98,[0]!MUNICIPIO1,$B$92)</f>
        <v>1</v>
      </c>
      <c r="N98" s="6">
        <f>SUMIFS([0]!VOTOS2,[0]!TURNO1,N$31,[0]!CANDIDATO1,$C98,[0]!MUNICIPIO1,$B$92)</f>
        <v>0</v>
      </c>
      <c r="O98" s="6">
        <f>SUMIFS([0]!VOTOS2,[0]!TURNO1,O$31,[0]!CANDIDATO1,$C98,[0]!MUNICIPIO1,$B$92)</f>
        <v>0</v>
      </c>
      <c r="P98" s="6">
        <f>SUMIFS([0]!VOTOS2,[0]!TURNO1,P$31,[0]!CANDIDATO1,$C98,[0]!MUNICIPIO1,$B$92)</f>
        <v>0</v>
      </c>
      <c r="Q98" s="6">
        <f>SUMIFS([0]!VOTOS2,[0]!TURNO1,Q$31,[0]!CANDIDATO1,$C98,[0]!MUNICIPIO1,$B$92)</f>
        <v>0</v>
      </c>
      <c r="R98" s="6">
        <f>SUMIFS([0]!VOTOS2,[0]!TURNO1,R$31,[0]!CANDIDATO1,$C98,[0]!MUNICIPIO1,$B$92)</f>
        <v>0</v>
      </c>
      <c r="S98" s="6">
        <f>SUMIFS([0]!VOTOS2,[0]!TURNO1,S$31,[0]!CANDIDATO1,$C98,[0]!MUNICIPIO1,$B$92)</f>
        <v>0</v>
      </c>
      <c r="T98" s="6">
        <f>SUMIFS([0]!VOTOS2,[0]!TURNO1,T$31,[0]!CANDIDATO1,$C98,[0]!MUNICIPIO1,$B$92)</f>
        <v>0</v>
      </c>
      <c r="U98" s="6">
        <f>SUMIFS([0]!VOTOS2,[0]!TURNO1,U$31,[0]!CANDIDATO1,$C98,[0]!MUNICIPIO1,$B$92)</f>
        <v>0</v>
      </c>
      <c r="V98" s="6">
        <f>SUMIFS([0]!VOTOS2,[0]!TURNO1,V$31,[0]!CANDIDATO1,$C98,[0]!MUNICIPIO1,$B$92)</f>
        <v>0</v>
      </c>
      <c r="W98" s="6">
        <f>SUMIFS([0]!VOTOS2,[0]!TURNO1,W$31,[0]!CANDIDATO1,$C98,[0]!MUNICIPIO1,$B$92)</f>
        <v>0</v>
      </c>
      <c r="X98" s="24"/>
      <c r="Y98" s="18" t="str">
        <f t="shared" si="202"/>
        <v>ROMERO YOEL</v>
      </c>
      <c r="Z98" s="34">
        <f t="shared" si="203"/>
        <v>1</v>
      </c>
      <c r="AA98" s="34">
        <f t="shared" si="204"/>
        <v>0</v>
      </c>
      <c r="AB98" s="34">
        <f t="shared" ref="AB98:AR98" si="216">IF(SUM(G92:G104)=0,NA(),G98+AA98)</f>
        <v>0</v>
      </c>
      <c r="AC98" s="34">
        <f t="shared" si="216"/>
        <v>0</v>
      </c>
      <c r="AD98" s="34">
        <f t="shared" si="216"/>
        <v>0</v>
      </c>
      <c r="AE98" s="34">
        <f t="shared" si="216"/>
        <v>0</v>
      </c>
      <c r="AF98" s="34">
        <f t="shared" si="216"/>
        <v>0</v>
      </c>
      <c r="AG98" s="34">
        <f t="shared" si="216"/>
        <v>0</v>
      </c>
      <c r="AH98" s="34">
        <f t="shared" si="216"/>
        <v>1</v>
      </c>
      <c r="AI98" s="34">
        <f t="shared" si="216"/>
        <v>1</v>
      </c>
      <c r="AJ98" s="34">
        <f t="shared" si="216"/>
        <v>1</v>
      </c>
      <c r="AK98" s="34" t="e">
        <f t="shared" si="216"/>
        <v>#N/A</v>
      </c>
      <c r="AL98" s="34" t="e">
        <f t="shared" si="216"/>
        <v>#N/A</v>
      </c>
      <c r="AM98" s="34" t="e">
        <f t="shared" si="216"/>
        <v>#N/A</v>
      </c>
      <c r="AN98" s="34" t="e">
        <f t="shared" si="216"/>
        <v>#N/A</v>
      </c>
      <c r="AO98" s="34" t="e">
        <f t="shared" si="216"/>
        <v>#N/A</v>
      </c>
      <c r="AP98" s="34" t="e">
        <f t="shared" si="216"/>
        <v>#N/A</v>
      </c>
      <c r="AQ98" s="34" t="e">
        <f t="shared" si="216"/>
        <v>#N/A</v>
      </c>
      <c r="AR98" s="34" t="e">
        <f t="shared" si="216"/>
        <v>#N/A</v>
      </c>
      <c r="AS98" s="27"/>
      <c r="AT98" s="39"/>
      <c r="AU98" s="39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30"/>
    </row>
    <row r="99" spans="1:66" ht="11.25" customHeight="1" x14ac:dyDescent="0.2">
      <c r="A99" s="44"/>
      <c r="B99" s="54"/>
      <c r="C99" s="46">
        <v>8</v>
      </c>
      <c r="D99" s="14" t="s">
        <v>121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24"/>
      <c r="Y99" s="18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27"/>
      <c r="AT99" s="41"/>
      <c r="AU99" s="41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30"/>
    </row>
    <row r="100" spans="1:66" ht="11.25" customHeight="1" x14ac:dyDescent="0.2">
      <c r="A100" s="44"/>
      <c r="B100" s="54"/>
      <c r="C100" s="46">
        <v>9</v>
      </c>
      <c r="D100" s="14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24"/>
      <c r="Y100" s="18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27"/>
      <c r="AT100" s="41"/>
      <c r="AU100" s="41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30"/>
    </row>
    <row r="101" spans="1:66" ht="11.25" customHeight="1" x14ac:dyDescent="0.2">
      <c r="A101" s="44"/>
      <c r="B101" s="54"/>
      <c r="C101" s="46">
        <v>10</v>
      </c>
      <c r="D101" s="14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24"/>
      <c r="Y101" s="18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27"/>
      <c r="AT101" s="41"/>
      <c r="AU101" s="41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30"/>
    </row>
    <row r="102" spans="1:66" ht="11.25" customHeight="1" x14ac:dyDescent="0.2">
      <c r="A102" s="44"/>
      <c r="B102" s="54"/>
      <c r="C102" s="46">
        <v>11</v>
      </c>
      <c r="D102" s="14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24"/>
      <c r="Y102" s="18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27"/>
      <c r="AT102" s="41"/>
      <c r="AU102" s="41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30"/>
    </row>
    <row r="103" spans="1:66" ht="11.25" customHeight="1" x14ac:dyDescent="0.2">
      <c r="A103" s="44"/>
      <c r="B103" s="54"/>
      <c r="C103" s="46">
        <v>12</v>
      </c>
      <c r="D103" s="14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24"/>
      <c r="Y103" s="18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27"/>
      <c r="AT103" s="41"/>
      <c r="AU103" s="41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30"/>
    </row>
    <row r="104" spans="1:66" ht="11.25" customHeight="1" x14ac:dyDescent="0.2">
      <c r="A104" s="44"/>
      <c r="B104" s="54"/>
      <c r="C104" s="46">
        <v>13</v>
      </c>
      <c r="D104" s="14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24"/>
      <c r="Y104" s="18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27"/>
      <c r="AT104" s="41"/>
      <c r="AU104" s="41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30"/>
    </row>
    <row r="105" spans="1:66" ht="11.25" customHeight="1" x14ac:dyDescent="0.2">
      <c r="D105" s="31" t="s">
        <v>76</v>
      </c>
      <c r="X105" s="24"/>
      <c r="Y105" s="19" t="s">
        <v>79</v>
      </c>
      <c r="Z105" s="34">
        <f t="shared" ref="Z105" si="217">SUM(Z94:Z104)</f>
        <v>20</v>
      </c>
      <c r="AA105" s="34">
        <f t="shared" ref="AA105" si="218">SUM(AA94:AA104)</f>
        <v>0</v>
      </c>
      <c r="AB105" s="34">
        <f t="shared" ref="AB105" si="219">SUM(AB94:AB104)</f>
        <v>1</v>
      </c>
      <c r="AC105" s="34">
        <f t="shared" ref="AC105" si="220">SUM(AC94:AC104)</f>
        <v>4</v>
      </c>
      <c r="AD105" s="34">
        <f t="shared" ref="AD105" si="221">SUM(AD94:AD104)</f>
        <v>6</v>
      </c>
      <c r="AE105" s="34">
        <f t="shared" ref="AE105" si="222">SUM(AE94:AE104)</f>
        <v>9</v>
      </c>
      <c r="AF105" s="34">
        <f t="shared" ref="AF105" si="223">SUM(AF94:AF104)</f>
        <v>13</v>
      </c>
      <c r="AG105" s="34">
        <f t="shared" ref="AG105" si="224">SUM(AG94:AG104)</f>
        <v>16</v>
      </c>
      <c r="AH105" s="34">
        <f t="shared" ref="AH105" si="225">SUM(AH94:AH104)</f>
        <v>19</v>
      </c>
      <c r="AI105" s="34">
        <f t="shared" ref="AI105" si="226">SUM(AI94:AI104)</f>
        <v>20</v>
      </c>
      <c r="AJ105" s="34">
        <f t="shared" ref="AJ105" si="227">SUM(AJ94:AJ104)</f>
        <v>20</v>
      </c>
      <c r="AK105" s="34" t="e">
        <f t="shared" ref="AK105" si="228">SUM(AK94:AK104)</f>
        <v>#N/A</v>
      </c>
      <c r="AL105" s="34" t="e">
        <f t="shared" ref="AL105" si="229">SUM(AL94:AL104)</f>
        <v>#N/A</v>
      </c>
      <c r="AM105" s="34" t="e">
        <f t="shared" ref="AM105" si="230">SUM(AM94:AM104)</f>
        <v>#N/A</v>
      </c>
      <c r="AN105" s="34" t="e">
        <f t="shared" ref="AN105" si="231">SUM(AN94:AN104)</f>
        <v>#N/A</v>
      </c>
      <c r="AO105" s="34" t="e">
        <f t="shared" ref="AO105" si="232">SUM(AO94:AO104)</f>
        <v>#N/A</v>
      </c>
      <c r="AP105" s="34" t="e">
        <f t="shared" ref="AP105" si="233">SUM(AP94:AP104)</f>
        <v>#N/A</v>
      </c>
      <c r="AQ105" s="34" t="e">
        <f t="shared" ref="AQ105" si="234">SUM(AQ94:AQ104)</f>
        <v>#N/A</v>
      </c>
      <c r="AR105" s="34" t="e">
        <f t="shared" ref="AR105" si="235">SUM(AR94:AR104)</f>
        <v>#N/A</v>
      </c>
      <c r="AS105" s="27"/>
      <c r="AT105" s="41"/>
      <c r="AU105" s="41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30"/>
    </row>
    <row r="106" spans="1:66" ht="11.25" customHeight="1" x14ac:dyDescent="0.2">
      <c r="A106" s="75" t="s">
        <v>63</v>
      </c>
      <c r="B106" s="76"/>
      <c r="C106" s="47"/>
      <c r="D106" s="48" t="s">
        <v>75</v>
      </c>
      <c r="E106" s="49" t="s">
        <v>70</v>
      </c>
      <c r="F106" s="49">
        <v>0</v>
      </c>
      <c r="G106" s="49">
        <v>1</v>
      </c>
      <c r="H106" s="49">
        <v>2</v>
      </c>
      <c r="I106" s="49">
        <v>3</v>
      </c>
      <c r="J106" s="49">
        <v>4</v>
      </c>
      <c r="K106" s="49">
        <v>5</v>
      </c>
      <c r="L106" s="49">
        <v>6</v>
      </c>
      <c r="M106" s="49">
        <v>7</v>
      </c>
      <c r="N106" s="49">
        <v>8</v>
      </c>
      <c r="O106" s="49">
        <v>9</v>
      </c>
      <c r="P106" s="49">
        <v>10</v>
      </c>
      <c r="Q106" s="49">
        <v>11</v>
      </c>
      <c r="R106" s="49">
        <v>12</v>
      </c>
      <c r="S106" s="49">
        <v>13</v>
      </c>
      <c r="T106" s="49">
        <v>14</v>
      </c>
      <c r="U106" s="49">
        <v>15</v>
      </c>
      <c r="V106" s="49">
        <v>16</v>
      </c>
      <c r="W106" s="23">
        <v>17</v>
      </c>
      <c r="X106" s="24"/>
      <c r="Y106" s="17"/>
      <c r="Z106" s="25" t="s">
        <v>64</v>
      </c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7"/>
      <c r="AT106" s="28"/>
      <c r="AU106" s="28" t="s">
        <v>64</v>
      </c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30"/>
    </row>
    <row r="107" spans="1:66" ht="11.25" customHeight="1" x14ac:dyDescent="0.2">
      <c r="A107" s="58"/>
      <c r="B107" s="77">
        <v>8</v>
      </c>
      <c r="C107" s="56">
        <v>1</v>
      </c>
      <c r="D107" s="7" t="s">
        <v>122</v>
      </c>
      <c r="E107" s="16">
        <f>SUM(F107:W107)</f>
        <v>10</v>
      </c>
      <c r="F107" s="6">
        <f>SUMIFS([0]!VOTOS2,[0]!TURNO1,F$31,[0]!CANDIDATO1,$C107,[0]!MUNICIPIO1,$B$107)</f>
        <v>10</v>
      </c>
      <c r="G107" s="6">
        <f>SUMIFS([0]!VOTOS2,[0]!TURNO1,G$31,[0]!CANDIDATO1,$C107,[0]!MUNICIPIO1,$B$107)</f>
        <v>0</v>
      </c>
      <c r="H107" s="6">
        <f>SUMIFS([0]!VOTOS2,[0]!TURNO1,H$31,[0]!CANDIDATO1,$C107,[0]!MUNICIPIO1,$B$107)</f>
        <v>0</v>
      </c>
      <c r="I107" s="6">
        <f>SUMIFS([0]!VOTOS2,[0]!TURNO1,I$31,[0]!CANDIDATO1,$C107,[0]!MUNICIPIO1,$B$107)</f>
        <v>0</v>
      </c>
      <c r="J107" s="6">
        <f>SUMIFS([0]!VOTOS2,[0]!TURNO1,J$31,[0]!CANDIDATO1,$C107,[0]!MUNICIPIO1,$B$107)</f>
        <v>0</v>
      </c>
      <c r="K107" s="6">
        <f>SUMIFS([0]!VOTOS2,[0]!TURNO1,K$31,[0]!CANDIDATO1,$C107,[0]!MUNICIPIO1,$B$107)</f>
        <v>0</v>
      </c>
      <c r="L107" s="6">
        <f>SUMIFS([0]!VOTOS2,[0]!TURNO1,L$31,[0]!CANDIDATO1,$C107,[0]!MUNICIPIO1,$B$107)</f>
        <v>0</v>
      </c>
      <c r="M107" s="6">
        <f>SUMIFS([0]!VOTOS2,[0]!TURNO1,M$31,[0]!CANDIDATO1,$C107,[0]!MUNICIPIO1,$B$107)</f>
        <v>0</v>
      </c>
      <c r="N107" s="6">
        <f>SUMIFS([0]!VOTOS2,[0]!TURNO1,N$31,[0]!CANDIDATO1,$C107,[0]!MUNICIPIO1,$B$107)</f>
        <v>0</v>
      </c>
      <c r="O107" s="6">
        <f>SUMIFS([0]!VOTOS2,[0]!TURNO1,O$31,[0]!CANDIDATO1,$C107,[0]!MUNICIPIO1,$B$107)</f>
        <v>0</v>
      </c>
      <c r="P107" s="6">
        <f>SUMIFS([0]!VOTOS2,[0]!TURNO1,P$31,[0]!CANDIDATO1,$C107,[0]!MUNICIPIO1,$B$107)</f>
        <v>0</v>
      </c>
      <c r="Q107" s="6">
        <f>SUMIFS([0]!VOTOS2,[0]!TURNO1,Q$31,[0]!CANDIDATO1,$C107,[0]!MUNICIPIO1,$B$107)</f>
        <v>0</v>
      </c>
      <c r="R107" s="6">
        <f>SUMIFS([0]!VOTOS2,[0]!TURNO1,R$31,[0]!CANDIDATO1,$C107,[0]!MUNICIPIO1,$B$107)</f>
        <v>0</v>
      </c>
      <c r="S107" s="6">
        <f>SUMIFS([0]!VOTOS2,[0]!TURNO1,S$31,[0]!CANDIDATO1,$C107,[0]!MUNICIPIO1,$B$107)</f>
        <v>0</v>
      </c>
      <c r="T107" s="6">
        <f>SUMIFS([0]!VOTOS2,[0]!TURNO1,T$31,[0]!CANDIDATO1,$C107,[0]!MUNICIPIO1,$B$107)</f>
        <v>0</v>
      </c>
      <c r="U107" s="6">
        <f>SUMIFS([0]!VOTOS2,[0]!TURNO1,U$31,[0]!CANDIDATO1,$C107,[0]!MUNICIPIO1,$B$107)</f>
        <v>0</v>
      </c>
      <c r="V107" s="6">
        <f>SUMIFS([0]!VOTOS2,[0]!TURNO1,V$31,[0]!CANDIDATO1,$C107,[0]!MUNICIPIO1,$B$107)</f>
        <v>0</v>
      </c>
      <c r="W107" s="6">
        <f>SUMIFS([0]!VOTOS2,[0]!TURNO1,W$31,[0]!CANDIDATO1,$C107,[0]!MUNICIPIO1,$B$107)</f>
        <v>0</v>
      </c>
      <c r="X107" s="24"/>
      <c r="Y107" s="18" t="str">
        <f t="shared" ref="Y107:Y111" si="236">D107</f>
        <v>OFELIA PADRON</v>
      </c>
      <c r="Z107" s="34">
        <f t="shared" ref="Z107:Z111" si="237">E107</f>
        <v>10</v>
      </c>
      <c r="AA107" s="34">
        <f t="shared" ref="AA107:AA111" si="238">F107</f>
        <v>10</v>
      </c>
      <c r="AB107" s="34" t="e">
        <f t="shared" ref="AB107:AR107" si="239">IF(SUM(G107:G119)=0,NA(),G107+AA107)</f>
        <v>#N/A</v>
      </c>
      <c r="AC107" s="34" t="e">
        <f t="shared" si="239"/>
        <v>#N/A</v>
      </c>
      <c r="AD107" s="34" t="e">
        <f t="shared" si="239"/>
        <v>#N/A</v>
      </c>
      <c r="AE107" s="34" t="e">
        <f t="shared" si="239"/>
        <v>#N/A</v>
      </c>
      <c r="AF107" s="34" t="e">
        <f t="shared" si="239"/>
        <v>#N/A</v>
      </c>
      <c r="AG107" s="34" t="e">
        <f t="shared" si="239"/>
        <v>#N/A</v>
      </c>
      <c r="AH107" s="34" t="e">
        <f t="shared" si="239"/>
        <v>#N/A</v>
      </c>
      <c r="AI107" s="34" t="e">
        <f t="shared" si="239"/>
        <v>#N/A</v>
      </c>
      <c r="AJ107" s="34" t="e">
        <f t="shared" si="239"/>
        <v>#N/A</v>
      </c>
      <c r="AK107" s="34" t="e">
        <f t="shared" si="239"/>
        <v>#N/A</v>
      </c>
      <c r="AL107" s="34" t="e">
        <f t="shared" si="239"/>
        <v>#N/A</v>
      </c>
      <c r="AM107" s="34" t="e">
        <f t="shared" si="239"/>
        <v>#N/A</v>
      </c>
      <c r="AN107" s="34" t="e">
        <f t="shared" si="239"/>
        <v>#N/A</v>
      </c>
      <c r="AO107" s="34" t="e">
        <f t="shared" si="239"/>
        <v>#N/A</v>
      </c>
      <c r="AP107" s="34" t="e">
        <f t="shared" si="239"/>
        <v>#N/A</v>
      </c>
      <c r="AQ107" s="34" t="e">
        <f t="shared" si="239"/>
        <v>#N/A</v>
      </c>
      <c r="AR107" s="34" t="e">
        <f t="shared" si="239"/>
        <v>#N/A</v>
      </c>
      <c r="AS107" s="27"/>
      <c r="AT107" s="35" t="str">
        <f t="shared" ref="AT107:AT108" si="240">Y107</f>
        <v>OFELIA PADRON</v>
      </c>
      <c r="AU107" s="36">
        <f t="shared" ref="AU107:BM107" si="241">Z107/(Z107+Z108+Z120)</f>
        <v>0.5</v>
      </c>
      <c r="AV107" s="36">
        <f t="shared" si="241"/>
        <v>0.5</v>
      </c>
      <c r="AW107" s="36" t="e">
        <f t="shared" si="241"/>
        <v>#N/A</v>
      </c>
      <c r="AX107" s="36" t="e">
        <f t="shared" si="241"/>
        <v>#N/A</v>
      </c>
      <c r="AY107" s="36" t="e">
        <f t="shared" si="241"/>
        <v>#N/A</v>
      </c>
      <c r="AZ107" s="36" t="e">
        <f t="shared" si="241"/>
        <v>#N/A</v>
      </c>
      <c r="BA107" s="36" t="e">
        <f t="shared" si="241"/>
        <v>#N/A</v>
      </c>
      <c r="BB107" s="36" t="e">
        <f t="shared" si="241"/>
        <v>#N/A</v>
      </c>
      <c r="BC107" s="36" t="e">
        <f t="shared" si="241"/>
        <v>#N/A</v>
      </c>
      <c r="BD107" s="36" t="e">
        <f t="shared" si="241"/>
        <v>#N/A</v>
      </c>
      <c r="BE107" s="36" t="e">
        <f t="shared" si="241"/>
        <v>#N/A</v>
      </c>
      <c r="BF107" s="36" t="e">
        <f t="shared" si="241"/>
        <v>#N/A</v>
      </c>
      <c r="BG107" s="36" t="e">
        <f t="shared" si="241"/>
        <v>#N/A</v>
      </c>
      <c r="BH107" s="36" t="e">
        <f t="shared" si="241"/>
        <v>#N/A</v>
      </c>
      <c r="BI107" s="36" t="e">
        <f t="shared" si="241"/>
        <v>#N/A</v>
      </c>
      <c r="BJ107" s="36" t="e">
        <f t="shared" si="241"/>
        <v>#N/A</v>
      </c>
      <c r="BK107" s="36" t="e">
        <f t="shared" si="241"/>
        <v>#N/A</v>
      </c>
      <c r="BL107" s="36" t="e">
        <f t="shared" si="241"/>
        <v>#N/A</v>
      </c>
      <c r="BM107" s="36" t="e">
        <f t="shared" si="241"/>
        <v>#N/A</v>
      </c>
      <c r="BN107" s="30"/>
    </row>
    <row r="108" spans="1:66" ht="11.25" customHeight="1" x14ac:dyDescent="0.2">
      <c r="A108" s="59" t="s">
        <v>7</v>
      </c>
      <c r="B108" s="78"/>
      <c r="C108" s="33">
        <v>2</v>
      </c>
      <c r="D108" s="8" t="s">
        <v>123</v>
      </c>
      <c r="E108" s="16">
        <f>SUM(F108:W108)</f>
        <v>10</v>
      </c>
      <c r="F108" s="6">
        <f>SUMIFS([0]!VOTOS2,[0]!TURNO1,F$31,[0]!CANDIDATO1,$C108,[0]!MUNICIPIO1,$B$107)</f>
        <v>10</v>
      </c>
      <c r="G108" s="6">
        <f>SUMIFS([0]!VOTOS2,[0]!TURNO1,G$31,[0]!CANDIDATO1,$C108,[0]!MUNICIPIO1,$B$107)</f>
        <v>0</v>
      </c>
      <c r="H108" s="6">
        <f>SUMIFS([0]!VOTOS2,[0]!TURNO1,H$31,[0]!CANDIDATO1,$C108,[0]!MUNICIPIO1,$B$107)</f>
        <v>0</v>
      </c>
      <c r="I108" s="6">
        <f>SUMIFS([0]!VOTOS2,[0]!TURNO1,I$31,[0]!CANDIDATO1,$C108,[0]!MUNICIPIO1,$B$107)</f>
        <v>0</v>
      </c>
      <c r="J108" s="6">
        <f>SUMIFS([0]!VOTOS2,[0]!TURNO1,J$31,[0]!CANDIDATO1,$C108,[0]!MUNICIPIO1,$B$107)</f>
        <v>0</v>
      </c>
      <c r="K108" s="6">
        <f>SUMIFS([0]!VOTOS2,[0]!TURNO1,K$31,[0]!CANDIDATO1,$C108,[0]!MUNICIPIO1,$B$107)</f>
        <v>0</v>
      </c>
      <c r="L108" s="6">
        <f>SUMIFS([0]!VOTOS2,[0]!TURNO1,L$31,[0]!CANDIDATO1,$C108,[0]!MUNICIPIO1,$B$107)</f>
        <v>0</v>
      </c>
      <c r="M108" s="6">
        <f>SUMIFS([0]!VOTOS2,[0]!TURNO1,M$31,[0]!CANDIDATO1,$C108,[0]!MUNICIPIO1,$B$107)</f>
        <v>0</v>
      </c>
      <c r="N108" s="6">
        <f>SUMIFS([0]!VOTOS2,[0]!TURNO1,N$31,[0]!CANDIDATO1,$C108,[0]!MUNICIPIO1,$B$107)</f>
        <v>0</v>
      </c>
      <c r="O108" s="6">
        <f>SUMIFS([0]!VOTOS2,[0]!TURNO1,O$31,[0]!CANDIDATO1,$C108,[0]!MUNICIPIO1,$B$107)</f>
        <v>0</v>
      </c>
      <c r="P108" s="6">
        <f>SUMIFS([0]!VOTOS2,[0]!TURNO1,P$31,[0]!CANDIDATO1,$C108,[0]!MUNICIPIO1,$B$107)</f>
        <v>0</v>
      </c>
      <c r="Q108" s="6">
        <f>SUMIFS([0]!VOTOS2,[0]!TURNO1,Q$31,[0]!CANDIDATO1,$C108,[0]!MUNICIPIO1,$B$107)</f>
        <v>0</v>
      </c>
      <c r="R108" s="6">
        <f>SUMIFS([0]!VOTOS2,[0]!TURNO1,R$31,[0]!CANDIDATO1,$C108,[0]!MUNICIPIO1,$B$107)</f>
        <v>0</v>
      </c>
      <c r="S108" s="6">
        <f>SUMIFS([0]!VOTOS2,[0]!TURNO1,S$31,[0]!CANDIDATO1,$C108,[0]!MUNICIPIO1,$B$107)</f>
        <v>0</v>
      </c>
      <c r="T108" s="6">
        <f>SUMIFS([0]!VOTOS2,[0]!TURNO1,T$31,[0]!CANDIDATO1,$C108,[0]!MUNICIPIO1,$B$107)</f>
        <v>0</v>
      </c>
      <c r="U108" s="6">
        <f>SUMIFS([0]!VOTOS2,[0]!TURNO1,U$31,[0]!CANDIDATO1,$C108,[0]!MUNICIPIO1,$B$107)</f>
        <v>0</v>
      </c>
      <c r="V108" s="6">
        <f>SUMIFS([0]!VOTOS2,[0]!TURNO1,V$31,[0]!CANDIDATO1,$C108,[0]!MUNICIPIO1,$B$107)</f>
        <v>0</v>
      </c>
      <c r="W108" s="6">
        <f>SUMIFS([0]!VOTOS2,[0]!TURNO1,W$31,[0]!CANDIDATO1,$C108,[0]!MUNICIPIO1,$B$107)</f>
        <v>0</v>
      </c>
      <c r="X108" s="24"/>
      <c r="Y108" s="18" t="str">
        <f t="shared" si="236"/>
        <v>YADALA ABOUHADO</v>
      </c>
      <c r="Z108" s="34">
        <f t="shared" si="237"/>
        <v>10</v>
      </c>
      <c r="AA108" s="34">
        <f t="shared" si="238"/>
        <v>10</v>
      </c>
      <c r="AB108" s="34" t="e">
        <f t="shared" ref="AB108:AR108" si="242">IF(SUM(G107:G119)=0,NA(),G108+AA108)</f>
        <v>#N/A</v>
      </c>
      <c r="AC108" s="34" t="e">
        <f t="shared" si="242"/>
        <v>#N/A</v>
      </c>
      <c r="AD108" s="34" t="e">
        <f t="shared" si="242"/>
        <v>#N/A</v>
      </c>
      <c r="AE108" s="34" t="e">
        <f t="shared" si="242"/>
        <v>#N/A</v>
      </c>
      <c r="AF108" s="34" t="e">
        <f t="shared" si="242"/>
        <v>#N/A</v>
      </c>
      <c r="AG108" s="34" t="e">
        <f t="shared" si="242"/>
        <v>#N/A</v>
      </c>
      <c r="AH108" s="34" t="e">
        <f t="shared" si="242"/>
        <v>#N/A</v>
      </c>
      <c r="AI108" s="34" t="e">
        <f t="shared" si="242"/>
        <v>#N/A</v>
      </c>
      <c r="AJ108" s="34" t="e">
        <f t="shared" si="242"/>
        <v>#N/A</v>
      </c>
      <c r="AK108" s="34" t="e">
        <f t="shared" si="242"/>
        <v>#N/A</v>
      </c>
      <c r="AL108" s="34" t="e">
        <f t="shared" si="242"/>
        <v>#N/A</v>
      </c>
      <c r="AM108" s="34" t="e">
        <f t="shared" si="242"/>
        <v>#N/A</v>
      </c>
      <c r="AN108" s="34" t="e">
        <f t="shared" si="242"/>
        <v>#N/A</v>
      </c>
      <c r="AO108" s="34" t="e">
        <f t="shared" si="242"/>
        <v>#N/A</v>
      </c>
      <c r="AP108" s="34" t="e">
        <f t="shared" si="242"/>
        <v>#N/A</v>
      </c>
      <c r="AQ108" s="34" t="e">
        <f t="shared" si="242"/>
        <v>#N/A</v>
      </c>
      <c r="AR108" s="34" t="e">
        <f t="shared" si="242"/>
        <v>#N/A</v>
      </c>
      <c r="AS108" s="27"/>
      <c r="AT108" s="35" t="str">
        <f t="shared" si="240"/>
        <v>YADALA ABOUHADO</v>
      </c>
      <c r="AU108" s="36">
        <f t="shared" ref="AU108:BM108" si="243">Z108/(Z107+Z108+Z120)</f>
        <v>0.5</v>
      </c>
      <c r="AV108" s="36">
        <f t="shared" si="243"/>
        <v>0.5</v>
      </c>
      <c r="AW108" s="36" t="e">
        <f t="shared" si="243"/>
        <v>#N/A</v>
      </c>
      <c r="AX108" s="36" t="e">
        <f t="shared" si="243"/>
        <v>#N/A</v>
      </c>
      <c r="AY108" s="36" t="e">
        <f t="shared" si="243"/>
        <v>#N/A</v>
      </c>
      <c r="AZ108" s="36" t="e">
        <f t="shared" si="243"/>
        <v>#N/A</v>
      </c>
      <c r="BA108" s="36" t="e">
        <f t="shared" si="243"/>
        <v>#N/A</v>
      </c>
      <c r="BB108" s="36" t="e">
        <f t="shared" si="243"/>
        <v>#N/A</v>
      </c>
      <c r="BC108" s="36" t="e">
        <f t="shared" si="243"/>
        <v>#N/A</v>
      </c>
      <c r="BD108" s="36" t="e">
        <f t="shared" si="243"/>
        <v>#N/A</v>
      </c>
      <c r="BE108" s="36" t="e">
        <f t="shared" si="243"/>
        <v>#N/A</v>
      </c>
      <c r="BF108" s="36" t="e">
        <f t="shared" si="243"/>
        <v>#N/A</v>
      </c>
      <c r="BG108" s="36" t="e">
        <f t="shared" si="243"/>
        <v>#N/A</v>
      </c>
      <c r="BH108" s="36" t="e">
        <f t="shared" si="243"/>
        <v>#N/A</v>
      </c>
      <c r="BI108" s="36" t="e">
        <f t="shared" si="243"/>
        <v>#N/A</v>
      </c>
      <c r="BJ108" s="36" t="e">
        <f t="shared" si="243"/>
        <v>#N/A</v>
      </c>
      <c r="BK108" s="36" t="e">
        <f t="shared" si="243"/>
        <v>#N/A</v>
      </c>
      <c r="BL108" s="36" t="e">
        <f t="shared" si="243"/>
        <v>#N/A</v>
      </c>
      <c r="BM108" s="36" t="e">
        <f t="shared" si="243"/>
        <v>#N/A</v>
      </c>
      <c r="BN108" s="30"/>
    </row>
    <row r="109" spans="1:66" ht="11.25" customHeight="1" x14ac:dyDescent="0.2">
      <c r="A109" s="59" t="s">
        <v>9</v>
      </c>
      <c r="B109" s="78"/>
      <c r="C109" s="56">
        <v>3</v>
      </c>
      <c r="D109" s="8" t="s">
        <v>124</v>
      </c>
      <c r="E109" s="16">
        <f>SUM(F109:W109)</f>
        <v>0</v>
      </c>
      <c r="F109" s="6">
        <f>SUMIFS([0]!VOTOS2,[0]!TURNO1,F$31,[0]!CANDIDATO1,$C109,[0]!MUNICIPIO1,$B$107)</f>
        <v>0</v>
      </c>
      <c r="G109" s="6">
        <f>SUMIFS([0]!VOTOS2,[0]!TURNO1,G$31,[0]!CANDIDATO1,$C109,[0]!MUNICIPIO1,$B$107)</f>
        <v>0</v>
      </c>
      <c r="H109" s="6">
        <f>SUMIFS([0]!VOTOS2,[0]!TURNO1,H$31,[0]!CANDIDATO1,$C109,[0]!MUNICIPIO1,$B$107)</f>
        <v>0</v>
      </c>
      <c r="I109" s="6">
        <f>SUMIFS([0]!VOTOS2,[0]!TURNO1,I$31,[0]!CANDIDATO1,$C109,[0]!MUNICIPIO1,$B$107)</f>
        <v>0</v>
      </c>
      <c r="J109" s="6">
        <f>SUMIFS([0]!VOTOS2,[0]!TURNO1,J$31,[0]!CANDIDATO1,$C109,[0]!MUNICIPIO1,$B$107)</f>
        <v>0</v>
      </c>
      <c r="K109" s="6">
        <f>SUMIFS([0]!VOTOS2,[0]!TURNO1,K$31,[0]!CANDIDATO1,$C109,[0]!MUNICIPIO1,$B$107)</f>
        <v>0</v>
      </c>
      <c r="L109" s="6">
        <f>SUMIFS([0]!VOTOS2,[0]!TURNO1,L$31,[0]!CANDIDATO1,$C109,[0]!MUNICIPIO1,$B$107)</f>
        <v>0</v>
      </c>
      <c r="M109" s="6">
        <f>SUMIFS([0]!VOTOS2,[0]!TURNO1,M$31,[0]!CANDIDATO1,$C109,[0]!MUNICIPIO1,$B$107)</f>
        <v>0</v>
      </c>
      <c r="N109" s="6">
        <f>SUMIFS([0]!VOTOS2,[0]!TURNO1,N$31,[0]!CANDIDATO1,$C109,[0]!MUNICIPIO1,$B$107)</f>
        <v>0</v>
      </c>
      <c r="O109" s="6">
        <f>SUMIFS([0]!VOTOS2,[0]!TURNO1,O$31,[0]!CANDIDATO1,$C109,[0]!MUNICIPIO1,$B$107)</f>
        <v>0</v>
      </c>
      <c r="P109" s="6">
        <f>SUMIFS([0]!VOTOS2,[0]!TURNO1,P$31,[0]!CANDIDATO1,$C109,[0]!MUNICIPIO1,$B$107)</f>
        <v>0</v>
      </c>
      <c r="Q109" s="6">
        <f>SUMIFS([0]!VOTOS2,[0]!TURNO1,Q$31,[0]!CANDIDATO1,$C109,[0]!MUNICIPIO1,$B$107)</f>
        <v>0</v>
      </c>
      <c r="R109" s="6">
        <f>SUMIFS([0]!VOTOS2,[0]!TURNO1,R$31,[0]!CANDIDATO1,$C109,[0]!MUNICIPIO1,$B$107)</f>
        <v>0</v>
      </c>
      <c r="S109" s="6">
        <f>SUMIFS([0]!VOTOS2,[0]!TURNO1,S$31,[0]!CANDIDATO1,$C109,[0]!MUNICIPIO1,$B$107)</f>
        <v>0</v>
      </c>
      <c r="T109" s="6">
        <f>SUMIFS([0]!VOTOS2,[0]!TURNO1,T$31,[0]!CANDIDATO1,$C109,[0]!MUNICIPIO1,$B$107)</f>
        <v>0</v>
      </c>
      <c r="U109" s="6">
        <f>SUMIFS([0]!VOTOS2,[0]!TURNO1,U$31,[0]!CANDIDATO1,$C109,[0]!MUNICIPIO1,$B$107)</f>
        <v>0</v>
      </c>
      <c r="V109" s="6">
        <f>SUMIFS([0]!VOTOS2,[0]!TURNO1,V$31,[0]!CANDIDATO1,$C109,[0]!MUNICIPIO1,$B$107)</f>
        <v>0</v>
      </c>
      <c r="W109" s="6">
        <f>SUMIFS([0]!VOTOS2,[0]!TURNO1,W$31,[0]!CANDIDATO1,$C109,[0]!MUNICIPIO1,$B$107)</f>
        <v>0</v>
      </c>
      <c r="X109" s="24"/>
      <c r="Y109" s="18" t="str">
        <f t="shared" si="236"/>
        <v>YADALA A</v>
      </c>
      <c r="Z109" s="34">
        <f t="shared" si="237"/>
        <v>0</v>
      </c>
      <c r="AA109" s="34">
        <f t="shared" si="238"/>
        <v>0</v>
      </c>
      <c r="AB109" s="34" t="e">
        <f t="shared" ref="AB109:AR109" si="244">IF(SUM(G107:G119)=0,NA(),G109+AA109)</f>
        <v>#N/A</v>
      </c>
      <c r="AC109" s="34" t="e">
        <f t="shared" si="244"/>
        <v>#N/A</v>
      </c>
      <c r="AD109" s="34" t="e">
        <f t="shared" si="244"/>
        <v>#N/A</v>
      </c>
      <c r="AE109" s="34" t="e">
        <f t="shared" si="244"/>
        <v>#N/A</v>
      </c>
      <c r="AF109" s="34" t="e">
        <f t="shared" si="244"/>
        <v>#N/A</v>
      </c>
      <c r="AG109" s="34" t="e">
        <f t="shared" si="244"/>
        <v>#N/A</v>
      </c>
      <c r="AH109" s="34" t="e">
        <f t="shared" si="244"/>
        <v>#N/A</v>
      </c>
      <c r="AI109" s="34" t="e">
        <f t="shared" si="244"/>
        <v>#N/A</v>
      </c>
      <c r="AJ109" s="34" t="e">
        <f t="shared" si="244"/>
        <v>#N/A</v>
      </c>
      <c r="AK109" s="34" t="e">
        <f t="shared" si="244"/>
        <v>#N/A</v>
      </c>
      <c r="AL109" s="34" t="e">
        <f t="shared" si="244"/>
        <v>#N/A</v>
      </c>
      <c r="AM109" s="34" t="e">
        <f t="shared" si="244"/>
        <v>#N/A</v>
      </c>
      <c r="AN109" s="34" t="e">
        <f t="shared" si="244"/>
        <v>#N/A</v>
      </c>
      <c r="AO109" s="34" t="e">
        <f t="shared" si="244"/>
        <v>#N/A</v>
      </c>
      <c r="AP109" s="34" t="e">
        <f t="shared" si="244"/>
        <v>#N/A</v>
      </c>
      <c r="AQ109" s="34" t="e">
        <f t="shared" si="244"/>
        <v>#N/A</v>
      </c>
      <c r="AR109" s="34" t="e">
        <f t="shared" si="244"/>
        <v>#N/A</v>
      </c>
      <c r="AS109" s="27"/>
      <c r="AT109" s="35" t="str">
        <f t="shared" ref="AT109" si="245">Y120</f>
        <v>Otros</v>
      </c>
      <c r="AU109" s="36">
        <f t="shared" ref="AU109:BM109" si="246">Z120/(Z107+Z108+Z120)</f>
        <v>0</v>
      </c>
      <c r="AV109" s="36">
        <f t="shared" si="246"/>
        <v>0</v>
      </c>
      <c r="AW109" s="36" t="e">
        <f t="shared" si="246"/>
        <v>#N/A</v>
      </c>
      <c r="AX109" s="36" t="e">
        <f t="shared" si="246"/>
        <v>#N/A</v>
      </c>
      <c r="AY109" s="36" t="e">
        <f t="shared" si="246"/>
        <v>#N/A</v>
      </c>
      <c r="AZ109" s="36" t="e">
        <f t="shared" si="246"/>
        <v>#N/A</v>
      </c>
      <c r="BA109" s="36" t="e">
        <f t="shared" si="246"/>
        <v>#N/A</v>
      </c>
      <c r="BB109" s="36" t="e">
        <f t="shared" si="246"/>
        <v>#N/A</v>
      </c>
      <c r="BC109" s="36" t="e">
        <f t="shared" si="246"/>
        <v>#N/A</v>
      </c>
      <c r="BD109" s="36" t="e">
        <f t="shared" si="246"/>
        <v>#N/A</v>
      </c>
      <c r="BE109" s="36" t="e">
        <f t="shared" si="246"/>
        <v>#N/A</v>
      </c>
      <c r="BF109" s="36" t="e">
        <f t="shared" si="246"/>
        <v>#N/A</v>
      </c>
      <c r="BG109" s="36" t="e">
        <f t="shared" si="246"/>
        <v>#N/A</v>
      </c>
      <c r="BH109" s="36" t="e">
        <f t="shared" si="246"/>
        <v>#N/A</v>
      </c>
      <c r="BI109" s="36" t="e">
        <f t="shared" si="246"/>
        <v>#N/A</v>
      </c>
      <c r="BJ109" s="36" t="e">
        <f t="shared" si="246"/>
        <v>#N/A</v>
      </c>
      <c r="BK109" s="36" t="e">
        <f t="shared" si="246"/>
        <v>#N/A</v>
      </c>
      <c r="BL109" s="36" t="e">
        <f t="shared" si="246"/>
        <v>#N/A</v>
      </c>
      <c r="BM109" s="36" t="e">
        <f t="shared" si="246"/>
        <v>#N/A</v>
      </c>
      <c r="BN109" s="30"/>
    </row>
    <row r="110" spans="1:66" ht="11.25" customHeight="1" x14ac:dyDescent="0.2">
      <c r="A110" s="60"/>
      <c r="B110" s="78"/>
      <c r="C110" s="33">
        <v>4</v>
      </c>
      <c r="D110" s="8" t="s">
        <v>125</v>
      </c>
      <c r="E110" s="16">
        <f>SUM(F110:W110)</f>
        <v>0</v>
      </c>
      <c r="F110" s="6">
        <f>SUMIFS([0]!VOTOS2,[0]!TURNO1,F$31,[0]!CANDIDATO1,$C110,[0]!MUNICIPIO1,$B$107)</f>
        <v>0</v>
      </c>
      <c r="G110" s="6">
        <f>SUMIFS([0]!VOTOS2,[0]!TURNO1,G$31,[0]!CANDIDATO1,$C110,[0]!MUNICIPIO1,$B$107)</f>
        <v>0</v>
      </c>
      <c r="H110" s="6">
        <f>SUMIFS([0]!VOTOS2,[0]!TURNO1,H$31,[0]!CANDIDATO1,$C110,[0]!MUNICIPIO1,$B$107)</f>
        <v>0</v>
      </c>
      <c r="I110" s="6">
        <f>SUMIFS([0]!VOTOS2,[0]!TURNO1,I$31,[0]!CANDIDATO1,$C110,[0]!MUNICIPIO1,$B$107)</f>
        <v>0</v>
      </c>
      <c r="J110" s="6">
        <f>SUMIFS([0]!VOTOS2,[0]!TURNO1,J$31,[0]!CANDIDATO1,$C110,[0]!MUNICIPIO1,$B$107)</f>
        <v>0</v>
      </c>
      <c r="K110" s="6">
        <f>SUMIFS([0]!VOTOS2,[0]!TURNO1,K$31,[0]!CANDIDATO1,$C110,[0]!MUNICIPIO1,$B$107)</f>
        <v>0</v>
      </c>
      <c r="L110" s="6">
        <f>SUMIFS([0]!VOTOS2,[0]!TURNO1,L$31,[0]!CANDIDATO1,$C110,[0]!MUNICIPIO1,$B$107)</f>
        <v>0</v>
      </c>
      <c r="M110" s="6">
        <f>SUMIFS([0]!VOTOS2,[0]!TURNO1,M$31,[0]!CANDIDATO1,$C110,[0]!MUNICIPIO1,$B$107)</f>
        <v>0</v>
      </c>
      <c r="N110" s="6">
        <f>SUMIFS([0]!VOTOS2,[0]!TURNO1,N$31,[0]!CANDIDATO1,$C110,[0]!MUNICIPIO1,$B$107)</f>
        <v>0</v>
      </c>
      <c r="O110" s="6">
        <f>SUMIFS([0]!VOTOS2,[0]!TURNO1,O$31,[0]!CANDIDATO1,$C110,[0]!MUNICIPIO1,$B$107)</f>
        <v>0</v>
      </c>
      <c r="P110" s="6">
        <f>SUMIFS([0]!VOTOS2,[0]!TURNO1,P$31,[0]!CANDIDATO1,$C110,[0]!MUNICIPIO1,$B$107)</f>
        <v>0</v>
      </c>
      <c r="Q110" s="6">
        <f>SUMIFS([0]!VOTOS2,[0]!TURNO1,Q$31,[0]!CANDIDATO1,$C110,[0]!MUNICIPIO1,$B$107)</f>
        <v>0</v>
      </c>
      <c r="R110" s="6">
        <f>SUMIFS([0]!VOTOS2,[0]!TURNO1,R$31,[0]!CANDIDATO1,$C110,[0]!MUNICIPIO1,$B$107)</f>
        <v>0</v>
      </c>
      <c r="S110" s="6">
        <f>SUMIFS([0]!VOTOS2,[0]!TURNO1,S$31,[0]!CANDIDATO1,$C110,[0]!MUNICIPIO1,$B$107)</f>
        <v>0</v>
      </c>
      <c r="T110" s="6">
        <f>SUMIFS([0]!VOTOS2,[0]!TURNO1,T$31,[0]!CANDIDATO1,$C110,[0]!MUNICIPIO1,$B$107)</f>
        <v>0</v>
      </c>
      <c r="U110" s="6">
        <f>SUMIFS([0]!VOTOS2,[0]!TURNO1,U$31,[0]!CANDIDATO1,$C110,[0]!MUNICIPIO1,$B$107)</f>
        <v>0</v>
      </c>
      <c r="V110" s="6">
        <f>SUMIFS([0]!VOTOS2,[0]!TURNO1,V$31,[0]!CANDIDATO1,$C110,[0]!MUNICIPIO1,$B$107)</f>
        <v>0</v>
      </c>
      <c r="W110" s="6">
        <f>SUMIFS([0]!VOTOS2,[0]!TURNO1,W$31,[0]!CANDIDATO1,$C110,[0]!MUNICIPIO1,$B$107)</f>
        <v>0</v>
      </c>
      <c r="X110" s="24"/>
      <c r="Y110" s="18" t="str">
        <f t="shared" si="236"/>
        <v>WILFREDO MANAURE</v>
      </c>
      <c r="Z110" s="34">
        <f t="shared" si="237"/>
        <v>0</v>
      </c>
      <c r="AA110" s="34">
        <f t="shared" si="238"/>
        <v>0</v>
      </c>
      <c r="AB110" s="34" t="e">
        <f t="shared" ref="AB110:AR110" si="247">IF(SUM(G107:G119)=0,NA(),G110+AA110)</f>
        <v>#N/A</v>
      </c>
      <c r="AC110" s="34" t="e">
        <f t="shared" si="247"/>
        <v>#N/A</v>
      </c>
      <c r="AD110" s="34" t="e">
        <f t="shared" si="247"/>
        <v>#N/A</v>
      </c>
      <c r="AE110" s="34" t="e">
        <f t="shared" si="247"/>
        <v>#N/A</v>
      </c>
      <c r="AF110" s="34" t="e">
        <f t="shared" si="247"/>
        <v>#N/A</v>
      </c>
      <c r="AG110" s="34" t="e">
        <f t="shared" si="247"/>
        <v>#N/A</v>
      </c>
      <c r="AH110" s="34" t="e">
        <f t="shared" si="247"/>
        <v>#N/A</v>
      </c>
      <c r="AI110" s="34" t="e">
        <f t="shared" si="247"/>
        <v>#N/A</v>
      </c>
      <c r="AJ110" s="34" t="e">
        <f t="shared" si="247"/>
        <v>#N/A</v>
      </c>
      <c r="AK110" s="34" t="e">
        <f t="shared" si="247"/>
        <v>#N/A</v>
      </c>
      <c r="AL110" s="34" t="e">
        <f t="shared" si="247"/>
        <v>#N/A</v>
      </c>
      <c r="AM110" s="34" t="e">
        <f t="shared" si="247"/>
        <v>#N/A</v>
      </c>
      <c r="AN110" s="34" t="e">
        <f t="shared" si="247"/>
        <v>#N/A</v>
      </c>
      <c r="AO110" s="34" t="e">
        <f t="shared" si="247"/>
        <v>#N/A</v>
      </c>
      <c r="AP110" s="34" t="e">
        <f t="shared" si="247"/>
        <v>#N/A</v>
      </c>
      <c r="AQ110" s="34" t="e">
        <f t="shared" si="247"/>
        <v>#N/A</v>
      </c>
      <c r="AR110" s="34" t="e">
        <f t="shared" si="247"/>
        <v>#N/A</v>
      </c>
      <c r="AS110" s="27"/>
      <c r="AT110" s="39"/>
      <c r="AU110" s="39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30"/>
    </row>
    <row r="111" spans="1:66" ht="11.25" customHeight="1" x14ac:dyDescent="0.2">
      <c r="A111" s="61"/>
      <c r="B111" s="79"/>
      <c r="C111" s="33">
        <v>5</v>
      </c>
      <c r="D111" s="8" t="s">
        <v>126</v>
      </c>
      <c r="E111" s="16">
        <f>SUM(F111:W111)</f>
        <v>0</v>
      </c>
      <c r="F111" s="6">
        <f>SUMIFS([0]!VOTOS2,[0]!TURNO1,F$31,[0]!CANDIDATO1,$C111,[0]!MUNICIPIO1,$B$107)</f>
        <v>0</v>
      </c>
      <c r="G111" s="6">
        <f>SUMIFS([0]!VOTOS2,[0]!TURNO1,G$31,[0]!CANDIDATO1,$C111,[0]!MUNICIPIO1,$B$107)</f>
        <v>0</v>
      </c>
      <c r="H111" s="6">
        <f>SUMIFS([0]!VOTOS2,[0]!TURNO1,H$31,[0]!CANDIDATO1,$C111,[0]!MUNICIPIO1,$B$107)</f>
        <v>0</v>
      </c>
      <c r="I111" s="6">
        <f>SUMIFS([0]!VOTOS2,[0]!TURNO1,I$31,[0]!CANDIDATO1,$C111,[0]!MUNICIPIO1,$B$107)</f>
        <v>0</v>
      </c>
      <c r="J111" s="6">
        <f>SUMIFS([0]!VOTOS2,[0]!TURNO1,J$31,[0]!CANDIDATO1,$C111,[0]!MUNICIPIO1,$B$107)</f>
        <v>0</v>
      </c>
      <c r="K111" s="6">
        <f>SUMIFS([0]!VOTOS2,[0]!TURNO1,K$31,[0]!CANDIDATO1,$C111,[0]!MUNICIPIO1,$B$107)</f>
        <v>0</v>
      </c>
      <c r="L111" s="6">
        <f>SUMIFS([0]!VOTOS2,[0]!TURNO1,L$31,[0]!CANDIDATO1,$C111,[0]!MUNICIPIO1,$B$107)</f>
        <v>0</v>
      </c>
      <c r="M111" s="6">
        <f>SUMIFS([0]!VOTOS2,[0]!TURNO1,M$31,[0]!CANDIDATO1,$C111,[0]!MUNICIPIO1,$B$107)</f>
        <v>0</v>
      </c>
      <c r="N111" s="6">
        <f>SUMIFS([0]!VOTOS2,[0]!TURNO1,N$31,[0]!CANDIDATO1,$C111,[0]!MUNICIPIO1,$B$107)</f>
        <v>0</v>
      </c>
      <c r="O111" s="6">
        <f>SUMIFS([0]!VOTOS2,[0]!TURNO1,O$31,[0]!CANDIDATO1,$C111,[0]!MUNICIPIO1,$B$107)</f>
        <v>0</v>
      </c>
      <c r="P111" s="6">
        <f>SUMIFS([0]!VOTOS2,[0]!TURNO1,P$31,[0]!CANDIDATO1,$C111,[0]!MUNICIPIO1,$B$107)</f>
        <v>0</v>
      </c>
      <c r="Q111" s="6">
        <f>SUMIFS([0]!VOTOS2,[0]!TURNO1,Q$31,[0]!CANDIDATO1,$C111,[0]!MUNICIPIO1,$B$107)</f>
        <v>0</v>
      </c>
      <c r="R111" s="6">
        <f>SUMIFS([0]!VOTOS2,[0]!TURNO1,R$31,[0]!CANDIDATO1,$C111,[0]!MUNICIPIO1,$B$107)</f>
        <v>0</v>
      </c>
      <c r="S111" s="6">
        <f>SUMIFS([0]!VOTOS2,[0]!TURNO1,S$31,[0]!CANDIDATO1,$C111,[0]!MUNICIPIO1,$B$107)</f>
        <v>0</v>
      </c>
      <c r="T111" s="6">
        <f>SUMIFS([0]!VOTOS2,[0]!TURNO1,T$31,[0]!CANDIDATO1,$C111,[0]!MUNICIPIO1,$B$107)</f>
        <v>0</v>
      </c>
      <c r="U111" s="6">
        <f>SUMIFS([0]!VOTOS2,[0]!TURNO1,U$31,[0]!CANDIDATO1,$C111,[0]!MUNICIPIO1,$B$107)</f>
        <v>0</v>
      </c>
      <c r="V111" s="6">
        <f>SUMIFS([0]!VOTOS2,[0]!TURNO1,V$31,[0]!CANDIDATO1,$C111,[0]!MUNICIPIO1,$B$107)</f>
        <v>0</v>
      </c>
      <c r="W111" s="6">
        <f>SUMIFS([0]!VOTOS2,[0]!TURNO1,W$31,[0]!CANDIDATO1,$C111,[0]!MUNICIPIO1,$B$107)</f>
        <v>0</v>
      </c>
      <c r="X111" s="24"/>
      <c r="Y111" s="18" t="str">
        <f t="shared" si="236"/>
        <v>RUBEN DARIO FLORES</v>
      </c>
      <c r="Z111" s="34">
        <f t="shared" si="237"/>
        <v>0</v>
      </c>
      <c r="AA111" s="34">
        <f t="shared" si="238"/>
        <v>0</v>
      </c>
      <c r="AB111" s="34" t="e">
        <f t="shared" ref="AB111:AR111" si="248">IF(SUM(G107:G119)=0,NA(),G111+AA111)</f>
        <v>#N/A</v>
      </c>
      <c r="AC111" s="34" t="e">
        <f t="shared" si="248"/>
        <v>#N/A</v>
      </c>
      <c r="AD111" s="34" t="e">
        <f t="shared" si="248"/>
        <v>#N/A</v>
      </c>
      <c r="AE111" s="34" t="e">
        <f t="shared" si="248"/>
        <v>#N/A</v>
      </c>
      <c r="AF111" s="34" t="e">
        <f t="shared" si="248"/>
        <v>#N/A</v>
      </c>
      <c r="AG111" s="34" t="e">
        <f t="shared" si="248"/>
        <v>#N/A</v>
      </c>
      <c r="AH111" s="34" t="e">
        <f t="shared" si="248"/>
        <v>#N/A</v>
      </c>
      <c r="AI111" s="34" t="e">
        <f t="shared" si="248"/>
        <v>#N/A</v>
      </c>
      <c r="AJ111" s="34" t="e">
        <f t="shared" si="248"/>
        <v>#N/A</v>
      </c>
      <c r="AK111" s="34" t="e">
        <f t="shared" si="248"/>
        <v>#N/A</v>
      </c>
      <c r="AL111" s="34" t="e">
        <f t="shared" si="248"/>
        <v>#N/A</v>
      </c>
      <c r="AM111" s="34" t="e">
        <f t="shared" si="248"/>
        <v>#N/A</v>
      </c>
      <c r="AN111" s="34" t="e">
        <f t="shared" si="248"/>
        <v>#N/A</v>
      </c>
      <c r="AO111" s="34" t="e">
        <f t="shared" si="248"/>
        <v>#N/A</v>
      </c>
      <c r="AP111" s="34" t="e">
        <f t="shared" si="248"/>
        <v>#N/A</v>
      </c>
      <c r="AQ111" s="34" t="e">
        <f t="shared" si="248"/>
        <v>#N/A</v>
      </c>
      <c r="AR111" s="34" t="e">
        <f t="shared" si="248"/>
        <v>#N/A</v>
      </c>
      <c r="AS111" s="27"/>
      <c r="AT111" s="39"/>
      <c r="AU111" s="39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30"/>
    </row>
    <row r="112" spans="1:66" ht="11.25" customHeight="1" x14ac:dyDescent="0.2">
      <c r="A112" s="44"/>
      <c r="B112" s="54"/>
      <c r="C112" s="46">
        <v>6</v>
      </c>
      <c r="D112" s="14" t="s">
        <v>121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24"/>
      <c r="Y112" s="18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27"/>
      <c r="AT112" s="39"/>
      <c r="AU112" s="39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30"/>
    </row>
    <row r="113" spans="1:66" ht="11.25" customHeight="1" x14ac:dyDescent="0.2">
      <c r="A113" s="44"/>
      <c r="B113" s="54"/>
      <c r="C113" s="46">
        <v>7</v>
      </c>
      <c r="D113" s="14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24"/>
      <c r="Y113" s="18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27"/>
      <c r="AT113" s="39"/>
      <c r="AU113" s="39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30"/>
    </row>
    <row r="114" spans="1:66" ht="11.25" customHeight="1" x14ac:dyDescent="0.2">
      <c r="A114" s="44"/>
      <c r="B114" s="54"/>
      <c r="C114" s="46">
        <v>8</v>
      </c>
      <c r="D114" s="14" t="s">
        <v>121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24"/>
      <c r="Y114" s="18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27"/>
      <c r="AT114" s="41"/>
      <c r="AU114" s="41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30"/>
    </row>
    <row r="115" spans="1:66" ht="11.25" customHeight="1" x14ac:dyDescent="0.2">
      <c r="A115" s="44"/>
      <c r="B115" s="54"/>
      <c r="C115" s="46">
        <v>9</v>
      </c>
      <c r="D115" s="14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24"/>
      <c r="Y115" s="18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27"/>
      <c r="AT115" s="41"/>
      <c r="AU115" s="41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30"/>
    </row>
    <row r="116" spans="1:66" ht="11.25" customHeight="1" x14ac:dyDescent="0.2">
      <c r="A116" s="44"/>
      <c r="B116" s="54"/>
      <c r="C116" s="46">
        <v>10</v>
      </c>
      <c r="D116" s="14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24"/>
      <c r="Y116" s="18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27"/>
      <c r="AT116" s="41"/>
      <c r="AU116" s="41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30"/>
    </row>
    <row r="117" spans="1:66" ht="11.25" customHeight="1" x14ac:dyDescent="0.2">
      <c r="A117" s="44"/>
      <c r="B117" s="54"/>
      <c r="C117" s="46">
        <v>11</v>
      </c>
      <c r="D117" s="14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24"/>
      <c r="Y117" s="18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27"/>
      <c r="AT117" s="41"/>
      <c r="AU117" s="41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30"/>
    </row>
    <row r="118" spans="1:66" ht="11.25" customHeight="1" x14ac:dyDescent="0.2">
      <c r="A118" s="44"/>
      <c r="B118" s="54"/>
      <c r="C118" s="46">
        <v>12</v>
      </c>
      <c r="D118" s="14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24"/>
      <c r="Y118" s="18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27"/>
      <c r="AT118" s="41"/>
      <c r="AU118" s="41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30"/>
    </row>
    <row r="119" spans="1:66" ht="11.25" customHeight="1" x14ac:dyDescent="0.2">
      <c r="A119" s="44"/>
      <c r="B119" s="54"/>
      <c r="C119" s="46">
        <v>13</v>
      </c>
      <c r="D119" s="14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24"/>
      <c r="Y119" s="18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27"/>
      <c r="AT119" s="41"/>
      <c r="AU119" s="41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30"/>
    </row>
    <row r="120" spans="1:66" ht="11.25" customHeight="1" x14ac:dyDescent="0.2">
      <c r="D120" s="31" t="s">
        <v>76</v>
      </c>
      <c r="X120" s="24"/>
      <c r="Y120" s="19" t="s">
        <v>79</v>
      </c>
      <c r="Z120" s="34">
        <f t="shared" ref="Z120" si="249">SUM(Z109:Z119)</f>
        <v>0</v>
      </c>
      <c r="AA120" s="34">
        <f t="shared" ref="AA120" si="250">SUM(AA109:AA119)</f>
        <v>0</v>
      </c>
      <c r="AB120" s="34" t="e">
        <f t="shared" ref="AB120" si="251">SUM(AB109:AB119)</f>
        <v>#N/A</v>
      </c>
      <c r="AC120" s="34" t="e">
        <f t="shared" ref="AC120" si="252">SUM(AC109:AC119)</f>
        <v>#N/A</v>
      </c>
      <c r="AD120" s="34" t="e">
        <f t="shared" ref="AD120" si="253">SUM(AD109:AD119)</f>
        <v>#N/A</v>
      </c>
      <c r="AE120" s="34" t="e">
        <f t="shared" ref="AE120" si="254">SUM(AE109:AE119)</f>
        <v>#N/A</v>
      </c>
      <c r="AF120" s="34" t="e">
        <f t="shared" ref="AF120" si="255">SUM(AF109:AF119)</f>
        <v>#N/A</v>
      </c>
      <c r="AG120" s="34" t="e">
        <f t="shared" ref="AG120" si="256">SUM(AG109:AG119)</f>
        <v>#N/A</v>
      </c>
      <c r="AH120" s="34" t="e">
        <f t="shared" ref="AH120" si="257">SUM(AH109:AH119)</f>
        <v>#N/A</v>
      </c>
      <c r="AI120" s="34" t="e">
        <f t="shared" ref="AI120" si="258">SUM(AI109:AI119)</f>
        <v>#N/A</v>
      </c>
      <c r="AJ120" s="34" t="e">
        <f t="shared" ref="AJ120" si="259">SUM(AJ109:AJ119)</f>
        <v>#N/A</v>
      </c>
      <c r="AK120" s="34" t="e">
        <f t="shared" ref="AK120" si="260">SUM(AK109:AK119)</f>
        <v>#N/A</v>
      </c>
      <c r="AL120" s="34" t="e">
        <f t="shared" ref="AL120" si="261">SUM(AL109:AL119)</f>
        <v>#N/A</v>
      </c>
      <c r="AM120" s="34" t="e">
        <f t="shared" ref="AM120" si="262">SUM(AM109:AM119)</f>
        <v>#N/A</v>
      </c>
      <c r="AN120" s="34" t="e">
        <f t="shared" ref="AN120" si="263">SUM(AN109:AN119)</f>
        <v>#N/A</v>
      </c>
      <c r="AO120" s="34" t="e">
        <f t="shared" ref="AO120" si="264">SUM(AO109:AO119)</f>
        <v>#N/A</v>
      </c>
      <c r="AP120" s="34" t="e">
        <f t="shared" ref="AP120" si="265">SUM(AP109:AP119)</f>
        <v>#N/A</v>
      </c>
      <c r="AQ120" s="34" t="e">
        <f t="shared" ref="AQ120" si="266">SUM(AQ109:AQ119)</f>
        <v>#N/A</v>
      </c>
      <c r="AR120" s="34" t="e">
        <f t="shared" ref="AR120" si="267">SUM(AR109:AR119)</f>
        <v>#N/A</v>
      </c>
      <c r="AS120" s="27"/>
      <c r="AT120" s="41"/>
      <c r="AU120" s="41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30"/>
    </row>
    <row r="121" spans="1:66" ht="11.25" customHeight="1" x14ac:dyDescent="0.2">
      <c r="A121" s="75" t="s">
        <v>63</v>
      </c>
      <c r="B121" s="76"/>
      <c r="C121" s="47"/>
      <c r="D121" s="48" t="s">
        <v>75</v>
      </c>
      <c r="E121" s="49" t="s">
        <v>70</v>
      </c>
      <c r="F121" s="49">
        <v>0</v>
      </c>
      <c r="G121" s="49">
        <v>1</v>
      </c>
      <c r="H121" s="49">
        <v>2</v>
      </c>
      <c r="I121" s="49">
        <v>3</v>
      </c>
      <c r="J121" s="49">
        <v>4</v>
      </c>
      <c r="K121" s="49">
        <v>5</v>
      </c>
      <c r="L121" s="49">
        <v>6</v>
      </c>
      <c r="M121" s="49">
        <v>7</v>
      </c>
      <c r="N121" s="49">
        <v>8</v>
      </c>
      <c r="O121" s="49">
        <v>9</v>
      </c>
      <c r="P121" s="49">
        <v>10</v>
      </c>
      <c r="Q121" s="49">
        <v>11</v>
      </c>
      <c r="R121" s="49">
        <v>12</v>
      </c>
      <c r="S121" s="49">
        <v>13</v>
      </c>
      <c r="T121" s="49">
        <v>14</v>
      </c>
      <c r="U121" s="49">
        <v>15</v>
      </c>
      <c r="V121" s="49">
        <v>16</v>
      </c>
      <c r="W121" s="23">
        <v>17</v>
      </c>
      <c r="X121" s="24"/>
      <c r="Y121" s="17"/>
      <c r="Z121" s="25" t="s">
        <v>64</v>
      </c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7"/>
      <c r="AT121" s="28"/>
      <c r="AU121" s="28" t="s">
        <v>64</v>
      </c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30"/>
    </row>
    <row r="122" spans="1:66" ht="11.25" customHeight="1" x14ac:dyDescent="0.2">
      <c r="A122" s="32"/>
      <c r="B122" s="72">
        <v>9</v>
      </c>
      <c r="C122" s="56">
        <v>1</v>
      </c>
      <c r="D122" s="7" t="s">
        <v>127</v>
      </c>
      <c r="E122" s="16">
        <f t="shared" ref="E122:E130" si="268">SUM(F122:W122)</f>
        <v>10</v>
      </c>
      <c r="F122" s="6">
        <f>SUMIFS([0]!VOTOS2,[0]!TURNO1,F$31,[0]!CANDIDATO1,$C122,[0]!MUNICIPIO1,$B$122)</f>
        <v>10</v>
      </c>
      <c r="G122" s="6">
        <f>SUMIFS([0]!VOTOS2,[0]!TURNO1,G$31,[0]!CANDIDATO1,$C122,[0]!MUNICIPIO1,$B$122)</f>
        <v>0</v>
      </c>
      <c r="H122" s="6">
        <f>SUMIFS([0]!VOTOS2,[0]!TURNO1,H$31,[0]!CANDIDATO1,$C122,[0]!MUNICIPIO1,$B$122)</f>
        <v>0</v>
      </c>
      <c r="I122" s="6">
        <f>SUMIFS([0]!VOTOS2,[0]!TURNO1,I$31,[0]!CANDIDATO1,$C122,[0]!MUNICIPIO1,$B$122)</f>
        <v>0</v>
      </c>
      <c r="J122" s="6">
        <f>SUMIFS([0]!VOTOS2,[0]!TURNO1,J$31,[0]!CANDIDATO1,$C122,[0]!MUNICIPIO1,$B$122)</f>
        <v>0</v>
      </c>
      <c r="K122" s="6">
        <f>SUMIFS([0]!VOTOS2,[0]!TURNO1,K$31,[0]!CANDIDATO1,$C122,[0]!MUNICIPIO1,$B$122)</f>
        <v>0</v>
      </c>
      <c r="L122" s="6">
        <f>SUMIFS([0]!VOTOS2,[0]!TURNO1,L$31,[0]!CANDIDATO1,$C122,[0]!MUNICIPIO1,$B$122)</f>
        <v>0</v>
      </c>
      <c r="M122" s="6">
        <f>SUMIFS([0]!VOTOS2,[0]!TURNO1,M$31,[0]!CANDIDATO1,$C122,[0]!MUNICIPIO1,$B$122)</f>
        <v>0</v>
      </c>
      <c r="N122" s="6">
        <f>SUMIFS([0]!VOTOS2,[0]!TURNO1,N$31,[0]!CANDIDATO1,$C122,[0]!MUNICIPIO1,$B$122)</f>
        <v>0</v>
      </c>
      <c r="O122" s="6">
        <f>SUMIFS([0]!VOTOS2,[0]!TURNO1,O$31,[0]!CANDIDATO1,$C122,[0]!MUNICIPIO1,$B$122)</f>
        <v>0</v>
      </c>
      <c r="P122" s="6">
        <f>SUMIFS([0]!VOTOS2,[0]!TURNO1,P$31,[0]!CANDIDATO1,$C122,[0]!MUNICIPIO1,$B$122)</f>
        <v>0</v>
      </c>
      <c r="Q122" s="6">
        <f>SUMIFS([0]!VOTOS2,[0]!TURNO1,Q$31,[0]!CANDIDATO1,$C122,[0]!MUNICIPIO1,$B$122)</f>
        <v>0</v>
      </c>
      <c r="R122" s="6">
        <f>SUMIFS([0]!VOTOS2,[0]!TURNO1,R$31,[0]!CANDIDATO1,$C122,[0]!MUNICIPIO1,$B$122)</f>
        <v>0</v>
      </c>
      <c r="S122" s="6">
        <f>SUMIFS([0]!VOTOS2,[0]!TURNO1,S$31,[0]!CANDIDATO1,$C122,[0]!MUNICIPIO1,$B$122)</f>
        <v>0</v>
      </c>
      <c r="T122" s="6">
        <f>SUMIFS([0]!VOTOS2,[0]!TURNO1,T$31,[0]!CANDIDATO1,$C122,[0]!MUNICIPIO1,$B$122)</f>
        <v>0</v>
      </c>
      <c r="U122" s="6">
        <f>SUMIFS([0]!VOTOS2,[0]!TURNO1,U$31,[0]!CANDIDATO1,$C122,[0]!MUNICIPIO1,$B$122)</f>
        <v>0</v>
      </c>
      <c r="V122" s="6">
        <f>SUMIFS([0]!VOTOS2,[0]!TURNO1,V$31,[0]!CANDIDATO1,$C122,[0]!MUNICIPIO1,$B$122)</f>
        <v>0</v>
      </c>
      <c r="W122" s="6">
        <f>SUMIFS([0]!VOTOS2,[0]!TURNO1,W$31,[0]!CANDIDATO1,$C122,[0]!MUNICIPIO1,$B$122)</f>
        <v>0</v>
      </c>
      <c r="X122" s="24"/>
      <c r="Y122" s="18" t="str">
        <f t="shared" ref="Y122:Y130" si="269">D122</f>
        <v>PEDRO BASTIDAS</v>
      </c>
      <c r="Z122" s="34">
        <f t="shared" ref="Z122:Z130" si="270">E122</f>
        <v>10</v>
      </c>
      <c r="AA122" s="34">
        <f t="shared" ref="AA122:AA130" si="271">F122</f>
        <v>10</v>
      </c>
      <c r="AB122" s="34" t="e">
        <f t="shared" ref="AB122:AR122" si="272">IF(SUM(G122:G134)=0,NA(),G122+AA122)</f>
        <v>#N/A</v>
      </c>
      <c r="AC122" s="34" t="e">
        <f t="shared" si="272"/>
        <v>#N/A</v>
      </c>
      <c r="AD122" s="34" t="e">
        <f t="shared" si="272"/>
        <v>#N/A</v>
      </c>
      <c r="AE122" s="34" t="e">
        <f t="shared" si="272"/>
        <v>#N/A</v>
      </c>
      <c r="AF122" s="34" t="e">
        <f t="shared" si="272"/>
        <v>#N/A</v>
      </c>
      <c r="AG122" s="34" t="e">
        <f t="shared" si="272"/>
        <v>#N/A</v>
      </c>
      <c r="AH122" s="34" t="e">
        <f t="shared" si="272"/>
        <v>#N/A</v>
      </c>
      <c r="AI122" s="34" t="e">
        <f t="shared" si="272"/>
        <v>#N/A</v>
      </c>
      <c r="AJ122" s="34" t="e">
        <f t="shared" si="272"/>
        <v>#N/A</v>
      </c>
      <c r="AK122" s="34" t="e">
        <f t="shared" si="272"/>
        <v>#N/A</v>
      </c>
      <c r="AL122" s="34" t="e">
        <f t="shared" si="272"/>
        <v>#N/A</v>
      </c>
      <c r="AM122" s="34" t="e">
        <f t="shared" si="272"/>
        <v>#N/A</v>
      </c>
      <c r="AN122" s="34" t="e">
        <f t="shared" si="272"/>
        <v>#N/A</v>
      </c>
      <c r="AO122" s="34" t="e">
        <f t="shared" si="272"/>
        <v>#N/A</v>
      </c>
      <c r="AP122" s="34" t="e">
        <f t="shared" si="272"/>
        <v>#N/A</v>
      </c>
      <c r="AQ122" s="34" t="e">
        <f t="shared" si="272"/>
        <v>#N/A</v>
      </c>
      <c r="AR122" s="34" t="e">
        <f t="shared" si="272"/>
        <v>#N/A</v>
      </c>
      <c r="AS122" s="27"/>
      <c r="AT122" s="35" t="str">
        <f t="shared" ref="AT122:AT123" si="273">Y122</f>
        <v>PEDRO BASTIDAS</v>
      </c>
      <c r="AU122" s="36">
        <f t="shared" ref="AU122:BM122" si="274">Z122/(Z122+Z123+Z135)</f>
        <v>0.5</v>
      </c>
      <c r="AV122" s="36">
        <f t="shared" si="274"/>
        <v>0.5</v>
      </c>
      <c r="AW122" s="36" t="e">
        <f t="shared" si="274"/>
        <v>#N/A</v>
      </c>
      <c r="AX122" s="36" t="e">
        <f t="shared" si="274"/>
        <v>#N/A</v>
      </c>
      <c r="AY122" s="36" t="e">
        <f t="shared" si="274"/>
        <v>#N/A</v>
      </c>
      <c r="AZ122" s="36" t="e">
        <f t="shared" si="274"/>
        <v>#N/A</v>
      </c>
      <c r="BA122" s="36" t="e">
        <f t="shared" si="274"/>
        <v>#N/A</v>
      </c>
      <c r="BB122" s="36" t="e">
        <f t="shared" si="274"/>
        <v>#N/A</v>
      </c>
      <c r="BC122" s="36" t="e">
        <f t="shared" si="274"/>
        <v>#N/A</v>
      </c>
      <c r="BD122" s="36" t="e">
        <f t="shared" si="274"/>
        <v>#N/A</v>
      </c>
      <c r="BE122" s="36" t="e">
        <f t="shared" si="274"/>
        <v>#N/A</v>
      </c>
      <c r="BF122" s="36" t="e">
        <f t="shared" si="274"/>
        <v>#N/A</v>
      </c>
      <c r="BG122" s="36" t="e">
        <f t="shared" si="274"/>
        <v>#N/A</v>
      </c>
      <c r="BH122" s="36" t="e">
        <f t="shared" si="274"/>
        <v>#N/A</v>
      </c>
      <c r="BI122" s="36" t="e">
        <f t="shared" si="274"/>
        <v>#N/A</v>
      </c>
      <c r="BJ122" s="36" t="e">
        <f t="shared" si="274"/>
        <v>#N/A</v>
      </c>
      <c r="BK122" s="36" t="e">
        <f t="shared" si="274"/>
        <v>#N/A</v>
      </c>
      <c r="BL122" s="36" t="e">
        <f t="shared" si="274"/>
        <v>#N/A</v>
      </c>
      <c r="BM122" s="36" t="e">
        <f t="shared" si="274"/>
        <v>#N/A</v>
      </c>
      <c r="BN122" s="30"/>
    </row>
    <row r="123" spans="1:66" ht="11.25" customHeight="1" x14ac:dyDescent="0.2">
      <c r="A123" s="37"/>
      <c r="B123" s="73"/>
      <c r="C123" s="33">
        <v>2</v>
      </c>
      <c r="D123" s="8" t="s">
        <v>128</v>
      </c>
      <c r="E123" s="16">
        <f t="shared" si="268"/>
        <v>10</v>
      </c>
      <c r="F123" s="6">
        <f>SUMIFS([0]!VOTOS2,[0]!TURNO1,F$31,[0]!CANDIDATO1,$C123,[0]!MUNICIPIO1,$B$122)</f>
        <v>10</v>
      </c>
      <c r="G123" s="6">
        <f>SUMIFS([0]!VOTOS2,[0]!TURNO1,G$31,[0]!CANDIDATO1,$C123,[0]!MUNICIPIO1,$B$122)</f>
        <v>0</v>
      </c>
      <c r="H123" s="6">
        <f>SUMIFS([0]!VOTOS2,[0]!TURNO1,H$31,[0]!CANDIDATO1,$C123,[0]!MUNICIPIO1,$B$122)</f>
        <v>0</v>
      </c>
      <c r="I123" s="6">
        <f>SUMIFS([0]!VOTOS2,[0]!TURNO1,I$31,[0]!CANDIDATO1,$C123,[0]!MUNICIPIO1,$B$122)</f>
        <v>0</v>
      </c>
      <c r="J123" s="6">
        <f>SUMIFS([0]!VOTOS2,[0]!TURNO1,J$31,[0]!CANDIDATO1,$C123,[0]!MUNICIPIO1,$B$122)</f>
        <v>0</v>
      </c>
      <c r="K123" s="6">
        <f>SUMIFS([0]!VOTOS2,[0]!TURNO1,K$31,[0]!CANDIDATO1,$C123,[0]!MUNICIPIO1,$B$122)</f>
        <v>0</v>
      </c>
      <c r="L123" s="6">
        <f>SUMIFS([0]!VOTOS2,[0]!TURNO1,L$31,[0]!CANDIDATO1,$C123,[0]!MUNICIPIO1,$B$122)</f>
        <v>0</v>
      </c>
      <c r="M123" s="6">
        <f>SUMIFS([0]!VOTOS2,[0]!TURNO1,M$31,[0]!CANDIDATO1,$C123,[0]!MUNICIPIO1,$B$122)</f>
        <v>0</v>
      </c>
      <c r="N123" s="6">
        <f>SUMIFS([0]!VOTOS2,[0]!TURNO1,N$31,[0]!CANDIDATO1,$C123,[0]!MUNICIPIO1,$B$122)</f>
        <v>0</v>
      </c>
      <c r="O123" s="6">
        <f>SUMIFS([0]!VOTOS2,[0]!TURNO1,O$31,[0]!CANDIDATO1,$C123,[0]!MUNICIPIO1,$B$122)</f>
        <v>0</v>
      </c>
      <c r="P123" s="6">
        <f>SUMIFS([0]!VOTOS2,[0]!TURNO1,P$31,[0]!CANDIDATO1,$C123,[0]!MUNICIPIO1,$B$122)</f>
        <v>0</v>
      </c>
      <c r="Q123" s="6">
        <f>SUMIFS([0]!VOTOS2,[0]!TURNO1,Q$31,[0]!CANDIDATO1,$C123,[0]!MUNICIPIO1,$B$122)</f>
        <v>0</v>
      </c>
      <c r="R123" s="6">
        <f>SUMIFS([0]!VOTOS2,[0]!TURNO1,R$31,[0]!CANDIDATO1,$C123,[0]!MUNICIPIO1,$B$122)</f>
        <v>0</v>
      </c>
      <c r="S123" s="6">
        <f>SUMIFS([0]!VOTOS2,[0]!TURNO1,S$31,[0]!CANDIDATO1,$C123,[0]!MUNICIPIO1,$B$122)</f>
        <v>0</v>
      </c>
      <c r="T123" s="6">
        <f>SUMIFS([0]!VOTOS2,[0]!TURNO1,T$31,[0]!CANDIDATO1,$C123,[0]!MUNICIPIO1,$B$122)</f>
        <v>0</v>
      </c>
      <c r="U123" s="6">
        <f>SUMIFS([0]!VOTOS2,[0]!TURNO1,U$31,[0]!CANDIDATO1,$C123,[0]!MUNICIPIO1,$B$122)</f>
        <v>0</v>
      </c>
      <c r="V123" s="6">
        <f>SUMIFS([0]!VOTOS2,[0]!TURNO1,V$31,[0]!CANDIDATO1,$C123,[0]!MUNICIPIO1,$B$122)</f>
        <v>0</v>
      </c>
      <c r="W123" s="6">
        <f>SUMIFS([0]!VOTOS2,[0]!TURNO1,W$31,[0]!CANDIDATO1,$C123,[0]!MUNICIPIO1,$B$122)</f>
        <v>0</v>
      </c>
      <c r="X123" s="24"/>
      <c r="Y123" s="18" t="str">
        <f t="shared" si="269"/>
        <v>TONNY REAL</v>
      </c>
      <c r="Z123" s="34">
        <f t="shared" si="270"/>
        <v>10</v>
      </c>
      <c r="AA123" s="34">
        <f t="shared" si="271"/>
        <v>10</v>
      </c>
      <c r="AB123" s="34" t="e">
        <f t="shared" ref="AB123:AR123" si="275">IF(SUM(G122:G134)=0,NA(),G123+AA123)</f>
        <v>#N/A</v>
      </c>
      <c r="AC123" s="34" t="e">
        <f t="shared" si="275"/>
        <v>#N/A</v>
      </c>
      <c r="AD123" s="34" t="e">
        <f t="shared" si="275"/>
        <v>#N/A</v>
      </c>
      <c r="AE123" s="34" t="e">
        <f t="shared" si="275"/>
        <v>#N/A</v>
      </c>
      <c r="AF123" s="34" t="e">
        <f t="shared" si="275"/>
        <v>#N/A</v>
      </c>
      <c r="AG123" s="34" t="e">
        <f t="shared" si="275"/>
        <v>#N/A</v>
      </c>
      <c r="AH123" s="34" t="e">
        <f t="shared" si="275"/>
        <v>#N/A</v>
      </c>
      <c r="AI123" s="34" t="e">
        <f t="shared" si="275"/>
        <v>#N/A</v>
      </c>
      <c r="AJ123" s="34" t="e">
        <f t="shared" si="275"/>
        <v>#N/A</v>
      </c>
      <c r="AK123" s="34" t="e">
        <f t="shared" si="275"/>
        <v>#N/A</v>
      </c>
      <c r="AL123" s="34" t="e">
        <f t="shared" si="275"/>
        <v>#N/A</v>
      </c>
      <c r="AM123" s="34" t="e">
        <f t="shared" si="275"/>
        <v>#N/A</v>
      </c>
      <c r="AN123" s="34" t="e">
        <f t="shared" si="275"/>
        <v>#N/A</v>
      </c>
      <c r="AO123" s="34" t="e">
        <f t="shared" si="275"/>
        <v>#N/A</v>
      </c>
      <c r="AP123" s="34" t="e">
        <f t="shared" si="275"/>
        <v>#N/A</v>
      </c>
      <c r="AQ123" s="34" t="e">
        <f t="shared" si="275"/>
        <v>#N/A</v>
      </c>
      <c r="AR123" s="34" t="e">
        <f t="shared" si="275"/>
        <v>#N/A</v>
      </c>
      <c r="AS123" s="27"/>
      <c r="AT123" s="35" t="str">
        <f t="shared" si="273"/>
        <v>TONNY REAL</v>
      </c>
      <c r="AU123" s="36">
        <f t="shared" ref="AU123:BM123" si="276">Z123/(Z122+Z123+Z135)</f>
        <v>0.5</v>
      </c>
      <c r="AV123" s="36">
        <f t="shared" si="276"/>
        <v>0.5</v>
      </c>
      <c r="AW123" s="36" t="e">
        <f t="shared" si="276"/>
        <v>#N/A</v>
      </c>
      <c r="AX123" s="36" t="e">
        <f t="shared" si="276"/>
        <v>#N/A</v>
      </c>
      <c r="AY123" s="36" t="e">
        <f t="shared" si="276"/>
        <v>#N/A</v>
      </c>
      <c r="AZ123" s="36" t="e">
        <f t="shared" si="276"/>
        <v>#N/A</v>
      </c>
      <c r="BA123" s="36" t="e">
        <f t="shared" si="276"/>
        <v>#N/A</v>
      </c>
      <c r="BB123" s="36" t="e">
        <f t="shared" si="276"/>
        <v>#N/A</v>
      </c>
      <c r="BC123" s="36" t="e">
        <f t="shared" si="276"/>
        <v>#N/A</v>
      </c>
      <c r="BD123" s="36" t="e">
        <f t="shared" si="276"/>
        <v>#N/A</v>
      </c>
      <c r="BE123" s="36" t="e">
        <f t="shared" si="276"/>
        <v>#N/A</v>
      </c>
      <c r="BF123" s="36" t="e">
        <f t="shared" si="276"/>
        <v>#N/A</v>
      </c>
      <c r="BG123" s="36" t="e">
        <f t="shared" si="276"/>
        <v>#N/A</v>
      </c>
      <c r="BH123" s="36" t="e">
        <f t="shared" si="276"/>
        <v>#N/A</v>
      </c>
      <c r="BI123" s="36" t="e">
        <f t="shared" si="276"/>
        <v>#N/A</v>
      </c>
      <c r="BJ123" s="36" t="e">
        <f t="shared" si="276"/>
        <v>#N/A</v>
      </c>
      <c r="BK123" s="36" t="e">
        <f t="shared" si="276"/>
        <v>#N/A</v>
      </c>
      <c r="BL123" s="36" t="e">
        <f t="shared" si="276"/>
        <v>#N/A</v>
      </c>
      <c r="BM123" s="36" t="e">
        <f t="shared" si="276"/>
        <v>#N/A</v>
      </c>
      <c r="BN123" s="30"/>
    </row>
    <row r="124" spans="1:66" ht="11.25" customHeight="1" x14ac:dyDescent="0.2">
      <c r="A124" s="37"/>
      <c r="B124" s="73"/>
      <c r="C124" s="56">
        <v>3</v>
      </c>
      <c r="D124" s="8" t="s">
        <v>129</v>
      </c>
      <c r="E124" s="16">
        <f t="shared" si="268"/>
        <v>0</v>
      </c>
      <c r="F124" s="6">
        <f>SUMIFS([0]!VOTOS2,[0]!TURNO1,F$31,[0]!CANDIDATO1,$C124,[0]!MUNICIPIO1,$B$122)</f>
        <v>0</v>
      </c>
      <c r="G124" s="6">
        <f>SUMIFS([0]!VOTOS2,[0]!TURNO1,G$31,[0]!CANDIDATO1,$C124,[0]!MUNICIPIO1,$B$122)</f>
        <v>0</v>
      </c>
      <c r="H124" s="6">
        <f>SUMIFS([0]!VOTOS2,[0]!TURNO1,H$31,[0]!CANDIDATO1,$C124,[0]!MUNICIPIO1,$B$122)</f>
        <v>0</v>
      </c>
      <c r="I124" s="6">
        <f>SUMIFS([0]!VOTOS2,[0]!TURNO1,I$31,[0]!CANDIDATO1,$C124,[0]!MUNICIPIO1,$B$122)</f>
        <v>0</v>
      </c>
      <c r="J124" s="6">
        <f>SUMIFS([0]!VOTOS2,[0]!TURNO1,J$31,[0]!CANDIDATO1,$C124,[0]!MUNICIPIO1,$B$122)</f>
        <v>0</v>
      </c>
      <c r="K124" s="6">
        <f>SUMIFS([0]!VOTOS2,[0]!TURNO1,K$31,[0]!CANDIDATO1,$C124,[0]!MUNICIPIO1,$B$122)</f>
        <v>0</v>
      </c>
      <c r="L124" s="6">
        <f>SUMIFS([0]!VOTOS2,[0]!TURNO1,L$31,[0]!CANDIDATO1,$C124,[0]!MUNICIPIO1,$B$122)</f>
        <v>0</v>
      </c>
      <c r="M124" s="6">
        <f>SUMIFS([0]!VOTOS2,[0]!TURNO1,M$31,[0]!CANDIDATO1,$C124,[0]!MUNICIPIO1,$B$122)</f>
        <v>0</v>
      </c>
      <c r="N124" s="6">
        <f>SUMIFS([0]!VOTOS2,[0]!TURNO1,N$31,[0]!CANDIDATO1,$C124,[0]!MUNICIPIO1,$B$122)</f>
        <v>0</v>
      </c>
      <c r="O124" s="6">
        <f>SUMIFS([0]!VOTOS2,[0]!TURNO1,O$31,[0]!CANDIDATO1,$C124,[0]!MUNICIPIO1,$B$122)</f>
        <v>0</v>
      </c>
      <c r="P124" s="6">
        <f>SUMIFS([0]!VOTOS2,[0]!TURNO1,P$31,[0]!CANDIDATO1,$C124,[0]!MUNICIPIO1,$B$122)</f>
        <v>0</v>
      </c>
      <c r="Q124" s="6">
        <f>SUMIFS([0]!VOTOS2,[0]!TURNO1,Q$31,[0]!CANDIDATO1,$C124,[0]!MUNICIPIO1,$B$122)</f>
        <v>0</v>
      </c>
      <c r="R124" s="6">
        <f>SUMIFS([0]!VOTOS2,[0]!TURNO1,R$31,[0]!CANDIDATO1,$C124,[0]!MUNICIPIO1,$B$122)</f>
        <v>0</v>
      </c>
      <c r="S124" s="6">
        <f>SUMIFS([0]!VOTOS2,[0]!TURNO1,S$31,[0]!CANDIDATO1,$C124,[0]!MUNICIPIO1,$B$122)</f>
        <v>0</v>
      </c>
      <c r="T124" s="6">
        <f>SUMIFS([0]!VOTOS2,[0]!TURNO1,T$31,[0]!CANDIDATO1,$C124,[0]!MUNICIPIO1,$B$122)</f>
        <v>0</v>
      </c>
      <c r="U124" s="6">
        <f>SUMIFS([0]!VOTOS2,[0]!TURNO1,U$31,[0]!CANDIDATO1,$C124,[0]!MUNICIPIO1,$B$122)</f>
        <v>0</v>
      </c>
      <c r="V124" s="6">
        <f>SUMIFS([0]!VOTOS2,[0]!TURNO1,V$31,[0]!CANDIDATO1,$C124,[0]!MUNICIPIO1,$B$122)</f>
        <v>0</v>
      </c>
      <c r="W124" s="6">
        <f>SUMIFS([0]!VOTOS2,[0]!TURNO1,W$31,[0]!CANDIDATO1,$C124,[0]!MUNICIPIO1,$B$122)</f>
        <v>0</v>
      </c>
      <c r="X124" s="24"/>
      <c r="Y124" s="18" t="str">
        <f t="shared" si="269"/>
        <v>BLANCA ANGARITA</v>
      </c>
      <c r="Z124" s="34">
        <f t="shared" si="270"/>
        <v>0</v>
      </c>
      <c r="AA124" s="34">
        <f t="shared" si="271"/>
        <v>0</v>
      </c>
      <c r="AB124" s="34" t="e">
        <f t="shared" ref="AB124:AR124" si="277">IF(SUM(G122:G134)=0,NA(),G124+AA124)</f>
        <v>#N/A</v>
      </c>
      <c r="AC124" s="34" t="e">
        <f t="shared" si="277"/>
        <v>#N/A</v>
      </c>
      <c r="AD124" s="34" t="e">
        <f t="shared" si="277"/>
        <v>#N/A</v>
      </c>
      <c r="AE124" s="34" t="e">
        <f t="shared" si="277"/>
        <v>#N/A</v>
      </c>
      <c r="AF124" s="34" t="e">
        <f t="shared" si="277"/>
        <v>#N/A</v>
      </c>
      <c r="AG124" s="34" t="e">
        <f t="shared" si="277"/>
        <v>#N/A</v>
      </c>
      <c r="AH124" s="34" t="e">
        <f t="shared" si="277"/>
        <v>#N/A</v>
      </c>
      <c r="AI124" s="34" t="e">
        <f t="shared" si="277"/>
        <v>#N/A</v>
      </c>
      <c r="AJ124" s="34" t="e">
        <f t="shared" si="277"/>
        <v>#N/A</v>
      </c>
      <c r="AK124" s="34" t="e">
        <f t="shared" si="277"/>
        <v>#N/A</v>
      </c>
      <c r="AL124" s="34" t="e">
        <f t="shared" si="277"/>
        <v>#N/A</v>
      </c>
      <c r="AM124" s="34" t="e">
        <f t="shared" si="277"/>
        <v>#N/A</v>
      </c>
      <c r="AN124" s="34" t="e">
        <f t="shared" si="277"/>
        <v>#N/A</v>
      </c>
      <c r="AO124" s="34" t="e">
        <f t="shared" si="277"/>
        <v>#N/A</v>
      </c>
      <c r="AP124" s="34" t="e">
        <f t="shared" si="277"/>
        <v>#N/A</v>
      </c>
      <c r="AQ124" s="34" t="e">
        <f t="shared" si="277"/>
        <v>#N/A</v>
      </c>
      <c r="AR124" s="34" t="e">
        <f t="shared" si="277"/>
        <v>#N/A</v>
      </c>
      <c r="AS124" s="27"/>
      <c r="AT124" s="35" t="str">
        <f t="shared" ref="AT124" si="278">Y135</f>
        <v>Otros</v>
      </c>
      <c r="AU124" s="36">
        <f t="shared" ref="AU124:BM124" si="279">Z135/(Z122+Z123+Z135)</f>
        <v>0</v>
      </c>
      <c r="AV124" s="36">
        <f t="shared" si="279"/>
        <v>0</v>
      </c>
      <c r="AW124" s="36" t="e">
        <f t="shared" si="279"/>
        <v>#N/A</v>
      </c>
      <c r="AX124" s="36" t="e">
        <f t="shared" si="279"/>
        <v>#N/A</v>
      </c>
      <c r="AY124" s="36" t="e">
        <f t="shared" si="279"/>
        <v>#N/A</v>
      </c>
      <c r="AZ124" s="36" t="e">
        <f t="shared" si="279"/>
        <v>#N/A</v>
      </c>
      <c r="BA124" s="36" t="e">
        <f t="shared" si="279"/>
        <v>#N/A</v>
      </c>
      <c r="BB124" s="36" t="e">
        <f t="shared" si="279"/>
        <v>#N/A</v>
      </c>
      <c r="BC124" s="36" t="e">
        <f t="shared" si="279"/>
        <v>#N/A</v>
      </c>
      <c r="BD124" s="36" t="e">
        <f t="shared" si="279"/>
        <v>#N/A</v>
      </c>
      <c r="BE124" s="36" t="e">
        <f t="shared" si="279"/>
        <v>#N/A</v>
      </c>
      <c r="BF124" s="36" t="e">
        <f t="shared" si="279"/>
        <v>#N/A</v>
      </c>
      <c r="BG124" s="36" t="e">
        <f t="shared" si="279"/>
        <v>#N/A</v>
      </c>
      <c r="BH124" s="36" t="e">
        <f t="shared" si="279"/>
        <v>#N/A</v>
      </c>
      <c r="BI124" s="36" t="e">
        <f t="shared" si="279"/>
        <v>#N/A</v>
      </c>
      <c r="BJ124" s="36" t="e">
        <f t="shared" si="279"/>
        <v>#N/A</v>
      </c>
      <c r="BK124" s="36" t="e">
        <f t="shared" si="279"/>
        <v>#N/A</v>
      </c>
      <c r="BL124" s="36" t="e">
        <f t="shared" si="279"/>
        <v>#N/A</v>
      </c>
      <c r="BM124" s="36" t="e">
        <f t="shared" si="279"/>
        <v>#N/A</v>
      </c>
      <c r="BN124" s="30"/>
    </row>
    <row r="125" spans="1:66" ht="11.25" customHeight="1" x14ac:dyDescent="0.2">
      <c r="A125" s="38" t="s">
        <v>73</v>
      </c>
      <c r="B125" s="73"/>
      <c r="C125" s="33">
        <v>4</v>
      </c>
      <c r="D125" s="8" t="s">
        <v>130</v>
      </c>
      <c r="E125" s="16">
        <f t="shared" si="268"/>
        <v>0</v>
      </c>
      <c r="F125" s="6">
        <f>SUMIFS([0]!VOTOS2,[0]!TURNO1,F$31,[0]!CANDIDATO1,$C125,[0]!MUNICIPIO1,$B$122)</f>
        <v>0</v>
      </c>
      <c r="G125" s="6">
        <f>SUMIFS([0]!VOTOS2,[0]!TURNO1,G$31,[0]!CANDIDATO1,$C125,[0]!MUNICIPIO1,$B$122)</f>
        <v>0</v>
      </c>
      <c r="H125" s="6">
        <f>SUMIFS([0]!VOTOS2,[0]!TURNO1,H$31,[0]!CANDIDATO1,$C125,[0]!MUNICIPIO1,$B$122)</f>
        <v>0</v>
      </c>
      <c r="I125" s="6">
        <f>SUMIFS([0]!VOTOS2,[0]!TURNO1,I$31,[0]!CANDIDATO1,$C125,[0]!MUNICIPIO1,$B$122)</f>
        <v>0</v>
      </c>
      <c r="J125" s="6">
        <f>SUMIFS([0]!VOTOS2,[0]!TURNO1,J$31,[0]!CANDIDATO1,$C125,[0]!MUNICIPIO1,$B$122)</f>
        <v>0</v>
      </c>
      <c r="K125" s="6">
        <f>SUMIFS([0]!VOTOS2,[0]!TURNO1,K$31,[0]!CANDIDATO1,$C125,[0]!MUNICIPIO1,$B$122)</f>
        <v>0</v>
      </c>
      <c r="L125" s="6">
        <f>SUMIFS([0]!VOTOS2,[0]!TURNO1,L$31,[0]!CANDIDATO1,$C125,[0]!MUNICIPIO1,$B$122)</f>
        <v>0</v>
      </c>
      <c r="M125" s="6">
        <f>SUMIFS([0]!VOTOS2,[0]!TURNO1,M$31,[0]!CANDIDATO1,$C125,[0]!MUNICIPIO1,$B$122)</f>
        <v>0</v>
      </c>
      <c r="N125" s="6">
        <f>SUMIFS([0]!VOTOS2,[0]!TURNO1,N$31,[0]!CANDIDATO1,$C125,[0]!MUNICIPIO1,$B$122)</f>
        <v>0</v>
      </c>
      <c r="O125" s="6">
        <f>SUMIFS([0]!VOTOS2,[0]!TURNO1,O$31,[0]!CANDIDATO1,$C125,[0]!MUNICIPIO1,$B$122)</f>
        <v>0</v>
      </c>
      <c r="P125" s="6">
        <f>SUMIFS([0]!VOTOS2,[0]!TURNO1,P$31,[0]!CANDIDATO1,$C125,[0]!MUNICIPIO1,$B$122)</f>
        <v>0</v>
      </c>
      <c r="Q125" s="6">
        <f>SUMIFS([0]!VOTOS2,[0]!TURNO1,Q$31,[0]!CANDIDATO1,$C125,[0]!MUNICIPIO1,$B$122)</f>
        <v>0</v>
      </c>
      <c r="R125" s="6">
        <f>SUMIFS([0]!VOTOS2,[0]!TURNO1,R$31,[0]!CANDIDATO1,$C125,[0]!MUNICIPIO1,$B$122)</f>
        <v>0</v>
      </c>
      <c r="S125" s="6">
        <f>SUMIFS([0]!VOTOS2,[0]!TURNO1,S$31,[0]!CANDIDATO1,$C125,[0]!MUNICIPIO1,$B$122)</f>
        <v>0</v>
      </c>
      <c r="T125" s="6">
        <f>SUMIFS([0]!VOTOS2,[0]!TURNO1,T$31,[0]!CANDIDATO1,$C125,[0]!MUNICIPIO1,$B$122)</f>
        <v>0</v>
      </c>
      <c r="U125" s="6">
        <f>SUMIFS([0]!VOTOS2,[0]!TURNO1,U$31,[0]!CANDIDATO1,$C125,[0]!MUNICIPIO1,$B$122)</f>
        <v>0</v>
      </c>
      <c r="V125" s="6">
        <f>SUMIFS([0]!VOTOS2,[0]!TURNO1,V$31,[0]!CANDIDATO1,$C125,[0]!MUNICIPIO1,$B$122)</f>
        <v>0</v>
      </c>
      <c r="W125" s="6">
        <f>SUMIFS([0]!VOTOS2,[0]!TURNO1,W$31,[0]!CANDIDATO1,$C125,[0]!MUNICIPIO1,$B$122)</f>
        <v>0</v>
      </c>
      <c r="X125" s="24"/>
      <c r="Y125" s="18" t="str">
        <f t="shared" si="269"/>
        <v>PEDRO E. HERNANDEZ</v>
      </c>
      <c r="Z125" s="34">
        <f t="shared" si="270"/>
        <v>0</v>
      </c>
      <c r="AA125" s="34">
        <f t="shared" si="271"/>
        <v>0</v>
      </c>
      <c r="AB125" s="34" t="e">
        <f t="shared" ref="AB125:AR125" si="280">IF(SUM(G122:G134)=0,NA(),G125+AA125)</f>
        <v>#N/A</v>
      </c>
      <c r="AC125" s="34" t="e">
        <f t="shared" si="280"/>
        <v>#N/A</v>
      </c>
      <c r="AD125" s="34" t="e">
        <f t="shared" si="280"/>
        <v>#N/A</v>
      </c>
      <c r="AE125" s="34" t="e">
        <f t="shared" si="280"/>
        <v>#N/A</v>
      </c>
      <c r="AF125" s="34" t="e">
        <f t="shared" si="280"/>
        <v>#N/A</v>
      </c>
      <c r="AG125" s="34" t="e">
        <f t="shared" si="280"/>
        <v>#N/A</v>
      </c>
      <c r="AH125" s="34" t="e">
        <f t="shared" si="280"/>
        <v>#N/A</v>
      </c>
      <c r="AI125" s="34" t="e">
        <f t="shared" si="280"/>
        <v>#N/A</v>
      </c>
      <c r="AJ125" s="34" t="e">
        <f t="shared" si="280"/>
        <v>#N/A</v>
      </c>
      <c r="AK125" s="34" t="e">
        <f t="shared" si="280"/>
        <v>#N/A</v>
      </c>
      <c r="AL125" s="34" t="e">
        <f t="shared" si="280"/>
        <v>#N/A</v>
      </c>
      <c r="AM125" s="34" t="e">
        <f t="shared" si="280"/>
        <v>#N/A</v>
      </c>
      <c r="AN125" s="34" t="e">
        <f t="shared" si="280"/>
        <v>#N/A</v>
      </c>
      <c r="AO125" s="34" t="e">
        <f t="shared" si="280"/>
        <v>#N/A</v>
      </c>
      <c r="AP125" s="34" t="e">
        <f t="shared" si="280"/>
        <v>#N/A</v>
      </c>
      <c r="AQ125" s="34" t="e">
        <f t="shared" si="280"/>
        <v>#N/A</v>
      </c>
      <c r="AR125" s="34" t="e">
        <f t="shared" si="280"/>
        <v>#N/A</v>
      </c>
      <c r="AS125" s="27"/>
      <c r="AT125" s="39"/>
      <c r="AU125" s="39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30"/>
    </row>
    <row r="126" spans="1:66" ht="11.25" customHeight="1" x14ac:dyDescent="0.2">
      <c r="A126" s="38" t="s">
        <v>11</v>
      </c>
      <c r="B126" s="73"/>
      <c r="C126" s="56">
        <v>5</v>
      </c>
      <c r="D126" s="8" t="s">
        <v>131</v>
      </c>
      <c r="E126" s="16">
        <f t="shared" si="268"/>
        <v>0</v>
      </c>
      <c r="F126" s="6">
        <f>SUMIFS([0]!VOTOS2,[0]!TURNO1,F$31,[0]!CANDIDATO1,$C126,[0]!MUNICIPIO1,$B$122)</f>
        <v>0</v>
      </c>
      <c r="G126" s="6">
        <f>SUMIFS([0]!VOTOS2,[0]!TURNO1,G$31,[0]!CANDIDATO1,$C126,[0]!MUNICIPIO1,$B$122)</f>
        <v>0</v>
      </c>
      <c r="H126" s="6">
        <f>SUMIFS([0]!VOTOS2,[0]!TURNO1,H$31,[0]!CANDIDATO1,$C126,[0]!MUNICIPIO1,$B$122)</f>
        <v>0</v>
      </c>
      <c r="I126" s="6">
        <f>SUMIFS([0]!VOTOS2,[0]!TURNO1,I$31,[0]!CANDIDATO1,$C126,[0]!MUNICIPIO1,$B$122)</f>
        <v>0</v>
      </c>
      <c r="J126" s="6">
        <f>SUMIFS([0]!VOTOS2,[0]!TURNO1,J$31,[0]!CANDIDATO1,$C126,[0]!MUNICIPIO1,$B$122)</f>
        <v>0</v>
      </c>
      <c r="K126" s="6">
        <f>SUMIFS([0]!VOTOS2,[0]!TURNO1,K$31,[0]!CANDIDATO1,$C126,[0]!MUNICIPIO1,$B$122)</f>
        <v>0</v>
      </c>
      <c r="L126" s="6">
        <f>SUMIFS([0]!VOTOS2,[0]!TURNO1,L$31,[0]!CANDIDATO1,$C126,[0]!MUNICIPIO1,$B$122)</f>
        <v>0</v>
      </c>
      <c r="M126" s="6">
        <f>SUMIFS([0]!VOTOS2,[0]!TURNO1,M$31,[0]!CANDIDATO1,$C126,[0]!MUNICIPIO1,$B$122)</f>
        <v>0</v>
      </c>
      <c r="N126" s="6">
        <f>SUMIFS([0]!VOTOS2,[0]!TURNO1,N$31,[0]!CANDIDATO1,$C126,[0]!MUNICIPIO1,$B$122)</f>
        <v>0</v>
      </c>
      <c r="O126" s="6">
        <f>SUMIFS([0]!VOTOS2,[0]!TURNO1,O$31,[0]!CANDIDATO1,$C126,[0]!MUNICIPIO1,$B$122)</f>
        <v>0</v>
      </c>
      <c r="P126" s="6">
        <f>SUMIFS([0]!VOTOS2,[0]!TURNO1,P$31,[0]!CANDIDATO1,$C126,[0]!MUNICIPIO1,$B$122)</f>
        <v>0</v>
      </c>
      <c r="Q126" s="6">
        <f>SUMIFS([0]!VOTOS2,[0]!TURNO1,Q$31,[0]!CANDIDATO1,$C126,[0]!MUNICIPIO1,$B$122)</f>
        <v>0</v>
      </c>
      <c r="R126" s="6">
        <f>SUMIFS([0]!VOTOS2,[0]!TURNO1,R$31,[0]!CANDIDATO1,$C126,[0]!MUNICIPIO1,$B$122)</f>
        <v>0</v>
      </c>
      <c r="S126" s="6">
        <f>SUMIFS([0]!VOTOS2,[0]!TURNO1,S$31,[0]!CANDIDATO1,$C126,[0]!MUNICIPIO1,$B$122)</f>
        <v>0</v>
      </c>
      <c r="T126" s="6">
        <f>SUMIFS([0]!VOTOS2,[0]!TURNO1,T$31,[0]!CANDIDATO1,$C126,[0]!MUNICIPIO1,$B$122)</f>
        <v>0</v>
      </c>
      <c r="U126" s="6">
        <f>SUMIFS([0]!VOTOS2,[0]!TURNO1,U$31,[0]!CANDIDATO1,$C126,[0]!MUNICIPIO1,$B$122)</f>
        <v>0</v>
      </c>
      <c r="V126" s="6">
        <f>SUMIFS([0]!VOTOS2,[0]!TURNO1,V$31,[0]!CANDIDATO1,$C126,[0]!MUNICIPIO1,$B$122)</f>
        <v>0</v>
      </c>
      <c r="W126" s="6">
        <f>SUMIFS([0]!VOTOS2,[0]!TURNO1,W$31,[0]!CANDIDATO1,$C126,[0]!MUNICIPIO1,$B$122)</f>
        <v>0</v>
      </c>
      <c r="X126" s="24"/>
      <c r="Y126" s="18" t="str">
        <f t="shared" si="269"/>
        <v>GERMAN TOVAR</v>
      </c>
      <c r="Z126" s="34">
        <f t="shared" si="270"/>
        <v>0</v>
      </c>
      <c r="AA126" s="34">
        <f t="shared" si="271"/>
        <v>0</v>
      </c>
      <c r="AB126" s="34" t="e">
        <f t="shared" ref="AB126:AR126" si="281">IF(SUM(G122:G134)=0,NA(),G126+AA126)</f>
        <v>#N/A</v>
      </c>
      <c r="AC126" s="34" t="e">
        <f t="shared" si="281"/>
        <v>#N/A</v>
      </c>
      <c r="AD126" s="34" t="e">
        <f t="shared" si="281"/>
        <v>#N/A</v>
      </c>
      <c r="AE126" s="34" t="e">
        <f t="shared" si="281"/>
        <v>#N/A</v>
      </c>
      <c r="AF126" s="34" t="e">
        <f t="shared" si="281"/>
        <v>#N/A</v>
      </c>
      <c r="AG126" s="34" t="e">
        <f t="shared" si="281"/>
        <v>#N/A</v>
      </c>
      <c r="AH126" s="34" t="e">
        <f t="shared" si="281"/>
        <v>#N/A</v>
      </c>
      <c r="AI126" s="34" t="e">
        <f t="shared" si="281"/>
        <v>#N/A</v>
      </c>
      <c r="AJ126" s="34" t="e">
        <f t="shared" si="281"/>
        <v>#N/A</v>
      </c>
      <c r="AK126" s="34" t="e">
        <f t="shared" si="281"/>
        <v>#N/A</v>
      </c>
      <c r="AL126" s="34" t="e">
        <f t="shared" si="281"/>
        <v>#N/A</v>
      </c>
      <c r="AM126" s="34" t="e">
        <f t="shared" si="281"/>
        <v>#N/A</v>
      </c>
      <c r="AN126" s="34" t="e">
        <f t="shared" si="281"/>
        <v>#N/A</v>
      </c>
      <c r="AO126" s="34" t="e">
        <f t="shared" si="281"/>
        <v>#N/A</v>
      </c>
      <c r="AP126" s="34" t="e">
        <f t="shared" si="281"/>
        <v>#N/A</v>
      </c>
      <c r="AQ126" s="34" t="e">
        <f t="shared" si="281"/>
        <v>#N/A</v>
      </c>
      <c r="AR126" s="34" t="e">
        <f t="shared" si="281"/>
        <v>#N/A</v>
      </c>
      <c r="AS126" s="27"/>
      <c r="AT126" s="39"/>
      <c r="AU126" s="39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30"/>
    </row>
    <row r="127" spans="1:66" ht="11.25" customHeight="1" x14ac:dyDescent="0.2">
      <c r="A127" s="37"/>
      <c r="B127" s="73"/>
      <c r="C127" s="33">
        <v>6</v>
      </c>
      <c r="D127" s="8" t="s">
        <v>132</v>
      </c>
      <c r="E127" s="16">
        <f t="shared" si="268"/>
        <v>0</v>
      </c>
      <c r="F127" s="6">
        <f>SUMIFS([0]!VOTOS2,[0]!TURNO1,F$31,[0]!CANDIDATO1,$C127,[0]!MUNICIPIO1,$B$122)</f>
        <v>0</v>
      </c>
      <c r="G127" s="6">
        <f>SUMIFS([0]!VOTOS2,[0]!TURNO1,G$31,[0]!CANDIDATO1,$C127,[0]!MUNICIPIO1,$B$122)</f>
        <v>0</v>
      </c>
      <c r="H127" s="6">
        <f>SUMIFS([0]!VOTOS2,[0]!TURNO1,H$31,[0]!CANDIDATO1,$C127,[0]!MUNICIPIO1,$B$122)</f>
        <v>0</v>
      </c>
      <c r="I127" s="6">
        <f>SUMIFS([0]!VOTOS2,[0]!TURNO1,I$31,[0]!CANDIDATO1,$C127,[0]!MUNICIPIO1,$B$122)</f>
        <v>0</v>
      </c>
      <c r="J127" s="6">
        <f>SUMIFS([0]!VOTOS2,[0]!TURNO1,J$31,[0]!CANDIDATO1,$C127,[0]!MUNICIPIO1,$B$122)</f>
        <v>0</v>
      </c>
      <c r="K127" s="6">
        <f>SUMIFS([0]!VOTOS2,[0]!TURNO1,K$31,[0]!CANDIDATO1,$C127,[0]!MUNICIPIO1,$B$122)</f>
        <v>0</v>
      </c>
      <c r="L127" s="6">
        <f>SUMIFS([0]!VOTOS2,[0]!TURNO1,L$31,[0]!CANDIDATO1,$C127,[0]!MUNICIPIO1,$B$122)</f>
        <v>0</v>
      </c>
      <c r="M127" s="6">
        <f>SUMIFS([0]!VOTOS2,[0]!TURNO1,M$31,[0]!CANDIDATO1,$C127,[0]!MUNICIPIO1,$B$122)</f>
        <v>0</v>
      </c>
      <c r="N127" s="6">
        <f>SUMIFS([0]!VOTOS2,[0]!TURNO1,N$31,[0]!CANDIDATO1,$C127,[0]!MUNICIPIO1,$B$122)</f>
        <v>0</v>
      </c>
      <c r="O127" s="6">
        <f>SUMIFS([0]!VOTOS2,[0]!TURNO1,O$31,[0]!CANDIDATO1,$C127,[0]!MUNICIPIO1,$B$122)</f>
        <v>0</v>
      </c>
      <c r="P127" s="6">
        <f>SUMIFS([0]!VOTOS2,[0]!TURNO1,P$31,[0]!CANDIDATO1,$C127,[0]!MUNICIPIO1,$B$122)</f>
        <v>0</v>
      </c>
      <c r="Q127" s="6">
        <f>SUMIFS([0]!VOTOS2,[0]!TURNO1,Q$31,[0]!CANDIDATO1,$C127,[0]!MUNICIPIO1,$B$122)</f>
        <v>0</v>
      </c>
      <c r="R127" s="6">
        <f>SUMIFS([0]!VOTOS2,[0]!TURNO1,R$31,[0]!CANDIDATO1,$C127,[0]!MUNICIPIO1,$B$122)</f>
        <v>0</v>
      </c>
      <c r="S127" s="6">
        <f>SUMIFS([0]!VOTOS2,[0]!TURNO1,S$31,[0]!CANDIDATO1,$C127,[0]!MUNICIPIO1,$B$122)</f>
        <v>0</v>
      </c>
      <c r="T127" s="6">
        <f>SUMIFS([0]!VOTOS2,[0]!TURNO1,T$31,[0]!CANDIDATO1,$C127,[0]!MUNICIPIO1,$B$122)</f>
        <v>0</v>
      </c>
      <c r="U127" s="6">
        <f>SUMIFS([0]!VOTOS2,[0]!TURNO1,U$31,[0]!CANDIDATO1,$C127,[0]!MUNICIPIO1,$B$122)</f>
        <v>0</v>
      </c>
      <c r="V127" s="6">
        <f>SUMIFS([0]!VOTOS2,[0]!TURNO1,V$31,[0]!CANDIDATO1,$C127,[0]!MUNICIPIO1,$B$122)</f>
        <v>0</v>
      </c>
      <c r="W127" s="6">
        <f>SUMIFS([0]!VOTOS2,[0]!TURNO1,W$31,[0]!CANDIDATO1,$C127,[0]!MUNICIPIO1,$B$122)</f>
        <v>0</v>
      </c>
      <c r="X127" s="24"/>
      <c r="Y127" s="18" t="str">
        <f t="shared" si="269"/>
        <v>JOSEPH ZAMMOUR</v>
      </c>
      <c r="Z127" s="34">
        <f t="shared" si="270"/>
        <v>0</v>
      </c>
      <c r="AA127" s="34">
        <f t="shared" si="271"/>
        <v>0</v>
      </c>
      <c r="AB127" s="34" t="e">
        <f t="shared" ref="AB127:AR127" si="282">IF(SUM(G122:G134)=0,NA(),G127+AA127)</f>
        <v>#N/A</v>
      </c>
      <c r="AC127" s="34" t="e">
        <f t="shared" si="282"/>
        <v>#N/A</v>
      </c>
      <c r="AD127" s="34" t="e">
        <f t="shared" si="282"/>
        <v>#N/A</v>
      </c>
      <c r="AE127" s="34" t="e">
        <f t="shared" si="282"/>
        <v>#N/A</v>
      </c>
      <c r="AF127" s="34" t="e">
        <f t="shared" si="282"/>
        <v>#N/A</v>
      </c>
      <c r="AG127" s="34" t="e">
        <f t="shared" si="282"/>
        <v>#N/A</v>
      </c>
      <c r="AH127" s="34" t="e">
        <f t="shared" si="282"/>
        <v>#N/A</v>
      </c>
      <c r="AI127" s="34" t="e">
        <f t="shared" si="282"/>
        <v>#N/A</v>
      </c>
      <c r="AJ127" s="34" t="e">
        <f t="shared" si="282"/>
        <v>#N/A</v>
      </c>
      <c r="AK127" s="34" t="e">
        <f t="shared" si="282"/>
        <v>#N/A</v>
      </c>
      <c r="AL127" s="34" t="e">
        <f t="shared" si="282"/>
        <v>#N/A</v>
      </c>
      <c r="AM127" s="34" t="e">
        <f t="shared" si="282"/>
        <v>#N/A</v>
      </c>
      <c r="AN127" s="34" t="e">
        <f t="shared" si="282"/>
        <v>#N/A</v>
      </c>
      <c r="AO127" s="34" t="e">
        <f t="shared" si="282"/>
        <v>#N/A</v>
      </c>
      <c r="AP127" s="34" t="e">
        <f t="shared" si="282"/>
        <v>#N/A</v>
      </c>
      <c r="AQ127" s="34" t="e">
        <f t="shared" si="282"/>
        <v>#N/A</v>
      </c>
      <c r="AR127" s="34" t="e">
        <f t="shared" si="282"/>
        <v>#N/A</v>
      </c>
      <c r="AS127" s="27"/>
      <c r="AT127" s="39"/>
      <c r="AU127" s="39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30"/>
    </row>
    <row r="128" spans="1:66" ht="11.25" customHeight="1" x14ac:dyDescent="0.2">
      <c r="A128" s="37"/>
      <c r="B128" s="73"/>
      <c r="C128" s="56">
        <v>7</v>
      </c>
      <c r="D128" s="8" t="s">
        <v>133</v>
      </c>
      <c r="E128" s="16">
        <f t="shared" si="268"/>
        <v>0</v>
      </c>
      <c r="F128" s="6">
        <f>SUMIFS([0]!VOTOS2,[0]!TURNO1,F$31,[0]!CANDIDATO1,$C128,[0]!MUNICIPIO1,$B$122)</f>
        <v>0</v>
      </c>
      <c r="G128" s="6">
        <f>SUMIFS([0]!VOTOS2,[0]!TURNO1,G$31,[0]!CANDIDATO1,$C128,[0]!MUNICIPIO1,$B$122)</f>
        <v>0</v>
      </c>
      <c r="H128" s="6">
        <f>SUMIFS([0]!VOTOS2,[0]!TURNO1,H$31,[0]!CANDIDATO1,$C128,[0]!MUNICIPIO1,$B$122)</f>
        <v>0</v>
      </c>
      <c r="I128" s="6">
        <f>SUMIFS([0]!VOTOS2,[0]!TURNO1,I$31,[0]!CANDIDATO1,$C128,[0]!MUNICIPIO1,$B$122)</f>
        <v>0</v>
      </c>
      <c r="J128" s="6">
        <f>SUMIFS([0]!VOTOS2,[0]!TURNO1,J$31,[0]!CANDIDATO1,$C128,[0]!MUNICIPIO1,$B$122)</f>
        <v>0</v>
      </c>
      <c r="K128" s="6">
        <f>SUMIFS([0]!VOTOS2,[0]!TURNO1,K$31,[0]!CANDIDATO1,$C128,[0]!MUNICIPIO1,$B$122)</f>
        <v>0</v>
      </c>
      <c r="L128" s="6">
        <f>SUMIFS([0]!VOTOS2,[0]!TURNO1,L$31,[0]!CANDIDATO1,$C128,[0]!MUNICIPIO1,$B$122)</f>
        <v>0</v>
      </c>
      <c r="M128" s="6">
        <f>SUMIFS([0]!VOTOS2,[0]!TURNO1,M$31,[0]!CANDIDATO1,$C128,[0]!MUNICIPIO1,$B$122)</f>
        <v>0</v>
      </c>
      <c r="N128" s="6">
        <f>SUMIFS([0]!VOTOS2,[0]!TURNO1,N$31,[0]!CANDIDATO1,$C128,[0]!MUNICIPIO1,$B$122)</f>
        <v>0</v>
      </c>
      <c r="O128" s="6">
        <f>SUMIFS([0]!VOTOS2,[0]!TURNO1,O$31,[0]!CANDIDATO1,$C128,[0]!MUNICIPIO1,$B$122)</f>
        <v>0</v>
      </c>
      <c r="P128" s="6">
        <f>SUMIFS([0]!VOTOS2,[0]!TURNO1,P$31,[0]!CANDIDATO1,$C128,[0]!MUNICIPIO1,$B$122)</f>
        <v>0</v>
      </c>
      <c r="Q128" s="6">
        <f>SUMIFS([0]!VOTOS2,[0]!TURNO1,Q$31,[0]!CANDIDATO1,$C128,[0]!MUNICIPIO1,$B$122)</f>
        <v>0</v>
      </c>
      <c r="R128" s="6">
        <f>SUMIFS([0]!VOTOS2,[0]!TURNO1,R$31,[0]!CANDIDATO1,$C128,[0]!MUNICIPIO1,$B$122)</f>
        <v>0</v>
      </c>
      <c r="S128" s="6">
        <f>SUMIFS([0]!VOTOS2,[0]!TURNO1,S$31,[0]!CANDIDATO1,$C128,[0]!MUNICIPIO1,$B$122)</f>
        <v>0</v>
      </c>
      <c r="T128" s="6">
        <f>SUMIFS([0]!VOTOS2,[0]!TURNO1,T$31,[0]!CANDIDATO1,$C128,[0]!MUNICIPIO1,$B$122)</f>
        <v>0</v>
      </c>
      <c r="U128" s="6">
        <f>SUMIFS([0]!VOTOS2,[0]!TURNO1,U$31,[0]!CANDIDATO1,$C128,[0]!MUNICIPIO1,$B$122)</f>
        <v>0</v>
      </c>
      <c r="V128" s="6">
        <f>SUMIFS([0]!VOTOS2,[0]!TURNO1,V$31,[0]!CANDIDATO1,$C128,[0]!MUNICIPIO1,$B$122)</f>
        <v>0</v>
      </c>
      <c r="W128" s="6">
        <f>SUMIFS([0]!VOTOS2,[0]!TURNO1,W$31,[0]!CANDIDATO1,$C128,[0]!MUNICIPIO1,$B$122)</f>
        <v>0</v>
      </c>
      <c r="X128" s="24"/>
      <c r="Y128" s="18" t="str">
        <f t="shared" si="269"/>
        <v>SALOMON PADRON</v>
      </c>
      <c r="Z128" s="34">
        <f t="shared" si="270"/>
        <v>0</v>
      </c>
      <c r="AA128" s="34">
        <f t="shared" si="271"/>
        <v>0</v>
      </c>
      <c r="AB128" s="34" t="e">
        <f t="shared" ref="AB128:AR128" si="283">IF(SUM(G122:G134)=0,NA(),G128+AA128)</f>
        <v>#N/A</v>
      </c>
      <c r="AC128" s="34" t="e">
        <f t="shared" si="283"/>
        <v>#N/A</v>
      </c>
      <c r="AD128" s="34" t="e">
        <f t="shared" si="283"/>
        <v>#N/A</v>
      </c>
      <c r="AE128" s="34" t="e">
        <f t="shared" si="283"/>
        <v>#N/A</v>
      </c>
      <c r="AF128" s="34" t="e">
        <f t="shared" si="283"/>
        <v>#N/A</v>
      </c>
      <c r="AG128" s="34" t="e">
        <f t="shared" si="283"/>
        <v>#N/A</v>
      </c>
      <c r="AH128" s="34" t="e">
        <f t="shared" si="283"/>
        <v>#N/A</v>
      </c>
      <c r="AI128" s="34" t="e">
        <f t="shared" si="283"/>
        <v>#N/A</v>
      </c>
      <c r="AJ128" s="34" t="e">
        <f t="shared" si="283"/>
        <v>#N/A</v>
      </c>
      <c r="AK128" s="34" t="e">
        <f t="shared" si="283"/>
        <v>#N/A</v>
      </c>
      <c r="AL128" s="34" t="e">
        <f t="shared" si="283"/>
        <v>#N/A</v>
      </c>
      <c r="AM128" s="34" t="e">
        <f t="shared" si="283"/>
        <v>#N/A</v>
      </c>
      <c r="AN128" s="34" t="e">
        <f t="shared" si="283"/>
        <v>#N/A</v>
      </c>
      <c r="AO128" s="34" t="e">
        <f t="shared" si="283"/>
        <v>#N/A</v>
      </c>
      <c r="AP128" s="34" t="e">
        <f t="shared" si="283"/>
        <v>#N/A</v>
      </c>
      <c r="AQ128" s="34" t="e">
        <f t="shared" si="283"/>
        <v>#N/A</v>
      </c>
      <c r="AR128" s="34" t="e">
        <f t="shared" si="283"/>
        <v>#N/A</v>
      </c>
      <c r="AS128" s="27"/>
      <c r="AT128" s="39"/>
      <c r="AU128" s="39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30"/>
    </row>
    <row r="129" spans="1:66" ht="11.25" customHeight="1" x14ac:dyDescent="0.2">
      <c r="A129" s="37"/>
      <c r="B129" s="73"/>
      <c r="C129" s="33">
        <v>8</v>
      </c>
      <c r="D129" s="8" t="s">
        <v>134</v>
      </c>
      <c r="E129" s="16">
        <f t="shared" si="268"/>
        <v>0</v>
      </c>
      <c r="F129" s="6">
        <f>SUMIFS([0]!VOTOS2,[0]!TURNO1,F$31,[0]!CANDIDATO1,$C129,[0]!MUNICIPIO1,$B$122)</f>
        <v>0</v>
      </c>
      <c r="G129" s="6">
        <f>SUMIFS([0]!VOTOS2,[0]!TURNO1,G$31,[0]!CANDIDATO1,$C129,[0]!MUNICIPIO1,$B$122)</f>
        <v>0</v>
      </c>
      <c r="H129" s="6">
        <f>SUMIFS([0]!VOTOS2,[0]!TURNO1,H$31,[0]!CANDIDATO1,$C129,[0]!MUNICIPIO1,$B$122)</f>
        <v>0</v>
      </c>
      <c r="I129" s="6">
        <f>SUMIFS([0]!VOTOS2,[0]!TURNO1,I$31,[0]!CANDIDATO1,$C129,[0]!MUNICIPIO1,$B$122)</f>
        <v>0</v>
      </c>
      <c r="J129" s="6">
        <f>SUMIFS([0]!VOTOS2,[0]!TURNO1,J$31,[0]!CANDIDATO1,$C129,[0]!MUNICIPIO1,$B$122)</f>
        <v>0</v>
      </c>
      <c r="K129" s="6">
        <f>SUMIFS([0]!VOTOS2,[0]!TURNO1,K$31,[0]!CANDIDATO1,$C129,[0]!MUNICIPIO1,$B$122)</f>
        <v>0</v>
      </c>
      <c r="L129" s="6">
        <f>SUMIFS([0]!VOTOS2,[0]!TURNO1,L$31,[0]!CANDIDATO1,$C129,[0]!MUNICIPIO1,$B$122)</f>
        <v>0</v>
      </c>
      <c r="M129" s="6">
        <f>SUMIFS([0]!VOTOS2,[0]!TURNO1,M$31,[0]!CANDIDATO1,$C129,[0]!MUNICIPIO1,$B$122)</f>
        <v>0</v>
      </c>
      <c r="N129" s="6">
        <f>SUMIFS([0]!VOTOS2,[0]!TURNO1,N$31,[0]!CANDIDATO1,$C129,[0]!MUNICIPIO1,$B$122)</f>
        <v>0</v>
      </c>
      <c r="O129" s="6">
        <f>SUMIFS([0]!VOTOS2,[0]!TURNO1,O$31,[0]!CANDIDATO1,$C129,[0]!MUNICIPIO1,$B$122)</f>
        <v>0</v>
      </c>
      <c r="P129" s="6">
        <f>SUMIFS([0]!VOTOS2,[0]!TURNO1,P$31,[0]!CANDIDATO1,$C129,[0]!MUNICIPIO1,$B$122)</f>
        <v>0</v>
      </c>
      <c r="Q129" s="6">
        <f>SUMIFS([0]!VOTOS2,[0]!TURNO1,Q$31,[0]!CANDIDATO1,$C129,[0]!MUNICIPIO1,$B$122)</f>
        <v>0</v>
      </c>
      <c r="R129" s="6">
        <f>SUMIFS([0]!VOTOS2,[0]!TURNO1,R$31,[0]!CANDIDATO1,$C129,[0]!MUNICIPIO1,$B$122)</f>
        <v>0</v>
      </c>
      <c r="S129" s="6">
        <f>SUMIFS([0]!VOTOS2,[0]!TURNO1,S$31,[0]!CANDIDATO1,$C129,[0]!MUNICIPIO1,$B$122)</f>
        <v>0</v>
      </c>
      <c r="T129" s="6">
        <f>SUMIFS([0]!VOTOS2,[0]!TURNO1,T$31,[0]!CANDIDATO1,$C129,[0]!MUNICIPIO1,$B$122)</f>
        <v>0</v>
      </c>
      <c r="U129" s="6">
        <f>SUMIFS([0]!VOTOS2,[0]!TURNO1,U$31,[0]!CANDIDATO1,$C129,[0]!MUNICIPIO1,$B$122)</f>
        <v>0</v>
      </c>
      <c r="V129" s="6">
        <f>SUMIFS([0]!VOTOS2,[0]!TURNO1,V$31,[0]!CANDIDATO1,$C129,[0]!MUNICIPIO1,$B$122)</f>
        <v>0</v>
      </c>
      <c r="W129" s="6">
        <f>SUMIFS([0]!VOTOS2,[0]!TURNO1,W$31,[0]!CANDIDATO1,$C129,[0]!MUNICIPIO1,$B$122)</f>
        <v>0</v>
      </c>
      <c r="X129" s="24"/>
      <c r="Y129" s="18" t="str">
        <f t="shared" si="269"/>
        <v>EMILIO BASTIDAS</v>
      </c>
      <c r="Z129" s="34">
        <f t="shared" si="270"/>
        <v>0</v>
      </c>
      <c r="AA129" s="34">
        <f t="shared" si="271"/>
        <v>0</v>
      </c>
      <c r="AB129" s="34" t="e">
        <f t="shared" ref="AB129:AR129" si="284">IF(SUM(G122:G134)=0,NA(),G129+AA129)</f>
        <v>#N/A</v>
      </c>
      <c r="AC129" s="34" t="e">
        <f t="shared" si="284"/>
        <v>#N/A</v>
      </c>
      <c r="AD129" s="34" t="e">
        <f t="shared" si="284"/>
        <v>#N/A</v>
      </c>
      <c r="AE129" s="34" t="e">
        <f t="shared" si="284"/>
        <v>#N/A</v>
      </c>
      <c r="AF129" s="34" t="e">
        <f t="shared" si="284"/>
        <v>#N/A</v>
      </c>
      <c r="AG129" s="34" t="e">
        <f t="shared" si="284"/>
        <v>#N/A</v>
      </c>
      <c r="AH129" s="34" t="e">
        <f t="shared" si="284"/>
        <v>#N/A</v>
      </c>
      <c r="AI129" s="34" t="e">
        <f t="shared" si="284"/>
        <v>#N/A</v>
      </c>
      <c r="AJ129" s="34" t="e">
        <f t="shared" si="284"/>
        <v>#N/A</v>
      </c>
      <c r="AK129" s="34" t="e">
        <f t="shared" si="284"/>
        <v>#N/A</v>
      </c>
      <c r="AL129" s="34" t="e">
        <f t="shared" si="284"/>
        <v>#N/A</v>
      </c>
      <c r="AM129" s="34" t="e">
        <f t="shared" si="284"/>
        <v>#N/A</v>
      </c>
      <c r="AN129" s="34" t="e">
        <f t="shared" si="284"/>
        <v>#N/A</v>
      </c>
      <c r="AO129" s="34" t="e">
        <f t="shared" si="284"/>
        <v>#N/A</v>
      </c>
      <c r="AP129" s="34" t="e">
        <f t="shared" si="284"/>
        <v>#N/A</v>
      </c>
      <c r="AQ129" s="34" t="e">
        <f t="shared" si="284"/>
        <v>#N/A</v>
      </c>
      <c r="AR129" s="34" t="e">
        <f t="shared" si="284"/>
        <v>#N/A</v>
      </c>
      <c r="AS129" s="27"/>
      <c r="AT129" s="41"/>
      <c r="AU129" s="41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30"/>
    </row>
    <row r="130" spans="1:66" ht="11.25" customHeight="1" x14ac:dyDescent="0.2">
      <c r="A130" s="42"/>
      <c r="B130" s="74"/>
      <c r="C130" s="33">
        <v>9</v>
      </c>
      <c r="D130" s="8" t="s">
        <v>135</v>
      </c>
      <c r="E130" s="16">
        <f t="shared" si="268"/>
        <v>0</v>
      </c>
      <c r="F130" s="6">
        <f>SUMIFS([0]!VOTOS2,[0]!TURNO1,F$31,[0]!CANDIDATO1,$C130,[0]!MUNICIPIO1,$B$122)</f>
        <v>0</v>
      </c>
      <c r="G130" s="6">
        <f>SUMIFS([0]!VOTOS2,[0]!TURNO1,G$31,[0]!CANDIDATO1,$C130,[0]!MUNICIPIO1,$B$122)</f>
        <v>0</v>
      </c>
      <c r="H130" s="6">
        <f>SUMIFS([0]!VOTOS2,[0]!TURNO1,H$31,[0]!CANDIDATO1,$C130,[0]!MUNICIPIO1,$B$122)</f>
        <v>0</v>
      </c>
      <c r="I130" s="6">
        <f>SUMIFS([0]!VOTOS2,[0]!TURNO1,I$31,[0]!CANDIDATO1,$C130,[0]!MUNICIPIO1,$B$122)</f>
        <v>0</v>
      </c>
      <c r="J130" s="6">
        <f>SUMIFS([0]!VOTOS2,[0]!TURNO1,J$31,[0]!CANDIDATO1,$C130,[0]!MUNICIPIO1,$B$122)</f>
        <v>0</v>
      </c>
      <c r="K130" s="6">
        <f>SUMIFS([0]!VOTOS2,[0]!TURNO1,K$31,[0]!CANDIDATO1,$C130,[0]!MUNICIPIO1,$B$122)</f>
        <v>0</v>
      </c>
      <c r="L130" s="6">
        <f>SUMIFS([0]!VOTOS2,[0]!TURNO1,L$31,[0]!CANDIDATO1,$C130,[0]!MUNICIPIO1,$B$122)</f>
        <v>0</v>
      </c>
      <c r="M130" s="6">
        <f>SUMIFS([0]!VOTOS2,[0]!TURNO1,M$31,[0]!CANDIDATO1,$C130,[0]!MUNICIPIO1,$B$122)</f>
        <v>0</v>
      </c>
      <c r="N130" s="6">
        <f>SUMIFS([0]!VOTOS2,[0]!TURNO1,N$31,[0]!CANDIDATO1,$C130,[0]!MUNICIPIO1,$B$122)</f>
        <v>0</v>
      </c>
      <c r="O130" s="6">
        <f>SUMIFS([0]!VOTOS2,[0]!TURNO1,O$31,[0]!CANDIDATO1,$C130,[0]!MUNICIPIO1,$B$122)</f>
        <v>0</v>
      </c>
      <c r="P130" s="6">
        <f>SUMIFS([0]!VOTOS2,[0]!TURNO1,P$31,[0]!CANDIDATO1,$C130,[0]!MUNICIPIO1,$B$122)</f>
        <v>0</v>
      </c>
      <c r="Q130" s="6">
        <f>SUMIFS([0]!VOTOS2,[0]!TURNO1,Q$31,[0]!CANDIDATO1,$C130,[0]!MUNICIPIO1,$B$122)</f>
        <v>0</v>
      </c>
      <c r="R130" s="6">
        <f>SUMIFS([0]!VOTOS2,[0]!TURNO1,R$31,[0]!CANDIDATO1,$C130,[0]!MUNICIPIO1,$B$122)</f>
        <v>0</v>
      </c>
      <c r="S130" s="6">
        <f>SUMIFS([0]!VOTOS2,[0]!TURNO1,S$31,[0]!CANDIDATO1,$C130,[0]!MUNICIPIO1,$B$122)</f>
        <v>0</v>
      </c>
      <c r="T130" s="6">
        <f>SUMIFS([0]!VOTOS2,[0]!TURNO1,T$31,[0]!CANDIDATO1,$C130,[0]!MUNICIPIO1,$B$122)</f>
        <v>0</v>
      </c>
      <c r="U130" s="6">
        <f>SUMIFS([0]!VOTOS2,[0]!TURNO1,U$31,[0]!CANDIDATO1,$C130,[0]!MUNICIPIO1,$B$122)</f>
        <v>0</v>
      </c>
      <c r="V130" s="6">
        <f>SUMIFS([0]!VOTOS2,[0]!TURNO1,V$31,[0]!CANDIDATO1,$C130,[0]!MUNICIPIO1,$B$122)</f>
        <v>0</v>
      </c>
      <c r="W130" s="6">
        <f>SUMIFS([0]!VOTOS2,[0]!TURNO1,W$31,[0]!CANDIDATO1,$C130,[0]!MUNICIPIO1,$B$122)</f>
        <v>0</v>
      </c>
      <c r="X130" s="24"/>
      <c r="Y130" s="18" t="str">
        <f t="shared" si="269"/>
        <v>LUIS HERRERA</v>
      </c>
      <c r="Z130" s="34">
        <f t="shared" si="270"/>
        <v>0</v>
      </c>
      <c r="AA130" s="34">
        <f t="shared" si="271"/>
        <v>0</v>
      </c>
      <c r="AB130" s="34" t="e">
        <f t="shared" ref="AB130:AR130" si="285">IF(SUM(G122:G134)=0,NA(),G130+AA130)</f>
        <v>#N/A</v>
      </c>
      <c r="AC130" s="34" t="e">
        <f t="shared" si="285"/>
        <v>#N/A</v>
      </c>
      <c r="AD130" s="34" t="e">
        <f t="shared" si="285"/>
        <v>#N/A</v>
      </c>
      <c r="AE130" s="34" t="e">
        <f t="shared" si="285"/>
        <v>#N/A</v>
      </c>
      <c r="AF130" s="34" t="e">
        <f t="shared" si="285"/>
        <v>#N/A</v>
      </c>
      <c r="AG130" s="34" t="e">
        <f t="shared" si="285"/>
        <v>#N/A</v>
      </c>
      <c r="AH130" s="34" t="e">
        <f t="shared" si="285"/>
        <v>#N/A</v>
      </c>
      <c r="AI130" s="34" t="e">
        <f t="shared" si="285"/>
        <v>#N/A</v>
      </c>
      <c r="AJ130" s="34" t="e">
        <f t="shared" si="285"/>
        <v>#N/A</v>
      </c>
      <c r="AK130" s="34" t="e">
        <f t="shared" si="285"/>
        <v>#N/A</v>
      </c>
      <c r="AL130" s="34" t="e">
        <f t="shared" si="285"/>
        <v>#N/A</v>
      </c>
      <c r="AM130" s="34" t="e">
        <f t="shared" si="285"/>
        <v>#N/A</v>
      </c>
      <c r="AN130" s="34" t="e">
        <f t="shared" si="285"/>
        <v>#N/A</v>
      </c>
      <c r="AO130" s="34" t="e">
        <f t="shared" si="285"/>
        <v>#N/A</v>
      </c>
      <c r="AP130" s="34" t="e">
        <f t="shared" si="285"/>
        <v>#N/A</v>
      </c>
      <c r="AQ130" s="34" t="e">
        <f t="shared" si="285"/>
        <v>#N/A</v>
      </c>
      <c r="AR130" s="34" t="e">
        <f t="shared" si="285"/>
        <v>#N/A</v>
      </c>
      <c r="AS130" s="27"/>
      <c r="AT130" s="41"/>
      <c r="AU130" s="41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30"/>
    </row>
    <row r="131" spans="1:66" ht="11.25" customHeight="1" x14ac:dyDescent="0.2">
      <c r="A131" s="44"/>
      <c r="B131" s="54"/>
      <c r="C131" s="46">
        <v>10</v>
      </c>
      <c r="D131" s="14" t="s">
        <v>121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24"/>
      <c r="Y131" s="18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27"/>
      <c r="AT131" s="41"/>
      <c r="AU131" s="41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30"/>
    </row>
    <row r="132" spans="1:66" ht="11.25" customHeight="1" x14ac:dyDescent="0.2">
      <c r="A132" s="44"/>
      <c r="B132" s="54"/>
      <c r="C132" s="46">
        <v>11</v>
      </c>
      <c r="D132" s="14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24"/>
      <c r="Y132" s="18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27"/>
      <c r="AT132" s="41"/>
      <c r="AU132" s="41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30"/>
    </row>
    <row r="133" spans="1:66" ht="11.25" customHeight="1" x14ac:dyDescent="0.2">
      <c r="A133" s="44"/>
      <c r="B133" s="54"/>
      <c r="C133" s="46">
        <v>12</v>
      </c>
      <c r="D133" s="14" t="s">
        <v>121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24"/>
      <c r="Y133" s="18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27"/>
      <c r="AT133" s="41"/>
      <c r="AU133" s="41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30"/>
    </row>
    <row r="134" spans="1:66" ht="11.25" customHeight="1" x14ac:dyDescent="0.2">
      <c r="A134" s="44"/>
      <c r="B134" s="54"/>
      <c r="C134" s="46">
        <v>13</v>
      </c>
      <c r="D134" s="14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24"/>
      <c r="Y134" s="18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27"/>
      <c r="AT134" s="41"/>
      <c r="AU134" s="41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30"/>
    </row>
    <row r="135" spans="1:66" ht="11.25" customHeight="1" x14ac:dyDescent="0.2">
      <c r="D135" s="31" t="s">
        <v>76</v>
      </c>
      <c r="X135" s="24"/>
      <c r="Y135" s="19" t="s">
        <v>79</v>
      </c>
      <c r="Z135" s="34">
        <f t="shared" ref="Z135" si="286">SUM(Z124:Z134)</f>
        <v>0</v>
      </c>
      <c r="AA135" s="34">
        <f t="shared" ref="AA135" si="287">SUM(AA124:AA134)</f>
        <v>0</v>
      </c>
      <c r="AB135" s="34" t="e">
        <f t="shared" ref="AB135" si="288">SUM(AB124:AB134)</f>
        <v>#N/A</v>
      </c>
      <c r="AC135" s="34" t="e">
        <f t="shared" ref="AC135" si="289">SUM(AC124:AC134)</f>
        <v>#N/A</v>
      </c>
      <c r="AD135" s="34" t="e">
        <f t="shared" ref="AD135" si="290">SUM(AD124:AD134)</f>
        <v>#N/A</v>
      </c>
      <c r="AE135" s="34" t="e">
        <f t="shared" ref="AE135" si="291">SUM(AE124:AE134)</f>
        <v>#N/A</v>
      </c>
      <c r="AF135" s="34" t="e">
        <f t="shared" ref="AF135" si="292">SUM(AF124:AF134)</f>
        <v>#N/A</v>
      </c>
      <c r="AG135" s="34" t="e">
        <f t="shared" ref="AG135" si="293">SUM(AG124:AG134)</f>
        <v>#N/A</v>
      </c>
      <c r="AH135" s="34" t="e">
        <f t="shared" ref="AH135" si="294">SUM(AH124:AH134)</f>
        <v>#N/A</v>
      </c>
      <c r="AI135" s="34" t="e">
        <f t="shared" ref="AI135" si="295">SUM(AI124:AI134)</f>
        <v>#N/A</v>
      </c>
      <c r="AJ135" s="34" t="e">
        <f t="shared" ref="AJ135" si="296">SUM(AJ124:AJ134)</f>
        <v>#N/A</v>
      </c>
      <c r="AK135" s="34" t="e">
        <f t="shared" ref="AK135" si="297">SUM(AK124:AK134)</f>
        <v>#N/A</v>
      </c>
      <c r="AL135" s="34" t="e">
        <f t="shared" ref="AL135" si="298">SUM(AL124:AL134)</f>
        <v>#N/A</v>
      </c>
      <c r="AM135" s="34" t="e">
        <f t="shared" ref="AM135" si="299">SUM(AM124:AM134)</f>
        <v>#N/A</v>
      </c>
      <c r="AN135" s="34" t="e">
        <f t="shared" ref="AN135" si="300">SUM(AN124:AN134)</f>
        <v>#N/A</v>
      </c>
      <c r="AO135" s="34" t="e">
        <f t="shared" ref="AO135" si="301">SUM(AO124:AO134)</f>
        <v>#N/A</v>
      </c>
      <c r="AP135" s="34" t="e">
        <f t="shared" ref="AP135" si="302">SUM(AP124:AP134)</f>
        <v>#N/A</v>
      </c>
      <c r="AQ135" s="34" t="e">
        <f t="shared" ref="AQ135" si="303">SUM(AQ124:AQ134)</f>
        <v>#N/A</v>
      </c>
      <c r="AR135" s="34" t="e">
        <f t="shared" ref="AR135" si="304">SUM(AR124:AR134)</f>
        <v>#N/A</v>
      </c>
      <c r="AS135" s="27"/>
      <c r="AT135" s="41"/>
      <c r="AU135" s="41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30"/>
    </row>
    <row r="136" spans="1:66" ht="11.25" customHeight="1" x14ac:dyDescent="0.2">
      <c r="A136" s="75" t="s">
        <v>63</v>
      </c>
      <c r="B136" s="76"/>
      <c r="C136" s="47"/>
      <c r="D136" s="48" t="s">
        <v>75</v>
      </c>
      <c r="E136" s="49" t="s">
        <v>70</v>
      </c>
      <c r="F136" s="49">
        <v>0</v>
      </c>
      <c r="G136" s="49">
        <v>1</v>
      </c>
      <c r="H136" s="49">
        <v>2</v>
      </c>
      <c r="I136" s="49">
        <v>3</v>
      </c>
      <c r="J136" s="49">
        <v>4</v>
      </c>
      <c r="K136" s="49">
        <v>5</v>
      </c>
      <c r="L136" s="49">
        <v>6</v>
      </c>
      <c r="M136" s="49">
        <v>7</v>
      </c>
      <c r="N136" s="49">
        <v>8</v>
      </c>
      <c r="O136" s="49">
        <v>9</v>
      </c>
      <c r="P136" s="49">
        <v>10</v>
      </c>
      <c r="Q136" s="49">
        <v>11</v>
      </c>
      <c r="R136" s="49">
        <v>12</v>
      </c>
      <c r="S136" s="49">
        <v>13</v>
      </c>
      <c r="T136" s="49">
        <v>14</v>
      </c>
      <c r="U136" s="49">
        <v>15</v>
      </c>
      <c r="V136" s="49">
        <v>16</v>
      </c>
      <c r="W136" s="23">
        <v>17</v>
      </c>
      <c r="X136" s="24"/>
      <c r="Y136" s="17"/>
      <c r="Z136" s="25" t="s">
        <v>64</v>
      </c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7"/>
      <c r="AT136" s="28"/>
      <c r="AU136" s="28" t="s">
        <v>64</v>
      </c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30"/>
    </row>
    <row r="137" spans="1:66" ht="11.25" customHeight="1" x14ac:dyDescent="0.2">
      <c r="A137" s="32"/>
      <c r="B137" s="72">
        <v>10</v>
      </c>
      <c r="C137" s="56">
        <v>1</v>
      </c>
      <c r="D137" s="7" t="s">
        <v>136</v>
      </c>
      <c r="E137" s="16">
        <f t="shared" ref="E137:E145" si="305">SUM(F137:W137)</f>
        <v>10</v>
      </c>
      <c r="F137" s="6">
        <f>SUMIFS([0]!VOTOS2,[0]!TURNO1,F$31,[0]!CANDIDATO1,$C137,[0]!MUNICIPIO1,$B$137)</f>
        <v>10</v>
      </c>
      <c r="G137" s="6">
        <f>SUMIFS([0]!VOTOS2,[0]!TURNO1,G$31,[0]!CANDIDATO1,$C137,[0]!MUNICIPIO1,$B$137)</f>
        <v>0</v>
      </c>
      <c r="H137" s="6">
        <f>SUMIFS([0]!VOTOS2,[0]!TURNO1,H$31,[0]!CANDIDATO1,$C137,[0]!MUNICIPIO1,$B$137)</f>
        <v>0</v>
      </c>
      <c r="I137" s="6">
        <f>SUMIFS([0]!VOTOS2,[0]!TURNO1,I$31,[0]!CANDIDATO1,$C137,[0]!MUNICIPIO1,$B$137)</f>
        <v>0</v>
      </c>
      <c r="J137" s="6">
        <f>SUMIFS([0]!VOTOS2,[0]!TURNO1,J$31,[0]!CANDIDATO1,$C137,[0]!MUNICIPIO1,$B$137)</f>
        <v>0</v>
      </c>
      <c r="K137" s="6">
        <f>SUMIFS([0]!VOTOS2,[0]!TURNO1,K$31,[0]!CANDIDATO1,$C137,[0]!MUNICIPIO1,$B$137)</f>
        <v>0</v>
      </c>
      <c r="L137" s="6">
        <f>SUMIFS([0]!VOTOS2,[0]!TURNO1,L$31,[0]!CANDIDATO1,$C137,[0]!MUNICIPIO1,$B$137)</f>
        <v>0</v>
      </c>
      <c r="M137" s="6">
        <f>SUMIFS([0]!VOTOS2,[0]!TURNO1,M$31,[0]!CANDIDATO1,$C137,[0]!MUNICIPIO1,$B$137)</f>
        <v>0</v>
      </c>
      <c r="N137" s="6">
        <f>SUMIFS([0]!VOTOS2,[0]!TURNO1,N$31,[0]!CANDIDATO1,$C137,[0]!MUNICIPIO1,$B$137)</f>
        <v>0</v>
      </c>
      <c r="O137" s="6">
        <f>SUMIFS([0]!VOTOS2,[0]!TURNO1,O$31,[0]!CANDIDATO1,$C137,[0]!MUNICIPIO1,$B$137)</f>
        <v>0</v>
      </c>
      <c r="P137" s="6">
        <f>SUMIFS([0]!VOTOS2,[0]!TURNO1,P$31,[0]!CANDIDATO1,$C137,[0]!MUNICIPIO1,$B$137)</f>
        <v>0</v>
      </c>
      <c r="Q137" s="6">
        <f>SUMIFS([0]!VOTOS2,[0]!TURNO1,Q$31,[0]!CANDIDATO1,$C137,[0]!MUNICIPIO1,$B$137)</f>
        <v>0</v>
      </c>
      <c r="R137" s="6">
        <f>SUMIFS([0]!VOTOS2,[0]!TURNO1,R$31,[0]!CANDIDATO1,$C137,[0]!MUNICIPIO1,$B$137)</f>
        <v>0</v>
      </c>
      <c r="S137" s="6">
        <f>SUMIFS([0]!VOTOS2,[0]!TURNO1,S$31,[0]!CANDIDATO1,$C137,[0]!MUNICIPIO1,$B$137)</f>
        <v>0</v>
      </c>
      <c r="T137" s="6">
        <f>SUMIFS([0]!VOTOS2,[0]!TURNO1,T$31,[0]!CANDIDATO1,$C137,[0]!MUNICIPIO1,$B$137)</f>
        <v>0</v>
      </c>
      <c r="U137" s="6">
        <f>SUMIFS([0]!VOTOS2,[0]!TURNO1,U$31,[0]!CANDIDATO1,$C137,[0]!MUNICIPIO1,$B$137)</f>
        <v>0</v>
      </c>
      <c r="V137" s="6">
        <f>SUMIFS([0]!VOTOS2,[0]!TURNO1,V$31,[0]!CANDIDATO1,$C137,[0]!MUNICIPIO1,$B$137)</f>
        <v>0</v>
      </c>
      <c r="W137" s="6">
        <f>SUMIFS([0]!VOTOS2,[0]!TURNO1,W$31,[0]!CANDIDATO1,$C137,[0]!MUNICIPIO1,$B$137)</f>
        <v>0</v>
      </c>
      <c r="X137" s="24"/>
      <c r="Y137" s="18" t="str">
        <f t="shared" ref="Y137:Y145" si="306">D137</f>
        <v>JUAN C. SANCHEZ</v>
      </c>
      <c r="Z137" s="34">
        <f t="shared" ref="Z137:Z145" si="307">E137</f>
        <v>10</v>
      </c>
      <c r="AA137" s="34">
        <f t="shared" ref="AA137:AA145" si="308">F137</f>
        <v>10</v>
      </c>
      <c r="AB137" s="34" t="e">
        <f t="shared" ref="AB137:AR137" si="309">IF(SUM(G137:G149)=0,NA(),G137+AA137)</f>
        <v>#N/A</v>
      </c>
      <c r="AC137" s="34" t="e">
        <f t="shared" si="309"/>
        <v>#N/A</v>
      </c>
      <c r="AD137" s="34" t="e">
        <f t="shared" si="309"/>
        <v>#N/A</v>
      </c>
      <c r="AE137" s="34" t="e">
        <f t="shared" si="309"/>
        <v>#N/A</v>
      </c>
      <c r="AF137" s="34" t="e">
        <f t="shared" si="309"/>
        <v>#N/A</v>
      </c>
      <c r="AG137" s="34" t="e">
        <f t="shared" si="309"/>
        <v>#N/A</v>
      </c>
      <c r="AH137" s="34" t="e">
        <f t="shared" si="309"/>
        <v>#N/A</v>
      </c>
      <c r="AI137" s="34" t="e">
        <f t="shared" si="309"/>
        <v>#N/A</v>
      </c>
      <c r="AJ137" s="34" t="e">
        <f t="shared" si="309"/>
        <v>#N/A</v>
      </c>
      <c r="AK137" s="34" t="e">
        <f t="shared" si="309"/>
        <v>#N/A</v>
      </c>
      <c r="AL137" s="34" t="e">
        <f t="shared" si="309"/>
        <v>#N/A</v>
      </c>
      <c r="AM137" s="34" t="e">
        <f t="shared" si="309"/>
        <v>#N/A</v>
      </c>
      <c r="AN137" s="34" t="e">
        <f t="shared" si="309"/>
        <v>#N/A</v>
      </c>
      <c r="AO137" s="34" t="e">
        <f t="shared" si="309"/>
        <v>#N/A</v>
      </c>
      <c r="AP137" s="34" t="e">
        <f t="shared" si="309"/>
        <v>#N/A</v>
      </c>
      <c r="AQ137" s="34" t="e">
        <f t="shared" si="309"/>
        <v>#N/A</v>
      </c>
      <c r="AR137" s="34" t="e">
        <f t="shared" si="309"/>
        <v>#N/A</v>
      </c>
      <c r="AS137" s="27"/>
      <c r="AT137" s="35" t="str">
        <f t="shared" ref="AT137:AT138" si="310">Y137</f>
        <v>JUAN C. SANCHEZ</v>
      </c>
      <c r="AU137" s="36">
        <f t="shared" ref="AU137:BM137" si="311">Z137/(Z137+Z138+Z150)</f>
        <v>0.5</v>
      </c>
      <c r="AV137" s="36">
        <f t="shared" si="311"/>
        <v>0.5</v>
      </c>
      <c r="AW137" s="36" t="e">
        <f t="shared" si="311"/>
        <v>#N/A</v>
      </c>
      <c r="AX137" s="36" t="e">
        <f t="shared" si="311"/>
        <v>#N/A</v>
      </c>
      <c r="AY137" s="36" t="e">
        <f t="shared" si="311"/>
        <v>#N/A</v>
      </c>
      <c r="AZ137" s="36" t="e">
        <f t="shared" si="311"/>
        <v>#N/A</v>
      </c>
      <c r="BA137" s="36" t="e">
        <f t="shared" si="311"/>
        <v>#N/A</v>
      </c>
      <c r="BB137" s="36" t="e">
        <f t="shared" si="311"/>
        <v>#N/A</v>
      </c>
      <c r="BC137" s="36" t="e">
        <f t="shared" si="311"/>
        <v>#N/A</v>
      </c>
      <c r="BD137" s="36" t="e">
        <f t="shared" si="311"/>
        <v>#N/A</v>
      </c>
      <c r="BE137" s="36" t="e">
        <f t="shared" si="311"/>
        <v>#N/A</v>
      </c>
      <c r="BF137" s="36" t="e">
        <f t="shared" si="311"/>
        <v>#N/A</v>
      </c>
      <c r="BG137" s="36" t="e">
        <f t="shared" si="311"/>
        <v>#N/A</v>
      </c>
      <c r="BH137" s="36" t="e">
        <f t="shared" si="311"/>
        <v>#N/A</v>
      </c>
      <c r="BI137" s="36" t="e">
        <f t="shared" si="311"/>
        <v>#N/A</v>
      </c>
      <c r="BJ137" s="36" t="e">
        <f t="shared" si="311"/>
        <v>#N/A</v>
      </c>
      <c r="BK137" s="36" t="e">
        <f t="shared" si="311"/>
        <v>#N/A</v>
      </c>
      <c r="BL137" s="36" t="e">
        <f t="shared" si="311"/>
        <v>#N/A</v>
      </c>
      <c r="BM137" s="36" t="e">
        <f t="shared" si="311"/>
        <v>#N/A</v>
      </c>
      <c r="BN137" s="30"/>
    </row>
    <row r="138" spans="1:66" ht="11.25" customHeight="1" x14ac:dyDescent="0.2">
      <c r="A138" s="37"/>
      <c r="B138" s="73"/>
      <c r="C138" s="33">
        <v>2</v>
      </c>
      <c r="D138" s="8" t="s">
        <v>137</v>
      </c>
      <c r="E138" s="16">
        <f t="shared" si="305"/>
        <v>10</v>
      </c>
      <c r="F138" s="6">
        <f>SUMIFS([0]!VOTOS2,[0]!TURNO1,F$31,[0]!CANDIDATO1,$C138,[0]!MUNICIPIO1,$B$137)</f>
        <v>10</v>
      </c>
      <c r="G138" s="6">
        <f>SUMIFS([0]!VOTOS2,[0]!TURNO1,G$31,[0]!CANDIDATO1,$C138,[0]!MUNICIPIO1,$B$137)</f>
        <v>0</v>
      </c>
      <c r="H138" s="6">
        <f>SUMIFS([0]!VOTOS2,[0]!TURNO1,H$31,[0]!CANDIDATO1,$C138,[0]!MUNICIPIO1,$B$137)</f>
        <v>0</v>
      </c>
      <c r="I138" s="6">
        <f>SUMIFS([0]!VOTOS2,[0]!TURNO1,I$31,[0]!CANDIDATO1,$C138,[0]!MUNICIPIO1,$B$137)</f>
        <v>0</v>
      </c>
      <c r="J138" s="6">
        <f>SUMIFS([0]!VOTOS2,[0]!TURNO1,J$31,[0]!CANDIDATO1,$C138,[0]!MUNICIPIO1,$B$137)</f>
        <v>0</v>
      </c>
      <c r="K138" s="6">
        <f>SUMIFS([0]!VOTOS2,[0]!TURNO1,K$31,[0]!CANDIDATO1,$C138,[0]!MUNICIPIO1,$B$137)</f>
        <v>0</v>
      </c>
      <c r="L138" s="6">
        <f>SUMIFS([0]!VOTOS2,[0]!TURNO1,L$31,[0]!CANDIDATO1,$C138,[0]!MUNICIPIO1,$B$137)</f>
        <v>0</v>
      </c>
      <c r="M138" s="6">
        <f>SUMIFS([0]!VOTOS2,[0]!TURNO1,M$31,[0]!CANDIDATO1,$C138,[0]!MUNICIPIO1,$B$137)</f>
        <v>0</v>
      </c>
      <c r="N138" s="6">
        <f>SUMIFS([0]!VOTOS2,[0]!TURNO1,N$31,[0]!CANDIDATO1,$C138,[0]!MUNICIPIO1,$B$137)</f>
        <v>0</v>
      </c>
      <c r="O138" s="6">
        <f>SUMIFS([0]!VOTOS2,[0]!TURNO1,O$31,[0]!CANDIDATO1,$C138,[0]!MUNICIPIO1,$B$137)</f>
        <v>0</v>
      </c>
      <c r="P138" s="6">
        <f>SUMIFS([0]!VOTOS2,[0]!TURNO1,P$31,[0]!CANDIDATO1,$C138,[0]!MUNICIPIO1,$B$137)</f>
        <v>0</v>
      </c>
      <c r="Q138" s="6">
        <f>SUMIFS([0]!VOTOS2,[0]!TURNO1,Q$31,[0]!CANDIDATO1,$C138,[0]!MUNICIPIO1,$B$137)</f>
        <v>0</v>
      </c>
      <c r="R138" s="6">
        <f>SUMIFS([0]!VOTOS2,[0]!TURNO1,R$31,[0]!CANDIDATO1,$C138,[0]!MUNICIPIO1,$B$137)</f>
        <v>0</v>
      </c>
      <c r="S138" s="6">
        <f>SUMIFS([0]!VOTOS2,[0]!TURNO1,S$31,[0]!CANDIDATO1,$C138,[0]!MUNICIPIO1,$B$137)</f>
        <v>0</v>
      </c>
      <c r="T138" s="6">
        <f>SUMIFS([0]!VOTOS2,[0]!TURNO1,T$31,[0]!CANDIDATO1,$C138,[0]!MUNICIPIO1,$B$137)</f>
        <v>0</v>
      </c>
      <c r="U138" s="6">
        <f>SUMIFS([0]!VOTOS2,[0]!TURNO1,U$31,[0]!CANDIDATO1,$C138,[0]!MUNICIPIO1,$B$137)</f>
        <v>0</v>
      </c>
      <c r="V138" s="6">
        <f>SUMIFS([0]!VOTOS2,[0]!TURNO1,V$31,[0]!CANDIDATO1,$C138,[0]!MUNICIPIO1,$B$137)</f>
        <v>0</v>
      </c>
      <c r="W138" s="6">
        <f>SUMIFS([0]!VOTOS2,[0]!TURNO1,W$31,[0]!CANDIDATO1,$C138,[0]!MUNICIPIO1,$B$137)</f>
        <v>0</v>
      </c>
      <c r="X138" s="24"/>
      <c r="Y138" s="18" t="str">
        <f t="shared" si="306"/>
        <v>LUIS BLANCO</v>
      </c>
      <c r="Z138" s="34">
        <f t="shared" si="307"/>
        <v>10</v>
      </c>
      <c r="AA138" s="34">
        <f t="shared" si="308"/>
        <v>10</v>
      </c>
      <c r="AB138" s="34" t="e">
        <f t="shared" ref="AB138:AR138" si="312">IF(SUM(G137:G149)=0,NA(),G138+AA138)</f>
        <v>#N/A</v>
      </c>
      <c r="AC138" s="34" t="e">
        <f t="shared" si="312"/>
        <v>#N/A</v>
      </c>
      <c r="AD138" s="34" t="e">
        <f t="shared" si="312"/>
        <v>#N/A</v>
      </c>
      <c r="AE138" s="34" t="e">
        <f t="shared" si="312"/>
        <v>#N/A</v>
      </c>
      <c r="AF138" s="34" t="e">
        <f t="shared" si="312"/>
        <v>#N/A</v>
      </c>
      <c r="AG138" s="34" t="e">
        <f t="shared" si="312"/>
        <v>#N/A</v>
      </c>
      <c r="AH138" s="34" t="e">
        <f t="shared" si="312"/>
        <v>#N/A</v>
      </c>
      <c r="AI138" s="34" t="e">
        <f t="shared" si="312"/>
        <v>#N/A</v>
      </c>
      <c r="AJ138" s="34" t="e">
        <f t="shared" si="312"/>
        <v>#N/A</v>
      </c>
      <c r="AK138" s="34" t="e">
        <f t="shared" si="312"/>
        <v>#N/A</v>
      </c>
      <c r="AL138" s="34" t="e">
        <f t="shared" si="312"/>
        <v>#N/A</v>
      </c>
      <c r="AM138" s="34" t="e">
        <f t="shared" si="312"/>
        <v>#N/A</v>
      </c>
      <c r="AN138" s="34" t="e">
        <f t="shared" si="312"/>
        <v>#N/A</v>
      </c>
      <c r="AO138" s="34" t="e">
        <f t="shared" si="312"/>
        <v>#N/A</v>
      </c>
      <c r="AP138" s="34" t="e">
        <f t="shared" si="312"/>
        <v>#N/A</v>
      </c>
      <c r="AQ138" s="34" t="e">
        <f t="shared" si="312"/>
        <v>#N/A</v>
      </c>
      <c r="AR138" s="34" t="e">
        <f t="shared" si="312"/>
        <v>#N/A</v>
      </c>
      <c r="AS138" s="27"/>
      <c r="AT138" s="35" t="str">
        <f t="shared" si="310"/>
        <v>LUIS BLANCO</v>
      </c>
      <c r="AU138" s="36">
        <f t="shared" ref="AU138:BM138" si="313">Z138/(Z137+Z138+Z150)</f>
        <v>0.5</v>
      </c>
      <c r="AV138" s="36">
        <f t="shared" si="313"/>
        <v>0.5</v>
      </c>
      <c r="AW138" s="36" t="e">
        <f t="shared" si="313"/>
        <v>#N/A</v>
      </c>
      <c r="AX138" s="36" t="e">
        <f t="shared" si="313"/>
        <v>#N/A</v>
      </c>
      <c r="AY138" s="36" t="e">
        <f t="shared" si="313"/>
        <v>#N/A</v>
      </c>
      <c r="AZ138" s="36" t="e">
        <f t="shared" si="313"/>
        <v>#N/A</v>
      </c>
      <c r="BA138" s="36" t="e">
        <f t="shared" si="313"/>
        <v>#N/A</v>
      </c>
      <c r="BB138" s="36" t="e">
        <f t="shared" si="313"/>
        <v>#N/A</v>
      </c>
      <c r="BC138" s="36" t="e">
        <f t="shared" si="313"/>
        <v>#N/A</v>
      </c>
      <c r="BD138" s="36" t="e">
        <f t="shared" si="313"/>
        <v>#N/A</v>
      </c>
      <c r="BE138" s="36" t="e">
        <f t="shared" si="313"/>
        <v>#N/A</v>
      </c>
      <c r="BF138" s="36" t="e">
        <f t="shared" si="313"/>
        <v>#N/A</v>
      </c>
      <c r="BG138" s="36" t="e">
        <f t="shared" si="313"/>
        <v>#N/A</v>
      </c>
      <c r="BH138" s="36" t="e">
        <f t="shared" si="313"/>
        <v>#N/A</v>
      </c>
      <c r="BI138" s="36" t="e">
        <f t="shared" si="313"/>
        <v>#N/A</v>
      </c>
      <c r="BJ138" s="36" t="e">
        <f t="shared" si="313"/>
        <v>#N/A</v>
      </c>
      <c r="BK138" s="36" t="e">
        <f t="shared" si="313"/>
        <v>#N/A</v>
      </c>
      <c r="BL138" s="36" t="e">
        <f t="shared" si="313"/>
        <v>#N/A</v>
      </c>
      <c r="BM138" s="36" t="e">
        <f t="shared" si="313"/>
        <v>#N/A</v>
      </c>
      <c r="BN138" s="30"/>
    </row>
    <row r="139" spans="1:66" ht="11.25" customHeight="1" x14ac:dyDescent="0.2">
      <c r="A139" s="37"/>
      <c r="B139" s="73"/>
      <c r="C139" s="56">
        <v>3</v>
      </c>
      <c r="D139" s="8" t="s">
        <v>138</v>
      </c>
      <c r="E139" s="16">
        <f t="shared" si="305"/>
        <v>0</v>
      </c>
      <c r="F139" s="6">
        <f>SUMIFS([0]!VOTOS2,[0]!TURNO1,F$31,[0]!CANDIDATO1,$C139,[0]!MUNICIPIO1,$B$137)</f>
        <v>0</v>
      </c>
      <c r="G139" s="6">
        <f>SUMIFS([0]!VOTOS2,[0]!TURNO1,G$31,[0]!CANDIDATO1,$C139,[0]!MUNICIPIO1,$B$137)</f>
        <v>0</v>
      </c>
      <c r="H139" s="6">
        <f>SUMIFS([0]!VOTOS2,[0]!TURNO1,H$31,[0]!CANDIDATO1,$C139,[0]!MUNICIPIO1,$B$137)</f>
        <v>0</v>
      </c>
      <c r="I139" s="6">
        <f>SUMIFS([0]!VOTOS2,[0]!TURNO1,I$31,[0]!CANDIDATO1,$C139,[0]!MUNICIPIO1,$B$137)</f>
        <v>0</v>
      </c>
      <c r="J139" s="6">
        <f>SUMIFS([0]!VOTOS2,[0]!TURNO1,J$31,[0]!CANDIDATO1,$C139,[0]!MUNICIPIO1,$B$137)</f>
        <v>0</v>
      </c>
      <c r="K139" s="6">
        <f>SUMIFS([0]!VOTOS2,[0]!TURNO1,K$31,[0]!CANDIDATO1,$C139,[0]!MUNICIPIO1,$B$137)</f>
        <v>0</v>
      </c>
      <c r="L139" s="6">
        <f>SUMIFS([0]!VOTOS2,[0]!TURNO1,L$31,[0]!CANDIDATO1,$C139,[0]!MUNICIPIO1,$B$137)</f>
        <v>0</v>
      </c>
      <c r="M139" s="6">
        <f>SUMIFS([0]!VOTOS2,[0]!TURNO1,M$31,[0]!CANDIDATO1,$C139,[0]!MUNICIPIO1,$B$137)</f>
        <v>0</v>
      </c>
      <c r="N139" s="6">
        <f>SUMIFS([0]!VOTOS2,[0]!TURNO1,N$31,[0]!CANDIDATO1,$C139,[0]!MUNICIPIO1,$B$137)</f>
        <v>0</v>
      </c>
      <c r="O139" s="6">
        <f>SUMIFS([0]!VOTOS2,[0]!TURNO1,O$31,[0]!CANDIDATO1,$C139,[0]!MUNICIPIO1,$B$137)</f>
        <v>0</v>
      </c>
      <c r="P139" s="6">
        <f>SUMIFS([0]!VOTOS2,[0]!TURNO1,P$31,[0]!CANDIDATO1,$C139,[0]!MUNICIPIO1,$B$137)</f>
        <v>0</v>
      </c>
      <c r="Q139" s="6">
        <f>SUMIFS([0]!VOTOS2,[0]!TURNO1,Q$31,[0]!CANDIDATO1,$C139,[0]!MUNICIPIO1,$B$137)</f>
        <v>0</v>
      </c>
      <c r="R139" s="6">
        <f>SUMIFS([0]!VOTOS2,[0]!TURNO1,R$31,[0]!CANDIDATO1,$C139,[0]!MUNICIPIO1,$B$137)</f>
        <v>0</v>
      </c>
      <c r="S139" s="6">
        <f>SUMIFS([0]!VOTOS2,[0]!TURNO1,S$31,[0]!CANDIDATO1,$C139,[0]!MUNICIPIO1,$B$137)</f>
        <v>0</v>
      </c>
      <c r="T139" s="6">
        <f>SUMIFS([0]!VOTOS2,[0]!TURNO1,T$31,[0]!CANDIDATO1,$C139,[0]!MUNICIPIO1,$B$137)</f>
        <v>0</v>
      </c>
      <c r="U139" s="6">
        <f>SUMIFS([0]!VOTOS2,[0]!TURNO1,U$31,[0]!CANDIDATO1,$C139,[0]!MUNICIPIO1,$B$137)</f>
        <v>0</v>
      </c>
      <c r="V139" s="6">
        <f>SUMIFS([0]!VOTOS2,[0]!TURNO1,V$31,[0]!CANDIDATO1,$C139,[0]!MUNICIPIO1,$B$137)</f>
        <v>0</v>
      </c>
      <c r="W139" s="6">
        <f>SUMIFS([0]!VOTOS2,[0]!TURNO1,W$31,[0]!CANDIDATO1,$C139,[0]!MUNICIPIO1,$B$137)</f>
        <v>0</v>
      </c>
      <c r="X139" s="24"/>
      <c r="Y139" s="18" t="str">
        <f t="shared" si="306"/>
        <v>VICTOR NAVARRO</v>
      </c>
      <c r="Z139" s="34">
        <f t="shared" si="307"/>
        <v>0</v>
      </c>
      <c r="AA139" s="34">
        <f t="shared" si="308"/>
        <v>0</v>
      </c>
      <c r="AB139" s="34" t="e">
        <f t="shared" ref="AB139:AR139" si="314">IF(SUM(G137:G149)=0,NA(),G139+AA139)</f>
        <v>#N/A</v>
      </c>
      <c r="AC139" s="34" t="e">
        <f t="shared" si="314"/>
        <v>#N/A</v>
      </c>
      <c r="AD139" s="34" t="e">
        <f t="shared" si="314"/>
        <v>#N/A</v>
      </c>
      <c r="AE139" s="34" t="e">
        <f t="shared" si="314"/>
        <v>#N/A</v>
      </c>
      <c r="AF139" s="34" t="e">
        <f t="shared" si="314"/>
        <v>#N/A</v>
      </c>
      <c r="AG139" s="34" t="e">
        <f t="shared" si="314"/>
        <v>#N/A</v>
      </c>
      <c r="AH139" s="34" t="e">
        <f t="shared" si="314"/>
        <v>#N/A</v>
      </c>
      <c r="AI139" s="34" t="e">
        <f t="shared" si="314"/>
        <v>#N/A</v>
      </c>
      <c r="AJ139" s="34" t="e">
        <f t="shared" si="314"/>
        <v>#N/A</v>
      </c>
      <c r="AK139" s="34" t="e">
        <f t="shared" si="314"/>
        <v>#N/A</v>
      </c>
      <c r="AL139" s="34" t="e">
        <f t="shared" si="314"/>
        <v>#N/A</v>
      </c>
      <c r="AM139" s="34" t="e">
        <f t="shared" si="314"/>
        <v>#N/A</v>
      </c>
      <c r="AN139" s="34" t="e">
        <f t="shared" si="314"/>
        <v>#N/A</v>
      </c>
      <c r="AO139" s="34" t="e">
        <f t="shared" si="314"/>
        <v>#N/A</v>
      </c>
      <c r="AP139" s="34" t="e">
        <f t="shared" si="314"/>
        <v>#N/A</v>
      </c>
      <c r="AQ139" s="34" t="e">
        <f t="shared" si="314"/>
        <v>#N/A</v>
      </c>
      <c r="AR139" s="34" t="e">
        <f t="shared" si="314"/>
        <v>#N/A</v>
      </c>
      <c r="AS139" s="27"/>
      <c r="AT139" s="35" t="str">
        <f t="shared" ref="AT139" si="315">Y150</f>
        <v>Otros</v>
      </c>
      <c r="AU139" s="36">
        <f t="shared" ref="AU139:BM139" si="316">Z150/(Z137+Z138+Z150)</f>
        <v>0</v>
      </c>
      <c r="AV139" s="36">
        <f t="shared" si="316"/>
        <v>0</v>
      </c>
      <c r="AW139" s="36" t="e">
        <f t="shared" si="316"/>
        <v>#N/A</v>
      </c>
      <c r="AX139" s="36" t="e">
        <f t="shared" si="316"/>
        <v>#N/A</v>
      </c>
      <c r="AY139" s="36" t="e">
        <f t="shared" si="316"/>
        <v>#N/A</v>
      </c>
      <c r="AZ139" s="36" t="e">
        <f t="shared" si="316"/>
        <v>#N/A</v>
      </c>
      <c r="BA139" s="36" t="e">
        <f t="shared" si="316"/>
        <v>#N/A</v>
      </c>
      <c r="BB139" s="36" t="e">
        <f t="shared" si="316"/>
        <v>#N/A</v>
      </c>
      <c r="BC139" s="36" t="e">
        <f t="shared" si="316"/>
        <v>#N/A</v>
      </c>
      <c r="BD139" s="36" t="e">
        <f t="shared" si="316"/>
        <v>#N/A</v>
      </c>
      <c r="BE139" s="36" t="e">
        <f t="shared" si="316"/>
        <v>#N/A</v>
      </c>
      <c r="BF139" s="36" t="e">
        <f t="shared" si="316"/>
        <v>#N/A</v>
      </c>
      <c r="BG139" s="36" t="e">
        <f t="shared" si="316"/>
        <v>#N/A</v>
      </c>
      <c r="BH139" s="36" t="e">
        <f t="shared" si="316"/>
        <v>#N/A</v>
      </c>
      <c r="BI139" s="36" t="e">
        <f t="shared" si="316"/>
        <v>#N/A</v>
      </c>
      <c r="BJ139" s="36" t="e">
        <f t="shared" si="316"/>
        <v>#N/A</v>
      </c>
      <c r="BK139" s="36" t="e">
        <f t="shared" si="316"/>
        <v>#N/A</v>
      </c>
      <c r="BL139" s="36" t="e">
        <f t="shared" si="316"/>
        <v>#N/A</v>
      </c>
      <c r="BM139" s="36" t="e">
        <f t="shared" si="316"/>
        <v>#N/A</v>
      </c>
      <c r="BN139" s="30"/>
    </row>
    <row r="140" spans="1:66" ht="11.25" customHeight="1" x14ac:dyDescent="0.2">
      <c r="A140" s="38" t="s">
        <v>10</v>
      </c>
      <c r="B140" s="73"/>
      <c r="C140" s="33">
        <v>4</v>
      </c>
      <c r="D140" s="8" t="s">
        <v>139</v>
      </c>
      <c r="E140" s="16">
        <f t="shared" si="305"/>
        <v>0</v>
      </c>
      <c r="F140" s="6">
        <f>SUMIFS([0]!VOTOS2,[0]!TURNO1,F$31,[0]!CANDIDATO1,$C140,[0]!MUNICIPIO1,$B$137)</f>
        <v>0</v>
      </c>
      <c r="G140" s="6">
        <f>SUMIFS([0]!VOTOS2,[0]!TURNO1,G$31,[0]!CANDIDATO1,$C140,[0]!MUNICIPIO1,$B$137)</f>
        <v>0</v>
      </c>
      <c r="H140" s="6">
        <f>SUMIFS([0]!VOTOS2,[0]!TURNO1,H$31,[0]!CANDIDATO1,$C140,[0]!MUNICIPIO1,$B$137)</f>
        <v>0</v>
      </c>
      <c r="I140" s="6">
        <f>SUMIFS([0]!VOTOS2,[0]!TURNO1,I$31,[0]!CANDIDATO1,$C140,[0]!MUNICIPIO1,$B$137)</f>
        <v>0</v>
      </c>
      <c r="J140" s="6">
        <f>SUMIFS([0]!VOTOS2,[0]!TURNO1,J$31,[0]!CANDIDATO1,$C140,[0]!MUNICIPIO1,$B$137)</f>
        <v>0</v>
      </c>
      <c r="K140" s="6">
        <f>SUMIFS([0]!VOTOS2,[0]!TURNO1,K$31,[0]!CANDIDATO1,$C140,[0]!MUNICIPIO1,$B$137)</f>
        <v>0</v>
      </c>
      <c r="L140" s="6">
        <f>SUMIFS([0]!VOTOS2,[0]!TURNO1,L$31,[0]!CANDIDATO1,$C140,[0]!MUNICIPIO1,$B$137)</f>
        <v>0</v>
      </c>
      <c r="M140" s="6">
        <f>SUMIFS([0]!VOTOS2,[0]!TURNO1,M$31,[0]!CANDIDATO1,$C140,[0]!MUNICIPIO1,$B$137)</f>
        <v>0</v>
      </c>
      <c r="N140" s="6">
        <f>SUMIFS([0]!VOTOS2,[0]!TURNO1,N$31,[0]!CANDIDATO1,$C140,[0]!MUNICIPIO1,$B$137)</f>
        <v>0</v>
      </c>
      <c r="O140" s="6">
        <f>SUMIFS([0]!VOTOS2,[0]!TURNO1,O$31,[0]!CANDIDATO1,$C140,[0]!MUNICIPIO1,$B$137)</f>
        <v>0</v>
      </c>
      <c r="P140" s="6">
        <f>SUMIFS([0]!VOTOS2,[0]!TURNO1,P$31,[0]!CANDIDATO1,$C140,[0]!MUNICIPIO1,$B$137)</f>
        <v>0</v>
      </c>
      <c r="Q140" s="6">
        <f>SUMIFS([0]!VOTOS2,[0]!TURNO1,Q$31,[0]!CANDIDATO1,$C140,[0]!MUNICIPIO1,$B$137)</f>
        <v>0</v>
      </c>
      <c r="R140" s="6">
        <f>SUMIFS([0]!VOTOS2,[0]!TURNO1,R$31,[0]!CANDIDATO1,$C140,[0]!MUNICIPIO1,$B$137)</f>
        <v>0</v>
      </c>
      <c r="S140" s="6">
        <f>SUMIFS([0]!VOTOS2,[0]!TURNO1,S$31,[0]!CANDIDATO1,$C140,[0]!MUNICIPIO1,$B$137)</f>
        <v>0</v>
      </c>
      <c r="T140" s="6">
        <f>SUMIFS([0]!VOTOS2,[0]!TURNO1,T$31,[0]!CANDIDATO1,$C140,[0]!MUNICIPIO1,$B$137)</f>
        <v>0</v>
      </c>
      <c r="U140" s="6">
        <f>SUMIFS([0]!VOTOS2,[0]!TURNO1,U$31,[0]!CANDIDATO1,$C140,[0]!MUNICIPIO1,$B$137)</f>
        <v>0</v>
      </c>
      <c r="V140" s="6">
        <f>SUMIFS([0]!VOTOS2,[0]!TURNO1,V$31,[0]!CANDIDATO1,$C140,[0]!MUNICIPIO1,$B$137)</f>
        <v>0</v>
      </c>
      <c r="W140" s="6">
        <f>SUMIFS([0]!VOTOS2,[0]!TURNO1,W$31,[0]!CANDIDATO1,$C140,[0]!MUNICIPIO1,$B$137)</f>
        <v>0</v>
      </c>
      <c r="X140" s="24"/>
      <c r="Y140" s="18" t="str">
        <f t="shared" si="306"/>
        <v>ISMAEL IMPELLIZZIERI</v>
      </c>
      <c r="Z140" s="34">
        <f t="shared" si="307"/>
        <v>0</v>
      </c>
      <c r="AA140" s="34">
        <f t="shared" si="308"/>
        <v>0</v>
      </c>
      <c r="AB140" s="34" t="e">
        <f t="shared" ref="AB140:AR140" si="317">IF(SUM(G137:G149)=0,NA(),G140+AA140)</f>
        <v>#N/A</v>
      </c>
      <c r="AC140" s="34" t="e">
        <f t="shared" si="317"/>
        <v>#N/A</v>
      </c>
      <c r="AD140" s="34" t="e">
        <f t="shared" si="317"/>
        <v>#N/A</v>
      </c>
      <c r="AE140" s="34" t="e">
        <f t="shared" si="317"/>
        <v>#N/A</v>
      </c>
      <c r="AF140" s="34" t="e">
        <f t="shared" si="317"/>
        <v>#N/A</v>
      </c>
      <c r="AG140" s="34" t="e">
        <f t="shared" si="317"/>
        <v>#N/A</v>
      </c>
      <c r="AH140" s="34" t="e">
        <f t="shared" si="317"/>
        <v>#N/A</v>
      </c>
      <c r="AI140" s="34" t="e">
        <f t="shared" si="317"/>
        <v>#N/A</v>
      </c>
      <c r="AJ140" s="34" t="e">
        <f t="shared" si="317"/>
        <v>#N/A</v>
      </c>
      <c r="AK140" s="34" t="e">
        <f t="shared" si="317"/>
        <v>#N/A</v>
      </c>
      <c r="AL140" s="34" t="e">
        <f t="shared" si="317"/>
        <v>#N/A</v>
      </c>
      <c r="AM140" s="34" t="e">
        <f t="shared" si="317"/>
        <v>#N/A</v>
      </c>
      <c r="AN140" s="34" t="e">
        <f t="shared" si="317"/>
        <v>#N/A</v>
      </c>
      <c r="AO140" s="34" t="e">
        <f t="shared" si="317"/>
        <v>#N/A</v>
      </c>
      <c r="AP140" s="34" t="e">
        <f t="shared" si="317"/>
        <v>#N/A</v>
      </c>
      <c r="AQ140" s="34" t="e">
        <f t="shared" si="317"/>
        <v>#N/A</v>
      </c>
      <c r="AR140" s="34" t="e">
        <f t="shared" si="317"/>
        <v>#N/A</v>
      </c>
      <c r="AS140" s="27"/>
      <c r="AT140" s="39"/>
      <c r="AU140" s="39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30"/>
    </row>
    <row r="141" spans="1:66" ht="11.25" customHeight="1" x14ac:dyDescent="0.2">
      <c r="A141" s="38" t="s">
        <v>74</v>
      </c>
      <c r="B141" s="73"/>
      <c r="C141" s="56">
        <v>5</v>
      </c>
      <c r="D141" s="8" t="s">
        <v>140</v>
      </c>
      <c r="E141" s="16">
        <f t="shared" si="305"/>
        <v>0</v>
      </c>
      <c r="F141" s="6">
        <f>SUMIFS([0]!VOTOS2,[0]!TURNO1,F$31,[0]!CANDIDATO1,$C141,[0]!MUNICIPIO1,$B$137)</f>
        <v>0</v>
      </c>
      <c r="G141" s="6">
        <f>SUMIFS([0]!VOTOS2,[0]!TURNO1,G$31,[0]!CANDIDATO1,$C141,[0]!MUNICIPIO1,$B$137)</f>
        <v>0</v>
      </c>
      <c r="H141" s="6">
        <f>SUMIFS([0]!VOTOS2,[0]!TURNO1,H$31,[0]!CANDIDATO1,$C141,[0]!MUNICIPIO1,$B$137)</f>
        <v>0</v>
      </c>
      <c r="I141" s="6">
        <f>SUMIFS([0]!VOTOS2,[0]!TURNO1,I$31,[0]!CANDIDATO1,$C141,[0]!MUNICIPIO1,$B$137)</f>
        <v>0</v>
      </c>
      <c r="J141" s="6">
        <f>SUMIFS([0]!VOTOS2,[0]!TURNO1,J$31,[0]!CANDIDATO1,$C141,[0]!MUNICIPIO1,$B$137)</f>
        <v>0</v>
      </c>
      <c r="K141" s="6">
        <f>SUMIFS([0]!VOTOS2,[0]!TURNO1,K$31,[0]!CANDIDATO1,$C141,[0]!MUNICIPIO1,$B$137)</f>
        <v>0</v>
      </c>
      <c r="L141" s="6">
        <f>SUMIFS([0]!VOTOS2,[0]!TURNO1,L$31,[0]!CANDIDATO1,$C141,[0]!MUNICIPIO1,$B$137)</f>
        <v>0</v>
      </c>
      <c r="M141" s="6">
        <f>SUMIFS([0]!VOTOS2,[0]!TURNO1,M$31,[0]!CANDIDATO1,$C141,[0]!MUNICIPIO1,$B$137)</f>
        <v>0</v>
      </c>
      <c r="N141" s="6">
        <f>SUMIFS([0]!VOTOS2,[0]!TURNO1,N$31,[0]!CANDIDATO1,$C141,[0]!MUNICIPIO1,$B$137)</f>
        <v>0</v>
      </c>
      <c r="O141" s="6">
        <f>SUMIFS([0]!VOTOS2,[0]!TURNO1,O$31,[0]!CANDIDATO1,$C141,[0]!MUNICIPIO1,$B$137)</f>
        <v>0</v>
      </c>
      <c r="P141" s="6">
        <f>SUMIFS([0]!VOTOS2,[0]!TURNO1,P$31,[0]!CANDIDATO1,$C141,[0]!MUNICIPIO1,$B$137)</f>
        <v>0</v>
      </c>
      <c r="Q141" s="6">
        <f>SUMIFS([0]!VOTOS2,[0]!TURNO1,Q$31,[0]!CANDIDATO1,$C141,[0]!MUNICIPIO1,$B$137)</f>
        <v>0</v>
      </c>
      <c r="R141" s="6">
        <f>SUMIFS([0]!VOTOS2,[0]!TURNO1,R$31,[0]!CANDIDATO1,$C141,[0]!MUNICIPIO1,$B$137)</f>
        <v>0</v>
      </c>
      <c r="S141" s="6">
        <f>SUMIFS([0]!VOTOS2,[0]!TURNO1,S$31,[0]!CANDIDATO1,$C141,[0]!MUNICIPIO1,$B$137)</f>
        <v>0</v>
      </c>
      <c r="T141" s="6">
        <f>SUMIFS([0]!VOTOS2,[0]!TURNO1,T$31,[0]!CANDIDATO1,$C141,[0]!MUNICIPIO1,$B$137)</f>
        <v>0</v>
      </c>
      <c r="U141" s="6">
        <f>SUMIFS([0]!VOTOS2,[0]!TURNO1,U$31,[0]!CANDIDATO1,$C141,[0]!MUNICIPIO1,$B$137)</f>
        <v>0</v>
      </c>
      <c r="V141" s="6">
        <f>SUMIFS([0]!VOTOS2,[0]!TURNO1,V$31,[0]!CANDIDATO1,$C141,[0]!MUNICIPIO1,$B$137)</f>
        <v>0</v>
      </c>
      <c r="W141" s="6">
        <f>SUMIFS([0]!VOTOS2,[0]!TURNO1,W$31,[0]!CANDIDATO1,$C141,[0]!MUNICIPIO1,$B$137)</f>
        <v>0</v>
      </c>
      <c r="X141" s="24"/>
      <c r="Y141" s="18" t="str">
        <f t="shared" si="306"/>
        <v>LEONARDO ROJAS</v>
      </c>
      <c r="Z141" s="34">
        <f t="shared" si="307"/>
        <v>0</v>
      </c>
      <c r="AA141" s="34">
        <f t="shared" si="308"/>
        <v>0</v>
      </c>
      <c r="AB141" s="34" t="e">
        <f t="shared" ref="AB141:AR141" si="318">IF(SUM(G137:G149)=0,NA(),G141+AA141)</f>
        <v>#N/A</v>
      </c>
      <c r="AC141" s="34" t="e">
        <f t="shared" si="318"/>
        <v>#N/A</v>
      </c>
      <c r="AD141" s="34" t="e">
        <f t="shared" si="318"/>
        <v>#N/A</v>
      </c>
      <c r="AE141" s="34" t="e">
        <f t="shared" si="318"/>
        <v>#N/A</v>
      </c>
      <c r="AF141" s="34" t="e">
        <f t="shared" si="318"/>
        <v>#N/A</v>
      </c>
      <c r="AG141" s="34" t="e">
        <f t="shared" si="318"/>
        <v>#N/A</v>
      </c>
      <c r="AH141" s="34" t="e">
        <f t="shared" si="318"/>
        <v>#N/A</v>
      </c>
      <c r="AI141" s="34" t="e">
        <f t="shared" si="318"/>
        <v>#N/A</v>
      </c>
      <c r="AJ141" s="34" t="e">
        <f t="shared" si="318"/>
        <v>#N/A</v>
      </c>
      <c r="AK141" s="34" t="e">
        <f t="shared" si="318"/>
        <v>#N/A</v>
      </c>
      <c r="AL141" s="34" t="e">
        <f t="shared" si="318"/>
        <v>#N/A</v>
      </c>
      <c r="AM141" s="34" t="e">
        <f t="shared" si="318"/>
        <v>#N/A</v>
      </c>
      <c r="AN141" s="34" t="e">
        <f t="shared" si="318"/>
        <v>#N/A</v>
      </c>
      <c r="AO141" s="34" t="e">
        <f t="shared" si="318"/>
        <v>#N/A</v>
      </c>
      <c r="AP141" s="34" t="e">
        <f t="shared" si="318"/>
        <v>#N/A</v>
      </c>
      <c r="AQ141" s="34" t="e">
        <f t="shared" si="318"/>
        <v>#N/A</v>
      </c>
      <c r="AR141" s="34" t="e">
        <f t="shared" si="318"/>
        <v>#N/A</v>
      </c>
      <c r="AS141" s="27"/>
      <c r="AT141" s="39"/>
      <c r="AU141" s="39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30"/>
    </row>
    <row r="142" spans="1:66" ht="11.25" customHeight="1" x14ac:dyDescent="0.2">
      <c r="A142" s="37"/>
      <c r="B142" s="73"/>
      <c r="C142" s="33">
        <v>6</v>
      </c>
      <c r="D142" s="8" t="s">
        <v>141</v>
      </c>
      <c r="E142" s="16">
        <f t="shared" si="305"/>
        <v>0</v>
      </c>
      <c r="F142" s="6">
        <f>SUMIFS([0]!VOTOS2,[0]!TURNO1,F$31,[0]!CANDIDATO1,$C142,[0]!MUNICIPIO1,$B$137)</f>
        <v>0</v>
      </c>
      <c r="G142" s="6">
        <f>SUMIFS([0]!VOTOS2,[0]!TURNO1,G$31,[0]!CANDIDATO1,$C142,[0]!MUNICIPIO1,$B$137)</f>
        <v>0</v>
      </c>
      <c r="H142" s="6">
        <f>SUMIFS([0]!VOTOS2,[0]!TURNO1,H$31,[0]!CANDIDATO1,$C142,[0]!MUNICIPIO1,$B$137)</f>
        <v>0</v>
      </c>
      <c r="I142" s="6">
        <f>SUMIFS([0]!VOTOS2,[0]!TURNO1,I$31,[0]!CANDIDATO1,$C142,[0]!MUNICIPIO1,$B$137)</f>
        <v>0</v>
      </c>
      <c r="J142" s="6">
        <f>SUMIFS([0]!VOTOS2,[0]!TURNO1,J$31,[0]!CANDIDATO1,$C142,[0]!MUNICIPIO1,$B$137)</f>
        <v>0</v>
      </c>
      <c r="K142" s="6">
        <f>SUMIFS([0]!VOTOS2,[0]!TURNO1,K$31,[0]!CANDIDATO1,$C142,[0]!MUNICIPIO1,$B$137)</f>
        <v>0</v>
      </c>
      <c r="L142" s="6">
        <f>SUMIFS([0]!VOTOS2,[0]!TURNO1,L$31,[0]!CANDIDATO1,$C142,[0]!MUNICIPIO1,$B$137)</f>
        <v>0</v>
      </c>
      <c r="M142" s="6">
        <f>SUMIFS([0]!VOTOS2,[0]!TURNO1,M$31,[0]!CANDIDATO1,$C142,[0]!MUNICIPIO1,$B$137)</f>
        <v>0</v>
      </c>
      <c r="N142" s="6">
        <f>SUMIFS([0]!VOTOS2,[0]!TURNO1,N$31,[0]!CANDIDATO1,$C142,[0]!MUNICIPIO1,$B$137)</f>
        <v>0</v>
      </c>
      <c r="O142" s="6">
        <f>SUMIFS([0]!VOTOS2,[0]!TURNO1,O$31,[0]!CANDIDATO1,$C142,[0]!MUNICIPIO1,$B$137)</f>
        <v>0</v>
      </c>
      <c r="P142" s="6">
        <f>SUMIFS([0]!VOTOS2,[0]!TURNO1,P$31,[0]!CANDIDATO1,$C142,[0]!MUNICIPIO1,$B$137)</f>
        <v>0</v>
      </c>
      <c r="Q142" s="6">
        <f>SUMIFS([0]!VOTOS2,[0]!TURNO1,Q$31,[0]!CANDIDATO1,$C142,[0]!MUNICIPIO1,$B$137)</f>
        <v>0</v>
      </c>
      <c r="R142" s="6">
        <f>SUMIFS([0]!VOTOS2,[0]!TURNO1,R$31,[0]!CANDIDATO1,$C142,[0]!MUNICIPIO1,$B$137)</f>
        <v>0</v>
      </c>
      <c r="S142" s="6">
        <f>SUMIFS([0]!VOTOS2,[0]!TURNO1,S$31,[0]!CANDIDATO1,$C142,[0]!MUNICIPIO1,$B$137)</f>
        <v>0</v>
      </c>
      <c r="T142" s="6">
        <f>SUMIFS([0]!VOTOS2,[0]!TURNO1,T$31,[0]!CANDIDATO1,$C142,[0]!MUNICIPIO1,$B$137)</f>
        <v>0</v>
      </c>
      <c r="U142" s="6">
        <f>SUMIFS([0]!VOTOS2,[0]!TURNO1,U$31,[0]!CANDIDATO1,$C142,[0]!MUNICIPIO1,$B$137)</f>
        <v>0</v>
      </c>
      <c r="V142" s="6">
        <f>SUMIFS([0]!VOTOS2,[0]!TURNO1,V$31,[0]!CANDIDATO1,$C142,[0]!MUNICIPIO1,$B$137)</f>
        <v>0</v>
      </c>
      <c r="W142" s="6">
        <f>SUMIFS([0]!VOTOS2,[0]!TURNO1,W$31,[0]!CANDIDATO1,$C142,[0]!MUNICIPIO1,$B$137)</f>
        <v>0</v>
      </c>
      <c r="X142" s="24"/>
      <c r="Y142" s="18" t="str">
        <f t="shared" si="306"/>
        <v>MARTIN PACHECO</v>
      </c>
      <c r="Z142" s="34">
        <f t="shared" si="307"/>
        <v>0</v>
      </c>
      <c r="AA142" s="34">
        <f t="shared" si="308"/>
        <v>0</v>
      </c>
      <c r="AB142" s="34" t="e">
        <f t="shared" ref="AB142:AR142" si="319">IF(SUM(G137:G149)=0,NA(),G142+AA142)</f>
        <v>#N/A</v>
      </c>
      <c r="AC142" s="34" t="e">
        <f t="shared" si="319"/>
        <v>#N/A</v>
      </c>
      <c r="AD142" s="34" t="e">
        <f t="shared" si="319"/>
        <v>#N/A</v>
      </c>
      <c r="AE142" s="34" t="e">
        <f t="shared" si="319"/>
        <v>#N/A</v>
      </c>
      <c r="AF142" s="34" t="e">
        <f t="shared" si="319"/>
        <v>#N/A</v>
      </c>
      <c r="AG142" s="34" t="e">
        <f t="shared" si="319"/>
        <v>#N/A</v>
      </c>
      <c r="AH142" s="34" t="e">
        <f t="shared" si="319"/>
        <v>#N/A</v>
      </c>
      <c r="AI142" s="34" t="e">
        <f t="shared" si="319"/>
        <v>#N/A</v>
      </c>
      <c r="AJ142" s="34" t="e">
        <f t="shared" si="319"/>
        <v>#N/A</v>
      </c>
      <c r="AK142" s="34" t="e">
        <f t="shared" si="319"/>
        <v>#N/A</v>
      </c>
      <c r="AL142" s="34" t="e">
        <f t="shared" si="319"/>
        <v>#N/A</v>
      </c>
      <c r="AM142" s="34" t="e">
        <f t="shared" si="319"/>
        <v>#N/A</v>
      </c>
      <c r="AN142" s="34" t="e">
        <f t="shared" si="319"/>
        <v>#N/A</v>
      </c>
      <c r="AO142" s="34" t="e">
        <f t="shared" si="319"/>
        <v>#N/A</v>
      </c>
      <c r="AP142" s="34" t="e">
        <f t="shared" si="319"/>
        <v>#N/A</v>
      </c>
      <c r="AQ142" s="34" t="e">
        <f t="shared" si="319"/>
        <v>#N/A</v>
      </c>
      <c r="AR142" s="34" t="e">
        <f t="shared" si="319"/>
        <v>#N/A</v>
      </c>
      <c r="AS142" s="27"/>
      <c r="AT142" s="39"/>
      <c r="AU142" s="39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30"/>
    </row>
    <row r="143" spans="1:66" ht="11.25" customHeight="1" x14ac:dyDescent="0.2">
      <c r="A143" s="37"/>
      <c r="B143" s="73"/>
      <c r="C143" s="56">
        <v>7</v>
      </c>
      <c r="D143" s="8" t="s">
        <v>142</v>
      </c>
      <c r="E143" s="16">
        <f t="shared" si="305"/>
        <v>0</v>
      </c>
      <c r="F143" s="6">
        <f>SUMIFS([0]!VOTOS2,[0]!TURNO1,F$31,[0]!CANDIDATO1,$C143,[0]!MUNICIPIO1,$B$137)</f>
        <v>0</v>
      </c>
      <c r="G143" s="6">
        <f>SUMIFS([0]!VOTOS2,[0]!TURNO1,G$31,[0]!CANDIDATO1,$C143,[0]!MUNICIPIO1,$B$137)</f>
        <v>0</v>
      </c>
      <c r="H143" s="6">
        <f>SUMIFS([0]!VOTOS2,[0]!TURNO1,H$31,[0]!CANDIDATO1,$C143,[0]!MUNICIPIO1,$B$137)</f>
        <v>0</v>
      </c>
      <c r="I143" s="6">
        <f>SUMIFS([0]!VOTOS2,[0]!TURNO1,I$31,[0]!CANDIDATO1,$C143,[0]!MUNICIPIO1,$B$137)</f>
        <v>0</v>
      </c>
      <c r="J143" s="6">
        <f>SUMIFS([0]!VOTOS2,[0]!TURNO1,J$31,[0]!CANDIDATO1,$C143,[0]!MUNICIPIO1,$B$137)</f>
        <v>0</v>
      </c>
      <c r="K143" s="6">
        <f>SUMIFS([0]!VOTOS2,[0]!TURNO1,K$31,[0]!CANDIDATO1,$C143,[0]!MUNICIPIO1,$B$137)</f>
        <v>0</v>
      </c>
      <c r="L143" s="6">
        <f>SUMIFS([0]!VOTOS2,[0]!TURNO1,L$31,[0]!CANDIDATO1,$C143,[0]!MUNICIPIO1,$B$137)</f>
        <v>0</v>
      </c>
      <c r="M143" s="6">
        <f>SUMIFS([0]!VOTOS2,[0]!TURNO1,M$31,[0]!CANDIDATO1,$C143,[0]!MUNICIPIO1,$B$137)</f>
        <v>0</v>
      </c>
      <c r="N143" s="6">
        <f>SUMIFS([0]!VOTOS2,[0]!TURNO1,N$31,[0]!CANDIDATO1,$C143,[0]!MUNICIPIO1,$B$137)</f>
        <v>0</v>
      </c>
      <c r="O143" s="6">
        <f>SUMIFS([0]!VOTOS2,[0]!TURNO1,O$31,[0]!CANDIDATO1,$C143,[0]!MUNICIPIO1,$B$137)</f>
        <v>0</v>
      </c>
      <c r="P143" s="6">
        <f>SUMIFS([0]!VOTOS2,[0]!TURNO1,P$31,[0]!CANDIDATO1,$C143,[0]!MUNICIPIO1,$B$137)</f>
        <v>0</v>
      </c>
      <c r="Q143" s="6">
        <f>SUMIFS([0]!VOTOS2,[0]!TURNO1,Q$31,[0]!CANDIDATO1,$C143,[0]!MUNICIPIO1,$B$137)</f>
        <v>0</v>
      </c>
      <c r="R143" s="6">
        <f>SUMIFS([0]!VOTOS2,[0]!TURNO1,R$31,[0]!CANDIDATO1,$C143,[0]!MUNICIPIO1,$B$137)</f>
        <v>0</v>
      </c>
      <c r="S143" s="6">
        <f>SUMIFS([0]!VOTOS2,[0]!TURNO1,S$31,[0]!CANDIDATO1,$C143,[0]!MUNICIPIO1,$B$137)</f>
        <v>0</v>
      </c>
      <c r="T143" s="6">
        <f>SUMIFS([0]!VOTOS2,[0]!TURNO1,T$31,[0]!CANDIDATO1,$C143,[0]!MUNICIPIO1,$B$137)</f>
        <v>0</v>
      </c>
      <c r="U143" s="6">
        <f>SUMIFS([0]!VOTOS2,[0]!TURNO1,U$31,[0]!CANDIDATO1,$C143,[0]!MUNICIPIO1,$B$137)</f>
        <v>0</v>
      </c>
      <c r="V143" s="6">
        <f>SUMIFS([0]!VOTOS2,[0]!TURNO1,V$31,[0]!CANDIDATO1,$C143,[0]!MUNICIPIO1,$B$137)</f>
        <v>0</v>
      </c>
      <c r="W143" s="6">
        <f>SUMIFS([0]!VOTOS2,[0]!TURNO1,W$31,[0]!CANDIDATO1,$C143,[0]!MUNICIPIO1,$B$137)</f>
        <v>0</v>
      </c>
      <c r="X143" s="24"/>
      <c r="Y143" s="18" t="str">
        <f t="shared" si="306"/>
        <v>CARLOS AMAYA</v>
      </c>
      <c r="Z143" s="34">
        <f t="shared" si="307"/>
        <v>0</v>
      </c>
      <c r="AA143" s="34">
        <f t="shared" si="308"/>
        <v>0</v>
      </c>
      <c r="AB143" s="34" t="e">
        <f t="shared" ref="AB143:AR143" si="320">IF(SUM(G137:G149)=0,NA(),G143+AA143)</f>
        <v>#N/A</v>
      </c>
      <c r="AC143" s="34" t="e">
        <f t="shared" si="320"/>
        <v>#N/A</v>
      </c>
      <c r="AD143" s="34" t="e">
        <f t="shared" si="320"/>
        <v>#N/A</v>
      </c>
      <c r="AE143" s="34" t="e">
        <f t="shared" si="320"/>
        <v>#N/A</v>
      </c>
      <c r="AF143" s="34" t="e">
        <f t="shared" si="320"/>
        <v>#N/A</v>
      </c>
      <c r="AG143" s="34" t="e">
        <f t="shared" si="320"/>
        <v>#N/A</v>
      </c>
      <c r="AH143" s="34" t="e">
        <f t="shared" si="320"/>
        <v>#N/A</v>
      </c>
      <c r="AI143" s="34" t="e">
        <f t="shared" si="320"/>
        <v>#N/A</v>
      </c>
      <c r="AJ143" s="34" t="e">
        <f t="shared" si="320"/>
        <v>#N/A</v>
      </c>
      <c r="AK143" s="34" t="e">
        <f t="shared" si="320"/>
        <v>#N/A</v>
      </c>
      <c r="AL143" s="34" t="e">
        <f t="shared" si="320"/>
        <v>#N/A</v>
      </c>
      <c r="AM143" s="34" t="e">
        <f t="shared" si="320"/>
        <v>#N/A</v>
      </c>
      <c r="AN143" s="34" t="e">
        <f t="shared" si="320"/>
        <v>#N/A</v>
      </c>
      <c r="AO143" s="34" t="e">
        <f t="shared" si="320"/>
        <v>#N/A</v>
      </c>
      <c r="AP143" s="34" t="e">
        <f t="shared" si="320"/>
        <v>#N/A</v>
      </c>
      <c r="AQ143" s="34" t="e">
        <f t="shared" si="320"/>
        <v>#N/A</v>
      </c>
      <c r="AR143" s="34" t="e">
        <f t="shared" si="320"/>
        <v>#N/A</v>
      </c>
      <c r="AS143" s="27"/>
      <c r="AT143" s="39"/>
      <c r="AU143" s="39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30"/>
    </row>
    <row r="144" spans="1:66" ht="11.25" customHeight="1" x14ac:dyDescent="0.2">
      <c r="A144" s="37"/>
      <c r="B144" s="73"/>
      <c r="C144" s="33">
        <v>8</v>
      </c>
      <c r="D144" s="8" t="s">
        <v>143</v>
      </c>
      <c r="E144" s="16">
        <f t="shared" si="305"/>
        <v>0</v>
      </c>
      <c r="F144" s="6">
        <f>SUMIFS([0]!VOTOS2,[0]!TURNO1,F$31,[0]!CANDIDATO1,$C144,[0]!MUNICIPIO1,$B$137)</f>
        <v>0</v>
      </c>
      <c r="G144" s="6">
        <f>SUMIFS([0]!VOTOS2,[0]!TURNO1,G$31,[0]!CANDIDATO1,$C144,[0]!MUNICIPIO1,$B$137)</f>
        <v>0</v>
      </c>
      <c r="H144" s="6">
        <f>SUMIFS([0]!VOTOS2,[0]!TURNO1,H$31,[0]!CANDIDATO1,$C144,[0]!MUNICIPIO1,$B$137)</f>
        <v>0</v>
      </c>
      <c r="I144" s="6">
        <f>SUMIFS([0]!VOTOS2,[0]!TURNO1,I$31,[0]!CANDIDATO1,$C144,[0]!MUNICIPIO1,$B$137)</f>
        <v>0</v>
      </c>
      <c r="J144" s="6">
        <f>SUMIFS([0]!VOTOS2,[0]!TURNO1,J$31,[0]!CANDIDATO1,$C144,[0]!MUNICIPIO1,$B$137)</f>
        <v>0</v>
      </c>
      <c r="K144" s="6">
        <f>SUMIFS([0]!VOTOS2,[0]!TURNO1,K$31,[0]!CANDIDATO1,$C144,[0]!MUNICIPIO1,$B$137)</f>
        <v>0</v>
      </c>
      <c r="L144" s="6">
        <f>SUMIFS([0]!VOTOS2,[0]!TURNO1,L$31,[0]!CANDIDATO1,$C144,[0]!MUNICIPIO1,$B$137)</f>
        <v>0</v>
      </c>
      <c r="M144" s="6">
        <f>SUMIFS([0]!VOTOS2,[0]!TURNO1,M$31,[0]!CANDIDATO1,$C144,[0]!MUNICIPIO1,$B$137)</f>
        <v>0</v>
      </c>
      <c r="N144" s="6">
        <f>SUMIFS([0]!VOTOS2,[0]!TURNO1,N$31,[0]!CANDIDATO1,$C144,[0]!MUNICIPIO1,$B$137)</f>
        <v>0</v>
      </c>
      <c r="O144" s="6">
        <f>SUMIFS([0]!VOTOS2,[0]!TURNO1,O$31,[0]!CANDIDATO1,$C144,[0]!MUNICIPIO1,$B$137)</f>
        <v>0</v>
      </c>
      <c r="P144" s="6">
        <f>SUMIFS([0]!VOTOS2,[0]!TURNO1,P$31,[0]!CANDIDATO1,$C144,[0]!MUNICIPIO1,$B$137)</f>
        <v>0</v>
      </c>
      <c r="Q144" s="6">
        <f>SUMIFS([0]!VOTOS2,[0]!TURNO1,Q$31,[0]!CANDIDATO1,$C144,[0]!MUNICIPIO1,$B$137)</f>
        <v>0</v>
      </c>
      <c r="R144" s="6">
        <f>SUMIFS([0]!VOTOS2,[0]!TURNO1,R$31,[0]!CANDIDATO1,$C144,[0]!MUNICIPIO1,$B$137)</f>
        <v>0</v>
      </c>
      <c r="S144" s="6">
        <f>SUMIFS([0]!VOTOS2,[0]!TURNO1,S$31,[0]!CANDIDATO1,$C144,[0]!MUNICIPIO1,$B$137)</f>
        <v>0</v>
      </c>
      <c r="T144" s="6">
        <f>SUMIFS([0]!VOTOS2,[0]!TURNO1,T$31,[0]!CANDIDATO1,$C144,[0]!MUNICIPIO1,$B$137)</f>
        <v>0</v>
      </c>
      <c r="U144" s="6">
        <f>SUMIFS([0]!VOTOS2,[0]!TURNO1,U$31,[0]!CANDIDATO1,$C144,[0]!MUNICIPIO1,$B$137)</f>
        <v>0</v>
      </c>
      <c r="V144" s="6">
        <f>SUMIFS([0]!VOTOS2,[0]!TURNO1,V$31,[0]!CANDIDATO1,$C144,[0]!MUNICIPIO1,$B$137)</f>
        <v>0</v>
      </c>
      <c r="W144" s="6">
        <f>SUMIFS([0]!VOTOS2,[0]!TURNO1,W$31,[0]!CANDIDATO1,$C144,[0]!MUNICIPIO1,$B$137)</f>
        <v>0</v>
      </c>
      <c r="X144" s="24"/>
      <c r="Y144" s="18" t="str">
        <f t="shared" si="306"/>
        <v>MARIA CARRILLO</v>
      </c>
      <c r="Z144" s="34">
        <f t="shared" si="307"/>
        <v>0</v>
      </c>
      <c r="AA144" s="34">
        <f t="shared" si="308"/>
        <v>0</v>
      </c>
      <c r="AB144" s="34" t="e">
        <f t="shared" ref="AB144:AR144" si="321">IF(SUM(G137:G149)=0,NA(),G144+AA144)</f>
        <v>#N/A</v>
      </c>
      <c r="AC144" s="34" t="e">
        <f t="shared" si="321"/>
        <v>#N/A</v>
      </c>
      <c r="AD144" s="34" t="e">
        <f t="shared" si="321"/>
        <v>#N/A</v>
      </c>
      <c r="AE144" s="34" t="e">
        <f t="shared" si="321"/>
        <v>#N/A</v>
      </c>
      <c r="AF144" s="34" t="e">
        <f t="shared" si="321"/>
        <v>#N/A</v>
      </c>
      <c r="AG144" s="34" t="e">
        <f t="shared" si="321"/>
        <v>#N/A</v>
      </c>
      <c r="AH144" s="34" t="e">
        <f t="shared" si="321"/>
        <v>#N/A</v>
      </c>
      <c r="AI144" s="34" t="e">
        <f t="shared" si="321"/>
        <v>#N/A</v>
      </c>
      <c r="AJ144" s="34" t="e">
        <f t="shared" si="321"/>
        <v>#N/A</v>
      </c>
      <c r="AK144" s="34" t="e">
        <f t="shared" si="321"/>
        <v>#N/A</v>
      </c>
      <c r="AL144" s="34" t="e">
        <f t="shared" si="321"/>
        <v>#N/A</v>
      </c>
      <c r="AM144" s="34" t="e">
        <f t="shared" si="321"/>
        <v>#N/A</v>
      </c>
      <c r="AN144" s="34" t="e">
        <f t="shared" si="321"/>
        <v>#N/A</v>
      </c>
      <c r="AO144" s="34" t="e">
        <f t="shared" si="321"/>
        <v>#N/A</v>
      </c>
      <c r="AP144" s="34" t="e">
        <f t="shared" si="321"/>
        <v>#N/A</v>
      </c>
      <c r="AQ144" s="34" t="e">
        <f t="shared" si="321"/>
        <v>#N/A</v>
      </c>
      <c r="AR144" s="34" t="e">
        <f t="shared" si="321"/>
        <v>#N/A</v>
      </c>
      <c r="AS144" s="27"/>
      <c r="AT144" s="41"/>
      <c r="AU144" s="41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30"/>
    </row>
    <row r="145" spans="1:66" ht="11.25" customHeight="1" x14ac:dyDescent="0.2">
      <c r="A145" s="42"/>
      <c r="B145" s="74"/>
      <c r="C145" s="33">
        <v>9</v>
      </c>
      <c r="D145" s="8" t="s">
        <v>144</v>
      </c>
      <c r="E145" s="16">
        <f t="shared" si="305"/>
        <v>0</v>
      </c>
      <c r="F145" s="6">
        <f>SUMIFS([0]!VOTOS2,[0]!TURNO1,F$31,[0]!CANDIDATO1,$C145,[0]!MUNICIPIO1,$B$137)</f>
        <v>0</v>
      </c>
      <c r="G145" s="6">
        <f>SUMIFS([0]!VOTOS2,[0]!TURNO1,G$31,[0]!CANDIDATO1,$C145,[0]!MUNICIPIO1,$B$137)</f>
        <v>0</v>
      </c>
      <c r="H145" s="6">
        <f>SUMIFS([0]!VOTOS2,[0]!TURNO1,H$31,[0]!CANDIDATO1,$C145,[0]!MUNICIPIO1,$B$137)</f>
        <v>0</v>
      </c>
      <c r="I145" s="6">
        <f>SUMIFS([0]!VOTOS2,[0]!TURNO1,I$31,[0]!CANDIDATO1,$C145,[0]!MUNICIPIO1,$B$137)</f>
        <v>0</v>
      </c>
      <c r="J145" s="6">
        <f>SUMIFS([0]!VOTOS2,[0]!TURNO1,J$31,[0]!CANDIDATO1,$C145,[0]!MUNICIPIO1,$B$137)</f>
        <v>0</v>
      </c>
      <c r="K145" s="6">
        <f>SUMIFS([0]!VOTOS2,[0]!TURNO1,K$31,[0]!CANDIDATO1,$C145,[0]!MUNICIPIO1,$B$137)</f>
        <v>0</v>
      </c>
      <c r="L145" s="6">
        <f>SUMIFS([0]!VOTOS2,[0]!TURNO1,L$31,[0]!CANDIDATO1,$C145,[0]!MUNICIPIO1,$B$137)</f>
        <v>0</v>
      </c>
      <c r="M145" s="6">
        <f>SUMIFS([0]!VOTOS2,[0]!TURNO1,M$31,[0]!CANDIDATO1,$C145,[0]!MUNICIPIO1,$B$137)</f>
        <v>0</v>
      </c>
      <c r="N145" s="6">
        <f>SUMIFS([0]!VOTOS2,[0]!TURNO1,N$31,[0]!CANDIDATO1,$C145,[0]!MUNICIPIO1,$B$137)</f>
        <v>0</v>
      </c>
      <c r="O145" s="6">
        <f>SUMIFS([0]!VOTOS2,[0]!TURNO1,O$31,[0]!CANDIDATO1,$C145,[0]!MUNICIPIO1,$B$137)</f>
        <v>0</v>
      </c>
      <c r="P145" s="6">
        <f>SUMIFS([0]!VOTOS2,[0]!TURNO1,P$31,[0]!CANDIDATO1,$C145,[0]!MUNICIPIO1,$B$137)</f>
        <v>0</v>
      </c>
      <c r="Q145" s="6">
        <f>SUMIFS([0]!VOTOS2,[0]!TURNO1,Q$31,[0]!CANDIDATO1,$C145,[0]!MUNICIPIO1,$B$137)</f>
        <v>0</v>
      </c>
      <c r="R145" s="6">
        <f>SUMIFS([0]!VOTOS2,[0]!TURNO1,R$31,[0]!CANDIDATO1,$C145,[0]!MUNICIPIO1,$B$137)</f>
        <v>0</v>
      </c>
      <c r="S145" s="6">
        <f>SUMIFS([0]!VOTOS2,[0]!TURNO1,S$31,[0]!CANDIDATO1,$C145,[0]!MUNICIPIO1,$B$137)</f>
        <v>0</v>
      </c>
      <c r="T145" s="6">
        <f>SUMIFS([0]!VOTOS2,[0]!TURNO1,T$31,[0]!CANDIDATO1,$C145,[0]!MUNICIPIO1,$B$137)</f>
        <v>0</v>
      </c>
      <c r="U145" s="6">
        <f>SUMIFS([0]!VOTOS2,[0]!TURNO1,U$31,[0]!CANDIDATO1,$C145,[0]!MUNICIPIO1,$B$137)</f>
        <v>0</v>
      </c>
      <c r="V145" s="6">
        <f>SUMIFS([0]!VOTOS2,[0]!TURNO1,V$31,[0]!CANDIDATO1,$C145,[0]!MUNICIPIO1,$B$137)</f>
        <v>0</v>
      </c>
      <c r="W145" s="6">
        <f>SUMIFS([0]!VOTOS2,[0]!TURNO1,W$31,[0]!CANDIDATO1,$C145,[0]!MUNICIPIO1,$B$137)</f>
        <v>0</v>
      </c>
      <c r="X145" s="24"/>
      <c r="Y145" s="18" t="str">
        <f t="shared" si="306"/>
        <v>OMAR SILVA</v>
      </c>
      <c r="Z145" s="34">
        <f t="shared" si="307"/>
        <v>0</v>
      </c>
      <c r="AA145" s="34">
        <f t="shared" si="308"/>
        <v>0</v>
      </c>
      <c r="AB145" s="34" t="e">
        <f t="shared" ref="AB145:AR145" si="322">IF(SUM(G137:G149)=0,NA(),G145+AA145)</f>
        <v>#N/A</v>
      </c>
      <c r="AC145" s="34" t="e">
        <f t="shared" si="322"/>
        <v>#N/A</v>
      </c>
      <c r="AD145" s="34" t="e">
        <f t="shared" si="322"/>
        <v>#N/A</v>
      </c>
      <c r="AE145" s="34" t="e">
        <f t="shared" si="322"/>
        <v>#N/A</v>
      </c>
      <c r="AF145" s="34" t="e">
        <f t="shared" si="322"/>
        <v>#N/A</v>
      </c>
      <c r="AG145" s="34" t="e">
        <f t="shared" si="322"/>
        <v>#N/A</v>
      </c>
      <c r="AH145" s="34" t="e">
        <f t="shared" si="322"/>
        <v>#N/A</v>
      </c>
      <c r="AI145" s="34" t="e">
        <f t="shared" si="322"/>
        <v>#N/A</v>
      </c>
      <c r="AJ145" s="34" t="e">
        <f t="shared" si="322"/>
        <v>#N/A</v>
      </c>
      <c r="AK145" s="34" t="e">
        <f t="shared" si="322"/>
        <v>#N/A</v>
      </c>
      <c r="AL145" s="34" t="e">
        <f t="shared" si="322"/>
        <v>#N/A</v>
      </c>
      <c r="AM145" s="34" t="e">
        <f t="shared" si="322"/>
        <v>#N/A</v>
      </c>
      <c r="AN145" s="34" t="e">
        <f t="shared" si="322"/>
        <v>#N/A</v>
      </c>
      <c r="AO145" s="34" t="e">
        <f t="shared" si="322"/>
        <v>#N/A</v>
      </c>
      <c r="AP145" s="34" t="e">
        <f t="shared" si="322"/>
        <v>#N/A</v>
      </c>
      <c r="AQ145" s="34" t="e">
        <f t="shared" si="322"/>
        <v>#N/A</v>
      </c>
      <c r="AR145" s="34" t="e">
        <f t="shared" si="322"/>
        <v>#N/A</v>
      </c>
      <c r="AS145" s="27"/>
      <c r="AT145" s="41"/>
      <c r="AU145" s="41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30"/>
    </row>
    <row r="146" spans="1:66" ht="11.25" customHeight="1" x14ac:dyDescent="0.2">
      <c r="A146" s="44"/>
      <c r="B146" s="54"/>
      <c r="C146" s="46">
        <v>10</v>
      </c>
      <c r="D146" s="14" t="s">
        <v>121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24"/>
      <c r="Y146" s="18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27"/>
      <c r="AT146" s="41"/>
      <c r="AU146" s="41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30"/>
    </row>
    <row r="147" spans="1:66" ht="11.25" customHeight="1" x14ac:dyDescent="0.2">
      <c r="A147" s="44"/>
      <c r="B147" s="54"/>
      <c r="C147" s="46">
        <v>11</v>
      </c>
      <c r="D147" s="14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24"/>
      <c r="Y147" s="18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27"/>
      <c r="AT147" s="41"/>
      <c r="AU147" s="41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30"/>
    </row>
    <row r="148" spans="1:66" ht="11.25" customHeight="1" x14ac:dyDescent="0.2">
      <c r="A148" s="44"/>
      <c r="B148" s="54"/>
      <c r="C148" s="46">
        <v>12</v>
      </c>
      <c r="D148" s="14" t="s">
        <v>121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24"/>
      <c r="Y148" s="18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27"/>
      <c r="AT148" s="41"/>
      <c r="AU148" s="41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30"/>
    </row>
    <row r="149" spans="1:66" ht="11.25" customHeight="1" x14ac:dyDescent="0.2">
      <c r="A149" s="44"/>
      <c r="B149" s="54"/>
      <c r="C149" s="46">
        <v>13</v>
      </c>
      <c r="D149" s="14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24"/>
      <c r="Y149" s="18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27"/>
      <c r="AT149" s="41"/>
      <c r="AU149" s="41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30"/>
    </row>
    <row r="150" spans="1:66" ht="11.25" customHeight="1" x14ac:dyDescent="0.2">
      <c r="D150" s="31" t="s">
        <v>76</v>
      </c>
      <c r="X150" s="24"/>
      <c r="Y150" s="19" t="s">
        <v>79</v>
      </c>
      <c r="Z150" s="34">
        <f t="shared" ref="Z150" si="323">SUM(Z139:Z149)</f>
        <v>0</v>
      </c>
      <c r="AA150" s="34">
        <f t="shared" ref="AA150" si="324">SUM(AA139:AA149)</f>
        <v>0</v>
      </c>
      <c r="AB150" s="34" t="e">
        <f t="shared" ref="AB150" si="325">SUM(AB139:AB149)</f>
        <v>#N/A</v>
      </c>
      <c r="AC150" s="34" t="e">
        <f t="shared" ref="AC150" si="326">SUM(AC139:AC149)</f>
        <v>#N/A</v>
      </c>
      <c r="AD150" s="34" t="e">
        <f t="shared" ref="AD150" si="327">SUM(AD139:AD149)</f>
        <v>#N/A</v>
      </c>
      <c r="AE150" s="34" t="e">
        <f t="shared" ref="AE150" si="328">SUM(AE139:AE149)</f>
        <v>#N/A</v>
      </c>
      <c r="AF150" s="34" t="e">
        <f t="shared" ref="AF150" si="329">SUM(AF139:AF149)</f>
        <v>#N/A</v>
      </c>
      <c r="AG150" s="34" t="e">
        <f t="shared" ref="AG150" si="330">SUM(AG139:AG149)</f>
        <v>#N/A</v>
      </c>
      <c r="AH150" s="34" t="e">
        <f t="shared" ref="AH150" si="331">SUM(AH139:AH149)</f>
        <v>#N/A</v>
      </c>
      <c r="AI150" s="34" t="e">
        <f t="shared" ref="AI150" si="332">SUM(AI139:AI149)</f>
        <v>#N/A</v>
      </c>
      <c r="AJ150" s="34" t="e">
        <f t="shared" ref="AJ150" si="333">SUM(AJ139:AJ149)</f>
        <v>#N/A</v>
      </c>
      <c r="AK150" s="34" t="e">
        <f t="shared" ref="AK150" si="334">SUM(AK139:AK149)</f>
        <v>#N/A</v>
      </c>
      <c r="AL150" s="34" t="e">
        <f t="shared" ref="AL150" si="335">SUM(AL139:AL149)</f>
        <v>#N/A</v>
      </c>
      <c r="AM150" s="34" t="e">
        <f t="shared" ref="AM150" si="336">SUM(AM139:AM149)</f>
        <v>#N/A</v>
      </c>
      <c r="AN150" s="34" t="e">
        <f t="shared" ref="AN150" si="337">SUM(AN139:AN149)</f>
        <v>#N/A</v>
      </c>
      <c r="AO150" s="34" t="e">
        <f t="shared" ref="AO150" si="338">SUM(AO139:AO149)</f>
        <v>#N/A</v>
      </c>
      <c r="AP150" s="34" t="e">
        <f t="shared" ref="AP150" si="339">SUM(AP139:AP149)</f>
        <v>#N/A</v>
      </c>
      <c r="AQ150" s="34" t="e">
        <f t="shared" ref="AQ150" si="340">SUM(AQ139:AQ149)</f>
        <v>#N/A</v>
      </c>
      <c r="AR150" s="34" t="e">
        <f t="shared" ref="AR150" si="341">SUM(AR139:AR149)</f>
        <v>#N/A</v>
      </c>
      <c r="AS150" s="27"/>
      <c r="AT150" s="41"/>
      <c r="AU150" s="41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30"/>
    </row>
    <row r="151" spans="1:66" ht="11.25" customHeight="1" x14ac:dyDescent="0.2">
      <c r="A151" s="75" t="s">
        <v>63</v>
      </c>
      <c r="B151" s="76"/>
      <c r="C151" s="47"/>
      <c r="D151" s="48" t="s">
        <v>75</v>
      </c>
      <c r="E151" s="49" t="s">
        <v>70</v>
      </c>
      <c r="F151" s="49">
        <v>0</v>
      </c>
      <c r="G151" s="49">
        <v>1</v>
      </c>
      <c r="H151" s="49">
        <v>2</v>
      </c>
      <c r="I151" s="49">
        <v>3</v>
      </c>
      <c r="J151" s="49">
        <v>4</v>
      </c>
      <c r="K151" s="49">
        <v>5</v>
      </c>
      <c r="L151" s="49">
        <v>6</v>
      </c>
      <c r="M151" s="49">
        <v>7</v>
      </c>
      <c r="N151" s="49">
        <v>8</v>
      </c>
      <c r="O151" s="49">
        <v>9</v>
      </c>
      <c r="P151" s="49">
        <v>10</v>
      </c>
      <c r="Q151" s="49">
        <v>11</v>
      </c>
      <c r="R151" s="49">
        <v>12</v>
      </c>
      <c r="S151" s="49">
        <v>13</v>
      </c>
      <c r="T151" s="49">
        <v>14</v>
      </c>
      <c r="U151" s="49">
        <v>15</v>
      </c>
      <c r="V151" s="49">
        <v>16</v>
      </c>
      <c r="W151" s="23">
        <v>17</v>
      </c>
      <c r="X151" s="24"/>
      <c r="Y151" s="17"/>
      <c r="Z151" s="25" t="s">
        <v>64</v>
      </c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7"/>
      <c r="AT151" s="28"/>
      <c r="AU151" s="28" t="s">
        <v>64</v>
      </c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30"/>
    </row>
    <row r="152" spans="1:66" ht="11.25" customHeight="1" x14ac:dyDescent="0.2">
      <c r="A152" s="32"/>
      <c r="B152" s="72">
        <v>11</v>
      </c>
      <c r="C152" s="56">
        <v>1</v>
      </c>
      <c r="D152" s="12" t="s">
        <v>145</v>
      </c>
      <c r="E152" s="16">
        <f t="shared" ref="E152:E161" si="342">SUM(F152:W152)</f>
        <v>10</v>
      </c>
      <c r="F152" s="6">
        <f>SUMIFS([0]!VOTOS2,[0]!TURNO1,F$31,[0]!CANDIDATO1,$C152,[0]!MUNICIPIO1,$B$152)</f>
        <v>10</v>
      </c>
      <c r="G152" s="6">
        <f>SUMIFS([0]!VOTOS2,[0]!TURNO1,G$31,[0]!CANDIDATO1,$C152,[0]!MUNICIPIO1,$B$152)</f>
        <v>0</v>
      </c>
      <c r="H152" s="6">
        <f>SUMIFS([0]!VOTOS2,[0]!TURNO1,H$31,[0]!CANDIDATO1,$C152,[0]!MUNICIPIO1,$B$152)</f>
        <v>0</v>
      </c>
      <c r="I152" s="6">
        <f>SUMIFS([0]!VOTOS2,[0]!TURNO1,I$31,[0]!CANDIDATO1,$C152,[0]!MUNICIPIO1,$B$152)</f>
        <v>0</v>
      </c>
      <c r="J152" s="6">
        <f>SUMIFS([0]!VOTOS2,[0]!TURNO1,J$31,[0]!CANDIDATO1,$C152,[0]!MUNICIPIO1,$B$152)</f>
        <v>0</v>
      </c>
      <c r="K152" s="6">
        <f>SUMIFS([0]!VOTOS2,[0]!TURNO1,K$31,[0]!CANDIDATO1,$C152,[0]!MUNICIPIO1,$B$152)</f>
        <v>0</v>
      </c>
      <c r="L152" s="6">
        <f>SUMIFS([0]!VOTOS2,[0]!TURNO1,L$31,[0]!CANDIDATO1,$C152,[0]!MUNICIPIO1,$B$152)</f>
        <v>0</v>
      </c>
      <c r="M152" s="6">
        <f>SUMIFS([0]!VOTOS2,[0]!TURNO1,M$31,[0]!CANDIDATO1,$C152,[0]!MUNICIPIO1,$B$152)</f>
        <v>0</v>
      </c>
      <c r="N152" s="6">
        <f>SUMIFS([0]!VOTOS2,[0]!TURNO1,N$31,[0]!CANDIDATO1,$C152,[0]!MUNICIPIO1,$B$152)</f>
        <v>0</v>
      </c>
      <c r="O152" s="6">
        <f>SUMIFS([0]!VOTOS2,[0]!TURNO1,O$31,[0]!CANDIDATO1,$C152,[0]!MUNICIPIO1,$B$152)</f>
        <v>0</v>
      </c>
      <c r="P152" s="6">
        <f>SUMIFS([0]!VOTOS2,[0]!TURNO1,P$31,[0]!CANDIDATO1,$C152,[0]!MUNICIPIO1,$B$152)</f>
        <v>0</v>
      </c>
      <c r="Q152" s="6">
        <f>SUMIFS([0]!VOTOS2,[0]!TURNO1,Q$31,[0]!CANDIDATO1,$C152,[0]!MUNICIPIO1,$B$152)</f>
        <v>0</v>
      </c>
      <c r="R152" s="6">
        <f>SUMIFS([0]!VOTOS2,[0]!TURNO1,R$31,[0]!CANDIDATO1,$C152,[0]!MUNICIPIO1,$B$152)</f>
        <v>0</v>
      </c>
      <c r="S152" s="6">
        <f>SUMIFS([0]!VOTOS2,[0]!TURNO1,S$31,[0]!CANDIDATO1,$C152,[0]!MUNICIPIO1,$B$152)</f>
        <v>0</v>
      </c>
      <c r="T152" s="6">
        <f>SUMIFS([0]!VOTOS2,[0]!TURNO1,T$31,[0]!CANDIDATO1,$C152,[0]!MUNICIPIO1,$B$152)</f>
        <v>0</v>
      </c>
      <c r="U152" s="6">
        <f>SUMIFS([0]!VOTOS2,[0]!TURNO1,U$31,[0]!CANDIDATO1,$C152,[0]!MUNICIPIO1,$B$152)</f>
        <v>0</v>
      </c>
      <c r="V152" s="6">
        <f>SUMIFS([0]!VOTOS2,[0]!TURNO1,V$31,[0]!CANDIDATO1,$C152,[0]!MUNICIPIO1,$B$152)</f>
        <v>0</v>
      </c>
      <c r="W152" s="6">
        <f>SUMIFS([0]!VOTOS2,[0]!TURNO1,W$31,[0]!CANDIDATO1,$C152,[0]!MUNICIPIO1,$B$152)</f>
        <v>0</v>
      </c>
      <c r="X152" s="24"/>
      <c r="Y152" s="18" t="str">
        <f t="shared" ref="Y152:Y161" si="343">D152</f>
        <v>ALBERTO MORA</v>
      </c>
      <c r="Z152" s="34">
        <f t="shared" ref="Z152:Z161" si="344">E152</f>
        <v>10</v>
      </c>
      <c r="AA152" s="34">
        <f t="shared" ref="AA152:AA161" si="345">F152</f>
        <v>10</v>
      </c>
      <c r="AB152" s="34" t="e">
        <f t="shared" ref="AB152:AR152" si="346">IF(SUM(G152:G164)=0,NA(),G152+AA152)</f>
        <v>#N/A</v>
      </c>
      <c r="AC152" s="34" t="e">
        <f t="shared" si="346"/>
        <v>#N/A</v>
      </c>
      <c r="AD152" s="34" t="e">
        <f t="shared" si="346"/>
        <v>#N/A</v>
      </c>
      <c r="AE152" s="34" t="e">
        <f t="shared" si="346"/>
        <v>#N/A</v>
      </c>
      <c r="AF152" s="34" t="e">
        <f t="shared" si="346"/>
        <v>#N/A</v>
      </c>
      <c r="AG152" s="34" t="e">
        <f t="shared" si="346"/>
        <v>#N/A</v>
      </c>
      <c r="AH152" s="34" t="e">
        <f t="shared" si="346"/>
        <v>#N/A</v>
      </c>
      <c r="AI152" s="34" t="e">
        <f t="shared" si="346"/>
        <v>#N/A</v>
      </c>
      <c r="AJ152" s="34" t="e">
        <f t="shared" si="346"/>
        <v>#N/A</v>
      </c>
      <c r="AK152" s="34" t="e">
        <f t="shared" si="346"/>
        <v>#N/A</v>
      </c>
      <c r="AL152" s="34" t="e">
        <f t="shared" si="346"/>
        <v>#N/A</v>
      </c>
      <c r="AM152" s="34" t="e">
        <f t="shared" si="346"/>
        <v>#N/A</v>
      </c>
      <c r="AN152" s="34" t="e">
        <f t="shared" si="346"/>
        <v>#N/A</v>
      </c>
      <c r="AO152" s="34" t="e">
        <f t="shared" si="346"/>
        <v>#N/A</v>
      </c>
      <c r="AP152" s="34" t="e">
        <f t="shared" si="346"/>
        <v>#N/A</v>
      </c>
      <c r="AQ152" s="34" t="e">
        <f t="shared" si="346"/>
        <v>#N/A</v>
      </c>
      <c r="AR152" s="34" t="e">
        <f t="shared" si="346"/>
        <v>#N/A</v>
      </c>
      <c r="AS152" s="27"/>
      <c r="AT152" s="35" t="str">
        <f t="shared" ref="AT152:AT153" si="347">Y152</f>
        <v>ALBERTO MORA</v>
      </c>
      <c r="AU152" s="36">
        <f t="shared" ref="AU152:BM152" si="348">Z152/(Z152+Z153+Z165)</f>
        <v>0.5</v>
      </c>
      <c r="AV152" s="36">
        <f t="shared" si="348"/>
        <v>0.5</v>
      </c>
      <c r="AW152" s="36" t="e">
        <f t="shared" si="348"/>
        <v>#N/A</v>
      </c>
      <c r="AX152" s="36" t="e">
        <f t="shared" si="348"/>
        <v>#N/A</v>
      </c>
      <c r="AY152" s="36" t="e">
        <f t="shared" si="348"/>
        <v>#N/A</v>
      </c>
      <c r="AZ152" s="36" t="e">
        <f t="shared" si="348"/>
        <v>#N/A</v>
      </c>
      <c r="BA152" s="36" t="e">
        <f t="shared" si="348"/>
        <v>#N/A</v>
      </c>
      <c r="BB152" s="36" t="e">
        <f t="shared" si="348"/>
        <v>#N/A</v>
      </c>
      <c r="BC152" s="36" t="e">
        <f t="shared" si="348"/>
        <v>#N/A</v>
      </c>
      <c r="BD152" s="36" t="e">
        <f t="shared" si="348"/>
        <v>#N/A</v>
      </c>
      <c r="BE152" s="36" t="e">
        <f t="shared" si="348"/>
        <v>#N/A</v>
      </c>
      <c r="BF152" s="36" t="e">
        <f t="shared" si="348"/>
        <v>#N/A</v>
      </c>
      <c r="BG152" s="36" t="e">
        <f t="shared" si="348"/>
        <v>#N/A</v>
      </c>
      <c r="BH152" s="36" t="e">
        <f t="shared" si="348"/>
        <v>#N/A</v>
      </c>
      <c r="BI152" s="36" t="e">
        <f t="shared" si="348"/>
        <v>#N/A</v>
      </c>
      <c r="BJ152" s="36" t="e">
        <f t="shared" si="348"/>
        <v>#N/A</v>
      </c>
      <c r="BK152" s="36" t="e">
        <f t="shared" si="348"/>
        <v>#N/A</v>
      </c>
      <c r="BL152" s="36" t="e">
        <f t="shared" si="348"/>
        <v>#N/A</v>
      </c>
      <c r="BM152" s="36" t="e">
        <f t="shared" si="348"/>
        <v>#N/A</v>
      </c>
      <c r="BN152" s="30"/>
    </row>
    <row r="153" spans="1:66" ht="11.25" customHeight="1" x14ac:dyDescent="0.2">
      <c r="A153" s="37"/>
      <c r="B153" s="73"/>
      <c r="C153" s="33">
        <v>2</v>
      </c>
      <c r="D153" s="13" t="s">
        <v>146</v>
      </c>
      <c r="E153" s="16">
        <f t="shared" si="342"/>
        <v>10</v>
      </c>
      <c r="F153" s="6">
        <f>SUMIFS([0]!VOTOS2,[0]!TURNO1,F$31,[0]!CANDIDATO1,$C153,[0]!MUNICIPIO1,$B$152)</f>
        <v>10</v>
      </c>
      <c r="G153" s="6">
        <f>SUMIFS([0]!VOTOS2,[0]!TURNO1,G$31,[0]!CANDIDATO1,$C153,[0]!MUNICIPIO1,$B$152)</f>
        <v>0</v>
      </c>
      <c r="H153" s="6">
        <f>SUMIFS([0]!VOTOS2,[0]!TURNO1,H$31,[0]!CANDIDATO1,$C153,[0]!MUNICIPIO1,$B$152)</f>
        <v>0</v>
      </c>
      <c r="I153" s="6">
        <f>SUMIFS([0]!VOTOS2,[0]!TURNO1,I$31,[0]!CANDIDATO1,$C153,[0]!MUNICIPIO1,$B$152)</f>
        <v>0</v>
      </c>
      <c r="J153" s="6">
        <f>SUMIFS([0]!VOTOS2,[0]!TURNO1,J$31,[0]!CANDIDATO1,$C153,[0]!MUNICIPIO1,$B$152)</f>
        <v>0</v>
      </c>
      <c r="K153" s="6">
        <f>SUMIFS([0]!VOTOS2,[0]!TURNO1,K$31,[0]!CANDIDATO1,$C153,[0]!MUNICIPIO1,$B$152)</f>
        <v>0</v>
      </c>
      <c r="L153" s="6">
        <f>SUMIFS([0]!VOTOS2,[0]!TURNO1,L$31,[0]!CANDIDATO1,$C153,[0]!MUNICIPIO1,$B$152)</f>
        <v>0</v>
      </c>
      <c r="M153" s="6">
        <f>SUMIFS([0]!VOTOS2,[0]!TURNO1,M$31,[0]!CANDIDATO1,$C153,[0]!MUNICIPIO1,$B$152)</f>
        <v>0</v>
      </c>
      <c r="N153" s="6">
        <f>SUMIFS([0]!VOTOS2,[0]!TURNO1,N$31,[0]!CANDIDATO1,$C153,[0]!MUNICIPIO1,$B$152)</f>
        <v>0</v>
      </c>
      <c r="O153" s="6">
        <f>SUMIFS([0]!VOTOS2,[0]!TURNO1,O$31,[0]!CANDIDATO1,$C153,[0]!MUNICIPIO1,$B$152)</f>
        <v>0</v>
      </c>
      <c r="P153" s="6">
        <f>SUMIFS([0]!VOTOS2,[0]!TURNO1,P$31,[0]!CANDIDATO1,$C153,[0]!MUNICIPIO1,$B$152)</f>
        <v>0</v>
      </c>
      <c r="Q153" s="6">
        <f>SUMIFS([0]!VOTOS2,[0]!TURNO1,Q$31,[0]!CANDIDATO1,$C153,[0]!MUNICIPIO1,$B$152)</f>
        <v>0</v>
      </c>
      <c r="R153" s="6">
        <f>SUMIFS([0]!VOTOS2,[0]!TURNO1,R$31,[0]!CANDIDATO1,$C153,[0]!MUNICIPIO1,$B$152)</f>
        <v>0</v>
      </c>
      <c r="S153" s="6">
        <f>SUMIFS([0]!VOTOS2,[0]!TURNO1,S$31,[0]!CANDIDATO1,$C153,[0]!MUNICIPIO1,$B$152)</f>
        <v>0</v>
      </c>
      <c r="T153" s="6">
        <f>SUMIFS([0]!VOTOS2,[0]!TURNO1,T$31,[0]!CANDIDATO1,$C153,[0]!MUNICIPIO1,$B$152)</f>
        <v>0</v>
      </c>
      <c r="U153" s="6">
        <f>SUMIFS([0]!VOTOS2,[0]!TURNO1,U$31,[0]!CANDIDATO1,$C153,[0]!MUNICIPIO1,$B$152)</f>
        <v>0</v>
      </c>
      <c r="V153" s="6">
        <f>SUMIFS([0]!VOTOS2,[0]!TURNO1,V$31,[0]!CANDIDATO1,$C153,[0]!MUNICIPIO1,$B$152)</f>
        <v>0</v>
      </c>
      <c r="W153" s="6">
        <f>SUMIFS([0]!VOTOS2,[0]!TURNO1,W$31,[0]!CANDIDATO1,$C153,[0]!MUNICIPIO1,$B$152)</f>
        <v>0</v>
      </c>
      <c r="X153" s="24"/>
      <c r="Y153" s="18" t="str">
        <f t="shared" si="343"/>
        <v>JESUS CASTILLO</v>
      </c>
      <c r="Z153" s="34">
        <f t="shared" si="344"/>
        <v>10</v>
      </c>
      <c r="AA153" s="34">
        <f t="shared" si="345"/>
        <v>10</v>
      </c>
      <c r="AB153" s="34" t="e">
        <f t="shared" ref="AB153:AR153" si="349">IF(SUM(G152:G164)=0,NA(),G153+AA153)</f>
        <v>#N/A</v>
      </c>
      <c r="AC153" s="34" t="e">
        <f t="shared" si="349"/>
        <v>#N/A</v>
      </c>
      <c r="AD153" s="34" t="e">
        <f t="shared" si="349"/>
        <v>#N/A</v>
      </c>
      <c r="AE153" s="34" t="e">
        <f t="shared" si="349"/>
        <v>#N/A</v>
      </c>
      <c r="AF153" s="34" t="e">
        <f t="shared" si="349"/>
        <v>#N/A</v>
      </c>
      <c r="AG153" s="34" t="e">
        <f t="shared" si="349"/>
        <v>#N/A</v>
      </c>
      <c r="AH153" s="34" t="e">
        <f t="shared" si="349"/>
        <v>#N/A</v>
      </c>
      <c r="AI153" s="34" t="e">
        <f t="shared" si="349"/>
        <v>#N/A</v>
      </c>
      <c r="AJ153" s="34" t="e">
        <f t="shared" si="349"/>
        <v>#N/A</v>
      </c>
      <c r="AK153" s="34" t="e">
        <f t="shared" si="349"/>
        <v>#N/A</v>
      </c>
      <c r="AL153" s="34" t="e">
        <f t="shared" si="349"/>
        <v>#N/A</v>
      </c>
      <c r="AM153" s="34" t="e">
        <f t="shared" si="349"/>
        <v>#N/A</v>
      </c>
      <c r="AN153" s="34" t="e">
        <f t="shared" si="349"/>
        <v>#N/A</v>
      </c>
      <c r="AO153" s="34" t="e">
        <f t="shared" si="349"/>
        <v>#N/A</v>
      </c>
      <c r="AP153" s="34" t="e">
        <f t="shared" si="349"/>
        <v>#N/A</v>
      </c>
      <c r="AQ153" s="34" t="e">
        <f t="shared" si="349"/>
        <v>#N/A</v>
      </c>
      <c r="AR153" s="34" t="e">
        <f t="shared" si="349"/>
        <v>#N/A</v>
      </c>
      <c r="AS153" s="27"/>
      <c r="AT153" s="35" t="str">
        <f t="shared" si="347"/>
        <v>JESUS CASTILLO</v>
      </c>
      <c r="AU153" s="36">
        <f t="shared" ref="AU153:BM153" si="350">Z153/(Z152+Z153+Z165)</f>
        <v>0.5</v>
      </c>
      <c r="AV153" s="36">
        <f t="shared" si="350"/>
        <v>0.5</v>
      </c>
      <c r="AW153" s="36" t="e">
        <f t="shared" si="350"/>
        <v>#N/A</v>
      </c>
      <c r="AX153" s="36" t="e">
        <f t="shared" si="350"/>
        <v>#N/A</v>
      </c>
      <c r="AY153" s="36" t="e">
        <f t="shared" si="350"/>
        <v>#N/A</v>
      </c>
      <c r="AZ153" s="36" t="e">
        <f t="shared" si="350"/>
        <v>#N/A</v>
      </c>
      <c r="BA153" s="36" t="e">
        <f t="shared" si="350"/>
        <v>#N/A</v>
      </c>
      <c r="BB153" s="36" t="e">
        <f t="shared" si="350"/>
        <v>#N/A</v>
      </c>
      <c r="BC153" s="36" t="e">
        <f t="shared" si="350"/>
        <v>#N/A</v>
      </c>
      <c r="BD153" s="36" t="e">
        <f t="shared" si="350"/>
        <v>#N/A</v>
      </c>
      <c r="BE153" s="36" t="e">
        <f t="shared" si="350"/>
        <v>#N/A</v>
      </c>
      <c r="BF153" s="36" t="e">
        <f t="shared" si="350"/>
        <v>#N/A</v>
      </c>
      <c r="BG153" s="36" t="e">
        <f t="shared" si="350"/>
        <v>#N/A</v>
      </c>
      <c r="BH153" s="36" t="e">
        <f t="shared" si="350"/>
        <v>#N/A</v>
      </c>
      <c r="BI153" s="36" t="e">
        <f t="shared" si="350"/>
        <v>#N/A</v>
      </c>
      <c r="BJ153" s="36" t="e">
        <f t="shared" si="350"/>
        <v>#N/A</v>
      </c>
      <c r="BK153" s="36" t="e">
        <f t="shared" si="350"/>
        <v>#N/A</v>
      </c>
      <c r="BL153" s="36" t="e">
        <f t="shared" si="350"/>
        <v>#N/A</v>
      </c>
      <c r="BM153" s="36" t="e">
        <f t="shared" si="350"/>
        <v>#N/A</v>
      </c>
      <c r="BN153" s="30"/>
    </row>
    <row r="154" spans="1:66" ht="11.25" customHeight="1" x14ac:dyDescent="0.2">
      <c r="A154" s="37"/>
      <c r="B154" s="73"/>
      <c r="C154" s="56">
        <v>3</v>
      </c>
      <c r="D154" s="13" t="s">
        <v>147</v>
      </c>
      <c r="E154" s="16">
        <f t="shared" si="342"/>
        <v>0</v>
      </c>
      <c r="F154" s="6">
        <f>SUMIFS([0]!VOTOS2,[0]!TURNO1,F$31,[0]!CANDIDATO1,$C154,[0]!MUNICIPIO1,$B$152)</f>
        <v>0</v>
      </c>
      <c r="G154" s="6">
        <f>SUMIFS([0]!VOTOS2,[0]!TURNO1,G$31,[0]!CANDIDATO1,$C154,[0]!MUNICIPIO1,$B$152)</f>
        <v>0</v>
      </c>
      <c r="H154" s="6">
        <f>SUMIFS([0]!VOTOS2,[0]!TURNO1,H$31,[0]!CANDIDATO1,$C154,[0]!MUNICIPIO1,$B$152)</f>
        <v>0</v>
      </c>
      <c r="I154" s="6">
        <f>SUMIFS([0]!VOTOS2,[0]!TURNO1,I$31,[0]!CANDIDATO1,$C154,[0]!MUNICIPIO1,$B$152)</f>
        <v>0</v>
      </c>
      <c r="J154" s="6">
        <f>SUMIFS([0]!VOTOS2,[0]!TURNO1,J$31,[0]!CANDIDATO1,$C154,[0]!MUNICIPIO1,$B$152)</f>
        <v>0</v>
      </c>
      <c r="K154" s="6">
        <f>SUMIFS([0]!VOTOS2,[0]!TURNO1,K$31,[0]!CANDIDATO1,$C154,[0]!MUNICIPIO1,$B$152)</f>
        <v>0</v>
      </c>
      <c r="L154" s="6">
        <f>SUMIFS([0]!VOTOS2,[0]!TURNO1,L$31,[0]!CANDIDATO1,$C154,[0]!MUNICIPIO1,$B$152)</f>
        <v>0</v>
      </c>
      <c r="M154" s="6">
        <f>SUMIFS([0]!VOTOS2,[0]!TURNO1,M$31,[0]!CANDIDATO1,$C154,[0]!MUNICIPIO1,$B$152)</f>
        <v>0</v>
      </c>
      <c r="N154" s="6">
        <f>SUMIFS([0]!VOTOS2,[0]!TURNO1,N$31,[0]!CANDIDATO1,$C154,[0]!MUNICIPIO1,$B$152)</f>
        <v>0</v>
      </c>
      <c r="O154" s="6">
        <f>SUMIFS([0]!VOTOS2,[0]!TURNO1,O$31,[0]!CANDIDATO1,$C154,[0]!MUNICIPIO1,$B$152)</f>
        <v>0</v>
      </c>
      <c r="P154" s="6">
        <f>SUMIFS([0]!VOTOS2,[0]!TURNO1,P$31,[0]!CANDIDATO1,$C154,[0]!MUNICIPIO1,$B$152)</f>
        <v>0</v>
      </c>
      <c r="Q154" s="6">
        <f>SUMIFS([0]!VOTOS2,[0]!TURNO1,Q$31,[0]!CANDIDATO1,$C154,[0]!MUNICIPIO1,$B$152)</f>
        <v>0</v>
      </c>
      <c r="R154" s="6">
        <f>SUMIFS([0]!VOTOS2,[0]!TURNO1,R$31,[0]!CANDIDATO1,$C154,[0]!MUNICIPIO1,$B$152)</f>
        <v>0</v>
      </c>
      <c r="S154" s="6">
        <f>SUMIFS([0]!VOTOS2,[0]!TURNO1,S$31,[0]!CANDIDATO1,$C154,[0]!MUNICIPIO1,$B$152)</f>
        <v>0</v>
      </c>
      <c r="T154" s="6">
        <f>SUMIFS([0]!VOTOS2,[0]!TURNO1,T$31,[0]!CANDIDATO1,$C154,[0]!MUNICIPIO1,$B$152)</f>
        <v>0</v>
      </c>
      <c r="U154" s="6">
        <f>SUMIFS([0]!VOTOS2,[0]!TURNO1,U$31,[0]!CANDIDATO1,$C154,[0]!MUNICIPIO1,$B$152)</f>
        <v>0</v>
      </c>
      <c r="V154" s="6">
        <f>SUMIFS([0]!VOTOS2,[0]!TURNO1,V$31,[0]!CANDIDATO1,$C154,[0]!MUNICIPIO1,$B$152)</f>
        <v>0</v>
      </c>
      <c r="W154" s="6">
        <f>SUMIFS([0]!VOTOS2,[0]!TURNO1,W$31,[0]!CANDIDATO1,$C154,[0]!MUNICIPIO1,$B$152)</f>
        <v>0</v>
      </c>
      <c r="X154" s="24"/>
      <c r="Y154" s="18" t="str">
        <f t="shared" si="343"/>
        <v>ELOY ROJAS</v>
      </c>
      <c r="Z154" s="34">
        <f t="shared" si="344"/>
        <v>0</v>
      </c>
      <c r="AA154" s="34">
        <f t="shared" si="345"/>
        <v>0</v>
      </c>
      <c r="AB154" s="34" t="e">
        <f t="shared" ref="AB154:AR154" si="351">IF(SUM(G152:G164)=0,NA(),G154+AA154)</f>
        <v>#N/A</v>
      </c>
      <c r="AC154" s="34" t="e">
        <f t="shared" si="351"/>
        <v>#N/A</v>
      </c>
      <c r="AD154" s="34" t="e">
        <f t="shared" si="351"/>
        <v>#N/A</v>
      </c>
      <c r="AE154" s="34" t="e">
        <f t="shared" si="351"/>
        <v>#N/A</v>
      </c>
      <c r="AF154" s="34" t="e">
        <f t="shared" si="351"/>
        <v>#N/A</v>
      </c>
      <c r="AG154" s="34" t="e">
        <f t="shared" si="351"/>
        <v>#N/A</v>
      </c>
      <c r="AH154" s="34" t="e">
        <f t="shared" si="351"/>
        <v>#N/A</v>
      </c>
      <c r="AI154" s="34" t="e">
        <f t="shared" si="351"/>
        <v>#N/A</v>
      </c>
      <c r="AJ154" s="34" t="e">
        <f t="shared" si="351"/>
        <v>#N/A</v>
      </c>
      <c r="AK154" s="34" t="e">
        <f t="shared" si="351"/>
        <v>#N/A</v>
      </c>
      <c r="AL154" s="34" t="e">
        <f t="shared" si="351"/>
        <v>#N/A</v>
      </c>
      <c r="AM154" s="34" t="e">
        <f t="shared" si="351"/>
        <v>#N/A</v>
      </c>
      <c r="AN154" s="34" t="e">
        <f t="shared" si="351"/>
        <v>#N/A</v>
      </c>
      <c r="AO154" s="34" t="e">
        <f t="shared" si="351"/>
        <v>#N/A</v>
      </c>
      <c r="AP154" s="34" t="e">
        <f t="shared" si="351"/>
        <v>#N/A</v>
      </c>
      <c r="AQ154" s="34" t="e">
        <f t="shared" si="351"/>
        <v>#N/A</v>
      </c>
      <c r="AR154" s="34" t="e">
        <f t="shared" si="351"/>
        <v>#N/A</v>
      </c>
      <c r="AS154" s="27"/>
      <c r="AT154" s="35" t="str">
        <f t="shared" ref="AT154" si="352">Y165</f>
        <v>Otros</v>
      </c>
      <c r="AU154" s="36">
        <f t="shared" ref="AU154:BM154" si="353">Z165/(Z152+Z153+Z165)</f>
        <v>0</v>
      </c>
      <c r="AV154" s="36">
        <f t="shared" si="353"/>
        <v>0</v>
      </c>
      <c r="AW154" s="36" t="e">
        <f t="shared" si="353"/>
        <v>#N/A</v>
      </c>
      <c r="AX154" s="36" t="e">
        <f t="shared" si="353"/>
        <v>#N/A</v>
      </c>
      <c r="AY154" s="36" t="e">
        <f t="shared" si="353"/>
        <v>#N/A</v>
      </c>
      <c r="AZ154" s="36" t="e">
        <f t="shared" si="353"/>
        <v>#N/A</v>
      </c>
      <c r="BA154" s="36" t="e">
        <f t="shared" si="353"/>
        <v>#N/A</v>
      </c>
      <c r="BB154" s="36" t="e">
        <f t="shared" si="353"/>
        <v>#N/A</v>
      </c>
      <c r="BC154" s="36" t="e">
        <f t="shared" si="353"/>
        <v>#N/A</v>
      </c>
      <c r="BD154" s="36" t="e">
        <f t="shared" si="353"/>
        <v>#N/A</v>
      </c>
      <c r="BE154" s="36" t="e">
        <f t="shared" si="353"/>
        <v>#N/A</v>
      </c>
      <c r="BF154" s="36" t="e">
        <f t="shared" si="353"/>
        <v>#N/A</v>
      </c>
      <c r="BG154" s="36" t="e">
        <f t="shared" si="353"/>
        <v>#N/A</v>
      </c>
      <c r="BH154" s="36" t="e">
        <f t="shared" si="353"/>
        <v>#N/A</v>
      </c>
      <c r="BI154" s="36" t="e">
        <f t="shared" si="353"/>
        <v>#N/A</v>
      </c>
      <c r="BJ154" s="36" t="e">
        <f t="shared" si="353"/>
        <v>#N/A</v>
      </c>
      <c r="BK154" s="36" t="e">
        <f t="shared" si="353"/>
        <v>#N/A</v>
      </c>
      <c r="BL154" s="36" t="e">
        <f t="shared" si="353"/>
        <v>#N/A</v>
      </c>
      <c r="BM154" s="36" t="e">
        <f t="shared" si="353"/>
        <v>#N/A</v>
      </c>
      <c r="BN154" s="30"/>
    </row>
    <row r="155" spans="1:66" ht="11.25" customHeight="1" x14ac:dyDescent="0.2">
      <c r="A155" s="38" t="s">
        <v>10</v>
      </c>
      <c r="B155" s="73"/>
      <c r="C155" s="33">
        <v>4</v>
      </c>
      <c r="D155" s="13" t="s">
        <v>148</v>
      </c>
      <c r="E155" s="16">
        <f t="shared" si="342"/>
        <v>0</v>
      </c>
      <c r="F155" s="6">
        <f>SUMIFS([0]!VOTOS2,[0]!TURNO1,F$31,[0]!CANDIDATO1,$C155,[0]!MUNICIPIO1,$B$152)</f>
        <v>0</v>
      </c>
      <c r="G155" s="6">
        <f>SUMIFS([0]!VOTOS2,[0]!TURNO1,G$31,[0]!CANDIDATO1,$C155,[0]!MUNICIPIO1,$B$152)</f>
        <v>0</v>
      </c>
      <c r="H155" s="6">
        <f>SUMIFS([0]!VOTOS2,[0]!TURNO1,H$31,[0]!CANDIDATO1,$C155,[0]!MUNICIPIO1,$B$152)</f>
        <v>0</v>
      </c>
      <c r="I155" s="6">
        <f>SUMIFS([0]!VOTOS2,[0]!TURNO1,I$31,[0]!CANDIDATO1,$C155,[0]!MUNICIPIO1,$B$152)</f>
        <v>0</v>
      </c>
      <c r="J155" s="6">
        <f>SUMIFS([0]!VOTOS2,[0]!TURNO1,J$31,[0]!CANDIDATO1,$C155,[0]!MUNICIPIO1,$B$152)</f>
        <v>0</v>
      </c>
      <c r="K155" s="6">
        <f>SUMIFS([0]!VOTOS2,[0]!TURNO1,K$31,[0]!CANDIDATO1,$C155,[0]!MUNICIPIO1,$B$152)</f>
        <v>0</v>
      </c>
      <c r="L155" s="6">
        <f>SUMIFS([0]!VOTOS2,[0]!TURNO1,L$31,[0]!CANDIDATO1,$C155,[0]!MUNICIPIO1,$B$152)</f>
        <v>0</v>
      </c>
      <c r="M155" s="6">
        <f>SUMIFS([0]!VOTOS2,[0]!TURNO1,M$31,[0]!CANDIDATO1,$C155,[0]!MUNICIPIO1,$B$152)</f>
        <v>0</v>
      </c>
      <c r="N155" s="6">
        <f>SUMIFS([0]!VOTOS2,[0]!TURNO1,N$31,[0]!CANDIDATO1,$C155,[0]!MUNICIPIO1,$B$152)</f>
        <v>0</v>
      </c>
      <c r="O155" s="6">
        <f>SUMIFS([0]!VOTOS2,[0]!TURNO1,O$31,[0]!CANDIDATO1,$C155,[0]!MUNICIPIO1,$B$152)</f>
        <v>0</v>
      </c>
      <c r="P155" s="6">
        <f>SUMIFS([0]!VOTOS2,[0]!TURNO1,P$31,[0]!CANDIDATO1,$C155,[0]!MUNICIPIO1,$B$152)</f>
        <v>0</v>
      </c>
      <c r="Q155" s="6">
        <f>SUMIFS([0]!VOTOS2,[0]!TURNO1,Q$31,[0]!CANDIDATO1,$C155,[0]!MUNICIPIO1,$B$152)</f>
        <v>0</v>
      </c>
      <c r="R155" s="6">
        <f>SUMIFS([0]!VOTOS2,[0]!TURNO1,R$31,[0]!CANDIDATO1,$C155,[0]!MUNICIPIO1,$B$152)</f>
        <v>0</v>
      </c>
      <c r="S155" s="6">
        <f>SUMIFS([0]!VOTOS2,[0]!TURNO1,S$31,[0]!CANDIDATO1,$C155,[0]!MUNICIPIO1,$B$152)</f>
        <v>0</v>
      </c>
      <c r="T155" s="6">
        <f>SUMIFS([0]!VOTOS2,[0]!TURNO1,T$31,[0]!CANDIDATO1,$C155,[0]!MUNICIPIO1,$B$152)</f>
        <v>0</v>
      </c>
      <c r="U155" s="6">
        <f>SUMIFS([0]!VOTOS2,[0]!TURNO1,U$31,[0]!CANDIDATO1,$C155,[0]!MUNICIPIO1,$B$152)</f>
        <v>0</v>
      </c>
      <c r="V155" s="6">
        <f>SUMIFS([0]!VOTOS2,[0]!TURNO1,V$31,[0]!CANDIDATO1,$C155,[0]!MUNICIPIO1,$B$152)</f>
        <v>0</v>
      </c>
      <c r="W155" s="6">
        <f>SUMIFS([0]!VOTOS2,[0]!TURNO1,W$31,[0]!CANDIDATO1,$C155,[0]!MUNICIPIO1,$B$152)</f>
        <v>0</v>
      </c>
      <c r="X155" s="24"/>
      <c r="Y155" s="18" t="str">
        <f t="shared" si="343"/>
        <v>ELISAUL REYES</v>
      </c>
      <c r="Z155" s="34">
        <f t="shared" si="344"/>
        <v>0</v>
      </c>
      <c r="AA155" s="34">
        <f t="shared" si="345"/>
        <v>0</v>
      </c>
      <c r="AB155" s="34" t="e">
        <f t="shared" ref="AB155:AR155" si="354">IF(SUM(G152:G164)=0,NA(),G155+AA155)</f>
        <v>#N/A</v>
      </c>
      <c r="AC155" s="34" t="e">
        <f t="shared" si="354"/>
        <v>#N/A</v>
      </c>
      <c r="AD155" s="34" t="e">
        <f t="shared" si="354"/>
        <v>#N/A</v>
      </c>
      <c r="AE155" s="34" t="e">
        <f t="shared" si="354"/>
        <v>#N/A</v>
      </c>
      <c r="AF155" s="34" t="e">
        <f t="shared" si="354"/>
        <v>#N/A</v>
      </c>
      <c r="AG155" s="34" t="e">
        <f t="shared" si="354"/>
        <v>#N/A</v>
      </c>
      <c r="AH155" s="34" t="e">
        <f t="shared" si="354"/>
        <v>#N/A</v>
      </c>
      <c r="AI155" s="34" t="e">
        <f t="shared" si="354"/>
        <v>#N/A</v>
      </c>
      <c r="AJ155" s="34" t="e">
        <f t="shared" si="354"/>
        <v>#N/A</v>
      </c>
      <c r="AK155" s="34" t="e">
        <f t="shared" si="354"/>
        <v>#N/A</v>
      </c>
      <c r="AL155" s="34" t="e">
        <f t="shared" si="354"/>
        <v>#N/A</v>
      </c>
      <c r="AM155" s="34" t="e">
        <f t="shared" si="354"/>
        <v>#N/A</v>
      </c>
      <c r="AN155" s="34" t="e">
        <f t="shared" si="354"/>
        <v>#N/A</v>
      </c>
      <c r="AO155" s="34" t="e">
        <f t="shared" si="354"/>
        <v>#N/A</v>
      </c>
      <c r="AP155" s="34" t="e">
        <f t="shared" si="354"/>
        <v>#N/A</v>
      </c>
      <c r="AQ155" s="34" t="e">
        <f t="shared" si="354"/>
        <v>#N/A</v>
      </c>
      <c r="AR155" s="34" t="e">
        <f t="shared" si="354"/>
        <v>#N/A</v>
      </c>
      <c r="AS155" s="27"/>
      <c r="AT155" s="39"/>
      <c r="AU155" s="39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30"/>
    </row>
    <row r="156" spans="1:66" ht="11.25" customHeight="1" x14ac:dyDescent="0.2">
      <c r="A156" s="38" t="s">
        <v>13</v>
      </c>
      <c r="B156" s="73"/>
      <c r="C156" s="56">
        <v>5</v>
      </c>
      <c r="D156" s="13" t="s">
        <v>149</v>
      </c>
      <c r="E156" s="16">
        <f t="shared" si="342"/>
        <v>0</v>
      </c>
      <c r="F156" s="6">
        <f>SUMIFS([0]!VOTOS2,[0]!TURNO1,F$31,[0]!CANDIDATO1,$C156,[0]!MUNICIPIO1,$B$152)</f>
        <v>0</v>
      </c>
      <c r="G156" s="6">
        <f>SUMIFS([0]!VOTOS2,[0]!TURNO1,G$31,[0]!CANDIDATO1,$C156,[0]!MUNICIPIO1,$B$152)</f>
        <v>0</v>
      </c>
      <c r="H156" s="6">
        <f>SUMIFS([0]!VOTOS2,[0]!TURNO1,H$31,[0]!CANDIDATO1,$C156,[0]!MUNICIPIO1,$B$152)</f>
        <v>0</v>
      </c>
      <c r="I156" s="6">
        <f>SUMIFS([0]!VOTOS2,[0]!TURNO1,I$31,[0]!CANDIDATO1,$C156,[0]!MUNICIPIO1,$B$152)</f>
        <v>0</v>
      </c>
      <c r="J156" s="6">
        <f>SUMIFS([0]!VOTOS2,[0]!TURNO1,J$31,[0]!CANDIDATO1,$C156,[0]!MUNICIPIO1,$B$152)</f>
        <v>0</v>
      </c>
      <c r="K156" s="6">
        <f>SUMIFS([0]!VOTOS2,[0]!TURNO1,K$31,[0]!CANDIDATO1,$C156,[0]!MUNICIPIO1,$B$152)</f>
        <v>0</v>
      </c>
      <c r="L156" s="6">
        <f>SUMIFS([0]!VOTOS2,[0]!TURNO1,L$31,[0]!CANDIDATO1,$C156,[0]!MUNICIPIO1,$B$152)</f>
        <v>0</v>
      </c>
      <c r="M156" s="6">
        <f>SUMIFS([0]!VOTOS2,[0]!TURNO1,M$31,[0]!CANDIDATO1,$C156,[0]!MUNICIPIO1,$B$152)</f>
        <v>0</v>
      </c>
      <c r="N156" s="6">
        <f>SUMIFS([0]!VOTOS2,[0]!TURNO1,N$31,[0]!CANDIDATO1,$C156,[0]!MUNICIPIO1,$B$152)</f>
        <v>0</v>
      </c>
      <c r="O156" s="6">
        <f>SUMIFS([0]!VOTOS2,[0]!TURNO1,O$31,[0]!CANDIDATO1,$C156,[0]!MUNICIPIO1,$B$152)</f>
        <v>0</v>
      </c>
      <c r="P156" s="6">
        <f>SUMIFS([0]!VOTOS2,[0]!TURNO1,P$31,[0]!CANDIDATO1,$C156,[0]!MUNICIPIO1,$B$152)</f>
        <v>0</v>
      </c>
      <c r="Q156" s="6">
        <f>SUMIFS([0]!VOTOS2,[0]!TURNO1,Q$31,[0]!CANDIDATO1,$C156,[0]!MUNICIPIO1,$B$152)</f>
        <v>0</v>
      </c>
      <c r="R156" s="6">
        <f>SUMIFS([0]!VOTOS2,[0]!TURNO1,R$31,[0]!CANDIDATO1,$C156,[0]!MUNICIPIO1,$B$152)</f>
        <v>0</v>
      </c>
      <c r="S156" s="6">
        <f>SUMIFS([0]!VOTOS2,[0]!TURNO1,S$31,[0]!CANDIDATO1,$C156,[0]!MUNICIPIO1,$B$152)</f>
        <v>0</v>
      </c>
      <c r="T156" s="6">
        <f>SUMIFS([0]!VOTOS2,[0]!TURNO1,T$31,[0]!CANDIDATO1,$C156,[0]!MUNICIPIO1,$B$152)</f>
        <v>0</v>
      </c>
      <c r="U156" s="6">
        <f>SUMIFS([0]!VOTOS2,[0]!TURNO1,U$31,[0]!CANDIDATO1,$C156,[0]!MUNICIPIO1,$B$152)</f>
        <v>0</v>
      </c>
      <c r="V156" s="6">
        <f>SUMIFS([0]!VOTOS2,[0]!TURNO1,V$31,[0]!CANDIDATO1,$C156,[0]!MUNICIPIO1,$B$152)</f>
        <v>0</v>
      </c>
      <c r="W156" s="6">
        <f>SUMIFS([0]!VOTOS2,[0]!TURNO1,W$31,[0]!CANDIDATO1,$C156,[0]!MUNICIPIO1,$B$152)</f>
        <v>0</v>
      </c>
      <c r="X156" s="24"/>
      <c r="Y156" s="18" t="str">
        <f t="shared" si="343"/>
        <v>THONY LOPEZ</v>
      </c>
      <c r="Z156" s="34">
        <f t="shared" si="344"/>
        <v>0</v>
      </c>
      <c r="AA156" s="34">
        <f t="shared" si="345"/>
        <v>0</v>
      </c>
      <c r="AB156" s="34" t="e">
        <f t="shared" ref="AB156:AR156" si="355">IF(SUM(G152:G164)=0,NA(),G156+AA156)</f>
        <v>#N/A</v>
      </c>
      <c r="AC156" s="34" t="e">
        <f t="shared" si="355"/>
        <v>#N/A</v>
      </c>
      <c r="AD156" s="34" t="e">
        <f t="shared" si="355"/>
        <v>#N/A</v>
      </c>
      <c r="AE156" s="34" t="e">
        <f t="shared" si="355"/>
        <v>#N/A</v>
      </c>
      <c r="AF156" s="34" t="e">
        <f t="shared" si="355"/>
        <v>#N/A</v>
      </c>
      <c r="AG156" s="34" t="e">
        <f t="shared" si="355"/>
        <v>#N/A</v>
      </c>
      <c r="AH156" s="34" t="e">
        <f t="shared" si="355"/>
        <v>#N/A</v>
      </c>
      <c r="AI156" s="34" t="e">
        <f t="shared" si="355"/>
        <v>#N/A</v>
      </c>
      <c r="AJ156" s="34" t="e">
        <f t="shared" si="355"/>
        <v>#N/A</v>
      </c>
      <c r="AK156" s="34" t="e">
        <f t="shared" si="355"/>
        <v>#N/A</v>
      </c>
      <c r="AL156" s="34" t="e">
        <f t="shared" si="355"/>
        <v>#N/A</v>
      </c>
      <c r="AM156" s="34" t="e">
        <f t="shared" si="355"/>
        <v>#N/A</v>
      </c>
      <c r="AN156" s="34" t="e">
        <f t="shared" si="355"/>
        <v>#N/A</v>
      </c>
      <c r="AO156" s="34" t="e">
        <f t="shared" si="355"/>
        <v>#N/A</v>
      </c>
      <c r="AP156" s="34" t="e">
        <f t="shared" si="355"/>
        <v>#N/A</v>
      </c>
      <c r="AQ156" s="34" t="e">
        <f t="shared" si="355"/>
        <v>#N/A</v>
      </c>
      <c r="AR156" s="34" t="e">
        <f t="shared" si="355"/>
        <v>#N/A</v>
      </c>
      <c r="AS156" s="27"/>
      <c r="AT156" s="39"/>
      <c r="AU156" s="39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30"/>
    </row>
    <row r="157" spans="1:66" ht="11.25" customHeight="1" x14ac:dyDescent="0.2">
      <c r="A157" s="37"/>
      <c r="B157" s="73"/>
      <c r="C157" s="33">
        <v>6</v>
      </c>
      <c r="D157" s="13" t="s">
        <v>150</v>
      </c>
      <c r="E157" s="16">
        <f t="shared" si="342"/>
        <v>0</v>
      </c>
      <c r="F157" s="6">
        <f>SUMIFS([0]!VOTOS2,[0]!TURNO1,F$31,[0]!CANDIDATO1,$C157,[0]!MUNICIPIO1,$B$152)</f>
        <v>0</v>
      </c>
      <c r="G157" s="6">
        <f>SUMIFS([0]!VOTOS2,[0]!TURNO1,G$31,[0]!CANDIDATO1,$C157,[0]!MUNICIPIO1,$B$152)</f>
        <v>0</v>
      </c>
      <c r="H157" s="6">
        <f>SUMIFS([0]!VOTOS2,[0]!TURNO1,H$31,[0]!CANDIDATO1,$C157,[0]!MUNICIPIO1,$B$152)</f>
        <v>0</v>
      </c>
      <c r="I157" s="6">
        <f>SUMIFS([0]!VOTOS2,[0]!TURNO1,I$31,[0]!CANDIDATO1,$C157,[0]!MUNICIPIO1,$B$152)</f>
        <v>0</v>
      </c>
      <c r="J157" s="6">
        <f>SUMIFS([0]!VOTOS2,[0]!TURNO1,J$31,[0]!CANDIDATO1,$C157,[0]!MUNICIPIO1,$B$152)</f>
        <v>0</v>
      </c>
      <c r="K157" s="6">
        <f>SUMIFS([0]!VOTOS2,[0]!TURNO1,K$31,[0]!CANDIDATO1,$C157,[0]!MUNICIPIO1,$B$152)</f>
        <v>0</v>
      </c>
      <c r="L157" s="6">
        <f>SUMIFS([0]!VOTOS2,[0]!TURNO1,L$31,[0]!CANDIDATO1,$C157,[0]!MUNICIPIO1,$B$152)</f>
        <v>0</v>
      </c>
      <c r="M157" s="6">
        <f>SUMIFS([0]!VOTOS2,[0]!TURNO1,M$31,[0]!CANDIDATO1,$C157,[0]!MUNICIPIO1,$B$152)</f>
        <v>0</v>
      </c>
      <c r="N157" s="6">
        <f>SUMIFS([0]!VOTOS2,[0]!TURNO1,N$31,[0]!CANDIDATO1,$C157,[0]!MUNICIPIO1,$B$152)</f>
        <v>0</v>
      </c>
      <c r="O157" s="6">
        <f>SUMIFS([0]!VOTOS2,[0]!TURNO1,O$31,[0]!CANDIDATO1,$C157,[0]!MUNICIPIO1,$B$152)</f>
        <v>0</v>
      </c>
      <c r="P157" s="6">
        <f>SUMIFS([0]!VOTOS2,[0]!TURNO1,P$31,[0]!CANDIDATO1,$C157,[0]!MUNICIPIO1,$B$152)</f>
        <v>0</v>
      </c>
      <c r="Q157" s="6">
        <f>SUMIFS([0]!VOTOS2,[0]!TURNO1,Q$31,[0]!CANDIDATO1,$C157,[0]!MUNICIPIO1,$B$152)</f>
        <v>0</v>
      </c>
      <c r="R157" s="6">
        <f>SUMIFS([0]!VOTOS2,[0]!TURNO1,R$31,[0]!CANDIDATO1,$C157,[0]!MUNICIPIO1,$B$152)</f>
        <v>0</v>
      </c>
      <c r="S157" s="6">
        <f>SUMIFS([0]!VOTOS2,[0]!TURNO1,S$31,[0]!CANDIDATO1,$C157,[0]!MUNICIPIO1,$B$152)</f>
        <v>0</v>
      </c>
      <c r="T157" s="6">
        <f>SUMIFS([0]!VOTOS2,[0]!TURNO1,T$31,[0]!CANDIDATO1,$C157,[0]!MUNICIPIO1,$B$152)</f>
        <v>0</v>
      </c>
      <c r="U157" s="6">
        <f>SUMIFS([0]!VOTOS2,[0]!TURNO1,U$31,[0]!CANDIDATO1,$C157,[0]!MUNICIPIO1,$B$152)</f>
        <v>0</v>
      </c>
      <c r="V157" s="6">
        <f>SUMIFS([0]!VOTOS2,[0]!TURNO1,V$31,[0]!CANDIDATO1,$C157,[0]!MUNICIPIO1,$B$152)</f>
        <v>0</v>
      </c>
      <c r="W157" s="6">
        <f>SUMIFS([0]!VOTOS2,[0]!TURNO1,W$31,[0]!CANDIDATO1,$C157,[0]!MUNICIPIO1,$B$152)</f>
        <v>0</v>
      </c>
      <c r="X157" s="24"/>
      <c r="Y157" s="18" t="str">
        <f t="shared" si="343"/>
        <v>HUGO SOSA</v>
      </c>
      <c r="Z157" s="34">
        <f t="shared" si="344"/>
        <v>0</v>
      </c>
      <c r="AA157" s="34">
        <f t="shared" si="345"/>
        <v>0</v>
      </c>
      <c r="AB157" s="34" t="e">
        <f t="shared" ref="AB157:AR157" si="356">IF(SUM(G152:G164)=0,NA(),G157+AA157)</f>
        <v>#N/A</v>
      </c>
      <c r="AC157" s="34" t="e">
        <f t="shared" si="356"/>
        <v>#N/A</v>
      </c>
      <c r="AD157" s="34" t="e">
        <f t="shared" si="356"/>
        <v>#N/A</v>
      </c>
      <c r="AE157" s="34" t="e">
        <f t="shared" si="356"/>
        <v>#N/A</v>
      </c>
      <c r="AF157" s="34" t="e">
        <f t="shared" si="356"/>
        <v>#N/A</v>
      </c>
      <c r="AG157" s="34" t="e">
        <f t="shared" si="356"/>
        <v>#N/A</v>
      </c>
      <c r="AH157" s="34" t="e">
        <f t="shared" si="356"/>
        <v>#N/A</v>
      </c>
      <c r="AI157" s="34" t="e">
        <f t="shared" si="356"/>
        <v>#N/A</v>
      </c>
      <c r="AJ157" s="34" t="e">
        <f t="shared" si="356"/>
        <v>#N/A</v>
      </c>
      <c r="AK157" s="34" t="e">
        <f t="shared" si="356"/>
        <v>#N/A</v>
      </c>
      <c r="AL157" s="34" t="e">
        <f t="shared" si="356"/>
        <v>#N/A</v>
      </c>
      <c r="AM157" s="34" t="e">
        <f t="shared" si="356"/>
        <v>#N/A</v>
      </c>
      <c r="AN157" s="34" t="e">
        <f t="shared" si="356"/>
        <v>#N/A</v>
      </c>
      <c r="AO157" s="34" t="e">
        <f t="shared" si="356"/>
        <v>#N/A</v>
      </c>
      <c r="AP157" s="34" t="e">
        <f t="shared" si="356"/>
        <v>#N/A</v>
      </c>
      <c r="AQ157" s="34" t="e">
        <f t="shared" si="356"/>
        <v>#N/A</v>
      </c>
      <c r="AR157" s="34" t="e">
        <f t="shared" si="356"/>
        <v>#N/A</v>
      </c>
      <c r="AS157" s="27"/>
      <c r="AT157" s="39"/>
      <c r="AU157" s="39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30"/>
    </row>
    <row r="158" spans="1:66" ht="11.25" customHeight="1" x14ac:dyDescent="0.2">
      <c r="A158" s="37"/>
      <c r="B158" s="73"/>
      <c r="C158" s="56">
        <v>7</v>
      </c>
      <c r="D158" s="13" t="s">
        <v>151</v>
      </c>
      <c r="E158" s="16">
        <f t="shared" si="342"/>
        <v>0</v>
      </c>
      <c r="F158" s="6">
        <f>SUMIFS([0]!VOTOS2,[0]!TURNO1,F$31,[0]!CANDIDATO1,$C158,[0]!MUNICIPIO1,$B$152)</f>
        <v>0</v>
      </c>
      <c r="G158" s="6">
        <f>SUMIFS([0]!VOTOS2,[0]!TURNO1,G$31,[0]!CANDIDATO1,$C158,[0]!MUNICIPIO1,$B$152)</f>
        <v>0</v>
      </c>
      <c r="H158" s="6">
        <f>SUMIFS([0]!VOTOS2,[0]!TURNO1,H$31,[0]!CANDIDATO1,$C158,[0]!MUNICIPIO1,$B$152)</f>
        <v>0</v>
      </c>
      <c r="I158" s="6">
        <f>SUMIFS([0]!VOTOS2,[0]!TURNO1,I$31,[0]!CANDIDATO1,$C158,[0]!MUNICIPIO1,$B$152)</f>
        <v>0</v>
      </c>
      <c r="J158" s="6">
        <f>SUMIFS([0]!VOTOS2,[0]!TURNO1,J$31,[0]!CANDIDATO1,$C158,[0]!MUNICIPIO1,$B$152)</f>
        <v>0</v>
      </c>
      <c r="K158" s="6">
        <f>SUMIFS([0]!VOTOS2,[0]!TURNO1,K$31,[0]!CANDIDATO1,$C158,[0]!MUNICIPIO1,$B$152)</f>
        <v>0</v>
      </c>
      <c r="L158" s="6">
        <f>SUMIFS([0]!VOTOS2,[0]!TURNO1,L$31,[0]!CANDIDATO1,$C158,[0]!MUNICIPIO1,$B$152)</f>
        <v>0</v>
      </c>
      <c r="M158" s="6">
        <f>SUMIFS([0]!VOTOS2,[0]!TURNO1,M$31,[0]!CANDIDATO1,$C158,[0]!MUNICIPIO1,$B$152)</f>
        <v>0</v>
      </c>
      <c r="N158" s="6">
        <f>SUMIFS([0]!VOTOS2,[0]!TURNO1,N$31,[0]!CANDIDATO1,$C158,[0]!MUNICIPIO1,$B$152)</f>
        <v>0</v>
      </c>
      <c r="O158" s="6">
        <f>SUMIFS([0]!VOTOS2,[0]!TURNO1,O$31,[0]!CANDIDATO1,$C158,[0]!MUNICIPIO1,$B$152)</f>
        <v>0</v>
      </c>
      <c r="P158" s="6">
        <f>SUMIFS([0]!VOTOS2,[0]!TURNO1,P$31,[0]!CANDIDATO1,$C158,[0]!MUNICIPIO1,$B$152)</f>
        <v>0</v>
      </c>
      <c r="Q158" s="6">
        <f>SUMIFS([0]!VOTOS2,[0]!TURNO1,Q$31,[0]!CANDIDATO1,$C158,[0]!MUNICIPIO1,$B$152)</f>
        <v>0</v>
      </c>
      <c r="R158" s="6">
        <f>SUMIFS([0]!VOTOS2,[0]!TURNO1,R$31,[0]!CANDIDATO1,$C158,[0]!MUNICIPIO1,$B$152)</f>
        <v>0</v>
      </c>
      <c r="S158" s="6">
        <f>SUMIFS([0]!VOTOS2,[0]!TURNO1,S$31,[0]!CANDIDATO1,$C158,[0]!MUNICIPIO1,$B$152)</f>
        <v>0</v>
      </c>
      <c r="T158" s="6">
        <f>SUMIFS([0]!VOTOS2,[0]!TURNO1,T$31,[0]!CANDIDATO1,$C158,[0]!MUNICIPIO1,$B$152)</f>
        <v>0</v>
      </c>
      <c r="U158" s="6">
        <f>SUMIFS([0]!VOTOS2,[0]!TURNO1,U$31,[0]!CANDIDATO1,$C158,[0]!MUNICIPIO1,$B$152)</f>
        <v>0</v>
      </c>
      <c r="V158" s="6">
        <f>SUMIFS([0]!VOTOS2,[0]!TURNO1,V$31,[0]!CANDIDATO1,$C158,[0]!MUNICIPIO1,$B$152)</f>
        <v>0</v>
      </c>
      <c r="W158" s="6">
        <f>SUMIFS([0]!VOTOS2,[0]!TURNO1,W$31,[0]!CANDIDATO1,$C158,[0]!MUNICIPIO1,$B$152)</f>
        <v>0</v>
      </c>
      <c r="X158" s="24"/>
      <c r="Y158" s="18" t="str">
        <f t="shared" si="343"/>
        <v>PETER MORENO</v>
      </c>
      <c r="Z158" s="34">
        <f t="shared" si="344"/>
        <v>0</v>
      </c>
      <c r="AA158" s="34">
        <f t="shared" si="345"/>
        <v>0</v>
      </c>
      <c r="AB158" s="34" t="e">
        <f t="shared" ref="AB158:AR158" si="357">IF(SUM(G152:G164)=0,NA(),G158+AA158)</f>
        <v>#N/A</v>
      </c>
      <c r="AC158" s="34" t="e">
        <f t="shared" si="357"/>
        <v>#N/A</v>
      </c>
      <c r="AD158" s="34" t="e">
        <f t="shared" si="357"/>
        <v>#N/A</v>
      </c>
      <c r="AE158" s="34" t="e">
        <f t="shared" si="357"/>
        <v>#N/A</v>
      </c>
      <c r="AF158" s="34" t="e">
        <f t="shared" si="357"/>
        <v>#N/A</v>
      </c>
      <c r="AG158" s="34" t="e">
        <f t="shared" si="357"/>
        <v>#N/A</v>
      </c>
      <c r="AH158" s="34" t="e">
        <f t="shared" si="357"/>
        <v>#N/A</v>
      </c>
      <c r="AI158" s="34" t="e">
        <f t="shared" si="357"/>
        <v>#N/A</v>
      </c>
      <c r="AJ158" s="34" t="e">
        <f t="shared" si="357"/>
        <v>#N/A</v>
      </c>
      <c r="AK158" s="34" t="e">
        <f t="shared" si="357"/>
        <v>#N/A</v>
      </c>
      <c r="AL158" s="34" t="e">
        <f t="shared" si="357"/>
        <v>#N/A</v>
      </c>
      <c r="AM158" s="34" t="e">
        <f t="shared" si="357"/>
        <v>#N/A</v>
      </c>
      <c r="AN158" s="34" t="e">
        <f t="shared" si="357"/>
        <v>#N/A</v>
      </c>
      <c r="AO158" s="34" t="e">
        <f t="shared" si="357"/>
        <v>#N/A</v>
      </c>
      <c r="AP158" s="34" t="e">
        <f t="shared" si="357"/>
        <v>#N/A</v>
      </c>
      <c r="AQ158" s="34" t="e">
        <f t="shared" si="357"/>
        <v>#N/A</v>
      </c>
      <c r="AR158" s="34" t="e">
        <f t="shared" si="357"/>
        <v>#N/A</v>
      </c>
      <c r="AS158" s="27"/>
      <c r="AT158" s="39"/>
      <c r="AU158" s="39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30"/>
    </row>
    <row r="159" spans="1:66" ht="11.25" customHeight="1" x14ac:dyDescent="0.2">
      <c r="A159" s="37"/>
      <c r="B159" s="73"/>
      <c r="C159" s="33">
        <v>8</v>
      </c>
      <c r="D159" s="13" t="s">
        <v>152</v>
      </c>
      <c r="E159" s="16">
        <f t="shared" si="342"/>
        <v>0</v>
      </c>
      <c r="F159" s="6">
        <f>SUMIFS([0]!VOTOS2,[0]!TURNO1,F$31,[0]!CANDIDATO1,$C159,[0]!MUNICIPIO1,$B$152)</f>
        <v>0</v>
      </c>
      <c r="G159" s="6">
        <f>SUMIFS([0]!VOTOS2,[0]!TURNO1,G$31,[0]!CANDIDATO1,$C159,[0]!MUNICIPIO1,$B$152)</f>
        <v>0</v>
      </c>
      <c r="H159" s="6">
        <f>SUMIFS([0]!VOTOS2,[0]!TURNO1,H$31,[0]!CANDIDATO1,$C159,[0]!MUNICIPIO1,$B$152)</f>
        <v>0</v>
      </c>
      <c r="I159" s="6">
        <f>SUMIFS([0]!VOTOS2,[0]!TURNO1,I$31,[0]!CANDIDATO1,$C159,[0]!MUNICIPIO1,$B$152)</f>
        <v>0</v>
      </c>
      <c r="J159" s="6">
        <f>SUMIFS([0]!VOTOS2,[0]!TURNO1,J$31,[0]!CANDIDATO1,$C159,[0]!MUNICIPIO1,$B$152)</f>
        <v>0</v>
      </c>
      <c r="K159" s="6">
        <f>SUMIFS([0]!VOTOS2,[0]!TURNO1,K$31,[0]!CANDIDATO1,$C159,[0]!MUNICIPIO1,$B$152)</f>
        <v>0</v>
      </c>
      <c r="L159" s="6">
        <f>SUMIFS([0]!VOTOS2,[0]!TURNO1,L$31,[0]!CANDIDATO1,$C159,[0]!MUNICIPIO1,$B$152)</f>
        <v>0</v>
      </c>
      <c r="M159" s="6">
        <f>SUMIFS([0]!VOTOS2,[0]!TURNO1,M$31,[0]!CANDIDATO1,$C159,[0]!MUNICIPIO1,$B$152)</f>
        <v>0</v>
      </c>
      <c r="N159" s="6">
        <f>SUMIFS([0]!VOTOS2,[0]!TURNO1,N$31,[0]!CANDIDATO1,$C159,[0]!MUNICIPIO1,$B$152)</f>
        <v>0</v>
      </c>
      <c r="O159" s="6">
        <f>SUMIFS([0]!VOTOS2,[0]!TURNO1,O$31,[0]!CANDIDATO1,$C159,[0]!MUNICIPIO1,$B$152)</f>
        <v>0</v>
      </c>
      <c r="P159" s="6">
        <f>SUMIFS([0]!VOTOS2,[0]!TURNO1,P$31,[0]!CANDIDATO1,$C159,[0]!MUNICIPIO1,$B$152)</f>
        <v>0</v>
      </c>
      <c r="Q159" s="6">
        <f>SUMIFS([0]!VOTOS2,[0]!TURNO1,Q$31,[0]!CANDIDATO1,$C159,[0]!MUNICIPIO1,$B$152)</f>
        <v>0</v>
      </c>
      <c r="R159" s="6">
        <f>SUMIFS([0]!VOTOS2,[0]!TURNO1,R$31,[0]!CANDIDATO1,$C159,[0]!MUNICIPIO1,$B$152)</f>
        <v>0</v>
      </c>
      <c r="S159" s="6">
        <f>SUMIFS([0]!VOTOS2,[0]!TURNO1,S$31,[0]!CANDIDATO1,$C159,[0]!MUNICIPIO1,$B$152)</f>
        <v>0</v>
      </c>
      <c r="T159" s="6">
        <f>SUMIFS([0]!VOTOS2,[0]!TURNO1,T$31,[0]!CANDIDATO1,$C159,[0]!MUNICIPIO1,$B$152)</f>
        <v>0</v>
      </c>
      <c r="U159" s="6">
        <f>SUMIFS([0]!VOTOS2,[0]!TURNO1,U$31,[0]!CANDIDATO1,$C159,[0]!MUNICIPIO1,$B$152)</f>
        <v>0</v>
      </c>
      <c r="V159" s="6">
        <f>SUMIFS([0]!VOTOS2,[0]!TURNO1,V$31,[0]!CANDIDATO1,$C159,[0]!MUNICIPIO1,$B$152)</f>
        <v>0</v>
      </c>
      <c r="W159" s="6">
        <f>SUMIFS([0]!VOTOS2,[0]!TURNO1,W$31,[0]!CANDIDATO1,$C159,[0]!MUNICIPIO1,$B$152)</f>
        <v>0</v>
      </c>
      <c r="X159" s="24"/>
      <c r="Y159" s="18" t="str">
        <f t="shared" si="343"/>
        <v>SANNIE CONTRERAS</v>
      </c>
      <c r="Z159" s="34">
        <f t="shared" si="344"/>
        <v>0</v>
      </c>
      <c r="AA159" s="34">
        <f t="shared" si="345"/>
        <v>0</v>
      </c>
      <c r="AB159" s="34" t="e">
        <f t="shared" ref="AB159:AR159" si="358">IF(SUM(G152:G164)=0,NA(),G159+AA159)</f>
        <v>#N/A</v>
      </c>
      <c r="AC159" s="34" t="e">
        <f t="shared" si="358"/>
        <v>#N/A</v>
      </c>
      <c r="AD159" s="34" t="e">
        <f t="shared" si="358"/>
        <v>#N/A</v>
      </c>
      <c r="AE159" s="34" t="e">
        <f t="shared" si="358"/>
        <v>#N/A</v>
      </c>
      <c r="AF159" s="34" t="e">
        <f t="shared" si="358"/>
        <v>#N/A</v>
      </c>
      <c r="AG159" s="34" t="e">
        <f t="shared" si="358"/>
        <v>#N/A</v>
      </c>
      <c r="AH159" s="34" t="e">
        <f t="shared" si="358"/>
        <v>#N/A</v>
      </c>
      <c r="AI159" s="34" t="e">
        <f t="shared" si="358"/>
        <v>#N/A</v>
      </c>
      <c r="AJ159" s="34" t="e">
        <f t="shared" si="358"/>
        <v>#N/A</v>
      </c>
      <c r="AK159" s="34" t="e">
        <f t="shared" si="358"/>
        <v>#N/A</v>
      </c>
      <c r="AL159" s="34" t="e">
        <f t="shared" si="358"/>
        <v>#N/A</v>
      </c>
      <c r="AM159" s="34" t="e">
        <f t="shared" si="358"/>
        <v>#N/A</v>
      </c>
      <c r="AN159" s="34" t="e">
        <f t="shared" si="358"/>
        <v>#N/A</v>
      </c>
      <c r="AO159" s="34" t="e">
        <f t="shared" si="358"/>
        <v>#N/A</v>
      </c>
      <c r="AP159" s="34" t="e">
        <f t="shared" si="358"/>
        <v>#N/A</v>
      </c>
      <c r="AQ159" s="34" t="e">
        <f t="shared" si="358"/>
        <v>#N/A</v>
      </c>
      <c r="AR159" s="34" t="e">
        <f t="shared" si="358"/>
        <v>#N/A</v>
      </c>
      <c r="AS159" s="27"/>
      <c r="AT159" s="41"/>
      <c r="AU159" s="41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30"/>
    </row>
    <row r="160" spans="1:66" ht="11.25" customHeight="1" x14ac:dyDescent="0.2">
      <c r="A160" s="37"/>
      <c r="B160" s="73"/>
      <c r="C160" s="56">
        <v>9</v>
      </c>
      <c r="D160" s="13" t="s">
        <v>153</v>
      </c>
      <c r="E160" s="16">
        <f t="shared" si="342"/>
        <v>0</v>
      </c>
      <c r="F160" s="6">
        <f>SUMIFS([0]!VOTOS2,[0]!TURNO1,F$31,[0]!CANDIDATO1,$C160,[0]!MUNICIPIO1,$B$152)</f>
        <v>0</v>
      </c>
      <c r="G160" s="6">
        <f>SUMIFS([0]!VOTOS2,[0]!TURNO1,G$31,[0]!CANDIDATO1,$C160,[0]!MUNICIPIO1,$B$152)</f>
        <v>0</v>
      </c>
      <c r="H160" s="6">
        <f>SUMIFS([0]!VOTOS2,[0]!TURNO1,H$31,[0]!CANDIDATO1,$C160,[0]!MUNICIPIO1,$B$152)</f>
        <v>0</v>
      </c>
      <c r="I160" s="6">
        <f>SUMIFS([0]!VOTOS2,[0]!TURNO1,I$31,[0]!CANDIDATO1,$C160,[0]!MUNICIPIO1,$B$152)</f>
        <v>0</v>
      </c>
      <c r="J160" s="6">
        <f>SUMIFS([0]!VOTOS2,[0]!TURNO1,J$31,[0]!CANDIDATO1,$C160,[0]!MUNICIPIO1,$B$152)</f>
        <v>0</v>
      </c>
      <c r="K160" s="6">
        <f>SUMIFS([0]!VOTOS2,[0]!TURNO1,K$31,[0]!CANDIDATO1,$C160,[0]!MUNICIPIO1,$B$152)</f>
        <v>0</v>
      </c>
      <c r="L160" s="6">
        <f>SUMIFS([0]!VOTOS2,[0]!TURNO1,L$31,[0]!CANDIDATO1,$C160,[0]!MUNICIPIO1,$B$152)</f>
        <v>0</v>
      </c>
      <c r="M160" s="6">
        <f>SUMIFS([0]!VOTOS2,[0]!TURNO1,M$31,[0]!CANDIDATO1,$C160,[0]!MUNICIPIO1,$B$152)</f>
        <v>0</v>
      </c>
      <c r="N160" s="6">
        <f>SUMIFS([0]!VOTOS2,[0]!TURNO1,N$31,[0]!CANDIDATO1,$C160,[0]!MUNICIPIO1,$B$152)</f>
        <v>0</v>
      </c>
      <c r="O160" s="6">
        <f>SUMIFS([0]!VOTOS2,[0]!TURNO1,O$31,[0]!CANDIDATO1,$C160,[0]!MUNICIPIO1,$B$152)</f>
        <v>0</v>
      </c>
      <c r="P160" s="6">
        <f>SUMIFS([0]!VOTOS2,[0]!TURNO1,P$31,[0]!CANDIDATO1,$C160,[0]!MUNICIPIO1,$B$152)</f>
        <v>0</v>
      </c>
      <c r="Q160" s="6">
        <f>SUMIFS([0]!VOTOS2,[0]!TURNO1,Q$31,[0]!CANDIDATO1,$C160,[0]!MUNICIPIO1,$B$152)</f>
        <v>0</v>
      </c>
      <c r="R160" s="6">
        <f>SUMIFS([0]!VOTOS2,[0]!TURNO1,R$31,[0]!CANDIDATO1,$C160,[0]!MUNICIPIO1,$B$152)</f>
        <v>0</v>
      </c>
      <c r="S160" s="6">
        <f>SUMIFS([0]!VOTOS2,[0]!TURNO1,S$31,[0]!CANDIDATO1,$C160,[0]!MUNICIPIO1,$B$152)</f>
        <v>0</v>
      </c>
      <c r="T160" s="6">
        <f>SUMIFS([0]!VOTOS2,[0]!TURNO1,T$31,[0]!CANDIDATO1,$C160,[0]!MUNICIPIO1,$B$152)</f>
        <v>0</v>
      </c>
      <c r="U160" s="6">
        <f>SUMIFS([0]!VOTOS2,[0]!TURNO1,U$31,[0]!CANDIDATO1,$C160,[0]!MUNICIPIO1,$B$152)</f>
        <v>0</v>
      </c>
      <c r="V160" s="6">
        <f>SUMIFS([0]!VOTOS2,[0]!TURNO1,V$31,[0]!CANDIDATO1,$C160,[0]!MUNICIPIO1,$B$152)</f>
        <v>0</v>
      </c>
      <c r="W160" s="6">
        <f>SUMIFS([0]!VOTOS2,[0]!TURNO1,W$31,[0]!CANDIDATO1,$C160,[0]!MUNICIPIO1,$B$152)</f>
        <v>0</v>
      </c>
      <c r="X160" s="24"/>
      <c r="Y160" s="18" t="str">
        <f t="shared" si="343"/>
        <v>EFREN RODRIGUEZ</v>
      </c>
      <c r="Z160" s="34">
        <f t="shared" si="344"/>
        <v>0</v>
      </c>
      <c r="AA160" s="34">
        <f t="shared" si="345"/>
        <v>0</v>
      </c>
      <c r="AB160" s="34" t="e">
        <f t="shared" ref="AB160:AR160" si="359">IF(SUM(G152:G164)=0,NA(),G160+AA160)</f>
        <v>#N/A</v>
      </c>
      <c r="AC160" s="34" t="e">
        <f t="shared" si="359"/>
        <v>#N/A</v>
      </c>
      <c r="AD160" s="34" t="e">
        <f t="shared" si="359"/>
        <v>#N/A</v>
      </c>
      <c r="AE160" s="34" t="e">
        <f t="shared" si="359"/>
        <v>#N/A</v>
      </c>
      <c r="AF160" s="34" t="e">
        <f t="shared" si="359"/>
        <v>#N/A</v>
      </c>
      <c r="AG160" s="34" t="e">
        <f t="shared" si="359"/>
        <v>#N/A</v>
      </c>
      <c r="AH160" s="34" t="e">
        <f t="shared" si="359"/>
        <v>#N/A</v>
      </c>
      <c r="AI160" s="34" t="e">
        <f t="shared" si="359"/>
        <v>#N/A</v>
      </c>
      <c r="AJ160" s="34" t="e">
        <f t="shared" si="359"/>
        <v>#N/A</v>
      </c>
      <c r="AK160" s="34" t="e">
        <f t="shared" si="359"/>
        <v>#N/A</v>
      </c>
      <c r="AL160" s="34" t="e">
        <f t="shared" si="359"/>
        <v>#N/A</v>
      </c>
      <c r="AM160" s="34" t="e">
        <f t="shared" si="359"/>
        <v>#N/A</v>
      </c>
      <c r="AN160" s="34" t="e">
        <f t="shared" si="359"/>
        <v>#N/A</v>
      </c>
      <c r="AO160" s="34" t="e">
        <f t="shared" si="359"/>
        <v>#N/A</v>
      </c>
      <c r="AP160" s="34" t="e">
        <f t="shared" si="359"/>
        <v>#N/A</v>
      </c>
      <c r="AQ160" s="34" t="e">
        <f t="shared" si="359"/>
        <v>#N/A</v>
      </c>
      <c r="AR160" s="34" t="e">
        <f t="shared" si="359"/>
        <v>#N/A</v>
      </c>
      <c r="AS160" s="27"/>
      <c r="AT160" s="41"/>
      <c r="AU160" s="41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30"/>
    </row>
    <row r="161" spans="1:66" ht="11.25" customHeight="1" x14ac:dyDescent="0.2">
      <c r="A161" s="42"/>
      <c r="B161" s="74"/>
      <c r="C161" s="33">
        <v>10</v>
      </c>
      <c r="D161" s="13" t="s">
        <v>154</v>
      </c>
      <c r="E161" s="16">
        <f t="shared" si="342"/>
        <v>0</v>
      </c>
      <c r="F161" s="6">
        <f>SUMIFS([0]!VOTOS2,[0]!TURNO1,F$31,[0]!CANDIDATO1,$C161,[0]!MUNICIPIO1,$B$152)</f>
        <v>0</v>
      </c>
      <c r="G161" s="6">
        <f>SUMIFS([0]!VOTOS2,[0]!TURNO1,G$31,[0]!CANDIDATO1,$C161,[0]!MUNICIPIO1,$B$152)</f>
        <v>0</v>
      </c>
      <c r="H161" s="6">
        <f>SUMIFS([0]!VOTOS2,[0]!TURNO1,H$31,[0]!CANDIDATO1,$C161,[0]!MUNICIPIO1,$B$152)</f>
        <v>0</v>
      </c>
      <c r="I161" s="6">
        <f>SUMIFS([0]!VOTOS2,[0]!TURNO1,I$31,[0]!CANDIDATO1,$C161,[0]!MUNICIPIO1,$B$152)</f>
        <v>0</v>
      </c>
      <c r="J161" s="6">
        <f>SUMIFS([0]!VOTOS2,[0]!TURNO1,J$31,[0]!CANDIDATO1,$C161,[0]!MUNICIPIO1,$B$152)</f>
        <v>0</v>
      </c>
      <c r="K161" s="6">
        <f>SUMIFS([0]!VOTOS2,[0]!TURNO1,K$31,[0]!CANDIDATO1,$C161,[0]!MUNICIPIO1,$B$152)</f>
        <v>0</v>
      </c>
      <c r="L161" s="6">
        <f>SUMIFS([0]!VOTOS2,[0]!TURNO1,L$31,[0]!CANDIDATO1,$C161,[0]!MUNICIPIO1,$B$152)</f>
        <v>0</v>
      </c>
      <c r="M161" s="6">
        <f>SUMIFS([0]!VOTOS2,[0]!TURNO1,M$31,[0]!CANDIDATO1,$C161,[0]!MUNICIPIO1,$B$152)</f>
        <v>0</v>
      </c>
      <c r="N161" s="6">
        <f>SUMIFS([0]!VOTOS2,[0]!TURNO1,N$31,[0]!CANDIDATO1,$C161,[0]!MUNICIPIO1,$B$152)</f>
        <v>0</v>
      </c>
      <c r="O161" s="6">
        <f>SUMIFS([0]!VOTOS2,[0]!TURNO1,O$31,[0]!CANDIDATO1,$C161,[0]!MUNICIPIO1,$B$152)</f>
        <v>0</v>
      </c>
      <c r="P161" s="6">
        <f>SUMIFS([0]!VOTOS2,[0]!TURNO1,P$31,[0]!CANDIDATO1,$C161,[0]!MUNICIPIO1,$B$152)</f>
        <v>0</v>
      </c>
      <c r="Q161" s="6">
        <f>SUMIFS([0]!VOTOS2,[0]!TURNO1,Q$31,[0]!CANDIDATO1,$C161,[0]!MUNICIPIO1,$B$152)</f>
        <v>0</v>
      </c>
      <c r="R161" s="6">
        <f>SUMIFS([0]!VOTOS2,[0]!TURNO1,R$31,[0]!CANDIDATO1,$C161,[0]!MUNICIPIO1,$B$152)</f>
        <v>0</v>
      </c>
      <c r="S161" s="6">
        <f>SUMIFS([0]!VOTOS2,[0]!TURNO1,S$31,[0]!CANDIDATO1,$C161,[0]!MUNICIPIO1,$B$152)</f>
        <v>0</v>
      </c>
      <c r="T161" s="6">
        <f>SUMIFS([0]!VOTOS2,[0]!TURNO1,T$31,[0]!CANDIDATO1,$C161,[0]!MUNICIPIO1,$B$152)</f>
        <v>0</v>
      </c>
      <c r="U161" s="6">
        <f>SUMIFS([0]!VOTOS2,[0]!TURNO1,U$31,[0]!CANDIDATO1,$C161,[0]!MUNICIPIO1,$B$152)</f>
        <v>0</v>
      </c>
      <c r="V161" s="6">
        <f>SUMIFS([0]!VOTOS2,[0]!TURNO1,V$31,[0]!CANDIDATO1,$C161,[0]!MUNICIPIO1,$B$152)</f>
        <v>0</v>
      </c>
      <c r="W161" s="6">
        <f>SUMIFS([0]!VOTOS2,[0]!TURNO1,W$31,[0]!CANDIDATO1,$C161,[0]!MUNICIPIO1,$B$152)</f>
        <v>0</v>
      </c>
      <c r="X161" s="24"/>
      <c r="Y161" s="18" t="str">
        <f t="shared" si="343"/>
        <v>REYES PADILLA</v>
      </c>
      <c r="Z161" s="34">
        <f t="shared" si="344"/>
        <v>0</v>
      </c>
      <c r="AA161" s="34">
        <f t="shared" si="345"/>
        <v>0</v>
      </c>
      <c r="AB161" s="34" t="e">
        <f t="shared" ref="AB161:AR161" si="360">IF(SUM(G152:G164)=0,NA(),G161+AA161)</f>
        <v>#N/A</v>
      </c>
      <c r="AC161" s="34" t="e">
        <f t="shared" si="360"/>
        <v>#N/A</v>
      </c>
      <c r="AD161" s="34" t="e">
        <f t="shared" si="360"/>
        <v>#N/A</v>
      </c>
      <c r="AE161" s="34" t="e">
        <f t="shared" si="360"/>
        <v>#N/A</v>
      </c>
      <c r="AF161" s="34" t="e">
        <f t="shared" si="360"/>
        <v>#N/A</v>
      </c>
      <c r="AG161" s="34" t="e">
        <f t="shared" si="360"/>
        <v>#N/A</v>
      </c>
      <c r="AH161" s="34" t="e">
        <f t="shared" si="360"/>
        <v>#N/A</v>
      </c>
      <c r="AI161" s="34" t="e">
        <f t="shared" si="360"/>
        <v>#N/A</v>
      </c>
      <c r="AJ161" s="34" t="e">
        <f t="shared" si="360"/>
        <v>#N/A</v>
      </c>
      <c r="AK161" s="34" t="e">
        <f t="shared" si="360"/>
        <v>#N/A</v>
      </c>
      <c r="AL161" s="34" t="e">
        <f t="shared" si="360"/>
        <v>#N/A</v>
      </c>
      <c r="AM161" s="34" t="e">
        <f t="shared" si="360"/>
        <v>#N/A</v>
      </c>
      <c r="AN161" s="34" t="e">
        <f t="shared" si="360"/>
        <v>#N/A</v>
      </c>
      <c r="AO161" s="34" t="e">
        <f t="shared" si="360"/>
        <v>#N/A</v>
      </c>
      <c r="AP161" s="34" t="e">
        <f t="shared" si="360"/>
        <v>#N/A</v>
      </c>
      <c r="AQ161" s="34" t="e">
        <f t="shared" si="360"/>
        <v>#N/A</v>
      </c>
      <c r="AR161" s="34" t="e">
        <f t="shared" si="360"/>
        <v>#N/A</v>
      </c>
      <c r="AS161" s="27"/>
      <c r="AT161" s="41"/>
      <c r="AU161" s="41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30"/>
    </row>
    <row r="162" spans="1:66" ht="11.25" customHeight="1" x14ac:dyDescent="0.2">
      <c r="A162" s="44"/>
      <c r="B162" s="54"/>
      <c r="C162" s="46">
        <v>11</v>
      </c>
      <c r="D162" s="14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24"/>
      <c r="Y162" s="18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27"/>
      <c r="AT162" s="41"/>
      <c r="AU162" s="41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30"/>
    </row>
    <row r="163" spans="1:66" ht="11.25" customHeight="1" x14ac:dyDescent="0.2">
      <c r="A163" s="44"/>
      <c r="B163" s="54"/>
      <c r="C163" s="46">
        <v>12</v>
      </c>
      <c r="D163" s="14" t="s">
        <v>121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24"/>
      <c r="Y163" s="18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27"/>
      <c r="AT163" s="41"/>
      <c r="AU163" s="41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30"/>
    </row>
    <row r="164" spans="1:66" ht="11.25" customHeight="1" x14ac:dyDescent="0.2">
      <c r="A164" s="44"/>
      <c r="B164" s="54"/>
      <c r="C164" s="46">
        <v>13</v>
      </c>
      <c r="D164" s="14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24"/>
      <c r="Y164" s="18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27"/>
      <c r="AT164" s="41"/>
      <c r="AU164" s="41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30"/>
    </row>
    <row r="165" spans="1:66" ht="11.25" customHeight="1" x14ac:dyDescent="0.2">
      <c r="D165" s="31" t="s">
        <v>76</v>
      </c>
      <c r="X165" s="24"/>
      <c r="Y165" s="19" t="s">
        <v>79</v>
      </c>
      <c r="Z165" s="34">
        <f t="shared" ref="Z165" si="361">SUM(Z154:Z164)</f>
        <v>0</v>
      </c>
      <c r="AA165" s="34">
        <f t="shared" ref="AA165" si="362">SUM(AA154:AA164)</f>
        <v>0</v>
      </c>
      <c r="AB165" s="34" t="e">
        <f t="shared" ref="AB165" si="363">SUM(AB154:AB164)</f>
        <v>#N/A</v>
      </c>
      <c r="AC165" s="34" t="e">
        <f t="shared" ref="AC165" si="364">SUM(AC154:AC164)</f>
        <v>#N/A</v>
      </c>
      <c r="AD165" s="34" t="e">
        <f t="shared" ref="AD165" si="365">SUM(AD154:AD164)</f>
        <v>#N/A</v>
      </c>
      <c r="AE165" s="34" t="e">
        <f t="shared" ref="AE165" si="366">SUM(AE154:AE164)</f>
        <v>#N/A</v>
      </c>
      <c r="AF165" s="34" t="e">
        <f t="shared" ref="AF165" si="367">SUM(AF154:AF164)</f>
        <v>#N/A</v>
      </c>
      <c r="AG165" s="34" t="e">
        <f t="shared" ref="AG165" si="368">SUM(AG154:AG164)</f>
        <v>#N/A</v>
      </c>
      <c r="AH165" s="34" t="e">
        <f t="shared" ref="AH165" si="369">SUM(AH154:AH164)</f>
        <v>#N/A</v>
      </c>
      <c r="AI165" s="34" t="e">
        <f t="shared" ref="AI165" si="370">SUM(AI154:AI164)</f>
        <v>#N/A</v>
      </c>
      <c r="AJ165" s="34" t="e">
        <f t="shared" ref="AJ165" si="371">SUM(AJ154:AJ164)</f>
        <v>#N/A</v>
      </c>
      <c r="AK165" s="34" t="e">
        <f t="shared" ref="AK165" si="372">SUM(AK154:AK164)</f>
        <v>#N/A</v>
      </c>
      <c r="AL165" s="34" t="e">
        <f t="shared" ref="AL165" si="373">SUM(AL154:AL164)</f>
        <v>#N/A</v>
      </c>
      <c r="AM165" s="34" t="e">
        <f t="shared" ref="AM165" si="374">SUM(AM154:AM164)</f>
        <v>#N/A</v>
      </c>
      <c r="AN165" s="34" t="e">
        <f t="shared" ref="AN165" si="375">SUM(AN154:AN164)</f>
        <v>#N/A</v>
      </c>
      <c r="AO165" s="34" t="e">
        <f t="shared" ref="AO165" si="376">SUM(AO154:AO164)</f>
        <v>#N/A</v>
      </c>
      <c r="AP165" s="34" t="e">
        <f t="shared" ref="AP165" si="377">SUM(AP154:AP164)</f>
        <v>#N/A</v>
      </c>
      <c r="AQ165" s="34" t="e">
        <f t="shared" ref="AQ165" si="378">SUM(AQ154:AQ164)</f>
        <v>#N/A</v>
      </c>
      <c r="AR165" s="34" t="e">
        <f t="shared" ref="AR165" si="379">SUM(AR154:AR164)</f>
        <v>#N/A</v>
      </c>
      <c r="AS165" s="27"/>
      <c r="AT165" s="41"/>
      <c r="AU165" s="41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30"/>
    </row>
    <row r="166" spans="1:66" ht="11.25" customHeight="1" x14ac:dyDescent="0.2">
      <c r="A166" s="82" t="s">
        <v>63</v>
      </c>
      <c r="B166" s="83"/>
      <c r="C166" s="47"/>
      <c r="D166" s="62" t="s">
        <v>75</v>
      </c>
      <c r="E166" s="49" t="s">
        <v>70</v>
      </c>
      <c r="F166" s="49">
        <v>0</v>
      </c>
      <c r="G166" s="49">
        <v>1</v>
      </c>
      <c r="H166" s="49">
        <v>2</v>
      </c>
      <c r="I166" s="49">
        <v>3</v>
      </c>
      <c r="J166" s="49">
        <v>4</v>
      </c>
      <c r="K166" s="49">
        <v>5</v>
      </c>
      <c r="L166" s="49">
        <v>6</v>
      </c>
      <c r="M166" s="49">
        <v>7</v>
      </c>
      <c r="N166" s="49">
        <v>8</v>
      </c>
      <c r="O166" s="49">
        <v>9</v>
      </c>
      <c r="P166" s="49">
        <v>10</v>
      </c>
      <c r="Q166" s="49">
        <v>11</v>
      </c>
      <c r="R166" s="49">
        <v>12</v>
      </c>
      <c r="S166" s="49">
        <v>13</v>
      </c>
      <c r="T166" s="49">
        <v>14</v>
      </c>
      <c r="U166" s="49">
        <v>15</v>
      </c>
      <c r="V166" s="49">
        <v>16</v>
      </c>
      <c r="W166" s="23">
        <v>17</v>
      </c>
      <c r="X166" s="24"/>
      <c r="Y166" s="17"/>
      <c r="Z166" s="25" t="s">
        <v>64</v>
      </c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7"/>
      <c r="AT166" s="28"/>
      <c r="AU166" s="28" t="s">
        <v>64</v>
      </c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30"/>
    </row>
    <row r="167" spans="1:66" ht="11.25" customHeight="1" x14ac:dyDescent="0.2">
      <c r="A167" s="37"/>
      <c r="B167" s="73">
        <v>12</v>
      </c>
      <c r="C167" s="51">
        <v>1</v>
      </c>
      <c r="D167" s="13" t="s">
        <v>155</v>
      </c>
      <c r="E167" s="16">
        <f t="shared" ref="E167:E173" si="380">SUM(F167:W167)</f>
        <v>8</v>
      </c>
      <c r="F167" s="16">
        <f>SUMIFS([0]!VOTOS2,[0]!TURNO1,F$31,[0]!CANDIDATO1,$C167,[0]!MUNICIPIO1,$B$167)</f>
        <v>8</v>
      </c>
      <c r="G167" s="16">
        <f>SUMIFS([0]!VOTOS2,[0]!TURNO1,G$31,[0]!CANDIDATO1,$C167,[0]!MUNICIPIO1,$B$167)</f>
        <v>0</v>
      </c>
      <c r="H167" s="16">
        <f>SUMIFS([0]!VOTOS2,[0]!TURNO1,H$31,[0]!CANDIDATO1,$C167,[0]!MUNICIPIO1,$B$167)</f>
        <v>0</v>
      </c>
      <c r="I167" s="16">
        <f>SUMIFS([0]!VOTOS2,[0]!TURNO1,I$31,[0]!CANDIDATO1,$C167,[0]!MUNICIPIO1,$B$167)</f>
        <v>0</v>
      </c>
      <c r="J167" s="16">
        <f>SUMIFS([0]!VOTOS2,[0]!TURNO1,J$31,[0]!CANDIDATO1,$C167,[0]!MUNICIPIO1,$B$167)</f>
        <v>0</v>
      </c>
      <c r="K167" s="16">
        <f>SUMIFS([0]!VOTOS2,[0]!TURNO1,K$31,[0]!CANDIDATO1,$C167,[0]!MUNICIPIO1,$B$167)</f>
        <v>0</v>
      </c>
      <c r="L167" s="16">
        <f>SUMIFS([0]!VOTOS2,[0]!TURNO1,L$31,[0]!CANDIDATO1,$C167,[0]!MUNICIPIO1,$B$167)</f>
        <v>0</v>
      </c>
      <c r="M167" s="16">
        <f>SUMIFS([0]!VOTOS2,[0]!TURNO1,M$31,[0]!CANDIDATO1,$C167,[0]!MUNICIPIO1,$B$167)</f>
        <v>0</v>
      </c>
      <c r="N167" s="16">
        <f>SUMIFS([0]!VOTOS2,[0]!TURNO1,N$31,[0]!CANDIDATO1,$C167,[0]!MUNICIPIO1,$B$167)</f>
        <v>0</v>
      </c>
      <c r="O167" s="16">
        <f>SUMIFS([0]!VOTOS2,[0]!TURNO1,O$31,[0]!CANDIDATO1,$C167,[0]!MUNICIPIO1,$B$167)</f>
        <v>0</v>
      </c>
      <c r="P167" s="16">
        <f>SUMIFS([0]!VOTOS2,[0]!TURNO1,P$31,[0]!CANDIDATO1,$C167,[0]!MUNICIPIO1,$B$167)</f>
        <v>0</v>
      </c>
      <c r="Q167" s="16">
        <f>SUMIFS([0]!VOTOS2,[0]!TURNO1,Q$31,[0]!CANDIDATO1,$C167,[0]!MUNICIPIO1,$B$167)</f>
        <v>0</v>
      </c>
      <c r="R167" s="16">
        <f>SUMIFS([0]!VOTOS2,[0]!TURNO1,R$31,[0]!CANDIDATO1,$C167,[0]!MUNICIPIO1,$B$167)</f>
        <v>0</v>
      </c>
      <c r="S167" s="16">
        <f>SUMIFS([0]!VOTOS2,[0]!TURNO1,S$31,[0]!CANDIDATO1,$C167,[0]!MUNICIPIO1,$B$167)</f>
        <v>0</v>
      </c>
      <c r="T167" s="16">
        <f>SUMIFS([0]!VOTOS2,[0]!TURNO1,T$31,[0]!CANDIDATO1,$C167,[0]!MUNICIPIO1,$B$167)</f>
        <v>0</v>
      </c>
      <c r="U167" s="16">
        <f>SUMIFS([0]!VOTOS2,[0]!TURNO1,U$31,[0]!CANDIDATO1,$C167,[0]!MUNICIPIO1,$B$167)</f>
        <v>0</v>
      </c>
      <c r="V167" s="16">
        <f>SUMIFS([0]!VOTOS2,[0]!TURNO1,V$31,[0]!CANDIDATO1,$C167,[0]!MUNICIPIO1,$B$167)</f>
        <v>0</v>
      </c>
      <c r="W167" s="16">
        <f>SUMIFS([0]!VOTOS2,[0]!TURNO1,W$31,[0]!CANDIDATO1,$C167,[0]!MUNICIPIO1,$B$167)</f>
        <v>0</v>
      </c>
      <c r="X167" s="24"/>
      <c r="Y167" s="18" t="str">
        <f t="shared" ref="Y167:Y173" si="381">D167</f>
        <v>MICHAEL REYES</v>
      </c>
      <c r="Z167" s="34">
        <f t="shared" ref="Z167:Z173" si="382">E167</f>
        <v>8</v>
      </c>
      <c r="AA167" s="34">
        <f t="shared" ref="AA167:AA173" si="383">F167</f>
        <v>8</v>
      </c>
      <c r="AB167" s="34" t="e">
        <f t="shared" ref="AB167:AR167" si="384">IF(SUM(G167:G179)=0,NA(),G167+AA167)</f>
        <v>#N/A</v>
      </c>
      <c r="AC167" s="34" t="e">
        <f t="shared" si="384"/>
        <v>#N/A</v>
      </c>
      <c r="AD167" s="34" t="e">
        <f t="shared" si="384"/>
        <v>#N/A</v>
      </c>
      <c r="AE167" s="34" t="e">
        <f t="shared" si="384"/>
        <v>#N/A</v>
      </c>
      <c r="AF167" s="34" t="e">
        <f t="shared" si="384"/>
        <v>#N/A</v>
      </c>
      <c r="AG167" s="34" t="e">
        <f t="shared" si="384"/>
        <v>#N/A</v>
      </c>
      <c r="AH167" s="34" t="e">
        <f t="shared" si="384"/>
        <v>#N/A</v>
      </c>
      <c r="AI167" s="34" t="e">
        <f t="shared" si="384"/>
        <v>#N/A</v>
      </c>
      <c r="AJ167" s="34" t="e">
        <f t="shared" si="384"/>
        <v>#N/A</v>
      </c>
      <c r="AK167" s="34" t="e">
        <f t="shared" si="384"/>
        <v>#N/A</v>
      </c>
      <c r="AL167" s="34" t="e">
        <f t="shared" si="384"/>
        <v>#N/A</v>
      </c>
      <c r="AM167" s="34" t="e">
        <f t="shared" si="384"/>
        <v>#N/A</v>
      </c>
      <c r="AN167" s="34" t="e">
        <f t="shared" si="384"/>
        <v>#N/A</v>
      </c>
      <c r="AO167" s="34" t="e">
        <f t="shared" si="384"/>
        <v>#N/A</v>
      </c>
      <c r="AP167" s="34" t="e">
        <f t="shared" si="384"/>
        <v>#N/A</v>
      </c>
      <c r="AQ167" s="34" t="e">
        <f t="shared" si="384"/>
        <v>#N/A</v>
      </c>
      <c r="AR167" s="34" t="e">
        <f t="shared" si="384"/>
        <v>#N/A</v>
      </c>
      <c r="AS167" s="27"/>
      <c r="AT167" s="35" t="str">
        <f t="shared" ref="AT167:AT168" si="385">Y167</f>
        <v>MICHAEL REYES</v>
      </c>
      <c r="AU167" s="36">
        <f t="shared" ref="AU167:BM167" si="386">Z167/(Z167+Z168+Z180)</f>
        <v>0.5</v>
      </c>
      <c r="AV167" s="36">
        <f t="shared" si="386"/>
        <v>0.5</v>
      </c>
      <c r="AW167" s="36" t="e">
        <f t="shared" si="386"/>
        <v>#N/A</v>
      </c>
      <c r="AX167" s="36" t="e">
        <f t="shared" si="386"/>
        <v>#N/A</v>
      </c>
      <c r="AY167" s="36" t="e">
        <f t="shared" si="386"/>
        <v>#N/A</v>
      </c>
      <c r="AZ167" s="36" t="e">
        <f t="shared" si="386"/>
        <v>#N/A</v>
      </c>
      <c r="BA167" s="36" t="e">
        <f t="shared" si="386"/>
        <v>#N/A</v>
      </c>
      <c r="BB167" s="36" t="e">
        <f t="shared" si="386"/>
        <v>#N/A</v>
      </c>
      <c r="BC167" s="36" t="e">
        <f t="shared" si="386"/>
        <v>#N/A</v>
      </c>
      <c r="BD167" s="36" t="e">
        <f t="shared" si="386"/>
        <v>#N/A</v>
      </c>
      <c r="BE167" s="36" t="e">
        <f t="shared" si="386"/>
        <v>#N/A</v>
      </c>
      <c r="BF167" s="36" t="e">
        <f t="shared" si="386"/>
        <v>#N/A</v>
      </c>
      <c r="BG167" s="36" t="e">
        <f t="shared" si="386"/>
        <v>#N/A</v>
      </c>
      <c r="BH167" s="36" t="e">
        <f t="shared" si="386"/>
        <v>#N/A</v>
      </c>
      <c r="BI167" s="36" t="e">
        <f t="shared" si="386"/>
        <v>#N/A</v>
      </c>
      <c r="BJ167" s="36" t="e">
        <f t="shared" si="386"/>
        <v>#N/A</v>
      </c>
      <c r="BK167" s="36" t="e">
        <f t="shared" si="386"/>
        <v>#N/A</v>
      </c>
      <c r="BL167" s="36" t="e">
        <f t="shared" si="386"/>
        <v>#N/A</v>
      </c>
      <c r="BM167" s="36" t="e">
        <f t="shared" si="386"/>
        <v>#N/A</v>
      </c>
      <c r="BN167" s="30"/>
    </row>
    <row r="168" spans="1:66" ht="11.25" customHeight="1" x14ac:dyDescent="0.2">
      <c r="A168" s="37"/>
      <c r="B168" s="73"/>
      <c r="C168" s="51">
        <v>2</v>
      </c>
      <c r="D168" s="13" t="s">
        <v>156</v>
      </c>
      <c r="E168" s="16">
        <f t="shared" si="380"/>
        <v>8</v>
      </c>
      <c r="F168" s="16">
        <f>SUMIFS([0]!VOTOS2,[0]!TURNO1,F$31,[0]!CANDIDATO1,$C168,[0]!MUNICIPIO1,$B$167)</f>
        <v>8</v>
      </c>
      <c r="G168" s="16">
        <f>SUMIFS([0]!VOTOS2,[0]!TURNO1,G$31,[0]!CANDIDATO1,$C168,[0]!MUNICIPIO1,$B$167)</f>
        <v>0</v>
      </c>
      <c r="H168" s="16">
        <f>SUMIFS([0]!VOTOS2,[0]!TURNO1,H$31,[0]!CANDIDATO1,$C168,[0]!MUNICIPIO1,$B$167)</f>
        <v>0</v>
      </c>
      <c r="I168" s="16">
        <f>SUMIFS([0]!VOTOS2,[0]!TURNO1,I$31,[0]!CANDIDATO1,$C168,[0]!MUNICIPIO1,$B$167)</f>
        <v>0</v>
      </c>
      <c r="J168" s="16">
        <f>SUMIFS([0]!VOTOS2,[0]!TURNO1,J$31,[0]!CANDIDATO1,$C168,[0]!MUNICIPIO1,$B$167)</f>
        <v>0</v>
      </c>
      <c r="K168" s="16">
        <f>SUMIFS([0]!VOTOS2,[0]!TURNO1,K$31,[0]!CANDIDATO1,$C168,[0]!MUNICIPIO1,$B$167)</f>
        <v>0</v>
      </c>
      <c r="L168" s="16">
        <f>SUMIFS([0]!VOTOS2,[0]!TURNO1,L$31,[0]!CANDIDATO1,$C168,[0]!MUNICIPIO1,$B$167)</f>
        <v>0</v>
      </c>
      <c r="M168" s="16">
        <f>SUMIFS([0]!VOTOS2,[0]!TURNO1,M$31,[0]!CANDIDATO1,$C168,[0]!MUNICIPIO1,$B$167)</f>
        <v>0</v>
      </c>
      <c r="N168" s="16">
        <f>SUMIFS([0]!VOTOS2,[0]!TURNO1,N$31,[0]!CANDIDATO1,$C168,[0]!MUNICIPIO1,$B$167)</f>
        <v>0</v>
      </c>
      <c r="O168" s="16">
        <f>SUMIFS([0]!VOTOS2,[0]!TURNO1,O$31,[0]!CANDIDATO1,$C168,[0]!MUNICIPIO1,$B$167)</f>
        <v>0</v>
      </c>
      <c r="P168" s="16">
        <f>SUMIFS([0]!VOTOS2,[0]!TURNO1,P$31,[0]!CANDIDATO1,$C168,[0]!MUNICIPIO1,$B$167)</f>
        <v>0</v>
      </c>
      <c r="Q168" s="16">
        <f>SUMIFS([0]!VOTOS2,[0]!TURNO1,Q$31,[0]!CANDIDATO1,$C168,[0]!MUNICIPIO1,$B$167)</f>
        <v>0</v>
      </c>
      <c r="R168" s="16">
        <f>SUMIFS([0]!VOTOS2,[0]!TURNO1,R$31,[0]!CANDIDATO1,$C168,[0]!MUNICIPIO1,$B$167)</f>
        <v>0</v>
      </c>
      <c r="S168" s="16">
        <f>SUMIFS([0]!VOTOS2,[0]!TURNO1,S$31,[0]!CANDIDATO1,$C168,[0]!MUNICIPIO1,$B$167)</f>
        <v>0</v>
      </c>
      <c r="T168" s="16">
        <f>SUMIFS([0]!VOTOS2,[0]!TURNO1,T$31,[0]!CANDIDATO1,$C168,[0]!MUNICIPIO1,$B$167)</f>
        <v>0</v>
      </c>
      <c r="U168" s="16">
        <f>SUMIFS([0]!VOTOS2,[0]!TURNO1,U$31,[0]!CANDIDATO1,$C168,[0]!MUNICIPIO1,$B$167)</f>
        <v>0</v>
      </c>
      <c r="V168" s="16">
        <f>SUMIFS([0]!VOTOS2,[0]!TURNO1,V$31,[0]!CANDIDATO1,$C168,[0]!MUNICIPIO1,$B$167)</f>
        <v>0</v>
      </c>
      <c r="W168" s="16">
        <f>SUMIFS([0]!VOTOS2,[0]!TURNO1,W$31,[0]!CANDIDATO1,$C168,[0]!MUNICIPIO1,$B$167)</f>
        <v>0</v>
      </c>
      <c r="X168" s="24"/>
      <c r="Y168" s="18" t="str">
        <f t="shared" si="381"/>
        <v>ALEXANDER RAMIREZ</v>
      </c>
      <c r="Z168" s="34">
        <f t="shared" si="382"/>
        <v>8</v>
      </c>
      <c r="AA168" s="34">
        <f t="shared" si="383"/>
        <v>8</v>
      </c>
      <c r="AB168" s="34" t="e">
        <f t="shared" ref="AB168:AR168" si="387">IF(SUM(G167:G179)=0,NA(),G168+AA168)</f>
        <v>#N/A</v>
      </c>
      <c r="AC168" s="34" t="e">
        <f t="shared" si="387"/>
        <v>#N/A</v>
      </c>
      <c r="AD168" s="34" t="e">
        <f t="shared" si="387"/>
        <v>#N/A</v>
      </c>
      <c r="AE168" s="34" t="e">
        <f t="shared" si="387"/>
        <v>#N/A</v>
      </c>
      <c r="AF168" s="34" t="e">
        <f t="shared" si="387"/>
        <v>#N/A</v>
      </c>
      <c r="AG168" s="34" t="e">
        <f t="shared" si="387"/>
        <v>#N/A</v>
      </c>
      <c r="AH168" s="34" t="e">
        <f t="shared" si="387"/>
        <v>#N/A</v>
      </c>
      <c r="AI168" s="34" t="e">
        <f t="shared" si="387"/>
        <v>#N/A</v>
      </c>
      <c r="AJ168" s="34" t="e">
        <f t="shared" si="387"/>
        <v>#N/A</v>
      </c>
      <c r="AK168" s="34" t="e">
        <f t="shared" si="387"/>
        <v>#N/A</v>
      </c>
      <c r="AL168" s="34" t="e">
        <f t="shared" si="387"/>
        <v>#N/A</v>
      </c>
      <c r="AM168" s="34" t="e">
        <f t="shared" si="387"/>
        <v>#N/A</v>
      </c>
      <c r="AN168" s="34" t="e">
        <f t="shared" si="387"/>
        <v>#N/A</v>
      </c>
      <c r="AO168" s="34" t="e">
        <f t="shared" si="387"/>
        <v>#N/A</v>
      </c>
      <c r="AP168" s="34" t="e">
        <f t="shared" si="387"/>
        <v>#N/A</v>
      </c>
      <c r="AQ168" s="34" t="e">
        <f t="shared" si="387"/>
        <v>#N/A</v>
      </c>
      <c r="AR168" s="34" t="e">
        <f t="shared" si="387"/>
        <v>#N/A</v>
      </c>
      <c r="AS168" s="27"/>
      <c r="AT168" s="35" t="str">
        <f t="shared" si="385"/>
        <v>ALEXANDER RAMIREZ</v>
      </c>
      <c r="AU168" s="36">
        <f t="shared" ref="AU168:BM168" si="388">Z168/(Z167+Z168+Z180)</f>
        <v>0.5</v>
      </c>
      <c r="AV168" s="36">
        <f t="shared" si="388"/>
        <v>0.5</v>
      </c>
      <c r="AW168" s="36" t="e">
        <f t="shared" si="388"/>
        <v>#N/A</v>
      </c>
      <c r="AX168" s="36" t="e">
        <f t="shared" si="388"/>
        <v>#N/A</v>
      </c>
      <c r="AY168" s="36" t="e">
        <f t="shared" si="388"/>
        <v>#N/A</v>
      </c>
      <c r="AZ168" s="36" t="e">
        <f t="shared" si="388"/>
        <v>#N/A</v>
      </c>
      <c r="BA168" s="36" t="e">
        <f t="shared" si="388"/>
        <v>#N/A</v>
      </c>
      <c r="BB168" s="36" t="e">
        <f t="shared" si="388"/>
        <v>#N/A</v>
      </c>
      <c r="BC168" s="36" t="e">
        <f t="shared" si="388"/>
        <v>#N/A</v>
      </c>
      <c r="BD168" s="36" t="e">
        <f t="shared" si="388"/>
        <v>#N/A</v>
      </c>
      <c r="BE168" s="36" t="e">
        <f t="shared" si="388"/>
        <v>#N/A</v>
      </c>
      <c r="BF168" s="36" t="e">
        <f t="shared" si="388"/>
        <v>#N/A</v>
      </c>
      <c r="BG168" s="36" t="e">
        <f t="shared" si="388"/>
        <v>#N/A</v>
      </c>
      <c r="BH168" s="36" t="e">
        <f t="shared" si="388"/>
        <v>#N/A</v>
      </c>
      <c r="BI168" s="36" t="e">
        <f t="shared" si="388"/>
        <v>#N/A</v>
      </c>
      <c r="BJ168" s="36" t="e">
        <f t="shared" si="388"/>
        <v>#N/A</v>
      </c>
      <c r="BK168" s="36" t="e">
        <f t="shared" si="388"/>
        <v>#N/A</v>
      </c>
      <c r="BL168" s="36" t="e">
        <f t="shared" si="388"/>
        <v>#N/A</v>
      </c>
      <c r="BM168" s="36" t="e">
        <f t="shared" si="388"/>
        <v>#N/A</v>
      </c>
      <c r="BN168" s="30"/>
    </row>
    <row r="169" spans="1:66" ht="11.25" customHeight="1" x14ac:dyDescent="0.2">
      <c r="A169" s="37"/>
      <c r="B169" s="73"/>
      <c r="C169" s="51">
        <v>3</v>
      </c>
      <c r="D169" s="13" t="s">
        <v>157</v>
      </c>
      <c r="E169" s="16">
        <f t="shared" si="380"/>
        <v>0</v>
      </c>
      <c r="F169" s="16">
        <f>SUMIFS([0]!VOTOS2,[0]!TURNO1,F$31,[0]!CANDIDATO1,$C169,[0]!MUNICIPIO1,$B$167)</f>
        <v>0</v>
      </c>
      <c r="G169" s="16">
        <f>SUMIFS([0]!VOTOS2,[0]!TURNO1,G$31,[0]!CANDIDATO1,$C169,[0]!MUNICIPIO1,$B$167)</f>
        <v>0</v>
      </c>
      <c r="H169" s="16">
        <f>SUMIFS([0]!VOTOS2,[0]!TURNO1,H$31,[0]!CANDIDATO1,$C169,[0]!MUNICIPIO1,$B$167)</f>
        <v>0</v>
      </c>
      <c r="I169" s="16">
        <f>SUMIFS([0]!VOTOS2,[0]!TURNO1,I$31,[0]!CANDIDATO1,$C169,[0]!MUNICIPIO1,$B$167)</f>
        <v>0</v>
      </c>
      <c r="J169" s="16">
        <f>SUMIFS([0]!VOTOS2,[0]!TURNO1,J$31,[0]!CANDIDATO1,$C169,[0]!MUNICIPIO1,$B$167)</f>
        <v>0</v>
      </c>
      <c r="K169" s="16">
        <f>SUMIFS([0]!VOTOS2,[0]!TURNO1,K$31,[0]!CANDIDATO1,$C169,[0]!MUNICIPIO1,$B$167)</f>
        <v>0</v>
      </c>
      <c r="L169" s="16">
        <f>SUMIFS([0]!VOTOS2,[0]!TURNO1,L$31,[0]!CANDIDATO1,$C169,[0]!MUNICIPIO1,$B$167)</f>
        <v>0</v>
      </c>
      <c r="M169" s="16">
        <f>SUMIFS([0]!VOTOS2,[0]!TURNO1,M$31,[0]!CANDIDATO1,$C169,[0]!MUNICIPIO1,$B$167)</f>
        <v>0</v>
      </c>
      <c r="N169" s="16">
        <f>SUMIFS([0]!VOTOS2,[0]!TURNO1,N$31,[0]!CANDIDATO1,$C169,[0]!MUNICIPIO1,$B$167)</f>
        <v>0</v>
      </c>
      <c r="O169" s="16">
        <f>SUMIFS([0]!VOTOS2,[0]!TURNO1,O$31,[0]!CANDIDATO1,$C169,[0]!MUNICIPIO1,$B$167)</f>
        <v>0</v>
      </c>
      <c r="P169" s="16">
        <f>SUMIFS([0]!VOTOS2,[0]!TURNO1,P$31,[0]!CANDIDATO1,$C169,[0]!MUNICIPIO1,$B$167)</f>
        <v>0</v>
      </c>
      <c r="Q169" s="16">
        <f>SUMIFS([0]!VOTOS2,[0]!TURNO1,Q$31,[0]!CANDIDATO1,$C169,[0]!MUNICIPIO1,$B$167)</f>
        <v>0</v>
      </c>
      <c r="R169" s="16">
        <f>SUMIFS([0]!VOTOS2,[0]!TURNO1,R$31,[0]!CANDIDATO1,$C169,[0]!MUNICIPIO1,$B$167)</f>
        <v>0</v>
      </c>
      <c r="S169" s="16">
        <f>SUMIFS([0]!VOTOS2,[0]!TURNO1,S$31,[0]!CANDIDATO1,$C169,[0]!MUNICIPIO1,$B$167)</f>
        <v>0</v>
      </c>
      <c r="T169" s="16">
        <f>SUMIFS([0]!VOTOS2,[0]!TURNO1,T$31,[0]!CANDIDATO1,$C169,[0]!MUNICIPIO1,$B$167)</f>
        <v>0</v>
      </c>
      <c r="U169" s="16">
        <f>SUMIFS([0]!VOTOS2,[0]!TURNO1,U$31,[0]!CANDIDATO1,$C169,[0]!MUNICIPIO1,$B$167)</f>
        <v>0</v>
      </c>
      <c r="V169" s="16">
        <f>SUMIFS([0]!VOTOS2,[0]!TURNO1,V$31,[0]!CANDIDATO1,$C169,[0]!MUNICIPIO1,$B$167)</f>
        <v>0</v>
      </c>
      <c r="W169" s="16">
        <f>SUMIFS([0]!VOTOS2,[0]!TURNO1,W$31,[0]!CANDIDATO1,$C169,[0]!MUNICIPIO1,$B$167)</f>
        <v>0</v>
      </c>
      <c r="X169" s="24"/>
      <c r="Y169" s="18" t="str">
        <f t="shared" si="381"/>
        <v>FARES ASFOUR</v>
      </c>
      <c r="Z169" s="34">
        <f t="shared" si="382"/>
        <v>0</v>
      </c>
      <c r="AA169" s="34">
        <f t="shared" si="383"/>
        <v>0</v>
      </c>
      <c r="AB169" s="34" t="e">
        <f t="shared" ref="AB169:AR169" si="389">IF(SUM(G167:G179)=0,NA(),G169+AA169)</f>
        <v>#N/A</v>
      </c>
      <c r="AC169" s="34" t="e">
        <f t="shared" si="389"/>
        <v>#N/A</v>
      </c>
      <c r="AD169" s="34" t="e">
        <f t="shared" si="389"/>
        <v>#N/A</v>
      </c>
      <c r="AE169" s="34" t="e">
        <f t="shared" si="389"/>
        <v>#N/A</v>
      </c>
      <c r="AF169" s="34" t="e">
        <f t="shared" si="389"/>
        <v>#N/A</v>
      </c>
      <c r="AG169" s="34" t="e">
        <f t="shared" si="389"/>
        <v>#N/A</v>
      </c>
      <c r="AH169" s="34" t="e">
        <f t="shared" si="389"/>
        <v>#N/A</v>
      </c>
      <c r="AI169" s="34" t="e">
        <f t="shared" si="389"/>
        <v>#N/A</v>
      </c>
      <c r="AJ169" s="34" t="e">
        <f t="shared" si="389"/>
        <v>#N/A</v>
      </c>
      <c r="AK169" s="34" t="e">
        <f t="shared" si="389"/>
        <v>#N/A</v>
      </c>
      <c r="AL169" s="34" t="e">
        <f t="shared" si="389"/>
        <v>#N/A</v>
      </c>
      <c r="AM169" s="34" t="e">
        <f t="shared" si="389"/>
        <v>#N/A</v>
      </c>
      <c r="AN169" s="34" t="e">
        <f t="shared" si="389"/>
        <v>#N/A</v>
      </c>
      <c r="AO169" s="34" t="e">
        <f t="shared" si="389"/>
        <v>#N/A</v>
      </c>
      <c r="AP169" s="34" t="e">
        <f t="shared" si="389"/>
        <v>#N/A</v>
      </c>
      <c r="AQ169" s="34" t="e">
        <f t="shared" si="389"/>
        <v>#N/A</v>
      </c>
      <c r="AR169" s="34" t="e">
        <f t="shared" si="389"/>
        <v>#N/A</v>
      </c>
      <c r="AS169" s="27"/>
      <c r="AT169" s="35" t="str">
        <f t="shared" ref="AT169" si="390">Y180</f>
        <v>Otros</v>
      </c>
      <c r="AU169" s="36">
        <f t="shared" ref="AU169:BM169" si="391">Z180/(Z167+Z168+Z180)</f>
        <v>0</v>
      </c>
      <c r="AV169" s="36">
        <f t="shared" si="391"/>
        <v>0</v>
      </c>
      <c r="AW169" s="36" t="e">
        <f t="shared" si="391"/>
        <v>#N/A</v>
      </c>
      <c r="AX169" s="36" t="e">
        <f t="shared" si="391"/>
        <v>#N/A</v>
      </c>
      <c r="AY169" s="36" t="e">
        <f t="shared" si="391"/>
        <v>#N/A</v>
      </c>
      <c r="AZ169" s="36" t="e">
        <f t="shared" si="391"/>
        <v>#N/A</v>
      </c>
      <c r="BA169" s="36" t="e">
        <f t="shared" si="391"/>
        <v>#N/A</v>
      </c>
      <c r="BB169" s="36" t="e">
        <f t="shared" si="391"/>
        <v>#N/A</v>
      </c>
      <c r="BC169" s="36" t="e">
        <f t="shared" si="391"/>
        <v>#N/A</v>
      </c>
      <c r="BD169" s="36" t="e">
        <f t="shared" si="391"/>
        <v>#N/A</v>
      </c>
      <c r="BE169" s="36" t="e">
        <f t="shared" si="391"/>
        <v>#N/A</v>
      </c>
      <c r="BF169" s="36" t="e">
        <f t="shared" si="391"/>
        <v>#N/A</v>
      </c>
      <c r="BG169" s="36" t="e">
        <f t="shared" si="391"/>
        <v>#N/A</v>
      </c>
      <c r="BH169" s="36" t="e">
        <f t="shared" si="391"/>
        <v>#N/A</v>
      </c>
      <c r="BI169" s="36" t="e">
        <f t="shared" si="391"/>
        <v>#N/A</v>
      </c>
      <c r="BJ169" s="36" t="e">
        <f t="shared" si="391"/>
        <v>#N/A</v>
      </c>
      <c r="BK169" s="36" t="e">
        <f t="shared" si="391"/>
        <v>#N/A</v>
      </c>
      <c r="BL169" s="36" t="e">
        <f t="shared" si="391"/>
        <v>#N/A</v>
      </c>
      <c r="BM169" s="36" t="e">
        <f t="shared" si="391"/>
        <v>#N/A</v>
      </c>
      <c r="BN169" s="30"/>
    </row>
    <row r="170" spans="1:66" ht="11.25" customHeight="1" x14ac:dyDescent="0.2">
      <c r="A170" s="38" t="s">
        <v>10</v>
      </c>
      <c r="B170" s="73"/>
      <c r="C170" s="51">
        <v>4</v>
      </c>
      <c r="D170" s="13" t="s">
        <v>158</v>
      </c>
      <c r="E170" s="16">
        <f t="shared" si="380"/>
        <v>0</v>
      </c>
      <c r="F170" s="16">
        <f>SUMIFS([0]!VOTOS2,[0]!TURNO1,F$31,[0]!CANDIDATO1,$C170,[0]!MUNICIPIO1,$B$167)</f>
        <v>0</v>
      </c>
      <c r="G170" s="16">
        <f>SUMIFS([0]!VOTOS2,[0]!TURNO1,G$31,[0]!CANDIDATO1,$C170,[0]!MUNICIPIO1,$B$167)</f>
        <v>0</v>
      </c>
      <c r="H170" s="16">
        <f>SUMIFS([0]!VOTOS2,[0]!TURNO1,H$31,[0]!CANDIDATO1,$C170,[0]!MUNICIPIO1,$B$167)</f>
        <v>0</v>
      </c>
      <c r="I170" s="16">
        <f>SUMIFS([0]!VOTOS2,[0]!TURNO1,I$31,[0]!CANDIDATO1,$C170,[0]!MUNICIPIO1,$B$167)</f>
        <v>0</v>
      </c>
      <c r="J170" s="16">
        <f>SUMIFS([0]!VOTOS2,[0]!TURNO1,J$31,[0]!CANDIDATO1,$C170,[0]!MUNICIPIO1,$B$167)</f>
        <v>0</v>
      </c>
      <c r="K170" s="16">
        <f>SUMIFS([0]!VOTOS2,[0]!TURNO1,K$31,[0]!CANDIDATO1,$C170,[0]!MUNICIPIO1,$B$167)</f>
        <v>0</v>
      </c>
      <c r="L170" s="16">
        <f>SUMIFS([0]!VOTOS2,[0]!TURNO1,L$31,[0]!CANDIDATO1,$C170,[0]!MUNICIPIO1,$B$167)</f>
        <v>0</v>
      </c>
      <c r="M170" s="16">
        <f>SUMIFS([0]!VOTOS2,[0]!TURNO1,M$31,[0]!CANDIDATO1,$C170,[0]!MUNICIPIO1,$B$167)</f>
        <v>0</v>
      </c>
      <c r="N170" s="16">
        <f>SUMIFS([0]!VOTOS2,[0]!TURNO1,N$31,[0]!CANDIDATO1,$C170,[0]!MUNICIPIO1,$B$167)</f>
        <v>0</v>
      </c>
      <c r="O170" s="16">
        <f>SUMIFS([0]!VOTOS2,[0]!TURNO1,O$31,[0]!CANDIDATO1,$C170,[0]!MUNICIPIO1,$B$167)</f>
        <v>0</v>
      </c>
      <c r="P170" s="16">
        <f>SUMIFS([0]!VOTOS2,[0]!TURNO1,P$31,[0]!CANDIDATO1,$C170,[0]!MUNICIPIO1,$B$167)</f>
        <v>0</v>
      </c>
      <c r="Q170" s="16">
        <f>SUMIFS([0]!VOTOS2,[0]!TURNO1,Q$31,[0]!CANDIDATO1,$C170,[0]!MUNICIPIO1,$B$167)</f>
        <v>0</v>
      </c>
      <c r="R170" s="16">
        <f>SUMIFS([0]!VOTOS2,[0]!TURNO1,R$31,[0]!CANDIDATO1,$C170,[0]!MUNICIPIO1,$B$167)</f>
        <v>0</v>
      </c>
      <c r="S170" s="16">
        <f>SUMIFS([0]!VOTOS2,[0]!TURNO1,S$31,[0]!CANDIDATO1,$C170,[0]!MUNICIPIO1,$B$167)</f>
        <v>0</v>
      </c>
      <c r="T170" s="16">
        <f>SUMIFS([0]!VOTOS2,[0]!TURNO1,T$31,[0]!CANDIDATO1,$C170,[0]!MUNICIPIO1,$B$167)</f>
        <v>0</v>
      </c>
      <c r="U170" s="16">
        <f>SUMIFS([0]!VOTOS2,[0]!TURNO1,U$31,[0]!CANDIDATO1,$C170,[0]!MUNICIPIO1,$B$167)</f>
        <v>0</v>
      </c>
      <c r="V170" s="16">
        <f>SUMIFS([0]!VOTOS2,[0]!TURNO1,V$31,[0]!CANDIDATO1,$C170,[0]!MUNICIPIO1,$B$167)</f>
        <v>0</v>
      </c>
      <c r="W170" s="16">
        <f>SUMIFS([0]!VOTOS2,[0]!TURNO1,W$31,[0]!CANDIDATO1,$C170,[0]!MUNICIPIO1,$B$167)</f>
        <v>0</v>
      </c>
      <c r="X170" s="24"/>
      <c r="Y170" s="18" t="str">
        <f t="shared" si="381"/>
        <v>EDWUARD IZQUIER</v>
      </c>
      <c r="Z170" s="34">
        <f t="shared" si="382"/>
        <v>0</v>
      </c>
      <c r="AA170" s="34">
        <f t="shared" si="383"/>
        <v>0</v>
      </c>
      <c r="AB170" s="34" t="e">
        <f t="shared" ref="AB170:AR170" si="392">IF(SUM(G167:G179)=0,NA(),G170+AA170)</f>
        <v>#N/A</v>
      </c>
      <c r="AC170" s="34" t="e">
        <f t="shared" si="392"/>
        <v>#N/A</v>
      </c>
      <c r="AD170" s="34" t="e">
        <f t="shared" si="392"/>
        <v>#N/A</v>
      </c>
      <c r="AE170" s="34" t="e">
        <f t="shared" si="392"/>
        <v>#N/A</v>
      </c>
      <c r="AF170" s="34" t="e">
        <f t="shared" si="392"/>
        <v>#N/A</v>
      </c>
      <c r="AG170" s="34" t="e">
        <f t="shared" si="392"/>
        <v>#N/A</v>
      </c>
      <c r="AH170" s="34" t="e">
        <f t="shared" si="392"/>
        <v>#N/A</v>
      </c>
      <c r="AI170" s="34" t="e">
        <f t="shared" si="392"/>
        <v>#N/A</v>
      </c>
      <c r="AJ170" s="34" t="e">
        <f t="shared" si="392"/>
        <v>#N/A</v>
      </c>
      <c r="AK170" s="34" t="e">
        <f t="shared" si="392"/>
        <v>#N/A</v>
      </c>
      <c r="AL170" s="34" t="e">
        <f t="shared" si="392"/>
        <v>#N/A</v>
      </c>
      <c r="AM170" s="34" t="e">
        <f t="shared" si="392"/>
        <v>#N/A</v>
      </c>
      <c r="AN170" s="34" t="e">
        <f t="shared" si="392"/>
        <v>#N/A</v>
      </c>
      <c r="AO170" s="34" t="e">
        <f t="shared" si="392"/>
        <v>#N/A</v>
      </c>
      <c r="AP170" s="34" t="e">
        <f t="shared" si="392"/>
        <v>#N/A</v>
      </c>
      <c r="AQ170" s="34" t="e">
        <f t="shared" si="392"/>
        <v>#N/A</v>
      </c>
      <c r="AR170" s="34" t="e">
        <f t="shared" si="392"/>
        <v>#N/A</v>
      </c>
      <c r="AS170" s="27"/>
      <c r="AT170" s="39"/>
      <c r="AU170" s="39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30"/>
    </row>
    <row r="171" spans="1:66" ht="11.25" customHeight="1" x14ac:dyDescent="0.2">
      <c r="A171" s="38" t="s">
        <v>15</v>
      </c>
      <c r="B171" s="73"/>
      <c r="C171" s="51">
        <v>5</v>
      </c>
      <c r="D171" s="13" t="s">
        <v>159</v>
      </c>
      <c r="E171" s="16">
        <f t="shared" si="380"/>
        <v>0</v>
      </c>
      <c r="F171" s="16">
        <f>SUMIFS([0]!VOTOS2,[0]!TURNO1,F$31,[0]!CANDIDATO1,$C171,[0]!MUNICIPIO1,$B$167)</f>
        <v>0</v>
      </c>
      <c r="G171" s="16">
        <f>SUMIFS([0]!VOTOS2,[0]!TURNO1,G$31,[0]!CANDIDATO1,$C171,[0]!MUNICIPIO1,$B$167)</f>
        <v>0</v>
      </c>
      <c r="H171" s="16">
        <f>SUMIFS([0]!VOTOS2,[0]!TURNO1,H$31,[0]!CANDIDATO1,$C171,[0]!MUNICIPIO1,$B$167)</f>
        <v>0</v>
      </c>
      <c r="I171" s="16">
        <f>SUMIFS([0]!VOTOS2,[0]!TURNO1,I$31,[0]!CANDIDATO1,$C171,[0]!MUNICIPIO1,$B$167)</f>
        <v>0</v>
      </c>
      <c r="J171" s="16">
        <f>SUMIFS([0]!VOTOS2,[0]!TURNO1,J$31,[0]!CANDIDATO1,$C171,[0]!MUNICIPIO1,$B$167)</f>
        <v>0</v>
      </c>
      <c r="K171" s="16">
        <f>SUMIFS([0]!VOTOS2,[0]!TURNO1,K$31,[0]!CANDIDATO1,$C171,[0]!MUNICIPIO1,$B$167)</f>
        <v>0</v>
      </c>
      <c r="L171" s="16">
        <f>SUMIFS([0]!VOTOS2,[0]!TURNO1,L$31,[0]!CANDIDATO1,$C171,[0]!MUNICIPIO1,$B$167)</f>
        <v>0</v>
      </c>
      <c r="M171" s="16">
        <f>SUMIFS([0]!VOTOS2,[0]!TURNO1,M$31,[0]!CANDIDATO1,$C171,[0]!MUNICIPIO1,$B$167)</f>
        <v>0</v>
      </c>
      <c r="N171" s="16">
        <f>SUMIFS([0]!VOTOS2,[0]!TURNO1,N$31,[0]!CANDIDATO1,$C171,[0]!MUNICIPIO1,$B$167)</f>
        <v>0</v>
      </c>
      <c r="O171" s="16">
        <f>SUMIFS([0]!VOTOS2,[0]!TURNO1,O$31,[0]!CANDIDATO1,$C171,[0]!MUNICIPIO1,$B$167)</f>
        <v>0</v>
      </c>
      <c r="P171" s="16">
        <f>SUMIFS([0]!VOTOS2,[0]!TURNO1,P$31,[0]!CANDIDATO1,$C171,[0]!MUNICIPIO1,$B$167)</f>
        <v>0</v>
      </c>
      <c r="Q171" s="16">
        <f>SUMIFS([0]!VOTOS2,[0]!TURNO1,Q$31,[0]!CANDIDATO1,$C171,[0]!MUNICIPIO1,$B$167)</f>
        <v>0</v>
      </c>
      <c r="R171" s="16">
        <f>SUMIFS([0]!VOTOS2,[0]!TURNO1,R$31,[0]!CANDIDATO1,$C171,[0]!MUNICIPIO1,$B$167)</f>
        <v>0</v>
      </c>
      <c r="S171" s="16">
        <f>SUMIFS([0]!VOTOS2,[0]!TURNO1,S$31,[0]!CANDIDATO1,$C171,[0]!MUNICIPIO1,$B$167)</f>
        <v>0</v>
      </c>
      <c r="T171" s="16">
        <f>SUMIFS([0]!VOTOS2,[0]!TURNO1,T$31,[0]!CANDIDATO1,$C171,[0]!MUNICIPIO1,$B$167)</f>
        <v>0</v>
      </c>
      <c r="U171" s="16">
        <f>SUMIFS([0]!VOTOS2,[0]!TURNO1,U$31,[0]!CANDIDATO1,$C171,[0]!MUNICIPIO1,$B$167)</f>
        <v>0</v>
      </c>
      <c r="V171" s="16">
        <f>SUMIFS([0]!VOTOS2,[0]!TURNO1,V$31,[0]!CANDIDATO1,$C171,[0]!MUNICIPIO1,$B$167)</f>
        <v>0</v>
      </c>
      <c r="W171" s="16">
        <f>SUMIFS([0]!VOTOS2,[0]!TURNO1,W$31,[0]!CANDIDATO1,$C171,[0]!MUNICIPIO1,$B$167)</f>
        <v>0</v>
      </c>
      <c r="X171" s="24"/>
      <c r="Y171" s="18" t="str">
        <f t="shared" si="381"/>
        <v>LUIS VELAZQUEZ</v>
      </c>
      <c r="Z171" s="34">
        <f t="shared" si="382"/>
        <v>0</v>
      </c>
      <c r="AA171" s="34">
        <f t="shared" si="383"/>
        <v>0</v>
      </c>
      <c r="AB171" s="34" t="e">
        <f t="shared" ref="AB171:AR171" si="393">IF(SUM(G167:G179)=0,NA(),G171+AA171)</f>
        <v>#N/A</v>
      </c>
      <c r="AC171" s="34" t="e">
        <f t="shared" si="393"/>
        <v>#N/A</v>
      </c>
      <c r="AD171" s="34" t="e">
        <f t="shared" si="393"/>
        <v>#N/A</v>
      </c>
      <c r="AE171" s="34" t="e">
        <f t="shared" si="393"/>
        <v>#N/A</v>
      </c>
      <c r="AF171" s="34" t="e">
        <f t="shared" si="393"/>
        <v>#N/A</v>
      </c>
      <c r="AG171" s="34" t="e">
        <f t="shared" si="393"/>
        <v>#N/A</v>
      </c>
      <c r="AH171" s="34" t="e">
        <f t="shared" si="393"/>
        <v>#N/A</v>
      </c>
      <c r="AI171" s="34" t="e">
        <f t="shared" si="393"/>
        <v>#N/A</v>
      </c>
      <c r="AJ171" s="34" t="e">
        <f t="shared" si="393"/>
        <v>#N/A</v>
      </c>
      <c r="AK171" s="34" t="e">
        <f t="shared" si="393"/>
        <v>#N/A</v>
      </c>
      <c r="AL171" s="34" t="e">
        <f t="shared" si="393"/>
        <v>#N/A</v>
      </c>
      <c r="AM171" s="34" t="e">
        <f t="shared" si="393"/>
        <v>#N/A</v>
      </c>
      <c r="AN171" s="34" t="e">
        <f t="shared" si="393"/>
        <v>#N/A</v>
      </c>
      <c r="AO171" s="34" t="e">
        <f t="shared" si="393"/>
        <v>#N/A</v>
      </c>
      <c r="AP171" s="34" t="e">
        <f t="shared" si="393"/>
        <v>#N/A</v>
      </c>
      <c r="AQ171" s="34" t="e">
        <f t="shared" si="393"/>
        <v>#N/A</v>
      </c>
      <c r="AR171" s="34" t="e">
        <f t="shared" si="393"/>
        <v>#N/A</v>
      </c>
      <c r="AS171" s="27"/>
      <c r="AT171" s="39"/>
      <c r="AU171" s="39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30"/>
    </row>
    <row r="172" spans="1:66" ht="11.25" customHeight="1" x14ac:dyDescent="0.2">
      <c r="A172" s="37"/>
      <c r="B172" s="73"/>
      <c r="C172" s="51">
        <v>6</v>
      </c>
      <c r="D172" s="13" t="s">
        <v>160</v>
      </c>
      <c r="E172" s="16">
        <f t="shared" si="380"/>
        <v>0</v>
      </c>
      <c r="F172" s="16">
        <f>SUMIFS([0]!VOTOS2,[0]!TURNO1,F$31,[0]!CANDIDATO1,$C172,[0]!MUNICIPIO1,$B$167)</f>
        <v>0</v>
      </c>
      <c r="G172" s="16">
        <f>SUMIFS([0]!VOTOS2,[0]!TURNO1,G$31,[0]!CANDIDATO1,$C172,[0]!MUNICIPIO1,$B$167)</f>
        <v>0</v>
      </c>
      <c r="H172" s="16">
        <f>SUMIFS([0]!VOTOS2,[0]!TURNO1,H$31,[0]!CANDIDATO1,$C172,[0]!MUNICIPIO1,$B$167)</f>
        <v>0</v>
      </c>
      <c r="I172" s="16">
        <f>SUMIFS([0]!VOTOS2,[0]!TURNO1,I$31,[0]!CANDIDATO1,$C172,[0]!MUNICIPIO1,$B$167)</f>
        <v>0</v>
      </c>
      <c r="J172" s="16">
        <f>SUMIFS([0]!VOTOS2,[0]!TURNO1,J$31,[0]!CANDIDATO1,$C172,[0]!MUNICIPIO1,$B$167)</f>
        <v>0</v>
      </c>
      <c r="K172" s="16">
        <f>SUMIFS([0]!VOTOS2,[0]!TURNO1,K$31,[0]!CANDIDATO1,$C172,[0]!MUNICIPIO1,$B$167)</f>
        <v>0</v>
      </c>
      <c r="L172" s="16">
        <f>SUMIFS([0]!VOTOS2,[0]!TURNO1,L$31,[0]!CANDIDATO1,$C172,[0]!MUNICIPIO1,$B$167)</f>
        <v>0</v>
      </c>
      <c r="M172" s="16">
        <f>SUMIFS([0]!VOTOS2,[0]!TURNO1,M$31,[0]!CANDIDATO1,$C172,[0]!MUNICIPIO1,$B$167)</f>
        <v>0</v>
      </c>
      <c r="N172" s="16">
        <f>SUMIFS([0]!VOTOS2,[0]!TURNO1,N$31,[0]!CANDIDATO1,$C172,[0]!MUNICIPIO1,$B$167)</f>
        <v>0</v>
      </c>
      <c r="O172" s="16">
        <f>SUMIFS([0]!VOTOS2,[0]!TURNO1,O$31,[0]!CANDIDATO1,$C172,[0]!MUNICIPIO1,$B$167)</f>
        <v>0</v>
      </c>
      <c r="P172" s="16">
        <f>SUMIFS([0]!VOTOS2,[0]!TURNO1,P$31,[0]!CANDIDATO1,$C172,[0]!MUNICIPIO1,$B$167)</f>
        <v>0</v>
      </c>
      <c r="Q172" s="16">
        <f>SUMIFS([0]!VOTOS2,[0]!TURNO1,Q$31,[0]!CANDIDATO1,$C172,[0]!MUNICIPIO1,$B$167)</f>
        <v>0</v>
      </c>
      <c r="R172" s="16">
        <f>SUMIFS([0]!VOTOS2,[0]!TURNO1,R$31,[0]!CANDIDATO1,$C172,[0]!MUNICIPIO1,$B$167)</f>
        <v>0</v>
      </c>
      <c r="S172" s="16">
        <f>SUMIFS([0]!VOTOS2,[0]!TURNO1,S$31,[0]!CANDIDATO1,$C172,[0]!MUNICIPIO1,$B$167)</f>
        <v>0</v>
      </c>
      <c r="T172" s="16">
        <f>SUMIFS([0]!VOTOS2,[0]!TURNO1,T$31,[0]!CANDIDATO1,$C172,[0]!MUNICIPIO1,$B$167)</f>
        <v>0</v>
      </c>
      <c r="U172" s="16">
        <f>SUMIFS([0]!VOTOS2,[0]!TURNO1,U$31,[0]!CANDIDATO1,$C172,[0]!MUNICIPIO1,$B$167)</f>
        <v>0</v>
      </c>
      <c r="V172" s="16">
        <f>SUMIFS([0]!VOTOS2,[0]!TURNO1,V$31,[0]!CANDIDATO1,$C172,[0]!MUNICIPIO1,$B$167)</f>
        <v>0</v>
      </c>
      <c r="W172" s="16">
        <f>SUMIFS([0]!VOTOS2,[0]!TURNO1,W$31,[0]!CANDIDATO1,$C172,[0]!MUNICIPIO1,$B$167)</f>
        <v>0</v>
      </c>
      <c r="X172" s="24"/>
      <c r="Y172" s="18" t="str">
        <f t="shared" si="381"/>
        <v>ARMANDO CORONADO</v>
      </c>
      <c r="Z172" s="34">
        <f t="shared" si="382"/>
        <v>0</v>
      </c>
      <c r="AA172" s="34">
        <f t="shared" si="383"/>
        <v>0</v>
      </c>
      <c r="AB172" s="34" t="e">
        <f t="shared" ref="AB172:AR172" si="394">IF(SUM(G167:G179)=0,NA(),G172+AA172)</f>
        <v>#N/A</v>
      </c>
      <c r="AC172" s="34" t="e">
        <f t="shared" si="394"/>
        <v>#N/A</v>
      </c>
      <c r="AD172" s="34" t="e">
        <f t="shared" si="394"/>
        <v>#N/A</v>
      </c>
      <c r="AE172" s="34" t="e">
        <f t="shared" si="394"/>
        <v>#N/A</v>
      </c>
      <c r="AF172" s="34" t="e">
        <f t="shared" si="394"/>
        <v>#N/A</v>
      </c>
      <c r="AG172" s="34" t="e">
        <f t="shared" si="394"/>
        <v>#N/A</v>
      </c>
      <c r="AH172" s="34" t="e">
        <f t="shared" si="394"/>
        <v>#N/A</v>
      </c>
      <c r="AI172" s="34" t="e">
        <f t="shared" si="394"/>
        <v>#N/A</v>
      </c>
      <c r="AJ172" s="34" t="e">
        <f t="shared" si="394"/>
        <v>#N/A</v>
      </c>
      <c r="AK172" s="34" t="e">
        <f t="shared" si="394"/>
        <v>#N/A</v>
      </c>
      <c r="AL172" s="34" t="e">
        <f t="shared" si="394"/>
        <v>#N/A</v>
      </c>
      <c r="AM172" s="34" t="e">
        <f t="shared" si="394"/>
        <v>#N/A</v>
      </c>
      <c r="AN172" s="34" t="e">
        <f t="shared" si="394"/>
        <v>#N/A</v>
      </c>
      <c r="AO172" s="34" t="e">
        <f t="shared" si="394"/>
        <v>#N/A</v>
      </c>
      <c r="AP172" s="34" t="e">
        <f t="shared" si="394"/>
        <v>#N/A</v>
      </c>
      <c r="AQ172" s="34" t="e">
        <f t="shared" si="394"/>
        <v>#N/A</v>
      </c>
      <c r="AR172" s="34" t="e">
        <f t="shared" si="394"/>
        <v>#N/A</v>
      </c>
      <c r="AS172" s="27"/>
      <c r="AT172" s="39"/>
      <c r="AU172" s="39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30"/>
    </row>
    <row r="173" spans="1:66" ht="11.25" customHeight="1" x14ac:dyDescent="0.2">
      <c r="A173" s="42"/>
      <c r="B173" s="74"/>
      <c r="C173" s="51">
        <v>7</v>
      </c>
      <c r="D173" s="13" t="s">
        <v>161</v>
      </c>
      <c r="E173" s="16">
        <f t="shared" si="380"/>
        <v>0</v>
      </c>
      <c r="F173" s="16">
        <f>SUMIFS([0]!VOTOS2,[0]!TURNO1,F$31,[0]!CANDIDATO1,$C173,[0]!MUNICIPIO1,$B$167)</f>
        <v>0</v>
      </c>
      <c r="G173" s="16">
        <f>SUMIFS([0]!VOTOS2,[0]!TURNO1,G$31,[0]!CANDIDATO1,$C173,[0]!MUNICIPIO1,$B$167)</f>
        <v>0</v>
      </c>
      <c r="H173" s="16">
        <f>SUMIFS([0]!VOTOS2,[0]!TURNO1,H$31,[0]!CANDIDATO1,$C173,[0]!MUNICIPIO1,$B$167)</f>
        <v>0</v>
      </c>
      <c r="I173" s="16">
        <f>SUMIFS([0]!VOTOS2,[0]!TURNO1,I$31,[0]!CANDIDATO1,$C173,[0]!MUNICIPIO1,$B$167)</f>
        <v>0</v>
      </c>
      <c r="J173" s="16">
        <f>SUMIFS([0]!VOTOS2,[0]!TURNO1,J$31,[0]!CANDIDATO1,$C173,[0]!MUNICIPIO1,$B$167)</f>
        <v>0</v>
      </c>
      <c r="K173" s="16">
        <f>SUMIFS([0]!VOTOS2,[0]!TURNO1,K$31,[0]!CANDIDATO1,$C173,[0]!MUNICIPIO1,$B$167)</f>
        <v>0</v>
      </c>
      <c r="L173" s="16">
        <f>SUMIFS([0]!VOTOS2,[0]!TURNO1,L$31,[0]!CANDIDATO1,$C173,[0]!MUNICIPIO1,$B$167)</f>
        <v>0</v>
      </c>
      <c r="M173" s="16">
        <f>SUMIFS([0]!VOTOS2,[0]!TURNO1,M$31,[0]!CANDIDATO1,$C173,[0]!MUNICIPIO1,$B$167)</f>
        <v>0</v>
      </c>
      <c r="N173" s="16">
        <f>SUMIFS([0]!VOTOS2,[0]!TURNO1,N$31,[0]!CANDIDATO1,$C173,[0]!MUNICIPIO1,$B$167)</f>
        <v>0</v>
      </c>
      <c r="O173" s="16">
        <f>SUMIFS([0]!VOTOS2,[0]!TURNO1,O$31,[0]!CANDIDATO1,$C173,[0]!MUNICIPIO1,$B$167)</f>
        <v>0</v>
      </c>
      <c r="P173" s="16">
        <f>SUMIFS([0]!VOTOS2,[0]!TURNO1,P$31,[0]!CANDIDATO1,$C173,[0]!MUNICIPIO1,$B$167)</f>
        <v>0</v>
      </c>
      <c r="Q173" s="16">
        <f>SUMIFS([0]!VOTOS2,[0]!TURNO1,Q$31,[0]!CANDIDATO1,$C173,[0]!MUNICIPIO1,$B$167)</f>
        <v>0</v>
      </c>
      <c r="R173" s="16">
        <f>SUMIFS([0]!VOTOS2,[0]!TURNO1,R$31,[0]!CANDIDATO1,$C173,[0]!MUNICIPIO1,$B$167)</f>
        <v>0</v>
      </c>
      <c r="S173" s="16">
        <f>SUMIFS([0]!VOTOS2,[0]!TURNO1,S$31,[0]!CANDIDATO1,$C173,[0]!MUNICIPIO1,$B$167)</f>
        <v>0</v>
      </c>
      <c r="T173" s="16">
        <f>SUMIFS([0]!VOTOS2,[0]!TURNO1,T$31,[0]!CANDIDATO1,$C173,[0]!MUNICIPIO1,$B$167)</f>
        <v>0</v>
      </c>
      <c r="U173" s="16">
        <f>SUMIFS([0]!VOTOS2,[0]!TURNO1,U$31,[0]!CANDIDATO1,$C173,[0]!MUNICIPIO1,$B$167)</f>
        <v>0</v>
      </c>
      <c r="V173" s="16">
        <f>SUMIFS([0]!VOTOS2,[0]!TURNO1,V$31,[0]!CANDIDATO1,$C173,[0]!MUNICIPIO1,$B$167)</f>
        <v>0</v>
      </c>
      <c r="W173" s="16">
        <f>SUMIFS([0]!VOTOS2,[0]!TURNO1,W$31,[0]!CANDIDATO1,$C173,[0]!MUNICIPIO1,$B$167)</f>
        <v>0</v>
      </c>
      <c r="X173" s="24"/>
      <c r="Y173" s="18" t="str">
        <f t="shared" si="381"/>
        <v>ALBERTO SALAZAR</v>
      </c>
      <c r="Z173" s="34">
        <f t="shared" si="382"/>
        <v>0</v>
      </c>
      <c r="AA173" s="34">
        <f t="shared" si="383"/>
        <v>0</v>
      </c>
      <c r="AB173" s="34" t="e">
        <f t="shared" ref="AB173:AR173" si="395">IF(SUM(G167:G179)=0,NA(),G173+AA173)</f>
        <v>#N/A</v>
      </c>
      <c r="AC173" s="34" t="e">
        <f t="shared" si="395"/>
        <v>#N/A</v>
      </c>
      <c r="AD173" s="34" t="e">
        <f t="shared" si="395"/>
        <v>#N/A</v>
      </c>
      <c r="AE173" s="34" t="e">
        <f t="shared" si="395"/>
        <v>#N/A</v>
      </c>
      <c r="AF173" s="34" t="e">
        <f t="shared" si="395"/>
        <v>#N/A</v>
      </c>
      <c r="AG173" s="34" t="e">
        <f t="shared" si="395"/>
        <v>#N/A</v>
      </c>
      <c r="AH173" s="34" t="e">
        <f t="shared" si="395"/>
        <v>#N/A</v>
      </c>
      <c r="AI173" s="34" t="e">
        <f t="shared" si="395"/>
        <v>#N/A</v>
      </c>
      <c r="AJ173" s="34" t="e">
        <f t="shared" si="395"/>
        <v>#N/A</v>
      </c>
      <c r="AK173" s="34" t="e">
        <f t="shared" si="395"/>
        <v>#N/A</v>
      </c>
      <c r="AL173" s="34" t="e">
        <f t="shared" si="395"/>
        <v>#N/A</v>
      </c>
      <c r="AM173" s="34" t="e">
        <f t="shared" si="395"/>
        <v>#N/A</v>
      </c>
      <c r="AN173" s="34" t="e">
        <f t="shared" si="395"/>
        <v>#N/A</v>
      </c>
      <c r="AO173" s="34" t="e">
        <f t="shared" si="395"/>
        <v>#N/A</v>
      </c>
      <c r="AP173" s="34" t="e">
        <f t="shared" si="395"/>
        <v>#N/A</v>
      </c>
      <c r="AQ173" s="34" t="e">
        <f t="shared" si="395"/>
        <v>#N/A</v>
      </c>
      <c r="AR173" s="34" t="e">
        <f t="shared" si="395"/>
        <v>#N/A</v>
      </c>
      <c r="AS173" s="27"/>
      <c r="AT173" s="39"/>
      <c r="AU173" s="39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30"/>
    </row>
    <row r="174" spans="1:66" ht="11.25" customHeight="1" x14ac:dyDescent="0.2">
      <c r="A174" s="44"/>
      <c r="B174" s="54"/>
      <c r="C174" s="46">
        <v>8</v>
      </c>
      <c r="D174" s="14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24"/>
      <c r="Y174" s="18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27"/>
      <c r="AT174" s="41"/>
      <c r="AU174" s="41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30"/>
    </row>
    <row r="175" spans="1:66" ht="11.25" customHeight="1" x14ac:dyDescent="0.2">
      <c r="A175" s="44"/>
      <c r="B175" s="54"/>
      <c r="C175" s="46">
        <v>9</v>
      </c>
      <c r="D175" s="14" t="s">
        <v>121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24"/>
      <c r="Y175" s="18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27"/>
      <c r="AT175" s="41"/>
      <c r="AU175" s="41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30"/>
    </row>
    <row r="176" spans="1:66" ht="11.25" customHeight="1" x14ac:dyDescent="0.2">
      <c r="A176" s="44"/>
      <c r="B176" s="54"/>
      <c r="C176" s="46">
        <v>10</v>
      </c>
      <c r="D176" s="14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24"/>
      <c r="Y176" s="18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27"/>
      <c r="AT176" s="41"/>
      <c r="AU176" s="41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30"/>
    </row>
    <row r="177" spans="1:66" ht="11.25" customHeight="1" x14ac:dyDescent="0.2">
      <c r="A177" s="44"/>
      <c r="B177" s="54"/>
      <c r="C177" s="46">
        <v>11</v>
      </c>
      <c r="D177" s="14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24"/>
      <c r="Y177" s="18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27"/>
      <c r="AT177" s="41"/>
      <c r="AU177" s="41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30"/>
    </row>
    <row r="178" spans="1:66" ht="11.25" customHeight="1" x14ac:dyDescent="0.2">
      <c r="A178" s="44"/>
      <c r="B178" s="54"/>
      <c r="C178" s="46">
        <v>12</v>
      </c>
      <c r="D178" s="14" t="s">
        <v>121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24"/>
      <c r="Y178" s="18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27"/>
      <c r="AT178" s="41"/>
      <c r="AU178" s="41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30"/>
    </row>
    <row r="179" spans="1:66" ht="11.25" customHeight="1" x14ac:dyDescent="0.2">
      <c r="A179" s="44"/>
      <c r="B179" s="54"/>
      <c r="C179" s="46">
        <v>13</v>
      </c>
      <c r="D179" s="14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24"/>
      <c r="Y179" s="18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27"/>
      <c r="AT179" s="41"/>
      <c r="AU179" s="41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30"/>
    </row>
    <row r="180" spans="1:66" ht="11.25" customHeight="1" x14ac:dyDescent="0.2">
      <c r="D180" s="31" t="s">
        <v>76</v>
      </c>
      <c r="X180" s="24"/>
      <c r="Y180" s="19" t="s">
        <v>79</v>
      </c>
      <c r="Z180" s="34">
        <f t="shared" ref="Z180" si="396">SUM(Z169:Z179)</f>
        <v>0</v>
      </c>
      <c r="AA180" s="34">
        <f t="shared" ref="AA180" si="397">SUM(AA169:AA179)</f>
        <v>0</v>
      </c>
      <c r="AB180" s="34" t="e">
        <f t="shared" ref="AB180" si="398">SUM(AB169:AB179)</f>
        <v>#N/A</v>
      </c>
      <c r="AC180" s="34" t="e">
        <f t="shared" ref="AC180" si="399">SUM(AC169:AC179)</f>
        <v>#N/A</v>
      </c>
      <c r="AD180" s="34" t="e">
        <f t="shared" ref="AD180" si="400">SUM(AD169:AD179)</f>
        <v>#N/A</v>
      </c>
      <c r="AE180" s="34" t="e">
        <f t="shared" ref="AE180" si="401">SUM(AE169:AE179)</f>
        <v>#N/A</v>
      </c>
      <c r="AF180" s="34" t="e">
        <f t="shared" ref="AF180" si="402">SUM(AF169:AF179)</f>
        <v>#N/A</v>
      </c>
      <c r="AG180" s="34" t="e">
        <f t="shared" ref="AG180" si="403">SUM(AG169:AG179)</f>
        <v>#N/A</v>
      </c>
      <c r="AH180" s="34" t="e">
        <f t="shared" ref="AH180" si="404">SUM(AH169:AH179)</f>
        <v>#N/A</v>
      </c>
      <c r="AI180" s="34" t="e">
        <f t="shared" ref="AI180" si="405">SUM(AI169:AI179)</f>
        <v>#N/A</v>
      </c>
      <c r="AJ180" s="34" t="e">
        <f t="shared" ref="AJ180" si="406">SUM(AJ169:AJ179)</f>
        <v>#N/A</v>
      </c>
      <c r="AK180" s="34" t="e">
        <f t="shared" ref="AK180" si="407">SUM(AK169:AK179)</f>
        <v>#N/A</v>
      </c>
      <c r="AL180" s="34" t="e">
        <f t="shared" ref="AL180" si="408">SUM(AL169:AL179)</f>
        <v>#N/A</v>
      </c>
      <c r="AM180" s="34" t="e">
        <f t="shared" ref="AM180" si="409">SUM(AM169:AM179)</f>
        <v>#N/A</v>
      </c>
      <c r="AN180" s="34" t="e">
        <f t="shared" ref="AN180" si="410">SUM(AN169:AN179)</f>
        <v>#N/A</v>
      </c>
      <c r="AO180" s="34" t="e">
        <f t="shared" ref="AO180" si="411">SUM(AO169:AO179)</f>
        <v>#N/A</v>
      </c>
      <c r="AP180" s="34" t="e">
        <f t="shared" ref="AP180" si="412">SUM(AP169:AP179)</f>
        <v>#N/A</v>
      </c>
      <c r="AQ180" s="34" t="e">
        <f t="shared" ref="AQ180" si="413">SUM(AQ169:AQ179)</f>
        <v>#N/A</v>
      </c>
      <c r="AR180" s="34" t="e">
        <f t="shared" ref="AR180" si="414">SUM(AR169:AR179)</f>
        <v>#N/A</v>
      </c>
      <c r="AS180" s="27"/>
      <c r="AT180" s="41"/>
      <c r="AU180" s="41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30"/>
    </row>
    <row r="181" spans="1:66" ht="11.25" customHeight="1" x14ac:dyDescent="0.2">
      <c r="A181" s="75" t="s">
        <v>63</v>
      </c>
      <c r="B181" s="76"/>
      <c r="C181" s="47"/>
      <c r="D181" s="48" t="s">
        <v>75</v>
      </c>
      <c r="E181" s="49" t="s">
        <v>70</v>
      </c>
      <c r="F181" s="49">
        <v>0</v>
      </c>
      <c r="G181" s="49">
        <v>1</v>
      </c>
      <c r="H181" s="49">
        <v>2</v>
      </c>
      <c r="I181" s="49">
        <v>3</v>
      </c>
      <c r="J181" s="49">
        <v>4</v>
      </c>
      <c r="K181" s="49">
        <v>5</v>
      </c>
      <c r="L181" s="49">
        <v>6</v>
      </c>
      <c r="M181" s="49">
        <v>7</v>
      </c>
      <c r="N181" s="49">
        <v>8</v>
      </c>
      <c r="O181" s="49">
        <v>9</v>
      </c>
      <c r="P181" s="49">
        <v>10</v>
      </c>
      <c r="Q181" s="49">
        <v>11</v>
      </c>
      <c r="R181" s="49">
        <v>12</v>
      </c>
      <c r="S181" s="49">
        <v>13</v>
      </c>
      <c r="T181" s="49">
        <v>14</v>
      </c>
      <c r="U181" s="49">
        <v>15</v>
      </c>
      <c r="V181" s="49">
        <v>16</v>
      </c>
      <c r="W181" s="23">
        <v>17</v>
      </c>
      <c r="X181" s="24"/>
      <c r="Y181" s="17"/>
      <c r="Z181" s="25" t="s">
        <v>64</v>
      </c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7"/>
      <c r="AT181" s="28"/>
      <c r="AU181" s="28" t="s">
        <v>64</v>
      </c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30"/>
    </row>
    <row r="182" spans="1:66" ht="11.25" customHeight="1" x14ac:dyDescent="0.2">
      <c r="A182" s="32"/>
      <c r="B182" s="72">
        <v>13</v>
      </c>
      <c r="C182" s="56">
        <v>1</v>
      </c>
      <c r="D182" s="12" t="s">
        <v>162</v>
      </c>
      <c r="E182" s="16">
        <f t="shared" ref="E182:E188" si="415">SUM(F182:W182)</f>
        <v>571</v>
      </c>
      <c r="F182" s="6">
        <f>SUMIFS([0]!VOTOS2,[0]!TURNO1,F$31,[0]!CANDIDATO1,$C182,[0]!MUNICIPIO1,$B$182)</f>
        <v>8</v>
      </c>
      <c r="G182" s="6">
        <f>SUMIFS([0]!VOTOS2,[0]!TURNO1,G$31,[0]!CANDIDATO1,$C182,[0]!MUNICIPIO1,$B$182)</f>
        <v>32</v>
      </c>
      <c r="H182" s="6">
        <f>SUMIFS([0]!VOTOS2,[0]!TURNO1,H$31,[0]!CANDIDATO1,$C182,[0]!MUNICIPIO1,$B$182)</f>
        <v>68</v>
      </c>
      <c r="I182" s="6">
        <f>SUMIFS([0]!VOTOS2,[0]!TURNO1,I$31,[0]!CANDIDATO1,$C182,[0]!MUNICIPIO1,$B$182)</f>
        <v>89</v>
      </c>
      <c r="J182" s="6">
        <f>SUMIFS([0]!VOTOS2,[0]!TURNO1,J$31,[0]!CANDIDATO1,$C182,[0]!MUNICIPIO1,$B$182)</f>
        <v>85</v>
      </c>
      <c r="K182" s="6">
        <f>SUMIFS([0]!VOTOS2,[0]!TURNO1,K$31,[0]!CANDIDATO1,$C182,[0]!MUNICIPIO1,$B$182)</f>
        <v>69</v>
      </c>
      <c r="L182" s="6">
        <f>SUMIFS([0]!VOTOS2,[0]!TURNO1,L$31,[0]!CANDIDATO1,$C182,[0]!MUNICIPIO1,$B$182)</f>
        <v>63</v>
      </c>
      <c r="M182" s="6">
        <f>SUMIFS([0]!VOTOS2,[0]!TURNO1,M$31,[0]!CANDIDATO1,$C182,[0]!MUNICIPIO1,$B$182)</f>
        <v>44</v>
      </c>
      <c r="N182" s="6">
        <f>SUMIFS([0]!VOTOS2,[0]!TURNO1,N$31,[0]!CANDIDATO1,$C182,[0]!MUNICIPIO1,$B$182)</f>
        <v>72</v>
      </c>
      <c r="O182" s="6">
        <f>SUMIFS([0]!VOTOS2,[0]!TURNO1,O$31,[0]!CANDIDATO1,$C182,[0]!MUNICIPIO1,$B$182)</f>
        <v>41</v>
      </c>
      <c r="P182" s="6">
        <f>SUMIFS([0]!VOTOS2,[0]!TURNO1,P$31,[0]!CANDIDATO1,$C182,[0]!MUNICIPIO1,$B$182)</f>
        <v>0</v>
      </c>
      <c r="Q182" s="6">
        <f>SUMIFS([0]!VOTOS2,[0]!TURNO1,Q$31,[0]!CANDIDATO1,$C182,[0]!MUNICIPIO1,$B$182)</f>
        <v>0</v>
      </c>
      <c r="R182" s="6">
        <f>SUMIFS([0]!VOTOS2,[0]!TURNO1,R$31,[0]!CANDIDATO1,$C182,[0]!MUNICIPIO1,$B$182)</f>
        <v>0</v>
      </c>
      <c r="S182" s="6">
        <f>SUMIFS([0]!VOTOS2,[0]!TURNO1,S$31,[0]!CANDIDATO1,$C182,[0]!MUNICIPIO1,$B$182)</f>
        <v>0</v>
      </c>
      <c r="T182" s="6">
        <f>SUMIFS([0]!VOTOS2,[0]!TURNO1,T$31,[0]!CANDIDATO1,$C182,[0]!MUNICIPIO1,$B$182)</f>
        <v>0</v>
      </c>
      <c r="U182" s="6">
        <f>SUMIFS([0]!VOTOS2,[0]!TURNO1,U$31,[0]!CANDIDATO1,$C182,[0]!MUNICIPIO1,$B$182)</f>
        <v>0</v>
      </c>
      <c r="V182" s="6">
        <f>SUMIFS([0]!VOTOS2,[0]!TURNO1,V$31,[0]!CANDIDATO1,$C182,[0]!MUNICIPIO1,$B$182)</f>
        <v>0</v>
      </c>
      <c r="W182" s="6">
        <f>SUMIFS([0]!VOTOS2,[0]!TURNO1,W$31,[0]!CANDIDATO1,$C182,[0]!MUNICIPIO1,$B$182)</f>
        <v>0</v>
      </c>
      <c r="X182" s="24"/>
      <c r="Y182" s="18" t="str">
        <f t="shared" ref="Y182:Y188" si="416">D182</f>
        <v>EDGARDO RAMIREZ</v>
      </c>
      <c r="Z182" s="34">
        <f t="shared" ref="Z182:Z188" si="417">E182</f>
        <v>571</v>
      </c>
      <c r="AA182" s="34">
        <f t="shared" ref="AA182:AA188" si="418">F182</f>
        <v>8</v>
      </c>
      <c r="AB182" s="34">
        <f t="shared" ref="AB182:AR182" si="419">IF(SUM(G182:G194)=0,NA(),G182+AA182)</f>
        <v>40</v>
      </c>
      <c r="AC182" s="34">
        <f t="shared" si="419"/>
        <v>108</v>
      </c>
      <c r="AD182" s="34">
        <f t="shared" si="419"/>
        <v>197</v>
      </c>
      <c r="AE182" s="34">
        <f t="shared" si="419"/>
        <v>282</v>
      </c>
      <c r="AF182" s="34">
        <f t="shared" si="419"/>
        <v>351</v>
      </c>
      <c r="AG182" s="34">
        <f t="shared" si="419"/>
        <v>414</v>
      </c>
      <c r="AH182" s="34">
        <f t="shared" si="419"/>
        <v>458</v>
      </c>
      <c r="AI182" s="34">
        <f t="shared" si="419"/>
        <v>530</v>
      </c>
      <c r="AJ182" s="34">
        <f t="shared" si="419"/>
        <v>571</v>
      </c>
      <c r="AK182" s="34" t="e">
        <f t="shared" si="419"/>
        <v>#N/A</v>
      </c>
      <c r="AL182" s="34" t="e">
        <f t="shared" si="419"/>
        <v>#N/A</v>
      </c>
      <c r="AM182" s="34" t="e">
        <f t="shared" si="419"/>
        <v>#N/A</v>
      </c>
      <c r="AN182" s="34" t="e">
        <f t="shared" si="419"/>
        <v>#N/A</v>
      </c>
      <c r="AO182" s="34" t="e">
        <f t="shared" si="419"/>
        <v>#N/A</v>
      </c>
      <c r="AP182" s="34" t="e">
        <f t="shared" si="419"/>
        <v>#N/A</v>
      </c>
      <c r="AQ182" s="34" t="e">
        <f t="shared" si="419"/>
        <v>#N/A</v>
      </c>
      <c r="AR182" s="34" t="e">
        <f t="shared" si="419"/>
        <v>#N/A</v>
      </c>
      <c r="AS182" s="27"/>
      <c r="AT182" s="35" t="str">
        <f t="shared" ref="AT182:AT183" si="420">Y182</f>
        <v>EDGARDO RAMIREZ</v>
      </c>
      <c r="AU182" s="36">
        <f t="shared" ref="AU182:BM182" si="421">Z182/(Z182+Z183+Z195)</f>
        <v>0.39325068870523416</v>
      </c>
      <c r="AV182" s="36">
        <f t="shared" si="421"/>
        <v>0.5</v>
      </c>
      <c r="AW182" s="36">
        <f t="shared" si="421"/>
        <v>0.41666666666666669</v>
      </c>
      <c r="AX182" s="36">
        <f t="shared" si="421"/>
        <v>0.42857142857142855</v>
      </c>
      <c r="AY182" s="36">
        <f t="shared" si="421"/>
        <v>0.39009900990099011</v>
      </c>
      <c r="AZ182" s="36">
        <f t="shared" si="421"/>
        <v>0.37450199203187251</v>
      </c>
      <c r="BA182" s="36">
        <f t="shared" si="421"/>
        <v>0.37261146496815284</v>
      </c>
      <c r="BB182" s="36">
        <f t="shared" si="421"/>
        <v>0.37330928764652843</v>
      </c>
      <c r="BC182" s="36">
        <f t="shared" si="421"/>
        <v>0.37479541734860883</v>
      </c>
      <c r="BD182" s="36">
        <f t="shared" si="421"/>
        <v>0.38517441860465118</v>
      </c>
      <c r="BE182" s="36">
        <f t="shared" si="421"/>
        <v>0.39325068870523416</v>
      </c>
      <c r="BF182" s="36" t="e">
        <f t="shared" si="421"/>
        <v>#N/A</v>
      </c>
      <c r="BG182" s="36" t="e">
        <f t="shared" si="421"/>
        <v>#N/A</v>
      </c>
      <c r="BH182" s="36" t="e">
        <f t="shared" si="421"/>
        <v>#N/A</v>
      </c>
      <c r="BI182" s="36" t="e">
        <f t="shared" si="421"/>
        <v>#N/A</v>
      </c>
      <c r="BJ182" s="36" t="e">
        <f t="shared" si="421"/>
        <v>#N/A</v>
      </c>
      <c r="BK182" s="36" t="e">
        <f t="shared" si="421"/>
        <v>#N/A</v>
      </c>
      <c r="BL182" s="36" t="e">
        <f t="shared" si="421"/>
        <v>#N/A</v>
      </c>
      <c r="BM182" s="36" t="e">
        <f t="shared" si="421"/>
        <v>#N/A</v>
      </c>
      <c r="BN182" s="30"/>
    </row>
    <row r="183" spans="1:66" ht="11.25" customHeight="1" x14ac:dyDescent="0.2">
      <c r="A183" s="37"/>
      <c r="B183" s="73"/>
      <c r="C183" s="33">
        <v>2</v>
      </c>
      <c r="D183" s="13" t="s">
        <v>163</v>
      </c>
      <c r="E183" s="16">
        <f t="shared" si="415"/>
        <v>563</v>
      </c>
      <c r="F183" s="6">
        <f>SUMIFS([0]!VOTOS2,[0]!TURNO1,F$31,[0]!CANDIDATO1,$C183,[0]!MUNICIPIO1,$B$182)</f>
        <v>8</v>
      </c>
      <c r="G183" s="6">
        <f>SUMIFS([0]!VOTOS2,[0]!TURNO1,G$31,[0]!CANDIDATO1,$C183,[0]!MUNICIPIO1,$B$182)</f>
        <v>35</v>
      </c>
      <c r="H183" s="6">
        <f>SUMIFS([0]!VOTOS2,[0]!TURNO1,H$31,[0]!CANDIDATO1,$C183,[0]!MUNICIPIO1,$B$182)</f>
        <v>67</v>
      </c>
      <c r="I183" s="6">
        <f>SUMIFS([0]!VOTOS2,[0]!TURNO1,I$31,[0]!CANDIDATO1,$C183,[0]!MUNICIPIO1,$B$182)</f>
        <v>104</v>
      </c>
      <c r="J183" s="6">
        <f>SUMIFS([0]!VOTOS2,[0]!TURNO1,J$31,[0]!CANDIDATO1,$C183,[0]!MUNICIPIO1,$B$182)</f>
        <v>105</v>
      </c>
      <c r="K183" s="6">
        <f>SUMIFS([0]!VOTOS2,[0]!TURNO1,K$31,[0]!CANDIDATO1,$C183,[0]!MUNICIPIO1,$B$182)</f>
        <v>75</v>
      </c>
      <c r="L183" s="6">
        <f>SUMIFS([0]!VOTOS2,[0]!TURNO1,L$31,[0]!CANDIDATO1,$C183,[0]!MUNICIPIO1,$B$182)</f>
        <v>63</v>
      </c>
      <c r="M183" s="6">
        <f>SUMIFS([0]!VOTOS2,[0]!TURNO1,M$31,[0]!CANDIDATO1,$C183,[0]!MUNICIPIO1,$B$182)</f>
        <v>39</v>
      </c>
      <c r="N183" s="6">
        <f>SUMIFS([0]!VOTOS2,[0]!TURNO1,N$31,[0]!CANDIDATO1,$C183,[0]!MUNICIPIO1,$B$182)</f>
        <v>40</v>
      </c>
      <c r="O183" s="6">
        <f>SUMIFS([0]!VOTOS2,[0]!TURNO1,O$31,[0]!CANDIDATO1,$C183,[0]!MUNICIPIO1,$B$182)</f>
        <v>27</v>
      </c>
      <c r="P183" s="6">
        <f>SUMIFS([0]!VOTOS2,[0]!TURNO1,P$31,[0]!CANDIDATO1,$C183,[0]!MUNICIPIO1,$B$182)</f>
        <v>0</v>
      </c>
      <c r="Q183" s="6">
        <f>SUMIFS([0]!VOTOS2,[0]!TURNO1,Q$31,[0]!CANDIDATO1,$C183,[0]!MUNICIPIO1,$B$182)</f>
        <v>0</v>
      </c>
      <c r="R183" s="6">
        <f>SUMIFS([0]!VOTOS2,[0]!TURNO1,R$31,[0]!CANDIDATO1,$C183,[0]!MUNICIPIO1,$B$182)</f>
        <v>0</v>
      </c>
      <c r="S183" s="6">
        <f>SUMIFS([0]!VOTOS2,[0]!TURNO1,S$31,[0]!CANDIDATO1,$C183,[0]!MUNICIPIO1,$B$182)</f>
        <v>0</v>
      </c>
      <c r="T183" s="6">
        <f>SUMIFS([0]!VOTOS2,[0]!TURNO1,T$31,[0]!CANDIDATO1,$C183,[0]!MUNICIPIO1,$B$182)</f>
        <v>0</v>
      </c>
      <c r="U183" s="6">
        <f>SUMIFS([0]!VOTOS2,[0]!TURNO1,U$31,[0]!CANDIDATO1,$C183,[0]!MUNICIPIO1,$B$182)</f>
        <v>0</v>
      </c>
      <c r="V183" s="6">
        <f>SUMIFS([0]!VOTOS2,[0]!TURNO1,V$31,[0]!CANDIDATO1,$C183,[0]!MUNICIPIO1,$B$182)</f>
        <v>0</v>
      </c>
      <c r="W183" s="6">
        <f>SUMIFS([0]!VOTOS2,[0]!TURNO1,W$31,[0]!CANDIDATO1,$C183,[0]!MUNICIPIO1,$B$182)</f>
        <v>0</v>
      </c>
      <c r="X183" s="24"/>
      <c r="Y183" s="18" t="str">
        <f t="shared" si="416"/>
        <v>MACHIN MACHIN</v>
      </c>
      <c r="Z183" s="34">
        <f t="shared" si="417"/>
        <v>563</v>
      </c>
      <c r="AA183" s="34">
        <f t="shared" si="418"/>
        <v>8</v>
      </c>
      <c r="AB183" s="34">
        <f t="shared" ref="AB183:AR183" si="422">IF(SUM(G182:G194)=0,NA(),G183+AA183)</f>
        <v>43</v>
      </c>
      <c r="AC183" s="34">
        <f t="shared" si="422"/>
        <v>110</v>
      </c>
      <c r="AD183" s="34">
        <f t="shared" si="422"/>
        <v>214</v>
      </c>
      <c r="AE183" s="34">
        <f t="shared" si="422"/>
        <v>319</v>
      </c>
      <c r="AF183" s="34">
        <f t="shared" si="422"/>
        <v>394</v>
      </c>
      <c r="AG183" s="34">
        <f t="shared" si="422"/>
        <v>457</v>
      </c>
      <c r="AH183" s="34">
        <f t="shared" si="422"/>
        <v>496</v>
      </c>
      <c r="AI183" s="34">
        <f t="shared" si="422"/>
        <v>536</v>
      </c>
      <c r="AJ183" s="34">
        <f t="shared" si="422"/>
        <v>563</v>
      </c>
      <c r="AK183" s="34" t="e">
        <f t="shared" si="422"/>
        <v>#N/A</v>
      </c>
      <c r="AL183" s="34" t="e">
        <f t="shared" si="422"/>
        <v>#N/A</v>
      </c>
      <c r="AM183" s="34" t="e">
        <f t="shared" si="422"/>
        <v>#N/A</v>
      </c>
      <c r="AN183" s="34" t="e">
        <f t="shared" si="422"/>
        <v>#N/A</v>
      </c>
      <c r="AO183" s="34" t="e">
        <f t="shared" si="422"/>
        <v>#N/A</v>
      </c>
      <c r="AP183" s="34" t="e">
        <f t="shared" si="422"/>
        <v>#N/A</v>
      </c>
      <c r="AQ183" s="34" t="e">
        <f t="shared" si="422"/>
        <v>#N/A</v>
      </c>
      <c r="AR183" s="34" t="e">
        <f t="shared" si="422"/>
        <v>#N/A</v>
      </c>
      <c r="AS183" s="27"/>
      <c r="AT183" s="35" t="str">
        <f t="shared" si="420"/>
        <v>MACHIN MACHIN</v>
      </c>
      <c r="AU183" s="36">
        <f t="shared" ref="AU183:BM183" si="423">Z183/(Z182+Z183+Z195)</f>
        <v>0.38774104683195593</v>
      </c>
      <c r="AV183" s="36">
        <f t="shared" si="423"/>
        <v>0.5</v>
      </c>
      <c r="AW183" s="36">
        <f t="shared" si="423"/>
        <v>0.44791666666666669</v>
      </c>
      <c r="AX183" s="36">
        <f t="shared" si="423"/>
        <v>0.43650793650793651</v>
      </c>
      <c r="AY183" s="36">
        <f t="shared" si="423"/>
        <v>0.42376237623762375</v>
      </c>
      <c r="AZ183" s="36">
        <f t="shared" si="423"/>
        <v>0.42363877822045154</v>
      </c>
      <c r="BA183" s="36">
        <f t="shared" si="423"/>
        <v>0.41825902335456477</v>
      </c>
      <c r="BB183" s="36">
        <f t="shared" si="423"/>
        <v>0.412082957619477</v>
      </c>
      <c r="BC183" s="36">
        <f t="shared" si="423"/>
        <v>0.40589198036006546</v>
      </c>
      <c r="BD183" s="36">
        <f t="shared" si="423"/>
        <v>0.38953488372093026</v>
      </c>
      <c r="BE183" s="36">
        <f t="shared" si="423"/>
        <v>0.38774104683195593</v>
      </c>
      <c r="BF183" s="36" t="e">
        <f t="shared" si="423"/>
        <v>#N/A</v>
      </c>
      <c r="BG183" s="36" t="e">
        <f t="shared" si="423"/>
        <v>#N/A</v>
      </c>
      <c r="BH183" s="36" t="e">
        <f t="shared" si="423"/>
        <v>#N/A</v>
      </c>
      <c r="BI183" s="36" t="e">
        <f t="shared" si="423"/>
        <v>#N/A</v>
      </c>
      <c r="BJ183" s="36" t="e">
        <f t="shared" si="423"/>
        <v>#N/A</v>
      </c>
      <c r="BK183" s="36" t="e">
        <f t="shared" si="423"/>
        <v>#N/A</v>
      </c>
      <c r="BL183" s="36" t="e">
        <f t="shared" si="423"/>
        <v>#N/A</v>
      </c>
      <c r="BM183" s="36" t="e">
        <f t="shared" si="423"/>
        <v>#N/A</v>
      </c>
      <c r="BN183" s="30"/>
    </row>
    <row r="184" spans="1:66" ht="11.25" customHeight="1" x14ac:dyDescent="0.2">
      <c r="A184" s="37"/>
      <c r="B184" s="73"/>
      <c r="C184" s="56">
        <v>3</v>
      </c>
      <c r="D184" s="13" t="s">
        <v>164</v>
      </c>
      <c r="E184" s="16">
        <f t="shared" si="415"/>
        <v>139</v>
      </c>
      <c r="F184" s="6">
        <f>SUMIFS([0]!VOTOS2,[0]!TURNO1,F$31,[0]!CANDIDATO1,$C184,[0]!MUNICIPIO1,$B$182)</f>
        <v>0</v>
      </c>
      <c r="G184" s="6">
        <f>SUMIFS([0]!VOTOS2,[0]!TURNO1,G$31,[0]!CANDIDATO1,$C184,[0]!MUNICIPIO1,$B$182)</f>
        <v>0</v>
      </c>
      <c r="H184" s="6">
        <f>SUMIFS([0]!VOTOS2,[0]!TURNO1,H$31,[0]!CANDIDATO1,$C184,[0]!MUNICIPIO1,$B$182)</f>
        <v>10</v>
      </c>
      <c r="I184" s="6">
        <f>SUMIFS([0]!VOTOS2,[0]!TURNO1,I$31,[0]!CANDIDATO1,$C184,[0]!MUNICIPIO1,$B$182)</f>
        <v>33</v>
      </c>
      <c r="J184" s="6">
        <f>SUMIFS([0]!VOTOS2,[0]!TURNO1,J$31,[0]!CANDIDATO1,$C184,[0]!MUNICIPIO1,$B$182)</f>
        <v>31</v>
      </c>
      <c r="K184" s="6">
        <f>SUMIFS([0]!VOTOS2,[0]!TURNO1,K$31,[0]!CANDIDATO1,$C184,[0]!MUNICIPIO1,$B$182)</f>
        <v>27</v>
      </c>
      <c r="L184" s="6">
        <f>SUMIFS([0]!VOTOS2,[0]!TURNO1,L$31,[0]!CANDIDATO1,$C184,[0]!MUNICIPIO1,$B$182)</f>
        <v>13</v>
      </c>
      <c r="M184" s="6">
        <f>SUMIFS([0]!VOTOS2,[0]!TURNO1,M$31,[0]!CANDIDATO1,$C184,[0]!MUNICIPIO1,$B$182)</f>
        <v>6</v>
      </c>
      <c r="N184" s="6">
        <f>SUMIFS([0]!VOTOS2,[0]!TURNO1,N$31,[0]!CANDIDATO1,$C184,[0]!MUNICIPIO1,$B$182)</f>
        <v>13</v>
      </c>
      <c r="O184" s="6">
        <f>SUMIFS([0]!VOTOS2,[0]!TURNO1,O$31,[0]!CANDIDATO1,$C184,[0]!MUNICIPIO1,$B$182)</f>
        <v>6</v>
      </c>
      <c r="P184" s="6">
        <f>SUMIFS([0]!VOTOS2,[0]!TURNO1,P$31,[0]!CANDIDATO1,$C184,[0]!MUNICIPIO1,$B$182)</f>
        <v>0</v>
      </c>
      <c r="Q184" s="6">
        <f>SUMIFS([0]!VOTOS2,[0]!TURNO1,Q$31,[0]!CANDIDATO1,$C184,[0]!MUNICIPIO1,$B$182)</f>
        <v>0</v>
      </c>
      <c r="R184" s="6">
        <f>SUMIFS([0]!VOTOS2,[0]!TURNO1,R$31,[0]!CANDIDATO1,$C184,[0]!MUNICIPIO1,$B$182)</f>
        <v>0</v>
      </c>
      <c r="S184" s="6">
        <f>SUMIFS([0]!VOTOS2,[0]!TURNO1,S$31,[0]!CANDIDATO1,$C184,[0]!MUNICIPIO1,$B$182)</f>
        <v>0</v>
      </c>
      <c r="T184" s="6">
        <f>SUMIFS([0]!VOTOS2,[0]!TURNO1,T$31,[0]!CANDIDATO1,$C184,[0]!MUNICIPIO1,$B$182)</f>
        <v>0</v>
      </c>
      <c r="U184" s="6">
        <f>SUMIFS([0]!VOTOS2,[0]!TURNO1,U$31,[0]!CANDIDATO1,$C184,[0]!MUNICIPIO1,$B$182)</f>
        <v>0</v>
      </c>
      <c r="V184" s="6">
        <f>SUMIFS([0]!VOTOS2,[0]!TURNO1,V$31,[0]!CANDIDATO1,$C184,[0]!MUNICIPIO1,$B$182)</f>
        <v>0</v>
      </c>
      <c r="W184" s="6">
        <f>SUMIFS([0]!VOTOS2,[0]!TURNO1,W$31,[0]!CANDIDATO1,$C184,[0]!MUNICIPIO1,$B$182)</f>
        <v>0</v>
      </c>
      <c r="X184" s="24"/>
      <c r="Y184" s="18" t="str">
        <f t="shared" si="416"/>
        <v>ABUNDIO SANCHEZ</v>
      </c>
      <c r="Z184" s="34">
        <f t="shared" si="417"/>
        <v>139</v>
      </c>
      <c r="AA184" s="34">
        <f t="shared" si="418"/>
        <v>0</v>
      </c>
      <c r="AB184" s="34">
        <f t="shared" ref="AB184:AR184" si="424">IF(SUM(G182:G194)=0,NA(),G184+AA184)</f>
        <v>0</v>
      </c>
      <c r="AC184" s="34">
        <f t="shared" si="424"/>
        <v>10</v>
      </c>
      <c r="AD184" s="34">
        <f t="shared" si="424"/>
        <v>43</v>
      </c>
      <c r="AE184" s="34">
        <f t="shared" si="424"/>
        <v>74</v>
      </c>
      <c r="AF184" s="34">
        <f t="shared" si="424"/>
        <v>101</v>
      </c>
      <c r="AG184" s="34">
        <f t="shared" si="424"/>
        <v>114</v>
      </c>
      <c r="AH184" s="34">
        <f t="shared" si="424"/>
        <v>120</v>
      </c>
      <c r="AI184" s="34">
        <f t="shared" si="424"/>
        <v>133</v>
      </c>
      <c r="AJ184" s="34">
        <f t="shared" si="424"/>
        <v>139</v>
      </c>
      <c r="AK184" s="34" t="e">
        <f t="shared" si="424"/>
        <v>#N/A</v>
      </c>
      <c r="AL184" s="34" t="e">
        <f t="shared" si="424"/>
        <v>#N/A</v>
      </c>
      <c r="AM184" s="34" t="e">
        <f t="shared" si="424"/>
        <v>#N/A</v>
      </c>
      <c r="AN184" s="34" t="e">
        <f t="shared" si="424"/>
        <v>#N/A</v>
      </c>
      <c r="AO184" s="34" t="e">
        <f t="shared" si="424"/>
        <v>#N/A</v>
      </c>
      <c r="AP184" s="34" t="e">
        <f t="shared" si="424"/>
        <v>#N/A</v>
      </c>
      <c r="AQ184" s="34" t="e">
        <f t="shared" si="424"/>
        <v>#N/A</v>
      </c>
      <c r="AR184" s="34" t="e">
        <f t="shared" si="424"/>
        <v>#N/A</v>
      </c>
      <c r="AS184" s="27"/>
      <c r="AT184" s="35" t="str">
        <f t="shared" ref="AT184" si="425">Y195</f>
        <v>Otros</v>
      </c>
      <c r="AU184" s="36">
        <f t="shared" ref="AU184:BM184" si="426">Z195/(Z182+Z183+Z195)</f>
        <v>0.21900826446280991</v>
      </c>
      <c r="AV184" s="36">
        <f t="shared" si="426"/>
        <v>0</v>
      </c>
      <c r="AW184" s="36">
        <f t="shared" si="426"/>
        <v>0.13541666666666666</v>
      </c>
      <c r="AX184" s="36">
        <f t="shared" si="426"/>
        <v>0.13492063492063491</v>
      </c>
      <c r="AY184" s="36">
        <f t="shared" si="426"/>
        <v>0.18613861386138614</v>
      </c>
      <c r="AZ184" s="36">
        <f t="shared" si="426"/>
        <v>0.20185922974767595</v>
      </c>
      <c r="BA184" s="36">
        <f t="shared" si="426"/>
        <v>0.20912951167728239</v>
      </c>
      <c r="BB184" s="36">
        <f t="shared" si="426"/>
        <v>0.2146077547339946</v>
      </c>
      <c r="BC184" s="36">
        <f t="shared" si="426"/>
        <v>0.21931260229132571</v>
      </c>
      <c r="BD184" s="36">
        <f t="shared" si="426"/>
        <v>0.22529069767441862</v>
      </c>
      <c r="BE184" s="36">
        <f t="shared" si="426"/>
        <v>0.21900826446280991</v>
      </c>
      <c r="BF184" s="36" t="e">
        <f t="shared" si="426"/>
        <v>#N/A</v>
      </c>
      <c r="BG184" s="36" t="e">
        <f t="shared" si="426"/>
        <v>#N/A</v>
      </c>
      <c r="BH184" s="36" t="e">
        <f t="shared" si="426"/>
        <v>#N/A</v>
      </c>
      <c r="BI184" s="36" t="e">
        <f t="shared" si="426"/>
        <v>#N/A</v>
      </c>
      <c r="BJ184" s="36" t="e">
        <f t="shared" si="426"/>
        <v>#N/A</v>
      </c>
      <c r="BK184" s="36" t="e">
        <f t="shared" si="426"/>
        <v>#N/A</v>
      </c>
      <c r="BL184" s="36" t="e">
        <f t="shared" si="426"/>
        <v>#N/A</v>
      </c>
      <c r="BM184" s="36" t="e">
        <f t="shared" si="426"/>
        <v>#N/A</v>
      </c>
      <c r="BN184" s="30"/>
    </row>
    <row r="185" spans="1:66" ht="11.25" customHeight="1" x14ac:dyDescent="0.2">
      <c r="A185" s="38" t="s">
        <v>16</v>
      </c>
      <c r="B185" s="73"/>
      <c r="C185" s="33">
        <v>4</v>
      </c>
      <c r="D185" s="13" t="s">
        <v>165</v>
      </c>
      <c r="E185" s="16">
        <f t="shared" si="415"/>
        <v>15</v>
      </c>
      <c r="F185" s="6">
        <f>SUMIFS([0]!VOTOS2,[0]!TURNO1,F$31,[0]!CANDIDATO1,$C185,[0]!MUNICIPIO1,$B$182)</f>
        <v>0</v>
      </c>
      <c r="G185" s="6">
        <f>SUMIFS([0]!VOTOS2,[0]!TURNO1,G$31,[0]!CANDIDATO1,$C185,[0]!MUNICIPIO1,$B$182)</f>
        <v>0</v>
      </c>
      <c r="H185" s="6">
        <f>SUMIFS([0]!VOTOS2,[0]!TURNO1,H$31,[0]!CANDIDATO1,$C185,[0]!MUNICIPIO1,$B$182)</f>
        <v>0</v>
      </c>
      <c r="I185" s="6">
        <f>SUMIFS([0]!VOTOS2,[0]!TURNO1,I$31,[0]!CANDIDATO1,$C185,[0]!MUNICIPIO1,$B$182)</f>
        <v>0</v>
      </c>
      <c r="J185" s="6">
        <f>SUMIFS([0]!VOTOS2,[0]!TURNO1,J$31,[0]!CANDIDATO1,$C185,[0]!MUNICIPIO1,$B$182)</f>
        <v>5</v>
      </c>
      <c r="K185" s="6">
        <f>SUMIFS([0]!VOTOS2,[0]!TURNO1,K$31,[0]!CANDIDATO1,$C185,[0]!MUNICIPIO1,$B$182)</f>
        <v>1</v>
      </c>
      <c r="L185" s="6">
        <f>SUMIFS([0]!VOTOS2,[0]!TURNO1,L$31,[0]!CANDIDATO1,$C185,[0]!MUNICIPIO1,$B$182)</f>
        <v>3</v>
      </c>
      <c r="M185" s="6">
        <f>SUMIFS([0]!VOTOS2,[0]!TURNO1,M$31,[0]!CANDIDATO1,$C185,[0]!MUNICIPIO1,$B$182)</f>
        <v>0</v>
      </c>
      <c r="N185" s="6">
        <f>SUMIFS([0]!VOTOS2,[0]!TURNO1,N$31,[0]!CANDIDATO1,$C185,[0]!MUNICIPIO1,$B$182)</f>
        <v>6</v>
      </c>
      <c r="O185" s="6">
        <f>SUMIFS([0]!VOTOS2,[0]!TURNO1,O$31,[0]!CANDIDATO1,$C185,[0]!MUNICIPIO1,$B$182)</f>
        <v>0</v>
      </c>
      <c r="P185" s="6">
        <f>SUMIFS([0]!VOTOS2,[0]!TURNO1,P$31,[0]!CANDIDATO1,$C185,[0]!MUNICIPIO1,$B$182)</f>
        <v>0</v>
      </c>
      <c r="Q185" s="6">
        <f>SUMIFS([0]!VOTOS2,[0]!TURNO1,Q$31,[0]!CANDIDATO1,$C185,[0]!MUNICIPIO1,$B$182)</f>
        <v>0</v>
      </c>
      <c r="R185" s="6">
        <f>SUMIFS([0]!VOTOS2,[0]!TURNO1,R$31,[0]!CANDIDATO1,$C185,[0]!MUNICIPIO1,$B$182)</f>
        <v>0</v>
      </c>
      <c r="S185" s="6">
        <f>SUMIFS([0]!VOTOS2,[0]!TURNO1,S$31,[0]!CANDIDATO1,$C185,[0]!MUNICIPIO1,$B$182)</f>
        <v>0</v>
      </c>
      <c r="T185" s="6">
        <f>SUMIFS([0]!VOTOS2,[0]!TURNO1,T$31,[0]!CANDIDATO1,$C185,[0]!MUNICIPIO1,$B$182)</f>
        <v>0</v>
      </c>
      <c r="U185" s="6">
        <f>SUMIFS([0]!VOTOS2,[0]!TURNO1,U$31,[0]!CANDIDATO1,$C185,[0]!MUNICIPIO1,$B$182)</f>
        <v>0</v>
      </c>
      <c r="V185" s="6">
        <f>SUMIFS([0]!VOTOS2,[0]!TURNO1,V$31,[0]!CANDIDATO1,$C185,[0]!MUNICIPIO1,$B$182)</f>
        <v>0</v>
      </c>
      <c r="W185" s="6">
        <f>SUMIFS([0]!VOTOS2,[0]!TURNO1,W$31,[0]!CANDIDATO1,$C185,[0]!MUNICIPIO1,$B$182)</f>
        <v>0</v>
      </c>
      <c r="X185" s="24"/>
      <c r="Y185" s="18" t="str">
        <f t="shared" si="416"/>
        <v>YVONNI DE BUITRAGO</v>
      </c>
      <c r="Z185" s="34">
        <f t="shared" si="417"/>
        <v>15</v>
      </c>
      <c r="AA185" s="34">
        <f t="shared" si="418"/>
        <v>0</v>
      </c>
      <c r="AB185" s="34">
        <f t="shared" ref="AB185:AR185" si="427">IF(SUM(G182:G194)=0,NA(),G185+AA185)</f>
        <v>0</v>
      </c>
      <c r="AC185" s="34">
        <f t="shared" si="427"/>
        <v>0</v>
      </c>
      <c r="AD185" s="34">
        <f t="shared" si="427"/>
        <v>0</v>
      </c>
      <c r="AE185" s="34">
        <f t="shared" si="427"/>
        <v>5</v>
      </c>
      <c r="AF185" s="34">
        <f t="shared" si="427"/>
        <v>6</v>
      </c>
      <c r="AG185" s="34">
        <f t="shared" si="427"/>
        <v>9</v>
      </c>
      <c r="AH185" s="34">
        <f t="shared" si="427"/>
        <v>9</v>
      </c>
      <c r="AI185" s="34">
        <f t="shared" si="427"/>
        <v>15</v>
      </c>
      <c r="AJ185" s="34">
        <f t="shared" si="427"/>
        <v>15</v>
      </c>
      <c r="AK185" s="34" t="e">
        <f t="shared" si="427"/>
        <v>#N/A</v>
      </c>
      <c r="AL185" s="34" t="e">
        <f t="shared" si="427"/>
        <v>#N/A</v>
      </c>
      <c r="AM185" s="34" t="e">
        <f t="shared" si="427"/>
        <v>#N/A</v>
      </c>
      <c r="AN185" s="34" t="e">
        <f t="shared" si="427"/>
        <v>#N/A</v>
      </c>
      <c r="AO185" s="34" t="e">
        <f t="shared" si="427"/>
        <v>#N/A</v>
      </c>
      <c r="AP185" s="34" t="e">
        <f t="shared" si="427"/>
        <v>#N/A</v>
      </c>
      <c r="AQ185" s="34" t="e">
        <f t="shared" si="427"/>
        <v>#N/A</v>
      </c>
      <c r="AR185" s="34" t="e">
        <f t="shared" si="427"/>
        <v>#N/A</v>
      </c>
      <c r="AS185" s="27"/>
      <c r="AT185" s="39"/>
      <c r="AU185" s="39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30"/>
    </row>
    <row r="186" spans="1:66" ht="11.25" customHeight="1" x14ac:dyDescent="0.2">
      <c r="A186" s="38" t="s">
        <v>16</v>
      </c>
      <c r="B186" s="73"/>
      <c r="C186" s="56">
        <v>5</v>
      </c>
      <c r="D186" s="13" t="s">
        <v>166</v>
      </c>
      <c r="E186" s="16">
        <f t="shared" si="415"/>
        <v>54</v>
      </c>
      <c r="F186" s="6">
        <f>SUMIFS([0]!VOTOS2,[0]!TURNO1,F$31,[0]!CANDIDATO1,$C186,[0]!MUNICIPIO1,$B$182)</f>
        <v>0</v>
      </c>
      <c r="G186" s="6">
        <f>SUMIFS([0]!VOTOS2,[0]!TURNO1,G$31,[0]!CANDIDATO1,$C186,[0]!MUNICIPIO1,$B$182)</f>
        <v>7</v>
      </c>
      <c r="H186" s="6">
        <f>SUMIFS([0]!VOTOS2,[0]!TURNO1,H$31,[0]!CANDIDATO1,$C186,[0]!MUNICIPIO1,$B$182)</f>
        <v>6</v>
      </c>
      <c r="I186" s="6">
        <f>SUMIFS([0]!VOTOS2,[0]!TURNO1,I$31,[0]!CANDIDATO1,$C186,[0]!MUNICIPIO1,$B$182)</f>
        <v>5</v>
      </c>
      <c r="J186" s="6">
        <f>SUMIFS([0]!VOTOS2,[0]!TURNO1,J$31,[0]!CANDIDATO1,$C186,[0]!MUNICIPIO1,$B$182)</f>
        <v>8</v>
      </c>
      <c r="K186" s="6">
        <f>SUMIFS([0]!VOTOS2,[0]!TURNO1,K$31,[0]!CANDIDATO1,$C186,[0]!MUNICIPIO1,$B$182)</f>
        <v>3</v>
      </c>
      <c r="L186" s="6">
        <f>SUMIFS([0]!VOTOS2,[0]!TURNO1,L$31,[0]!CANDIDATO1,$C186,[0]!MUNICIPIO1,$B$182)</f>
        <v>10</v>
      </c>
      <c r="M186" s="6">
        <f>SUMIFS([0]!VOTOS2,[0]!TURNO1,M$31,[0]!CANDIDATO1,$C186,[0]!MUNICIPIO1,$B$182)</f>
        <v>13</v>
      </c>
      <c r="N186" s="6">
        <f>SUMIFS([0]!VOTOS2,[0]!TURNO1,N$31,[0]!CANDIDATO1,$C186,[0]!MUNICIPIO1,$B$182)</f>
        <v>2</v>
      </c>
      <c r="O186" s="6">
        <f>SUMIFS([0]!VOTOS2,[0]!TURNO1,O$31,[0]!CANDIDATO1,$C186,[0]!MUNICIPIO1,$B$182)</f>
        <v>0</v>
      </c>
      <c r="P186" s="6">
        <f>SUMIFS([0]!VOTOS2,[0]!TURNO1,P$31,[0]!CANDIDATO1,$C186,[0]!MUNICIPIO1,$B$182)</f>
        <v>0</v>
      </c>
      <c r="Q186" s="6">
        <f>SUMIFS([0]!VOTOS2,[0]!TURNO1,Q$31,[0]!CANDIDATO1,$C186,[0]!MUNICIPIO1,$B$182)</f>
        <v>0</v>
      </c>
      <c r="R186" s="6">
        <f>SUMIFS([0]!VOTOS2,[0]!TURNO1,R$31,[0]!CANDIDATO1,$C186,[0]!MUNICIPIO1,$B$182)</f>
        <v>0</v>
      </c>
      <c r="S186" s="6">
        <f>SUMIFS([0]!VOTOS2,[0]!TURNO1,S$31,[0]!CANDIDATO1,$C186,[0]!MUNICIPIO1,$B$182)</f>
        <v>0</v>
      </c>
      <c r="T186" s="6">
        <f>SUMIFS([0]!VOTOS2,[0]!TURNO1,T$31,[0]!CANDIDATO1,$C186,[0]!MUNICIPIO1,$B$182)</f>
        <v>0</v>
      </c>
      <c r="U186" s="6">
        <f>SUMIFS([0]!VOTOS2,[0]!TURNO1,U$31,[0]!CANDIDATO1,$C186,[0]!MUNICIPIO1,$B$182)</f>
        <v>0</v>
      </c>
      <c r="V186" s="6">
        <f>SUMIFS([0]!VOTOS2,[0]!TURNO1,V$31,[0]!CANDIDATO1,$C186,[0]!MUNICIPIO1,$B$182)</f>
        <v>0</v>
      </c>
      <c r="W186" s="6">
        <f>SUMIFS([0]!VOTOS2,[0]!TURNO1,W$31,[0]!CANDIDATO1,$C186,[0]!MUNICIPIO1,$B$182)</f>
        <v>0</v>
      </c>
      <c r="X186" s="24"/>
      <c r="Y186" s="18" t="str">
        <f t="shared" si="416"/>
        <v>CARLOS R PAREDES</v>
      </c>
      <c r="Z186" s="34">
        <f t="shared" si="417"/>
        <v>54</v>
      </c>
      <c r="AA186" s="34">
        <f t="shared" si="418"/>
        <v>0</v>
      </c>
      <c r="AB186" s="34">
        <f t="shared" ref="AB186:AR186" si="428">IF(SUM(G182:G194)=0,NA(),G186+AA186)</f>
        <v>7</v>
      </c>
      <c r="AC186" s="34">
        <f t="shared" si="428"/>
        <v>13</v>
      </c>
      <c r="AD186" s="34">
        <f t="shared" si="428"/>
        <v>18</v>
      </c>
      <c r="AE186" s="34">
        <f t="shared" si="428"/>
        <v>26</v>
      </c>
      <c r="AF186" s="34">
        <f t="shared" si="428"/>
        <v>29</v>
      </c>
      <c r="AG186" s="34">
        <f t="shared" si="428"/>
        <v>39</v>
      </c>
      <c r="AH186" s="34">
        <f t="shared" si="428"/>
        <v>52</v>
      </c>
      <c r="AI186" s="34">
        <f t="shared" si="428"/>
        <v>54</v>
      </c>
      <c r="AJ186" s="34">
        <f t="shared" si="428"/>
        <v>54</v>
      </c>
      <c r="AK186" s="34" t="e">
        <f t="shared" si="428"/>
        <v>#N/A</v>
      </c>
      <c r="AL186" s="34" t="e">
        <f t="shared" si="428"/>
        <v>#N/A</v>
      </c>
      <c r="AM186" s="34" t="e">
        <f t="shared" si="428"/>
        <v>#N/A</v>
      </c>
      <c r="AN186" s="34" t="e">
        <f t="shared" si="428"/>
        <v>#N/A</v>
      </c>
      <c r="AO186" s="34" t="e">
        <f t="shared" si="428"/>
        <v>#N/A</v>
      </c>
      <c r="AP186" s="34" t="e">
        <f t="shared" si="428"/>
        <v>#N/A</v>
      </c>
      <c r="AQ186" s="34" t="e">
        <f t="shared" si="428"/>
        <v>#N/A</v>
      </c>
      <c r="AR186" s="34" t="e">
        <f t="shared" si="428"/>
        <v>#N/A</v>
      </c>
      <c r="AS186" s="27"/>
      <c r="AT186" s="39"/>
      <c r="AU186" s="39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30"/>
    </row>
    <row r="187" spans="1:66" ht="11.25" customHeight="1" x14ac:dyDescent="0.2">
      <c r="A187" s="37"/>
      <c r="B187" s="73"/>
      <c r="C187" s="33">
        <v>6</v>
      </c>
      <c r="D187" s="13" t="s">
        <v>167</v>
      </c>
      <c r="E187" s="16">
        <f t="shared" si="415"/>
        <v>25</v>
      </c>
      <c r="F187" s="6">
        <f>SUMIFS([0]!VOTOS2,[0]!TURNO1,F$31,[0]!CANDIDATO1,$C187,[0]!MUNICIPIO1,$B$182)</f>
        <v>0</v>
      </c>
      <c r="G187" s="6">
        <f>SUMIFS([0]!VOTOS2,[0]!TURNO1,G$31,[0]!CANDIDATO1,$C187,[0]!MUNICIPIO1,$B$182)</f>
        <v>0</v>
      </c>
      <c r="H187" s="6">
        <f>SUMIFS([0]!VOTOS2,[0]!TURNO1,H$31,[0]!CANDIDATO1,$C187,[0]!MUNICIPIO1,$B$182)</f>
        <v>0</v>
      </c>
      <c r="I187" s="6">
        <f>SUMIFS([0]!VOTOS2,[0]!TURNO1,I$31,[0]!CANDIDATO1,$C187,[0]!MUNICIPIO1,$B$182)</f>
        <v>6</v>
      </c>
      <c r="J187" s="6">
        <f>SUMIFS([0]!VOTOS2,[0]!TURNO1,J$31,[0]!CANDIDATO1,$C187,[0]!MUNICIPIO1,$B$182)</f>
        <v>1</v>
      </c>
      <c r="K187" s="6">
        <f>SUMIFS([0]!VOTOS2,[0]!TURNO1,K$31,[0]!CANDIDATO1,$C187,[0]!MUNICIPIO1,$B$182)</f>
        <v>3</v>
      </c>
      <c r="L187" s="6">
        <f>SUMIFS([0]!VOTOS2,[0]!TURNO1,L$31,[0]!CANDIDATO1,$C187,[0]!MUNICIPIO1,$B$182)</f>
        <v>6</v>
      </c>
      <c r="M187" s="6">
        <f>SUMIFS([0]!VOTOS2,[0]!TURNO1,M$31,[0]!CANDIDATO1,$C187,[0]!MUNICIPIO1,$B$182)</f>
        <v>2</v>
      </c>
      <c r="N187" s="6">
        <f>SUMIFS([0]!VOTOS2,[0]!TURNO1,N$31,[0]!CANDIDATO1,$C187,[0]!MUNICIPIO1,$B$182)</f>
        <v>7</v>
      </c>
      <c r="O187" s="6">
        <f>SUMIFS([0]!VOTOS2,[0]!TURNO1,O$31,[0]!CANDIDATO1,$C187,[0]!MUNICIPIO1,$B$182)</f>
        <v>0</v>
      </c>
      <c r="P187" s="6">
        <f>SUMIFS([0]!VOTOS2,[0]!TURNO1,P$31,[0]!CANDIDATO1,$C187,[0]!MUNICIPIO1,$B$182)</f>
        <v>0</v>
      </c>
      <c r="Q187" s="6">
        <f>SUMIFS([0]!VOTOS2,[0]!TURNO1,Q$31,[0]!CANDIDATO1,$C187,[0]!MUNICIPIO1,$B$182)</f>
        <v>0</v>
      </c>
      <c r="R187" s="6">
        <f>SUMIFS([0]!VOTOS2,[0]!TURNO1,R$31,[0]!CANDIDATO1,$C187,[0]!MUNICIPIO1,$B$182)</f>
        <v>0</v>
      </c>
      <c r="S187" s="6">
        <f>SUMIFS([0]!VOTOS2,[0]!TURNO1,S$31,[0]!CANDIDATO1,$C187,[0]!MUNICIPIO1,$B$182)</f>
        <v>0</v>
      </c>
      <c r="T187" s="6">
        <f>SUMIFS([0]!VOTOS2,[0]!TURNO1,T$31,[0]!CANDIDATO1,$C187,[0]!MUNICIPIO1,$B$182)</f>
        <v>0</v>
      </c>
      <c r="U187" s="6">
        <f>SUMIFS([0]!VOTOS2,[0]!TURNO1,U$31,[0]!CANDIDATO1,$C187,[0]!MUNICIPIO1,$B$182)</f>
        <v>0</v>
      </c>
      <c r="V187" s="6">
        <f>SUMIFS([0]!VOTOS2,[0]!TURNO1,V$31,[0]!CANDIDATO1,$C187,[0]!MUNICIPIO1,$B$182)</f>
        <v>0</v>
      </c>
      <c r="W187" s="6">
        <f>SUMIFS([0]!VOTOS2,[0]!TURNO1,W$31,[0]!CANDIDATO1,$C187,[0]!MUNICIPIO1,$B$182)</f>
        <v>0</v>
      </c>
      <c r="X187" s="24"/>
      <c r="Y187" s="18" t="str">
        <f t="shared" si="416"/>
        <v>PEDRO P GONZALEZ</v>
      </c>
      <c r="Z187" s="34">
        <f t="shared" si="417"/>
        <v>25</v>
      </c>
      <c r="AA187" s="34">
        <f t="shared" si="418"/>
        <v>0</v>
      </c>
      <c r="AB187" s="34">
        <f t="shared" ref="AB187:AR187" si="429">IF(SUM(G182:G194)=0,NA(),G187+AA187)</f>
        <v>0</v>
      </c>
      <c r="AC187" s="34">
        <f t="shared" si="429"/>
        <v>0</v>
      </c>
      <c r="AD187" s="34">
        <f t="shared" si="429"/>
        <v>6</v>
      </c>
      <c r="AE187" s="34">
        <f t="shared" si="429"/>
        <v>7</v>
      </c>
      <c r="AF187" s="34">
        <f t="shared" si="429"/>
        <v>10</v>
      </c>
      <c r="AG187" s="34">
        <f t="shared" si="429"/>
        <v>16</v>
      </c>
      <c r="AH187" s="34">
        <f t="shared" si="429"/>
        <v>18</v>
      </c>
      <c r="AI187" s="34">
        <f t="shared" si="429"/>
        <v>25</v>
      </c>
      <c r="AJ187" s="34">
        <f t="shared" si="429"/>
        <v>25</v>
      </c>
      <c r="AK187" s="34" t="e">
        <f t="shared" si="429"/>
        <v>#N/A</v>
      </c>
      <c r="AL187" s="34" t="e">
        <f t="shared" si="429"/>
        <v>#N/A</v>
      </c>
      <c r="AM187" s="34" t="e">
        <f t="shared" si="429"/>
        <v>#N/A</v>
      </c>
      <c r="AN187" s="34" t="e">
        <f t="shared" si="429"/>
        <v>#N/A</v>
      </c>
      <c r="AO187" s="34" t="e">
        <f t="shared" si="429"/>
        <v>#N/A</v>
      </c>
      <c r="AP187" s="34" t="e">
        <f t="shared" si="429"/>
        <v>#N/A</v>
      </c>
      <c r="AQ187" s="34" t="e">
        <f t="shared" si="429"/>
        <v>#N/A</v>
      </c>
      <c r="AR187" s="34" t="e">
        <f t="shared" si="429"/>
        <v>#N/A</v>
      </c>
      <c r="AS187" s="27"/>
      <c r="AT187" s="39"/>
      <c r="AU187" s="39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30"/>
    </row>
    <row r="188" spans="1:66" ht="11.25" customHeight="1" x14ac:dyDescent="0.2">
      <c r="A188" s="42"/>
      <c r="B188" s="74"/>
      <c r="C188" s="33">
        <v>7</v>
      </c>
      <c r="D188" s="13" t="s">
        <v>168</v>
      </c>
      <c r="E188" s="16">
        <f t="shared" si="415"/>
        <v>85</v>
      </c>
      <c r="F188" s="6">
        <f>SUMIFS([0]!VOTOS2,[0]!TURNO1,F$31,[0]!CANDIDATO1,$C188,[0]!MUNICIPIO1,$B$182)</f>
        <v>0</v>
      </c>
      <c r="G188" s="6">
        <f>SUMIFS([0]!VOTOS2,[0]!TURNO1,G$31,[0]!CANDIDATO1,$C188,[0]!MUNICIPIO1,$B$182)</f>
        <v>6</v>
      </c>
      <c r="H188" s="6">
        <f>SUMIFS([0]!VOTOS2,[0]!TURNO1,H$31,[0]!CANDIDATO1,$C188,[0]!MUNICIPIO1,$B$182)</f>
        <v>5</v>
      </c>
      <c r="I188" s="6">
        <f>SUMIFS([0]!VOTOS2,[0]!TURNO1,I$31,[0]!CANDIDATO1,$C188,[0]!MUNICIPIO1,$B$182)</f>
        <v>16</v>
      </c>
      <c r="J188" s="6">
        <f>SUMIFS([0]!VOTOS2,[0]!TURNO1,J$31,[0]!CANDIDATO1,$C188,[0]!MUNICIPIO1,$B$182)</f>
        <v>13</v>
      </c>
      <c r="K188" s="6">
        <f>SUMIFS([0]!VOTOS2,[0]!TURNO1,K$31,[0]!CANDIDATO1,$C188,[0]!MUNICIPIO1,$B$182)</f>
        <v>11</v>
      </c>
      <c r="L188" s="6">
        <f>SUMIFS([0]!VOTOS2,[0]!TURNO1,L$31,[0]!CANDIDATO1,$C188,[0]!MUNICIPIO1,$B$182)</f>
        <v>9</v>
      </c>
      <c r="M188" s="6">
        <f>SUMIFS([0]!VOTOS2,[0]!TURNO1,M$31,[0]!CANDIDATO1,$C188,[0]!MUNICIPIO1,$B$182)</f>
        <v>9</v>
      </c>
      <c r="N188" s="6">
        <f>SUMIFS([0]!VOTOS2,[0]!TURNO1,N$31,[0]!CANDIDATO1,$C188,[0]!MUNICIPIO1,$B$182)</f>
        <v>14</v>
      </c>
      <c r="O188" s="6">
        <f>SUMIFS([0]!VOTOS2,[0]!TURNO1,O$31,[0]!CANDIDATO1,$C188,[0]!MUNICIPIO1,$B$182)</f>
        <v>2</v>
      </c>
      <c r="P188" s="6">
        <f>SUMIFS([0]!VOTOS2,[0]!TURNO1,P$31,[0]!CANDIDATO1,$C188,[0]!MUNICIPIO1,$B$182)</f>
        <v>0</v>
      </c>
      <c r="Q188" s="6">
        <f>SUMIFS([0]!VOTOS2,[0]!TURNO1,Q$31,[0]!CANDIDATO1,$C188,[0]!MUNICIPIO1,$B$182)</f>
        <v>0</v>
      </c>
      <c r="R188" s="6">
        <f>SUMIFS([0]!VOTOS2,[0]!TURNO1,R$31,[0]!CANDIDATO1,$C188,[0]!MUNICIPIO1,$B$182)</f>
        <v>0</v>
      </c>
      <c r="S188" s="6">
        <f>SUMIFS([0]!VOTOS2,[0]!TURNO1,S$31,[0]!CANDIDATO1,$C188,[0]!MUNICIPIO1,$B$182)</f>
        <v>0</v>
      </c>
      <c r="T188" s="6">
        <f>SUMIFS([0]!VOTOS2,[0]!TURNO1,T$31,[0]!CANDIDATO1,$C188,[0]!MUNICIPIO1,$B$182)</f>
        <v>0</v>
      </c>
      <c r="U188" s="6">
        <f>SUMIFS([0]!VOTOS2,[0]!TURNO1,U$31,[0]!CANDIDATO1,$C188,[0]!MUNICIPIO1,$B$182)</f>
        <v>0</v>
      </c>
      <c r="V188" s="6">
        <f>SUMIFS([0]!VOTOS2,[0]!TURNO1,V$31,[0]!CANDIDATO1,$C188,[0]!MUNICIPIO1,$B$182)</f>
        <v>0</v>
      </c>
      <c r="W188" s="6">
        <f>SUMIFS([0]!VOTOS2,[0]!TURNO1,W$31,[0]!CANDIDATO1,$C188,[0]!MUNICIPIO1,$B$182)</f>
        <v>0</v>
      </c>
      <c r="X188" s="24"/>
      <c r="Y188" s="18" t="str">
        <f t="shared" si="416"/>
        <v>MIGUEL A ROSALES</v>
      </c>
      <c r="Z188" s="34">
        <f t="shared" si="417"/>
        <v>85</v>
      </c>
      <c r="AA188" s="34">
        <f t="shared" si="418"/>
        <v>0</v>
      </c>
      <c r="AB188" s="34">
        <f t="shared" ref="AB188:AR188" si="430">IF(SUM(G182:G194)=0,NA(),G188+AA188)</f>
        <v>6</v>
      </c>
      <c r="AC188" s="34">
        <f t="shared" si="430"/>
        <v>11</v>
      </c>
      <c r="AD188" s="34">
        <f t="shared" si="430"/>
        <v>27</v>
      </c>
      <c r="AE188" s="34">
        <f t="shared" si="430"/>
        <v>40</v>
      </c>
      <c r="AF188" s="34">
        <f t="shared" si="430"/>
        <v>51</v>
      </c>
      <c r="AG188" s="34">
        <f t="shared" si="430"/>
        <v>60</v>
      </c>
      <c r="AH188" s="34">
        <f t="shared" si="430"/>
        <v>69</v>
      </c>
      <c r="AI188" s="34">
        <f t="shared" si="430"/>
        <v>83</v>
      </c>
      <c r="AJ188" s="34">
        <f t="shared" si="430"/>
        <v>85</v>
      </c>
      <c r="AK188" s="34" t="e">
        <f t="shared" si="430"/>
        <v>#N/A</v>
      </c>
      <c r="AL188" s="34" t="e">
        <f t="shared" si="430"/>
        <v>#N/A</v>
      </c>
      <c r="AM188" s="34" t="e">
        <f t="shared" si="430"/>
        <v>#N/A</v>
      </c>
      <c r="AN188" s="34" t="e">
        <f t="shared" si="430"/>
        <v>#N/A</v>
      </c>
      <c r="AO188" s="34" t="e">
        <f t="shared" si="430"/>
        <v>#N/A</v>
      </c>
      <c r="AP188" s="34" t="e">
        <f t="shared" si="430"/>
        <v>#N/A</v>
      </c>
      <c r="AQ188" s="34" t="e">
        <f t="shared" si="430"/>
        <v>#N/A</v>
      </c>
      <c r="AR188" s="34" t="e">
        <f t="shared" si="430"/>
        <v>#N/A</v>
      </c>
      <c r="AS188" s="27"/>
      <c r="AT188" s="39"/>
      <c r="AU188" s="39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30"/>
    </row>
    <row r="189" spans="1:66" ht="11.25" customHeight="1" x14ac:dyDescent="0.2">
      <c r="A189" s="44"/>
      <c r="B189" s="54"/>
      <c r="C189" s="46">
        <v>8</v>
      </c>
      <c r="D189" s="14" t="s">
        <v>121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24"/>
      <c r="Y189" s="18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27"/>
      <c r="AT189" s="41"/>
      <c r="AU189" s="41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30"/>
    </row>
    <row r="190" spans="1:66" ht="11.25" customHeight="1" x14ac:dyDescent="0.2">
      <c r="A190" s="44"/>
      <c r="B190" s="54"/>
      <c r="C190" s="46">
        <v>9</v>
      </c>
      <c r="D190" s="14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24"/>
      <c r="Y190" s="18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27"/>
      <c r="AT190" s="41"/>
      <c r="AU190" s="41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30"/>
    </row>
    <row r="191" spans="1:66" ht="11.25" customHeight="1" x14ac:dyDescent="0.2">
      <c r="A191" s="44"/>
      <c r="B191" s="54"/>
      <c r="C191" s="46">
        <v>10</v>
      </c>
      <c r="D191" s="14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24"/>
      <c r="Y191" s="18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27"/>
      <c r="AT191" s="41"/>
      <c r="AU191" s="41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30"/>
    </row>
    <row r="192" spans="1:66" ht="11.25" customHeight="1" x14ac:dyDescent="0.2">
      <c r="A192" s="44"/>
      <c r="B192" s="54"/>
      <c r="C192" s="46">
        <v>11</v>
      </c>
      <c r="D192" s="14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24"/>
      <c r="Y192" s="18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27"/>
      <c r="AT192" s="41"/>
      <c r="AU192" s="41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30"/>
    </row>
    <row r="193" spans="1:66" ht="11.25" customHeight="1" x14ac:dyDescent="0.2">
      <c r="A193" s="44"/>
      <c r="B193" s="54"/>
      <c r="C193" s="46">
        <v>12</v>
      </c>
      <c r="D193" s="14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24"/>
      <c r="Y193" s="18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27"/>
      <c r="AT193" s="41"/>
      <c r="AU193" s="41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30"/>
    </row>
    <row r="194" spans="1:66" ht="11.25" customHeight="1" x14ac:dyDescent="0.2">
      <c r="A194" s="44"/>
      <c r="B194" s="54"/>
      <c r="C194" s="46">
        <v>13</v>
      </c>
      <c r="D194" s="14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24"/>
      <c r="Y194" s="18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27"/>
      <c r="AT194" s="41"/>
      <c r="AU194" s="41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30"/>
    </row>
    <row r="195" spans="1:66" ht="11.25" customHeight="1" x14ac:dyDescent="0.2">
      <c r="D195" s="31" t="s">
        <v>76</v>
      </c>
      <c r="X195" s="24"/>
      <c r="Y195" s="19" t="s">
        <v>79</v>
      </c>
      <c r="Z195" s="34">
        <f t="shared" ref="Z195" si="431">SUM(Z184:Z194)</f>
        <v>318</v>
      </c>
      <c r="AA195" s="34">
        <f t="shared" ref="AA195" si="432">SUM(AA184:AA194)</f>
        <v>0</v>
      </c>
      <c r="AB195" s="34">
        <f t="shared" ref="AB195" si="433">SUM(AB184:AB194)</f>
        <v>13</v>
      </c>
      <c r="AC195" s="34">
        <f t="shared" ref="AC195" si="434">SUM(AC184:AC194)</f>
        <v>34</v>
      </c>
      <c r="AD195" s="34">
        <f t="shared" ref="AD195" si="435">SUM(AD184:AD194)</f>
        <v>94</v>
      </c>
      <c r="AE195" s="34">
        <f t="shared" ref="AE195" si="436">SUM(AE184:AE194)</f>
        <v>152</v>
      </c>
      <c r="AF195" s="34">
        <f t="shared" ref="AF195" si="437">SUM(AF184:AF194)</f>
        <v>197</v>
      </c>
      <c r="AG195" s="34">
        <f t="shared" ref="AG195" si="438">SUM(AG184:AG194)</f>
        <v>238</v>
      </c>
      <c r="AH195" s="34">
        <f t="shared" ref="AH195" si="439">SUM(AH184:AH194)</f>
        <v>268</v>
      </c>
      <c r="AI195" s="34">
        <f t="shared" ref="AI195" si="440">SUM(AI184:AI194)</f>
        <v>310</v>
      </c>
      <c r="AJ195" s="34">
        <f t="shared" ref="AJ195" si="441">SUM(AJ184:AJ194)</f>
        <v>318</v>
      </c>
      <c r="AK195" s="34" t="e">
        <f t="shared" ref="AK195" si="442">SUM(AK184:AK194)</f>
        <v>#N/A</v>
      </c>
      <c r="AL195" s="34" t="e">
        <f t="shared" ref="AL195" si="443">SUM(AL184:AL194)</f>
        <v>#N/A</v>
      </c>
      <c r="AM195" s="34" t="e">
        <f t="shared" ref="AM195" si="444">SUM(AM184:AM194)</f>
        <v>#N/A</v>
      </c>
      <c r="AN195" s="34" t="e">
        <f t="shared" ref="AN195" si="445">SUM(AN184:AN194)</f>
        <v>#N/A</v>
      </c>
      <c r="AO195" s="34" t="e">
        <f t="shared" ref="AO195" si="446">SUM(AO184:AO194)</f>
        <v>#N/A</v>
      </c>
      <c r="AP195" s="34" t="e">
        <f t="shared" ref="AP195" si="447">SUM(AP184:AP194)</f>
        <v>#N/A</v>
      </c>
      <c r="AQ195" s="34" t="e">
        <f t="shared" ref="AQ195" si="448">SUM(AQ184:AQ194)</f>
        <v>#N/A</v>
      </c>
      <c r="AR195" s="34" t="e">
        <f t="shared" ref="AR195" si="449">SUM(AR184:AR194)</f>
        <v>#N/A</v>
      </c>
      <c r="AS195" s="27"/>
      <c r="AT195" s="41"/>
      <c r="AU195" s="41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30"/>
    </row>
    <row r="196" spans="1:66" ht="11.25" customHeight="1" x14ac:dyDescent="0.2">
      <c r="A196" s="75" t="s">
        <v>63</v>
      </c>
      <c r="B196" s="76"/>
      <c r="C196" s="47"/>
      <c r="D196" s="48" t="s">
        <v>75</v>
      </c>
      <c r="E196" s="49" t="s">
        <v>70</v>
      </c>
      <c r="F196" s="49">
        <v>0</v>
      </c>
      <c r="G196" s="49">
        <v>1</v>
      </c>
      <c r="H196" s="49">
        <v>2</v>
      </c>
      <c r="I196" s="49">
        <v>3</v>
      </c>
      <c r="J196" s="49">
        <v>4</v>
      </c>
      <c r="K196" s="49">
        <v>5</v>
      </c>
      <c r="L196" s="49">
        <v>6</v>
      </c>
      <c r="M196" s="49">
        <v>7</v>
      </c>
      <c r="N196" s="49">
        <v>8</v>
      </c>
      <c r="O196" s="49">
        <v>9</v>
      </c>
      <c r="P196" s="49">
        <v>10</v>
      </c>
      <c r="Q196" s="49">
        <v>11</v>
      </c>
      <c r="R196" s="49">
        <v>12</v>
      </c>
      <c r="S196" s="49">
        <v>13</v>
      </c>
      <c r="T196" s="49">
        <v>14</v>
      </c>
      <c r="U196" s="49">
        <v>15</v>
      </c>
      <c r="V196" s="49">
        <v>16</v>
      </c>
      <c r="W196" s="23">
        <v>17</v>
      </c>
      <c r="X196" s="24"/>
      <c r="Y196" s="17"/>
      <c r="Z196" s="25" t="s">
        <v>64</v>
      </c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7"/>
      <c r="AT196" s="28"/>
      <c r="AU196" s="28" t="s">
        <v>64</v>
      </c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30"/>
    </row>
    <row r="197" spans="1:66" ht="11.25" customHeight="1" x14ac:dyDescent="0.2">
      <c r="A197" s="32"/>
      <c r="B197" s="72">
        <v>14</v>
      </c>
      <c r="C197" s="56">
        <v>1</v>
      </c>
      <c r="D197" s="12" t="s">
        <v>169</v>
      </c>
      <c r="E197" s="16">
        <f t="shared" ref="E197:E207" si="450">SUM(F197:W197)</f>
        <v>539</v>
      </c>
      <c r="F197" s="6">
        <f>SUMIFS([0]!VOTOS2,[0]!TURNO1,F$31,[0]!CANDIDATO1,$C197,[0]!MUNICIPIO1,$B$197)</f>
        <v>10</v>
      </c>
      <c r="G197" s="6">
        <f>SUMIFS([0]!VOTOS2,[0]!TURNO1,G$31,[0]!CANDIDATO1,$C197,[0]!MUNICIPIO1,$B$197)</f>
        <v>80</v>
      </c>
      <c r="H197" s="6">
        <f>SUMIFS([0]!VOTOS2,[0]!TURNO1,H$31,[0]!CANDIDATO1,$C197,[0]!MUNICIPIO1,$B$197)</f>
        <v>142</v>
      </c>
      <c r="I197" s="6">
        <f>SUMIFS([0]!VOTOS2,[0]!TURNO1,I$31,[0]!CANDIDATO1,$C197,[0]!MUNICIPIO1,$B$197)</f>
        <v>76</v>
      </c>
      <c r="J197" s="6">
        <f>SUMIFS([0]!VOTOS2,[0]!TURNO1,J$31,[0]!CANDIDATO1,$C197,[0]!MUNICIPIO1,$B$197)</f>
        <v>66</v>
      </c>
      <c r="K197" s="6">
        <f>SUMIFS([0]!VOTOS2,[0]!TURNO1,K$31,[0]!CANDIDATO1,$C197,[0]!MUNICIPIO1,$B$197)</f>
        <v>12</v>
      </c>
      <c r="L197" s="6">
        <f>SUMIFS([0]!VOTOS2,[0]!TURNO1,L$31,[0]!CANDIDATO1,$C197,[0]!MUNICIPIO1,$B$197)</f>
        <v>45</v>
      </c>
      <c r="M197" s="6">
        <f>SUMIFS([0]!VOTOS2,[0]!TURNO1,M$31,[0]!CANDIDATO1,$C197,[0]!MUNICIPIO1,$B$197)</f>
        <v>46</v>
      </c>
      <c r="N197" s="6">
        <f>SUMIFS([0]!VOTOS2,[0]!TURNO1,N$31,[0]!CANDIDATO1,$C197,[0]!MUNICIPIO1,$B$197)</f>
        <v>25</v>
      </c>
      <c r="O197" s="6">
        <f>SUMIFS([0]!VOTOS2,[0]!TURNO1,O$31,[0]!CANDIDATO1,$C197,[0]!MUNICIPIO1,$B$197)</f>
        <v>37</v>
      </c>
      <c r="P197" s="6">
        <f>SUMIFS([0]!VOTOS2,[0]!TURNO1,P$31,[0]!CANDIDATO1,$C197,[0]!MUNICIPIO1,$B$197)</f>
        <v>0</v>
      </c>
      <c r="Q197" s="6">
        <f>SUMIFS([0]!VOTOS2,[0]!TURNO1,Q$31,[0]!CANDIDATO1,$C197,[0]!MUNICIPIO1,$B$197)</f>
        <v>0</v>
      </c>
      <c r="R197" s="6">
        <f>SUMIFS([0]!VOTOS2,[0]!TURNO1,R$31,[0]!CANDIDATO1,$C197,[0]!MUNICIPIO1,$B$197)</f>
        <v>0</v>
      </c>
      <c r="S197" s="6">
        <f>SUMIFS([0]!VOTOS2,[0]!TURNO1,S$31,[0]!CANDIDATO1,$C197,[0]!MUNICIPIO1,$B$197)</f>
        <v>0</v>
      </c>
      <c r="T197" s="6">
        <f>SUMIFS([0]!VOTOS2,[0]!TURNO1,T$31,[0]!CANDIDATO1,$C197,[0]!MUNICIPIO1,$B$197)</f>
        <v>0</v>
      </c>
      <c r="U197" s="6">
        <f>SUMIFS([0]!VOTOS2,[0]!TURNO1,U$31,[0]!CANDIDATO1,$C197,[0]!MUNICIPIO1,$B$197)</f>
        <v>0</v>
      </c>
      <c r="V197" s="6">
        <f>SUMIFS([0]!VOTOS2,[0]!TURNO1,V$31,[0]!CANDIDATO1,$C197,[0]!MUNICIPIO1,$B$197)</f>
        <v>0</v>
      </c>
      <c r="W197" s="6">
        <f>SUMIFS([0]!VOTOS2,[0]!TURNO1,W$31,[0]!CANDIDATO1,$C197,[0]!MUNICIPIO1,$B$197)</f>
        <v>0</v>
      </c>
      <c r="X197" s="24"/>
      <c r="Y197" s="18" t="str">
        <f t="shared" ref="Y197:Y207" si="451">D197</f>
        <v>JOSE RAMON LOPEZ</v>
      </c>
      <c r="Z197" s="34">
        <f t="shared" ref="Z197:Z207" si="452">E197</f>
        <v>539</v>
      </c>
      <c r="AA197" s="34">
        <f t="shared" ref="AA197:AA207" si="453">F197</f>
        <v>10</v>
      </c>
      <c r="AB197" s="34">
        <f t="shared" ref="AB197:AR197" si="454">IF(SUM(G197:G209)=0,NA(),G197+AA197)</f>
        <v>90</v>
      </c>
      <c r="AC197" s="34">
        <f t="shared" si="454"/>
        <v>232</v>
      </c>
      <c r="AD197" s="34">
        <f t="shared" si="454"/>
        <v>308</v>
      </c>
      <c r="AE197" s="34">
        <f t="shared" si="454"/>
        <v>374</v>
      </c>
      <c r="AF197" s="34">
        <f t="shared" si="454"/>
        <v>386</v>
      </c>
      <c r="AG197" s="34">
        <f t="shared" si="454"/>
        <v>431</v>
      </c>
      <c r="AH197" s="34">
        <f t="shared" si="454"/>
        <v>477</v>
      </c>
      <c r="AI197" s="34">
        <f t="shared" si="454"/>
        <v>502</v>
      </c>
      <c r="AJ197" s="34">
        <f t="shared" si="454"/>
        <v>539</v>
      </c>
      <c r="AK197" s="34" t="e">
        <f t="shared" si="454"/>
        <v>#N/A</v>
      </c>
      <c r="AL197" s="34" t="e">
        <f t="shared" si="454"/>
        <v>#N/A</v>
      </c>
      <c r="AM197" s="34" t="e">
        <f t="shared" si="454"/>
        <v>#N/A</v>
      </c>
      <c r="AN197" s="34" t="e">
        <f t="shared" si="454"/>
        <v>#N/A</v>
      </c>
      <c r="AO197" s="34" t="e">
        <f t="shared" si="454"/>
        <v>#N/A</v>
      </c>
      <c r="AP197" s="34" t="e">
        <f t="shared" si="454"/>
        <v>#N/A</v>
      </c>
      <c r="AQ197" s="34" t="e">
        <f t="shared" si="454"/>
        <v>#N/A</v>
      </c>
      <c r="AR197" s="34" t="e">
        <f t="shared" si="454"/>
        <v>#N/A</v>
      </c>
      <c r="AS197" s="27"/>
      <c r="AT197" s="35" t="str">
        <f t="shared" ref="AT197:AT198" si="455">Y197</f>
        <v>JOSE RAMON LOPEZ</v>
      </c>
      <c r="AU197" s="36">
        <f t="shared" ref="AU197:BM197" si="456">Z197/(Z197+Z198+Z210)</f>
        <v>0.49861239592969475</v>
      </c>
      <c r="AV197" s="36">
        <f t="shared" si="456"/>
        <v>0.5</v>
      </c>
      <c r="AW197" s="36">
        <f t="shared" si="456"/>
        <v>0.6</v>
      </c>
      <c r="AX197" s="36">
        <f t="shared" si="456"/>
        <v>0.49678800856531047</v>
      </c>
      <c r="AY197" s="36">
        <f t="shared" si="456"/>
        <v>0.48580441640378547</v>
      </c>
      <c r="AZ197" s="36">
        <f t="shared" si="456"/>
        <v>0.48133848133848134</v>
      </c>
      <c r="BA197" s="36">
        <f t="shared" si="456"/>
        <v>0.48370927318295737</v>
      </c>
      <c r="BB197" s="36">
        <f t="shared" si="456"/>
        <v>0.49032992036405004</v>
      </c>
      <c r="BC197" s="36">
        <f t="shared" si="456"/>
        <v>0.49327817993795242</v>
      </c>
      <c r="BD197" s="36">
        <f t="shared" si="456"/>
        <v>0.50351053159478432</v>
      </c>
      <c r="BE197" s="36">
        <f t="shared" si="456"/>
        <v>0.49861239592969475</v>
      </c>
      <c r="BF197" s="36" t="e">
        <f t="shared" si="456"/>
        <v>#N/A</v>
      </c>
      <c r="BG197" s="36" t="e">
        <f t="shared" si="456"/>
        <v>#N/A</v>
      </c>
      <c r="BH197" s="36" t="e">
        <f t="shared" si="456"/>
        <v>#N/A</v>
      </c>
      <c r="BI197" s="36" t="e">
        <f t="shared" si="456"/>
        <v>#N/A</v>
      </c>
      <c r="BJ197" s="36" t="e">
        <f t="shared" si="456"/>
        <v>#N/A</v>
      </c>
      <c r="BK197" s="36" t="e">
        <f t="shared" si="456"/>
        <v>#N/A</v>
      </c>
      <c r="BL197" s="36" t="e">
        <f t="shared" si="456"/>
        <v>#N/A</v>
      </c>
      <c r="BM197" s="36" t="e">
        <f t="shared" si="456"/>
        <v>#N/A</v>
      </c>
      <c r="BN197" s="30"/>
    </row>
    <row r="198" spans="1:66" ht="11.25" customHeight="1" x14ac:dyDescent="0.2">
      <c r="A198" s="37"/>
      <c r="B198" s="73"/>
      <c r="C198" s="33">
        <v>2</v>
      </c>
      <c r="D198" s="13" t="s">
        <v>170</v>
      </c>
      <c r="E198" s="16">
        <f t="shared" si="450"/>
        <v>446</v>
      </c>
      <c r="F198" s="6">
        <f>SUMIFS([0]!VOTOS2,[0]!TURNO1,F$31,[0]!CANDIDATO1,$C198,[0]!MUNICIPIO1,$B$197)</f>
        <v>10</v>
      </c>
      <c r="G198" s="6">
        <f>SUMIFS([0]!VOTOS2,[0]!TURNO1,G$31,[0]!CANDIDATO1,$C198,[0]!MUNICIPIO1,$B$197)</f>
        <v>46</v>
      </c>
      <c r="H198" s="6">
        <f>SUMIFS([0]!VOTOS2,[0]!TURNO1,H$31,[0]!CANDIDATO1,$C198,[0]!MUNICIPIO1,$B$197)</f>
        <v>134</v>
      </c>
      <c r="I198" s="6">
        <f>SUMIFS([0]!VOTOS2,[0]!TURNO1,I$31,[0]!CANDIDATO1,$C198,[0]!MUNICIPIO1,$B$197)</f>
        <v>72</v>
      </c>
      <c r="J198" s="6">
        <f>SUMIFS([0]!VOTOS2,[0]!TURNO1,J$31,[0]!CANDIDATO1,$C198,[0]!MUNICIPIO1,$B$197)</f>
        <v>57</v>
      </c>
      <c r="K198" s="6">
        <f>SUMIFS([0]!VOTOS2,[0]!TURNO1,K$31,[0]!CANDIDATO1,$C198,[0]!MUNICIPIO1,$B$197)</f>
        <v>7</v>
      </c>
      <c r="L198" s="6">
        <f>SUMIFS([0]!VOTOS2,[0]!TURNO1,L$31,[0]!CANDIDATO1,$C198,[0]!MUNICIPIO1,$B$197)</f>
        <v>28</v>
      </c>
      <c r="M198" s="6">
        <f>SUMIFS([0]!VOTOS2,[0]!TURNO1,M$31,[0]!CANDIDATO1,$C198,[0]!MUNICIPIO1,$B$197)</f>
        <v>42</v>
      </c>
      <c r="N198" s="6">
        <f>SUMIFS([0]!VOTOS2,[0]!TURNO1,N$31,[0]!CANDIDATO1,$C198,[0]!MUNICIPIO1,$B$197)</f>
        <v>3</v>
      </c>
      <c r="O198" s="6">
        <f>SUMIFS([0]!VOTOS2,[0]!TURNO1,O$31,[0]!CANDIDATO1,$C198,[0]!MUNICIPIO1,$B$197)</f>
        <v>47</v>
      </c>
      <c r="P198" s="6">
        <f>SUMIFS([0]!VOTOS2,[0]!TURNO1,P$31,[0]!CANDIDATO1,$C198,[0]!MUNICIPIO1,$B$197)</f>
        <v>0</v>
      </c>
      <c r="Q198" s="6">
        <f>SUMIFS([0]!VOTOS2,[0]!TURNO1,Q$31,[0]!CANDIDATO1,$C198,[0]!MUNICIPIO1,$B$197)</f>
        <v>0</v>
      </c>
      <c r="R198" s="6">
        <f>SUMIFS([0]!VOTOS2,[0]!TURNO1,R$31,[0]!CANDIDATO1,$C198,[0]!MUNICIPIO1,$B$197)</f>
        <v>0</v>
      </c>
      <c r="S198" s="6">
        <f>SUMIFS([0]!VOTOS2,[0]!TURNO1,S$31,[0]!CANDIDATO1,$C198,[0]!MUNICIPIO1,$B$197)</f>
        <v>0</v>
      </c>
      <c r="T198" s="6">
        <f>SUMIFS([0]!VOTOS2,[0]!TURNO1,T$31,[0]!CANDIDATO1,$C198,[0]!MUNICIPIO1,$B$197)</f>
        <v>0</v>
      </c>
      <c r="U198" s="6">
        <f>SUMIFS([0]!VOTOS2,[0]!TURNO1,U$31,[0]!CANDIDATO1,$C198,[0]!MUNICIPIO1,$B$197)</f>
        <v>0</v>
      </c>
      <c r="V198" s="6">
        <f>SUMIFS([0]!VOTOS2,[0]!TURNO1,V$31,[0]!CANDIDATO1,$C198,[0]!MUNICIPIO1,$B$197)</f>
        <v>0</v>
      </c>
      <c r="W198" s="6">
        <f>SUMIFS([0]!VOTOS2,[0]!TURNO1,W$31,[0]!CANDIDATO1,$C198,[0]!MUNICIPIO1,$B$197)</f>
        <v>0</v>
      </c>
      <c r="X198" s="24"/>
      <c r="Y198" s="18" t="str">
        <f t="shared" si="451"/>
        <v>WILSON CASTRO</v>
      </c>
      <c r="Z198" s="34">
        <f t="shared" si="452"/>
        <v>446</v>
      </c>
      <c r="AA198" s="34">
        <f t="shared" si="453"/>
        <v>10</v>
      </c>
      <c r="AB198" s="34">
        <f t="shared" ref="AB198:AR198" si="457">IF(SUM(G197:G209)=0,NA(),G198+AA198)</f>
        <v>56</v>
      </c>
      <c r="AC198" s="34">
        <f t="shared" si="457"/>
        <v>190</v>
      </c>
      <c r="AD198" s="34">
        <f t="shared" si="457"/>
        <v>262</v>
      </c>
      <c r="AE198" s="34">
        <f t="shared" si="457"/>
        <v>319</v>
      </c>
      <c r="AF198" s="34">
        <f t="shared" si="457"/>
        <v>326</v>
      </c>
      <c r="AG198" s="34">
        <f t="shared" si="457"/>
        <v>354</v>
      </c>
      <c r="AH198" s="34">
        <f t="shared" si="457"/>
        <v>396</v>
      </c>
      <c r="AI198" s="34">
        <f t="shared" si="457"/>
        <v>399</v>
      </c>
      <c r="AJ198" s="34">
        <f t="shared" si="457"/>
        <v>446</v>
      </c>
      <c r="AK198" s="34" t="e">
        <f t="shared" si="457"/>
        <v>#N/A</v>
      </c>
      <c r="AL198" s="34" t="e">
        <f t="shared" si="457"/>
        <v>#N/A</v>
      </c>
      <c r="AM198" s="34" t="e">
        <f t="shared" si="457"/>
        <v>#N/A</v>
      </c>
      <c r="AN198" s="34" t="e">
        <f t="shared" si="457"/>
        <v>#N/A</v>
      </c>
      <c r="AO198" s="34" t="e">
        <f t="shared" si="457"/>
        <v>#N/A</v>
      </c>
      <c r="AP198" s="34" t="e">
        <f t="shared" si="457"/>
        <v>#N/A</v>
      </c>
      <c r="AQ198" s="34" t="e">
        <f t="shared" si="457"/>
        <v>#N/A</v>
      </c>
      <c r="AR198" s="34" t="e">
        <f t="shared" si="457"/>
        <v>#N/A</v>
      </c>
      <c r="AS198" s="27"/>
      <c r="AT198" s="35" t="str">
        <f t="shared" si="455"/>
        <v>WILSON CASTRO</v>
      </c>
      <c r="AU198" s="36">
        <f t="shared" ref="AU198:BM198" si="458">Z198/(Z197+Z198+Z210)</f>
        <v>0.4125809435707678</v>
      </c>
      <c r="AV198" s="36">
        <f t="shared" si="458"/>
        <v>0.5</v>
      </c>
      <c r="AW198" s="36">
        <f t="shared" si="458"/>
        <v>0.37333333333333335</v>
      </c>
      <c r="AX198" s="36">
        <f t="shared" si="458"/>
        <v>0.4068522483940043</v>
      </c>
      <c r="AY198" s="36">
        <f t="shared" si="458"/>
        <v>0.41324921135646686</v>
      </c>
      <c r="AZ198" s="36">
        <f t="shared" si="458"/>
        <v>0.41055341055341055</v>
      </c>
      <c r="BA198" s="36">
        <f t="shared" si="458"/>
        <v>0.40852130325814534</v>
      </c>
      <c r="BB198" s="36">
        <f t="shared" si="458"/>
        <v>0.40273037542662116</v>
      </c>
      <c r="BC198" s="36">
        <f t="shared" si="458"/>
        <v>0.40951396070320578</v>
      </c>
      <c r="BD198" s="36">
        <f t="shared" si="458"/>
        <v>0.40020060180541622</v>
      </c>
      <c r="BE198" s="36">
        <f t="shared" si="458"/>
        <v>0.4125809435707678</v>
      </c>
      <c r="BF198" s="36" t="e">
        <f t="shared" si="458"/>
        <v>#N/A</v>
      </c>
      <c r="BG198" s="36" t="e">
        <f t="shared" si="458"/>
        <v>#N/A</v>
      </c>
      <c r="BH198" s="36" t="e">
        <f t="shared" si="458"/>
        <v>#N/A</v>
      </c>
      <c r="BI198" s="36" t="e">
        <f t="shared" si="458"/>
        <v>#N/A</v>
      </c>
      <c r="BJ198" s="36" t="e">
        <f t="shared" si="458"/>
        <v>#N/A</v>
      </c>
      <c r="BK198" s="36" t="e">
        <f t="shared" si="458"/>
        <v>#N/A</v>
      </c>
      <c r="BL198" s="36" t="e">
        <f t="shared" si="458"/>
        <v>#N/A</v>
      </c>
      <c r="BM198" s="36" t="e">
        <f t="shared" si="458"/>
        <v>#N/A</v>
      </c>
      <c r="BN198" s="30"/>
    </row>
    <row r="199" spans="1:66" ht="11.25" customHeight="1" x14ac:dyDescent="0.2">
      <c r="A199" s="37"/>
      <c r="B199" s="73"/>
      <c r="C199" s="56">
        <v>3</v>
      </c>
      <c r="D199" s="13" t="s">
        <v>171</v>
      </c>
      <c r="E199" s="16">
        <f t="shared" si="450"/>
        <v>12</v>
      </c>
      <c r="F199" s="6">
        <f>SUMIFS([0]!VOTOS2,[0]!TURNO1,F$31,[0]!CANDIDATO1,$C199,[0]!MUNICIPIO1,$B$197)</f>
        <v>0</v>
      </c>
      <c r="G199" s="6">
        <f>SUMIFS([0]!VOTOS2,[0]!TURNO1,G$31,[0]!CANDIDATO1,$C199,[0]!MUNICIPIO1,$B$197)</f>
        <v>3</v>
      </c>
      <c r="H199" s="6">
        <f>SUMIFS([0]!VOTOS2,[0]!TURNO1,H$31,[0]!CANDIDATO1,$C199,[0]!MUNICIPIO1,$B$197)</f>
        <v>5</v>
      </c>
      <c r="I199" s="6">
        <f>SUMIFS([0]!VOTOS2,[0]!TURNO1,I$31,[0]!CANDIDATO1,$C199,[0]!MUNICIPIO1,$B$197)</f>
        <v>0</v>
      </c>
      <c r="J199" s="6">
        <f>SUMIFS([0]!VOTOS2,[0]!TURNO1,J$31,[0]!CANDIDATO1,$C199,[0]!MUNICIPIO1,$B$197)</f>
        <v>0</v>
      </c>
      <c r="K199" s="6">
        <f>SUMIFS([0]!VOTOS2,[0]!TURNO1,K$31,[0]!CANDIDATO1,$C199,[0]!MUNICIPIO1,$B$197)</f>
        <v>2</v>
      </c>
      <c r="L199" s="6">
        <f>SUMIFS([0]!VOTOS2,[0]!TURNO1,L$31,[0]!CANDIDATO1,$C199,[0]!MUNICIPIO1,$B$197)</f>
        <v>1</v>
      </c>
      <c r="M199" s="6">
        <f>SUMIFS([0]!VOTOS2,[0]!TURNO1,M$31,[0]!CANDIDATO1,$C199,[0]!MUNICIPIO1,$B$197)</f>
        <v>0</v>
      </c>
      <c r="N199" s="6">
        <f>SUMIFS([0]!VOTOS2,[0]!TURNO1,N$31,[0]!CANDIDATO1,$C199,[0]!MUNICIPIO1,$B$197)</f>
        <v>1</v>
      </c>
      <c r="O199" s="6">
        <f>SUMIFS([0]!VOTOS2,[0]!TURNO1,O$31,[0]!CANDIDATO1,$C199,[0]!MUNICIPIO1,$B$197)</f>
        <v>0</v>
      </c>
      <c r="P199" s="6">
        <f>SUMIFS([0]!VOTOS2,[0]!TURNO1,P$31,[0]!CANDIDATO1,$C199,[0]!MUNICIPIO1,$B$197)</f>
        <v>0</v>
      </c>
      <c r="Q199" s="6">
        <f>SUMIFS([0]!VOTOS2,[0]!TURNO1,Q$31,[0]!CANDIDATO1,$C199,[0]!MUNICIPIO1,$B$197)</f>
        <v>0</v>
      </c>
      <c r="R199" s="6">
        <f>SUMIFS([0]!VOTOS2,[0]!TURNO1,R$31,[0]!CANDIDATO1,$C199,[0]!MUNICIPIO1,$B$197)</f>
        <v>0</v>
      </c>
      <c r="S199" s="6">
        <f>SUMIFS([0]!VOTOS2,[0]!TURNO1,S$31,[0]!CANDIDATO1,$C199,[0]!MUNICIPIO1,$B$197)</f>
        <v>0</v>
      </c>
      <c r="T199" s="6">
        <f>SUMIFS([0]!VOTOS2,[0]!TURNO1,T$31,[0]!CANDIDATO1,$C199,[0]!MUNICIPIO1,$B$197)</f>
        <v>0</v>
      </c>
      <c r="U199" s="6">
        <f>SUMIFS([0]!VOTOS2,[0]!TURNO1,U$31,[0]!CANDIDATO1,$C199,[0]!MUNICIPIO1,$B$197)</f>
        <v>0</v>
      </c>
      <c r="V199" s="6">
        <f>SUMIFS([0]!VOTOS2,[0]!TURNO1,V$31,[0]!CANDIDATO1,$C199,[0]!MUNICIPIO1,$B$197)</f>
        <v>0</v>
      </c>
      <c r="W199" s="6">
        <f>SUMIFS([0]!VOTOS2,[0]!TURNO1,W$31,[0]!CANDIDATO1,$C199,[0]!MUNICIPIO1,$B$197)</f>
        <v>0</v>
      </c>
      <c r="X199" s="24"/>
      <c r="Y199" s="18" t="str">
        <f t="shared" si="451"/>
        <v>DOUGLAS LAGO</v>
      </c>
      <c r="Z199" s="34">
        <f t="shared" si="452"/>
        <v>12</v>
      </c>
      <c r="AA199" s="34">
        <f t="shared" si="453"/>
        <v>0</v>
      </c>
      <c r="AB199" s="34">
        <f t="shared" ref="AB199:AR199" si="459">IF(SUM(G197:G209)=0,NA(),G199+AA199)</f>
        <v>3</v>
      </c>
      <c r="AC199" s="34">
        <f t="shared" si="459"/>
        <v>8</v>
      </c>
      <c r="AD199" s="34">
        <f t="shared" si="459"/>
        <v>8</v>
      </c>
      <c r="AE199" s="34">
        <f t="shared" si="459"/>
        <v>8</v>
      </c>
      <c r="AF199" s="34">
        <f t="shared" si="459"/>
        <v>10</v>
      </c>
      <c r="AG199" s="34">
        <f t="shared" si="459"/>
        <v>11</v>
      </c>
      <c r="AH199" s="34">
        <f t="shared" si="459"/>
        <v>11</v>
      </c>
      <c r="AI199" s="34">
        <f t="shared" si="459"/>
        <v>12</v>
      </c>
      <c r="AJ199" s="34">
        <f t="shared" si="459"/>
        <v>12</v>
      </c>
      <c r="AK199" s="34" t="e">
        <f t="shared" si="459"/>
        <v>#N/A</v>
      </c>
      <c r="AL199" s="34" t="e">
        <f t="shared" si="459"/>
        <v>#N/A</v>
      </c>
      <c r="AM199" s="34" t="e">
        <f t="shared" si="459"/>
        <v>#N/A</v>
      </c>
      <c r="AN199" s="34" t="e">
        <f t="shared" si="459"/>
        <v>#N/A</v>
      </c>
      <c r="AO199" s="34" t="e">
        <f t="shared" si="459"/>
        <v>#N/A</v>
      </c>
      <c r="AP199" s="34" t="e">
        <f t="shared" si="459"/>
        <v>#N/A</v>
      </c>
      <c r="AQ199" s="34" t="e">
        <f t="shared" si="459"/>
        <v>#N/A</v>
      </c>
      <c r="AR199" s="34" t="e">
        <f t="shared" si="459"/>
        <v>#N/A</v>
      </c>
      <c r="AS199" s="27"/>
      <c r="AT199" s="35" t="str">
        <f t="shared" ref="AT199" si="460">Y210</f>
        <v>Otros</v>
      </c>
      <c r="AU199" s="36">
        <f t="shared" ref="AU199:BM199" si="461">Z210/(Z197+Z198+Z210)</f>
        <v>8.8806660499537463E-2</v>
      </c>
      <c r="AV199" s="36">
        <f t="shared" si="461"/>
        <v>0</v>
      </c>
      <c r="AW199" s="36">
        <f t="shared" si="461"/>
        <v>2.6666666666666668E-2</v>
      </c>
      <c r="AX199" s="36">
        <f t="shared" si="461"/>
        <v>9.6359743040685231E-2</v>
      </c>
      <c r="AY199" s="36">
        <f t="shared" si="461"/>
        <v>0.10094637223974763</v>
      </c>
      <c r="AZ199" s="36">
        <f t="shared" si="461"/>
        <v>0.10810810810810811</v>
      </c>
      <c r="BA199" s="36">
        <f t="shared" si="461"/>
        <v>0.10776942355889724</v>
      </c>
      <c r="BB199" s="36">
        <f t="shared" si="461"/>
        <v>0.10693970420932879</v>
      </c>
      <c r="BC199" s="36">
        <f t="shared" si="461"/>
        <v>9.7207859358841783E-2</v>
      </c>
      <c r="BD199" s="36">
        <f t="shared" si="461"/>
        <v>9.6288866599799391E-2</v>
      </c>
      <c r="BE199" s="36">
        <f t="shared" si="461"/>
        <v>8.8806660499537463E-2</v>
      </c>
      <c r="BF199" s="36" t="e">
        <f t="shared" si="461"/>
        <v>#N/A</v>
      </c>
      <c r="BG199" s="36" t="e">
        <f t="shared" si="461"/>
        <v>#N/A</v>
      </c>
      <c r="BH199" s="36" t="e">
        <f t="shared" si="461"/>
        <v>#N/A</v>
      </c>
      <c r="BI199" s="36" t="e">
        <f t="shared" si="461"/>
        <v>#N/A</v>
      </c>
      <c r="BJ199" s="36" t="e">
        <f t="shared" si="461"/>
        <v>#N/A</v>
      </c>
      <c r="BK199" s="36" t="e">
        <f t="shared" si="461"/>
        <v>#N/A</v>
      </c>
      <c r="BL199" s="36" t="e">
        <f t="shared" si="461"/>
        <v>#N/A</v>
      </c>
      <c r="BM199" s="36" t="e">
        <f t="shared" si="461"/>
        <v>#N/A</v>
      </c>
      <c r="BN199" s="30"/>
    </row>
    <row r="200" spans="1:66" ht="11.25" customHeight="1" x14ac:dyDescent="0.2">
      <c r="A200" s="38" t="s">
        <v>2</v>
      </c>
      <c r="B200" s="73"/>
      <c r="C200" s="33">
        <v>4</v>
      </c>
      <c r="D200" s="13" t="s">
        <v>172</v>
      </c>
      <c r="E200" s="16">
        <f t="shared" si="450"/>
        <v>1</v>
      </c>
      <c r="F200" s="6">
        <f>SUMIFS([0]!VOTOS2,[0]!TURNO1,F$31,[0]!CANDIDATO1,$C200,[0]!MUNICIPIO1,$B$197)</f>
        <v>0</v>
      </c>
      <c r="G200" s="6">
        <f>SUMIFS([0]!VOTOS2,[0]!TURNO1,G$31,[0]!CANDIDATO1,$C200,[0]!MUNICIPIO1,$B$197)</f>
        <v>1</v>
      </c>
      <c r="H200" s="6">
        <f>SUMIFS([0]!VOTOS2,[0]!TURNO1,H$31,[0]!CANDIDATO1,$C200,[0]!MUNICIPIO1,$B$197)</f>
        <v>0</v>
      </c>
      <c r="I200" s="6">
        <f>SUMIFS([0]!VOTOS2,[0]!TURNO1,I$31,[0]!CANDIDATO1,$C200,[0]!MUNICIPIO1,$B$197)</f>
        <v>0</v>
      </c>
      <c r="J200" s="6">
        <f>SUMIFS([0]!VOTOS2,[0]!TURNO1,J$31,[0]!CANDIDATO1,$C200,[0]!MUNICIPIO1,$B$197)</f>
        <v>0</v>
      </c>
      <c r="K200" s="6">
        <f>SUMIFS([0]!VOTOS2,[0]!TURNO1,K$31,[0]!CANDIDATO1,$C200,[0]!MUNICIPIO1,$B$197)</f>
        <v>0</v>
      </c>
      <c r="L200" s="6">
        <f>SUMIFS([0]!VOTOS2,[0]!TURNO1,L$31,[0]!CANDIDATO1,$C200,[0]!MUNICIPIO1,$B$197)</f>
        <v>0</v>
      </c>
      <c r="M200" s="6">
        <f>SUMIFS([0]!VOTOS2,[0]!TURNO1,M$31,[0]!CANDIDATO1,$C200,[0]!MUNICIPIO1,$B$197)</f>
        <v>0</v>
      </c>
      <c r="N200" s="6">
        <f>SUMIFS([0]!VOTOS2,[0]!TURNO1,N$31,[0]!CANDIDATO1,$C200,[0]!MUNICIPIO1,$B$197)</f>
        <v>0</v>
      </c>
      <c r="O200" s="6">
        <f>SUMIFS([0]!VOTOS2,[0]!TURNO1,O$31,[0]!CANDIDATO1,$C200,[0]!MUNICIPIO1,$B$197)</f>
        <v>0</v>
      </c>
      <c r="P200" s="6">
        <f>SUMIFS([0]!VOTOS2,[0]!TURNO1,P$31,[0]!CANDIDATO1,$C200,[0]!MUNICIPIO1,$B$197)</f>
        <v>0</v>
      </c>
      <c r="Q200" s="6">
        <f>SUMIFS([0]!VOTOS2,[0]!TURNO1,Q$31,[0]!CANDIDATO1,$C200,[0]!MUNICIPIO1,$B$197)</f>
        <v>0</v>
      </c>
      <c r="R200" s="6">
        <f>SUMIFS([0]!VOTOS2,[0]!TURNO1,R$31,[0]!CANDIDATO1,$C200,[0]!MUNICIPIO1,$B$197)</f>
        <v>0</v>
      </c>
      <c r="S200" s="6">
        <f>SUMIFS([0]!VOTOS2,[0]!TURNO1,S$31,[0]!CANDIDATO1,$C200,[0]!MUNICIPIO1,$B$197)</f>
        <v>0</v>
      </c>
      <c r="T200" s="6">
        <f>SUMIFS([0]!VOTOS2,[0]!TURNO1,T$31,[0]!CANDIDATO1,$C200,[0]!MUNICIPIO1,$B$197)</f>
        <v>0</v>
      </c>
      <c r="U200" s="6">
        <f>SUMIFS([0]!VOTOS2,[0]!TURNO1,U$31,[0]!CANDIDATO1,$C200,[0]!MUNICIPIO1,$B$197)</f>
        <v>0</v>
      </c>
      <c r="V200" s="6">
        <f>SUMIFS([0]!VOTOS2,[0]!TURNO1,V$31,[0]!CANDIDATO1,$C200,[0]!MUNICIPIO1,$B$197)</f>
        <v>0</v>
      </c>
      <c r="W200" s="6">
        <f>SUMIFS([0]!VOTOS2,[0]!TURNO1,W$31,[0]!CANDIDATO1,$C200,[0]!MUNICIPIO1,$B$197)</f>
        <v>0</v>
      </c>
      <c r="X200" s="24"/>
      <c r="Y200" s="18" t="str">
        <f t="shared" si="451"/>
        <v>WILLIAMS ROSAL</v>
      </c>
      <c r="Z200" s="34">
        <f t="shared" si="452"/>
        <v>1</v>
      </c>
      <c r="AA200" s="34">
        <f t="shared" si="453"/>
        <v>0</v>
      </c>
      <c r="AB200" s="34">
        <f t="shared" ref="AB200:AR200" si="462">IF(SUM(G197:G209)=0,NA(),G200+AA200)</f>
        <v>1</v>
      </c>
      <c r="AC200" s="34">
        <f t="shared" si="462"/>
        <v>1</v>
      </c>
      <c r="AD200" s="34">
        <f t="shared" si="462"/>
        <v>1</v>
      </c>
      <c r="AE200" s="34">
        <f t="shared" si="462"/>
        <v>1</v>
      </c>
      <c r="AF200" s="34">
        <f t="shared" si="462"/>
        <v>1</v>
      </c>
      <c r="AG200" s="34">
        <f t="shared" si="462"/>
        <v>1</v>
      </c>
      <c r="AH200" s="34">
        <f t="shared" si="462"/>
        <v>1</v>
      </c>
      <c r="AI200" s="34">
        <f t="shared" si="462"/>
        <v>1</v>
      </c>
      <c r="AJ200" s="34">
        <f t="shared" si="462"/>
        <v>1</v>
      </c>
      <c r="AK200" s="34" t="e">
        <f t="shared" si="462"/>
        <v>#N/A</v>
      </c>
      <c r="AL200" s="34" t="e">
        <f t="shared" si="462"/>
        <v>#N/A</v>
      </c>
      <c r="AM200" s="34" t="e">
        <f t="shared" si="462"/>
        <v>#N/A</v>
      </c>
      <c r="AN200" s="34" t="e">
        <f t="shared" si="462"/>
        <v>#N/A</v>
      </c>
      <c r="AO200" s="34" t="e">
        <f t="shared" si="462"/>
        <v>#N/A</v>
      </c>
      <c r="AP200" s="34" t="e">
        <f t="shared" si="462"/>
        <v>#N/A</v>
      </c>
      <c r="AQ200" s="34" t="e">
        <f t="shared" si="462"/>
        <v>#N/A</v>
      </c>
      <c r="AR200" s="34" t="e">
        <f t="shared" si="462"/>
        <v>#N/A</v>
      </c>
      <c r="AS200" s="27"/>
      <c r="AT200" s="39"/>
      <c r="AU200" s="39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30"/>
    </row>
    <row r="201" spans="1:66" ht="11.25" customHeight="1" x14ac:dyDescent="0.2">
      <c r="A201" s="38" t="s">
        <v>18</v>
      </c>
      <c r="B201" s="73"/>
      <c r="C201" s="56">
        <v>5</v>
      </c>
      <c r="D201" s="13" t="s">
        <v>173</v>
      </c>
      <c r="E201" s="16">
        <f t="shared" si="450"/>
        <v>0</v>
      </c>
      <c r="F201" s="6">
        <f>SUMIFS([0]!VOTOS2,[0]!TURNO1,F$31,[0]!CANDIDATO1,$C201,[0]!MUNICIPIO1,$B$197)</f>
        <v>0</v>
      </c>
      <c r="G201" s="6">
        <f>SUMIFS([0]!VOTOS2,[0]!TURNO1,G$31,[0]!CANDIDATO1,$C201,[0]!MUNICIPIO1,$B$197)</f>
        <v>0</v>
      </c>
      <c r="H201" s="6">
        <f>SUMIFS([0]!VOTOS2,[0]!TURNO1,H$31,[0]!CANDIDATO1,$C201,[0]!MUNICIPIO1,$B$197)</f>
        <v>0</v>
      </c>
      <c r="I201" s="6">
        <f>SUMIFS([0]!VOTOS2,[0]!TURNO1,I$31,[0]!CANDIDATO1,$C201,[0]!MUNICIPIO1,$B$197)</f>
        <v>0</v>
      </c>
      <c r="J201" s="6">
        <f>SUMIFS([0]!VOTOS2,[0]!TURNO1,J$31,[0]!CANDIDATO1,$C201,[0]!MUNICIPIO1,$B$197)</f>
        <v>0</v>
      </c>
      <c r="K201" s="6">
        <f>SUMIFS([0]!VOTOS2,[0]!TURNO1,K$31,[0]!CANDIDATO1,$C201,[0]!MUNICIPIO1,$B$197)</f>
        <v>0</v>
      </c>
      <c r="L201" s="6">
        <f>SUMIFS([0]!VOTOS2,[0]!TURNO1,L$31,[0]!CANDIDATO1,$C201,[0]!MUNICIPIO1,$B$197)</f>
        <v>0</v>
      </c>
      <c r="M201" s="6">
        <f>SUMIFS([0]!VOTOS2,[0]!TURNO1,M$31,[0]!CANDIDATO1,$C201,[0]!MUNICIPIO1,$B$197)</f>
        <v>0</v>
      </c>
      <c r="N201" s="6">
        <f>SUMIFS([0]!VOTOS2,[0]!TURNO1,N$31,[0]!CANDIDATO1,$C201,[0]!MUNICIPIO1,$B$197)</f>
        <v>0</v>
      </c>
      <c r="O201" s="6">
        <f>SUMIFS([0]!VOTOS2,[0]!TURNO1,O$31,[0]!CANDIDATO1,$C201,[0]!MUNICIPIO1,$B$197)</f>
        <v>0</v>
      </c>
      <c r="P201" s="6">
        <f>SUMIFS([0]!VOTOS2,[0]!TURNO1,P$31,[0]!CANDIDATO1,$C201,[0]!MUNICIPIO1,$B$197)</f>
        <v>0</v>
      </c>
      <c r="Q201" s="6">
        <f>SUMIFS([0]!VOTOS2,[0]!TURNO1,Q$31,[0]!CANDIDATO1,$C201,[0]!MUNICIPIO1,$B$197)</f>
        <v>0</v>
      </c>
      <c r="R201" s="6">
        <f>SUMIFS([0]!VOTOS2,[0]!TURNO1,R$31,[0]!CANDIDATO1,$C201,[0]!MUNICIPIO1,$B$197)</f>
        <v>0</v>
      </c>
      <c r="S201" s="6">
        <f>SUMIFS([0]!VOTOS2,[0]!TURNO1,S$31,[0]!CANDIDATO1,$C201,[0]!MUNICIPIO1,$B$197)</f>
        <v>0</v>
      </c>
      <c r="T201" s="6">
        <f>SUMIFS([0]!VOTOS2,[0]!TURNO1,T$31,[0]!CANDIDATO1,$C201,[0]!MUNICIPIO1,$B$197)</f>
        <v>0</v>
      </c>
      <c r="U201" s="6">
        <f>SUMIFS([0]!VOTOS2,[0]!TURNO1,U$31,[0]!CANDIDATO1,$C201,[0]!MUNICIPIO1,$B$197)</f>
        <v>0</v>
      </c>
      <c r="V201" s="6">
        <f>SUMIFS([0]!VOTOS2,[0]!TURNO1,V$31,[0]!CANDIDATO1,$C201,[0]!MUNICIPIO1,$B$197)</f>
        <v>0</v>
      </c>
      <c r="W201" s="6">
        <f>SUMIFS([0]!VOTOS2,[0]!TURNO1,W$31,[0]!CANDIDATO1,$C201,[0]!MUNICIPIO1,$B$197)</f>
        <v>0</v>
      </c>
      <c r="X201" s="24"/>
      <c r="Y201" s="18" t="str">
        <f t="shared" si="451"/>
        <v>ARGIMIRO MADURO</v>
      </c>
      <c r="Z201" s="34">
        <f t="shared" si="452"/>
        <v>0</v>
      </c>
      <c r="AA201" s="34">
        <f t="shared" si="453"/>
        <v>0</v>
      </c>
      <c r="AB201" s="34">
        <f t="shared" ref="AB201:AR201" si="463">IF(SUM(G197:G209)=0,NA(),G201+AA201)</f>
        <v>0</v>
      </c>
      <c r="AC201" s="34">
        <f t="shared" si="463"/>
        <v>0</v>
      </c>
      <c r="AD201" s="34">
        <f t="shared" si="463"/>
        <v>0</v>
      </c>
      <c r="AE201" s="34">
        <f t="shared" si="463"/>
        <v>0</v>
      </c>
      <c r="AF201" s="34">
        <f t="shared" si="463"/>
        <v>0</v>
      </c>
      <c r="AG201" s="34">
        <f t="shared" si="463"/>
        <v>0</v>
      </c>
      <c r="AH201" s="34">
        <f t="shared" si="463"/>
        <v>0</v>
      </c>
      <c r="AI201" s="34">
        <f t="shared" si="463"/>
        <v>0</v>
      </c>
      <c r="AJ201" s="34">
        <f t="shared" si="463"/>
        <v>0</v>
      </c>
      <c r="AK201" s="34" t="e">
        <f t="shared" si="463"/>
        <v>#N/A</v>
      </c>
      <c r="AL201" s="34" t="e">
        <f t="shared" si="463"/>
        <v>#N/A</v>
      </c>
      <c r="AM201" s="34" t="e">
        <f t="shared" si="463"/>
        <v>#N/A</v>
      </c>
      <c r="AN201" s="34" t="e">
        <f t="shared" si="463"/>
        <v>#N/A</v>
      </c>
      <c r="AO201" s="34" t="e">
        <f t="shared" si="463"/>
        <v>#N/A</v>
      </c>
      <c r="AP201" s="34" t="e">
        <f t="shared" si="463"/>
        <v>#N/A</v>
      </c>
      <c r="AQ201" s="34" t="e">
        <f t="shared" si="463"/>
        <v>#N/A</v>
      </c>
      <c r="AR201" s="34" t="e">
        <f t="shared" si="463"/>
        <v>#N/A</v>
      </c>
      <c r="AS201" s="27"/>
      <c r="AT201" s="39"/>
      <c r="AU201" s="39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30"/>
    </row>
    <row r="202" spans="1:66" ht="11.25" customHeight="1" x14ac:dyDescent="0.2">
      <c r="A202" s="37"/>
      <c r="B202" s="73"/>
      <c r="C202" s="33">
        <v>6</v>
      </c>
      <c r="D202" s="13" t="s">
        <v>174</v>
      </c>
      <c r="E202" s="16">
        <f t="shared" si="450"/>
        <v>16</v>
      </c>
      <c r="F202" s="6">
        <f>SUMIFS([0]!VOTOS2,[0]!TURNO1,F$31,[0]!CANDIDATO1,$C202,[0]!MUNICIPIO1,$B$197)</f>
        <v>0</v>
      </c>
      <c r="G202" s="6">
        <f>SUMIFS([0]!VOTOS2,[0]!TURNO1,G$31,[0]!CANDIDATO1,$C202,[0]!MUNICIPIO1,$B$197)</f>
        <v>0</v>
      </c>
      <c r="H202" s="6">
        <f>SUMIFS([0]!VOTOS2,[0]!TURNO1,H$31,[0]!CANDIDATO1,$C202,[0]!MUNICIPIO1,$B$197)</f>
        <v>16</v>
      </c>
      <c r="I202" s="6">
        <f>SUMIFS([0]!VOTOS2,[0]!TURNO1,I$31,[0]!CANDIDATO1,$C202,[0]!MUNICIPIO1,$B$197)</f>
        <v>0</v>
      </c>
      <c r="J202" s="6">
        <f>SUMIFS([0]!VOTOS2,[0]!TURNO1,J$31,[0]!CANDIDATO1,$C202,[0]!MUNICIPIO1,$B$197)</f>
        <v>0</v>
      </c>
      <c r="K202" s="6">
        <f>SUMIFS([0]!VOTOS2,[0]!TURNO1,K$31,[0]!CANDIDATO1,$C202,[0]!MUNICIPIO1,$B$197)</f>
        <v>0</v>
      </c>
      <c r="L202" s="6">
        <f>SUMIFS([0]!VOTOS2,[0]!TURNO1,L$31,[0]!CANDIDATO1,$C202,[0]!MUNICIPIO1,$B$197)</f>
        <v>0</v>
      </c>
      <c r="M202" s="6">
        <f>SUMIFS([0]!VOTOS2,[0]!TURNO1,M$31,[0]!CANDIDATO1,$C202,[0]!MUNICIPIO1,$B$197)</f>
        <v>0</v>
      </c>
      <c r="N202" s="6">
        <f>SUMIFS([0]!VOTOS2,[0]!TURNO1,N$31,[0]!CANDIDATO1,$C202,[0]!MUNICIPIO1,$B$197)</f>
        <v>0</v>
      </c>
      <c r="O202" s="6">
        <f>SUMIFS([0]!VOTOS2,[0]!TURNO1,O$31,[0]!CANDIDATO1,$C202,[0]!MUNICIPIO1,$B$197)</f>
        <v>0</v>
      </c>
      <c r="P202" s="6">
        <f>SUMIFS([0]!VOTOS2,[0]!TURNO1,P$31,[0]!CANDIDATO1,$C202,[0]!MUNICIPIO1,$B$197)</f>
        <v>0</v>
      </c>
      <c r="Q202" s="6">
        <f>SUMIFS([0]!VOTOS2,[0]!TURNO1,Q$31,[0]!CANDIDATO1,$C202,[0]!MUNICIPIO1,$B$197)</f>
        <v>0</v>
      </c>
      <c r="R202" s="6">
        <f>SUMIFS([0]!VOTOS2,[0]!TURNO1,R$31,[0]!CANDIDATO1,$C202,[0]!MUNICIPIO1,$B$197)</f>
        <v>0</v>
      </c>
      <c r="S202" s="6">
        <f>SUMIFS([0]!VOTOS2,[0]!TURNO1,S$31,[0]!CANDIDATO1,$C202,[0]!MUNICIPIO1,$B$197)</f>
        <v>0</v>
      </c>
      <c r="T202" s="6">
        <f>SUMIFS([0]!VOTOS2,[0]!TURNO1,T$31,[0]!CANDIDATO1,$C202,[0]!MUNICIPIO1,$B$197)</f>
        <v>0</v>
      </c>
      <c r="U202" s="6">
        <f>SUMIFS([0]!VOTOS2,[0]!TURNO1,U$31,[0]!CANDIDATO1,$C202,[0]!MUNICIPIO1,$B$197)</f>
        <v>0</v>
      </c>
      <c r="V202" s="6">
        <f>SUMIFS([0]!VOTOS2,[0]!TURNO1,V$31,[0]!CANDIDATO1,$C202,[0]!MUNICIPIO1,$B$197)</f>
        <v>0</v>
      </c>
      <c r="W202" s="6">
        <f>SUMIFS([0]!VOTOS2,[0]!TURNO1,W$31,[0]!CANDIDATO1,$C202,[0]!MUNICIPIO1,$B$197)</f>
        <v>0</v>
      </c>
      <c r="X202" s="24"/>
      <c r="Y202" s="18" t="str">
        <f t="shared" si="451"/>
        <v>FELIPE MAESTRACCI</v>
      </c>
      <c r="Z202" s="34">
        <f t="shared" si="452"/>
        <v>16</v>
      </c>
      <c r="AA202" s="34">
        <f t="shared" si="453"/>
        <v>0</v>
      </c>
      <c r="AB202" s="34">
        <f t="shared" ref="AB202:AR202" si="464">IF(SUM(G197:G209)=0,NA(),G202+AA202)</f>
        <v>0</v>
      </c>
      <c r="AC202" s="34">
        <f t="shared" si="464"/>
        <v>16</v>
      </c>
      <c r="AD202" s="34">
        <f t="shared" si="464"/>
        <v>16</v>
      </c>
      <c r="AE202" s="34">
        <f t="shared" si="464"/>
        <v>16</v>
      </c>
      <c r="AF202" s="34">
        <f t="shared" si="464"/>
        <v>16</v>
      </c>
      <c r="AG202" s="34">
        <f t="shared" si="464"/>
        <v>16</v>
      </c>
      <c r="AH202" s="34">
        <f t="shared" si="464"/>
        <v>16</v>
      </c>
      <c r="AI202" s="34">
        <f t="shared" si="464"/>
        <v>16</v>
      </c>
      <c r="AJ202" s="34">
        <f t="shared" si="464"/>
        <v>16</v>
      </c>
      <c r="AK202" s="34" t="e">
        <f t="shared" si="464"/>
        <v>#N/A</v>
      </c>
      <c r="AL202" s="34" t="e">
        <f t="shared" si="464"/>
        <v>#N/A</v>
      </c>
      <c r="AM202" s="34" t="e">
        <f t="shared" si="464"/>
        <v>#N/A</v>
      </c>
      <c r="AN202" s="34" t="e">
        <f t="shared" si="464"/>
        <v>#N/A</v>
      </c>
      <c r="AO202" s="34" t="e">
        <f t="shared" si="464"/>
        <v>#N/A</v>
      </c>
      <c r="AP202" s="34" t="e">
        <f t="shared" si="464"/>
        <v>#N/A</v>
      </c>
      <c r="AQ202" s="34" t="e">
        <f t="shared" si="464"/>
        <v>#N/A</v>
      </c>
      <c r="AR202" s="34" t="e">
        <f t="shared" si="464"/>
        <v>#N/A</v>
      </c>
      <c r="AS202" s="27"/>
      <c r="AT202" s="39"/>
      <c r="AU202" s="39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30"/>
    </row>
    <row r="203" spans="1:66" ht="11.25" customHeight="1" x14ac:dyDescent="0.2">
      <c r="A203" s="37"/>
      <c r="B203" s="73"/>
      <c r="C203" s="56">
        <v>7</v>
      </c>
      <c r="D203" s="13" t="s">
        <v>175</v>
      </c>
      <c r="E203" s="16">
        <f t="shared" si="450"/>
        <v>55</v>
      </c>
      <c r="F203" s="6">
        <f>SUMIFS([0]!VOTOS2,[0]!TURNO1,F$31,[0]!CANDIDATO1,$C203,[0]!MUNICIPIO1,$B$197)</f>
        <v>0</v>
      </c>
      <c r="G203" s="6">
        <f>SUMIFS([0]!VOTOS2,[0]!TURNO1,G$31,[0]!CANDIDATO1,$C203,[0]!MUNICIPIO1,$B$197)</f>
        <v>0</v>
      </c>
      <c r="H203" s="6">
        <f>SUMIFS([0]!VOTOS2,[0]!TURNO1,H$31,[0]!CANDIDATO1,$C203,[0]!MUNICIPIO1,$B$197)</f>
        <v>20</v>
      </c>
      <c r="I203" s="6">
        <f>SUMIFS([0]!VOTOS2,[0]!TURNO1,I$31,[0]!CANDIDATO1,$C203,[0]!MUNICIPIO1,$B$197)</f>
        <v>14</v>
      </c>
      <c r="J203" s="6">
        <f>SUMIFS([0]!VOTOS2,[0]!TURNO1,J$31,[0]!CANDIDATO1,$C203,[0]!MUNICIPIO1,$B$197)</f>
        <v>15</v>
      </c>
      <c r="K203" s="6">
        <f>SUMIFS([0]!VOTOS2,[0]!TURNO1,K$31,[0]!CANDIDATO1,$C203,[0]!MUNICIPIO1,$B$197)</f>
        <v>0</v>
      </c>
      <c r="L203" s="6">
        <f>SUMIFS([0]!VOTOS2,[0]!TURNO1,L$31,[0]!CANDIDATO1,$C203,[0]!MUNICIPIO1,$B$197)</f>
        <v>5</v>
      </c>
      <c r="M203" s="6">
        <f>SUMIFS([0]!VOTOS2,[0]!TURNO1,M$31,[0]!CANDIDATO1,$C203,[0]!MUNICIPIO1,$B$197)</f>
        <v>0</v>
      </c>
      <c r="N203" s="6">
        <f>SUMIFS([0]!VOTOS2,[0]!TURNO1,N$31,[0]!CANDIDATO1,$C203,[0]!MUNICIPIO1,$B$197)</f>
        <v>1</v>
      </c>
      <c r="O203" s="6">
        <f>SUMIFS([0]!VOTOS2,[0]!TURNO1,O$31,[0]!CANDIDATO1,$C203,[0]!MUNICIPIO1,$B$197)</f>
        <v>0</v>
      </c>
      <c r="P203" s="6">
        <f>SUMIFS([0]!VOTOS2,[0]!TURNO1,P$31,[0]!CANDIDATO1,$C203,[0]!MUNICIPIO1,$B$197)</f>
        <v>0</v>
      </c>
      <c r="Q203" s="6">
        <f>SUMIFS([0]!VOTOS2,[0]!TURNO1,Q$31,[0]!CANDIDATO1,$C203,[0]!MUNICIPIO1,$B$197)</f>
        <v>0</v>
      </c>
      <c r="R203" s="6">
        <f>SUMIFS([0]!VOTOS2,[0]!TURNO1,R$31,[0]!CANDIDATO1,$C203,[0]!MUNICIPIO1,$B$197)</f>
        <v>0</v>
      </c>
      <c r="S203" s="6">
        <f>SUMIFS([0]!VOTOS2,[0]!TURNO1,S$31,[0]!CANDIDATO1,$C203,[0]!MUNICIPIO1,$B$197)</f>
        <v>0</v>
      </c>
      <c r="T203" s="6">
        <f>SUMIFS([0]!VOTOS2,[0]!TURNO1,T$31,[0]!CANDIDATO1,$C203,[0]!MUNICIPIO1,$B$197)</f>
        <v>0</v>
      </c>
      <c r="U203" s="6">
        <f>SUMIFS([0]!VOTOS2,[0]!TURNO1,U$31,[0]!CANDIDATO1,$C203,[0]!MUNICIPIO1,$B$197)</f>
        <v>0</v>
      </c>
      <c r="V203" s="6">
        <f>SUMIFS([0]!VOTOS2,[0]!TURNO1,V$31,[0]!CANDIDATO1,$C203,[0]!MUNICIPIO1,$B$197)</f>
        <v>0</v>
      </c>
      <c r="W203" s="6">
        <f>SUMIFS([0]!VOTOS2,[0]!TURNO1,W$31,[0]!CANDIDATO1,$C203,[0]!MUNICIPIO1,$B$197)</f>
        <v>0</v>
      </c>
      <c r="X203" s="24"/>
      <c r="Y203" s="18" t="str">
        <f t="shared" si="451"/>
        <v>FREDDY PATETY</v>
      </c>
      <c r="Z203" s="34">
        <f t="shared" si="452"/>
        <v>55</v>
      </c>
      <c r="AA203" s="34">
        <f t="shared" si="453"/>
        <v>0</v>
      </c>
      <c r="AB203" s="34">
        <f t="shared" ref="AB203:AR203" si="465">IF(SUM(G197:G209)=0,NA(),G203+AA203)</f>
        <v>0</v>
      </c>
      <c r="AC203" s="34">
        <f t="shared" si="465"/>
        <v>20</v>
      </c>
      <c r="AD203" s="34">
        <f t="shared" si="465"/>
        <v>34</v>
      </c>
      <c r="AE203" s="34">
        <f t="shared" si="465"/>
        <v>49</v>
      </c>
      <c r="AF203" s="34">
        <f t="shared" si="465"/>
        <v>49</v>
      </c>
      <c r="AG203" s="34">
        <f t="shared" si="465"/>
        <v>54</v>
      </c>
      <c r="AH203" s="34">
        <f t="shared" si="465"/>
        <v>54</v>
      </c>
      <c r="AI203" s="34">
        <f t="shared" si="465"/>
        <v>55</v>
      </c>
      <c r="AJ203" s="34">
        <f t="shared" si="465"/>
        <v>55</v>
      </c>
      <c r="AK203" s="34" t="e">
        <f t="shared" si="465"/>
        <v>#N/A</v>
      </c>
      <c r="AL203" s="34" t="e">
        <f t="shared" si="465"/>
        <v>#N/A</v>
      </c>
      <c r="AM203" s="34" t="e">
        <f t="shared" si="465"/>
        <v>#N/A</v>
      </c>
      <c r="AN203" s="34" t="e">
        <f t="shared" si="465"/>
        <v>#N/A</v>
      </c>
      <c r="AO203" s="34" t="e">
        <f t="shared" si="465"/>
        <v>#N/A</v>
      </c>
      <c r="AP203" s="34" t="e">
        <f t="shared" si="465"/>
        <v>#N/A</v>
      </c>
      <c r="AQ203" s="34" t="e">
        <f t="shared" si="465"/>
        <v>#N/A</v>
      </c>
      <c r="AR203" s="34" t="e">
        <f t="shared" si="465"/>
        <v>#N/A</v>
      </c>
      <c r="AS203" s="27"/>
      <c r="AT203" s="39"/>
      <c r="AU203" s="39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30"/>
    </row>
    <row r="204" spans="1:66" ht="11.25" customHeight="1" x14ac:dyDescent="0.2">
      <c r="A204" s="37"/>
      <c r="B204" s="73"/>
      <c r="C204" s="33">
        <v>8</v>
      </c>
      <c r="D204" s="13" t="s">
        <v>176</v>
      </c>
      <c r="E204" s="16">
        <f t="shared" si="450"/>
        <v>0</v>
      </c>
      <c r="F204" s="6">
        <f>SUMIFS([0]!VOTOS2,[0]!TURNO1,F$31,[0]!CANDIDATO1,$C204,[0]!MUNICIPIO1,$B$197)</f>
        <v>0</v>
      </c>
      <c r="G204" s="6">
        <f>SUMIFS([0]!VOTOS2,[0]!TURNO1,G$31,[0]!CANDIDATO1,$C204,[0]!MUNICIPIO1,$B$197)</f>
        <v>0</v>
      </c>
      <c r="H204" s="6">
        <f>SUMIFS([0]!VOTOS2,[0]!TURNO1,H$31,[0]!CANDIDATO1,$C204,[0]!MUNICIPIO1,$B$197)</f>
        <v>0</v>
      </c>
      <c r="I204" s="6">
        <f>SUMIFS([0]!VOTOS2,[0]!TURNO1,I$31,[0]!CANDIDATO1,$C204,[0]!MUNICIPIO1,$B$197)</f>
        <v>0</v>
      </c>
      <c r="J204" s="6">
        <f>SUMIFS([0]!VOTOS2,[0]!TURNO1,J$31,[0]!CANDIDATO1,$C204,[0]!MUNICIPIO1,$B$197)</f>
        <v>0</v>
      </c>
      <c r="K204" s="6">
        <f>SUMIFS([0]!VOTOS2,[0]!TURNO1,K$31,[0]!CANDIDATO1,$C204,[0]!MUNICIPIO1,$B$197)</f>
        <v>0</v>
      </c>
      <c r="L204" s="6">
        <f>SUMIFS([0]!VOTOS2,[0]!TURNO1,L$31,[0]!CANDIDATO1,$C204,[0]!MUNICIPIO1,$B$197)</f>
        <v>0</v>
      </c>
      <c r="M204" s="6">
        <f>SUMIFS([0]!VOTOS2,[0]!TURNO1,M$31,[0]!CANDIDATO1,$C204,[0]!MUNICIPIO1,$B$197)</f>
        <v>0</v>
      </c>
      <c r="N204" s="6">
        <f>SUMIFS([0]!VOTOS2,[0]!TURNO1,N$31,[0]!CANDIDATO1,$C204,[0]!MUNICIPIO1,$B$197)</f>
        <v>0</v>
      </c>
      <c r="O204" s="6">
        <f>SUMIFS([0]!VOTOS2,[0]!TURNO1,O$31,[0]!CANDIDATO1,$C204,[0]!MUNICIPIO1,$B$197)</f>
        <v>0</v>
      </c>
      <c r="P204" s="6">
        <f>SUMIFS([0]!VOTOS2,[0]!TURNO1,P$31,[0]!CANDIDATO1,$C204,[0]!MUNICIPIO1,$B$197)</f>
        <v>0</v>
      </c>
      <c r="Q204" s="6">
        <f>SUMIFS([0]!VOTOS2,[0]!TURNO1,Q$31,[0]!CANDIDATO1,$C204,[0]!MUNICIPIO1,$B$197)</f>
        <v>0</v>
      </c>
      <c r="R204" s="6">
        <f>SUMIFS([0]!VOTOS2,[0]!TURNO1,R$31,[0]!CANDIDATO1,$C204,[0]!MUNICIPIO1,$B$197)</f>
        <v>0</v>
      </c>
      <c r="S204" s="6">
        <f>SUMIFS([0]!VOTOS2,[0]!TURNO1,S$31,[0]!CANDIDATO1,$C204,[0]!MUNICIPIO1,$B$197)</f>
        <v>0</v>
      </c>
      <c r="T204" s="6">
        <f>SUMIFS([0]!VOTOS2,[0]!TURNO1,T$31,[0]!CANDIDATO1,$C204,[0]!MUNICIPIO1,$B$197)</f>
        <v>0</v>
      </c>
      <c r="U204" s="6">
        <f>SUMIFS([0]!VOTOS2,[0]!TURNO1,U$31,[0]!CANDIDATO1,$C204,[0]!MUNICIPIO1,$B$197)</f>
        <v>0</v>
      </c>
      <c r="V204" s="6">
        <f>SUMIFS([0]!VOTOS2,[0]!TURNO1,V$31,[0]!CANDIDATO1,$C204,[0]!MUNICIPIO1,$B$197)</f>
        <v>0</v>
      </c>
      <c r="W204" s="6">
        <f>SUMIFS([0]!VOTOS2,[0]!TURNO1,W$31,[0]!CANDIDATO1,$C204,[0]!MUNICIPIO1,$B$197)</f>
        <v>0</v>
      </c>
      <c r="X204" s="24"/>
      <c r="Y204" s="18" t="str">
        <f t="shared" si="451"/>
        <v>LIGIA MORENO</v>
      </c>
      <c r="Z204" s="34">
        <f t="shared" si="452"/>
        <v>0</v>
      </c>
      <c r="AA204" s="34">
        <f t="shared" si="453"/>
        <v>0</v>
      </c>
      <c r="AB204" s="34">
        <f t="shared" ref="AB204:AR204" si="466">IF(SUM(G197:G209)=0,NA(),G204+AA204)</f>
        <v>0</v>
      </c>
      <c r="AC204" s="34">
        <f t="shared" si="466"/>
        <v>0</v>
      </c>
      <c r="AD204" s="34">
        <f t="shared" si="466"/>
        <v>0</v>
      </c>
      <c r="AE204" s="34">
        <f t="shared" si="466"/>
        <v>0</v>
      </c>
      <c r="AF204" s="34">
        <f t="shared" si="466"/>
        <v>0</v>
      </c>
      <c r="AG204" s="34">
        <f t="shared" si="466"/>
        <v>0</v>
      </c>
      <c r="AH204" s="34">
        <f t="shared" si="466"/>
        <v>0</v>
      </c>
      <c r="AI204" s="34">
        <f t="shared" si="466"/>
        <v>0</v>
      </c>
      <c r="AJ204" s="34">
        <f t="shared" si="466"/>
        <v>0</v>
      </c>
      <c r="AK204" s="34" t="e">
        <f t="shared" si="466"/>
        <v>#N/A</v>
      </c>
      <c r="AL204" s="34" t="e">
        <f t="shared" si="466"/>
        <v>#N/A</v>
      </c>
      <c r="AM204" s="34" t="e">
        <f t="shared" si="466"/>
        <v>#N/A</v>
      </c>
      <c r="AN204" s="34" t="e">
        <f t="shared" si="466"/>
        <v>#N/A</v>
      </c>
      <c r="AO204" s="34" t="e">
        <f t="shared" si="466"/>
        <v>#N/A</v>
      </c>
      <c r="AP204" s="34" t="e">
        <f t="shared" si="466"/>
        <v>#N/A</v>
      </c>
      <c r="AQ204" s="34" t="e">
        <f t="shared" si="466"/>
        <v>#N/A</v>
      </c>
      <c r="AR204" s="34" t="e">
        <f t="shared" si="466"/>
        <v>#N/A</v>
      </c>
      <c r="AS204" s="27"/>
      <c r="AT204" s="41"/>
      <c r="AU204" s="41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30"/>
    </row>
    <row r="205" spans="1:66" ht="11.25" customHeight="1" x14ac:dyDescent="0.2">
      <c r="A205" s="37"/>
      <c r="B205" s="73"/>
      <c r="C205" s="56">
        <v>9</v>
      </c>
      <c r="D205" s="13" t="s">
        <v>177</v>
      </c>
      <c r="E205" s="16">
        <f t="shared" si="450"/>
        <v>0</v>
      </c>
      <c r="F205" s="6">
        <f>SUMIFS([0]!VOTOS2,[0]!TURNO1,F$31,[0]!CANDIDATO1,$C205,[0]!MUNICIPIO1,$B$197)</f>
        <v>0</v>
      </c>
      <c r="G205" s="6">
        <f>SUMIFS([0]!VOTOS2,[0]!TURNO1,G$31,[0]!CANDIDATO1,$C205,[0]!MUNICIPIO1,$B$197)</f>
        <v>0</v>
      </c>
      <c r="H205" s="6">
        <f>SUMIFS([0]!VOTOS2,[0]!TURNO1,H$31,[0]!CANDIDATO1,$C205,[0]!MUNICIPIO1,$B$197)</f>
        <v>0</v>
      </c>
      <c r="I205" s="6">
        <f>SUMIFS([0]!VOTOS2,[0]!TURNO1,I$31,[0]!CANDIDATO1,$C205,[0]!MUNICIPIO1,$B$197)</f>
        <v>0</v>
      </c>
      <c r="J205" s="6">
        <f>SUMIFS([0]!VOTOS2,[0]!TURNO1,J$31,[0]!CANDIDATO1,$C205,[0]!MUNICIPIO1,$B$197)</f>
        <v>0</v>
      </c>
      <c r="K205" s="6">
        <f>SUMIFS([0]!VOTOS2,[0]!TURNO1,K$31,[0]!CANDIDATO1,$C205,[0]!MUNICIPIO1,$B$197)</f>
        <v>0</v>
      </c>
      <c r="L205" s="6">
        <f>SUMIFS([0]!VOTOS2,[0]!TURNO1,L$31,[0]!CANDIDATO1,$C205,[0]!MUNICIPIO1,$B$197)</f>
        <v>0</v>
      </c>
      <c r="M205" s="6">
        <f>SUMIFS([0]!VOTOS2,[0]!TURNO1,M$31,[0]!CANDIDATO1,$C205,[0]!MUNICIPIO1,$B$197)</f>
        <v>0</v>
      </c>
      <c r="N205" s="6">
        <f>SUMIFS([0]!VOTOS2,[0]!TURNO1,N$31,[0]!CANDIDATO1,$C205,[0]!MUNICIPIO1,$B$197)</f>
        <v>0</v>
      </c>
      <c r="O205" s="6">
        <f>SUMIFS([0]!VOTOS2,[0]!TURNO1,O$31,[0]!CANDIDATO1,$C205,[0]!MUNICIPIO1,$B$197)</f>
        <v>0</v>
      </c>
      <c r="P205" s="6">
        <f>SUMIFS([0]!VOTOS2,[0]!TURNO1,P$31,[0]!CANDIDATO1,$C205,[0]!MUNICIPIO1,$B$197)</f>
        <v>0</v>
      </c>
      <c r="Q205" s="6">
        <f>SUMIFS([0]!VOTOS2,[0]!TURNO1,Q$31,[0]!CANDIDATO1,$C205,[0]!MUNICIPIO1,$B$197)</f>
        <v>0</v>
      </c>
      <c r="R205" s="6">
        <f>SUMIFS([0]!VOTOS2,[0]!TURNO1,R$31,[0]!CANDIDATO1,$C205,[0]!MUNICIPIO1,$B$197)</f>
        <v>0</v>
      </c>
      <c r="S205" s="6">
        <f>SUMIFS([0]!VOTOS2,[0]!TURNO1,S$31,[0]!CANDIDATO1,$C205,[0]!MUNICIPIO1,$B$197)</f>
        <v>0</v>
      </c>
      <c r="T205" s="6">
        <f>SUMIFS([0]!VOTOS2,[0]!TURNO1,T$31,[0]!CANDIDATO1,$C205,[0]!MUNICIPIO1,$B$197)</f>
        <v>0</v>
      </c>
      <c r="U205" s="6">
        <f>SUMIFS([0]!VOTOS2,[0]!TURNO1,U$31,[0]!CANDIDATO1,$C205,[0]!MUNICIPIO1,$B$197)</f>
        <v>0</v>
      </c>
      <c r="V205" s="6">
        <f>SUMIFS([0]!VOTOS2,[0]!TURNO1,V$31,[0]!CANDIDATO1,$C205,[0]!MUNICIPIO1,$B$197)</f>
        <v>0</v>
      </c>
      <c r="W205" s="6">
        <f>SUMIFS([0]!VOTOS2,[0]!TURNO1,W$31,[0]!CANDIDATO1,$C205,[0]!MUNICIPIO1,$B$197)</f>
        <v>0</v>
      </c>
      <c r="X205" s="24"/>
      <c r="Y205" s="18" t="str">
        <f t="shared" si="451"/>
        <v>EDDY MARCANO</v>
      </c>
      <c r="Z205" s="34">
        <f t="shared" si="452"/>
        <v>0</v>
      </c>
      <c r="AA205" s="34">
        <f t="shared" si="453"/>
        <v>0</v>
      </c>
      <c r="AB205" s="34">
        <f t="shared" ref="AB205:AR205" si="467">IF(SUM(G197:G209)=0,NA(),G205+AA205)</f>
        <v>0</v>
      </c>
      <c r="AC205" s="34">
        <f t="shared" si="467"/>
        <v>0</v>
      </c>
      <c r="AD205" s="34">
        <f t="shared" si="467"/>
        <v>0</v>
      </c>
      <c r="AE205" s="34">
        <f t="shared" si="467"/>
        <v>0</v>
      </c>
      <c r="AF205" s="34">
        <f t="shared" si="467"/>
        <v>0</v>
      </c>
      <c r="AG205" s="34">
        <f t="shared" si="467"/>
        <v>0</v>
      </c>
      <c r="AH205" s="34">
        <f t="shared" si="467"/>
        <v>0</v>
      </c>
      <c r="AI205" s="34">
        <f t="shared" si="467"/>
        <v>0</v>
      </c>
      <c r="AJ205" s="34">
        <f t="shared" si="467"/>
        <v>0</v>
      </c>
      <c r="AK205" s="34" t="e">
        <f t="shared" si="467"/>
        <v>#N/A</v>
      </c>
      <c r="AL205" s="34" t="e">
        <f t="shared" si="467"/>
        <v>#N/A</v>
      </c>
      <c r="AM205" s="34" t="e">
        <f t="shared" si="467"/>
        <v>#N/A</v>
      </c>
      <c r="AN205" s="34" t="e">
        <f t="shared" si="467"/>
        <v>#N/A</v>
      </c>
      <c r="AO205" s="34" t="e">
        <f t="shared" si="467"/>
        <v>#N/A</v>
      </c>
      <c r="AP205" s="34" t="e">
        <f t="shared" si="467"/>
        <v>#N/A</v>
      </c>
      <c r="AQ205" s="34" t="e">
        <f t="shared" si="467"/>
        <v>#N/A</v>
      </c>
      <c r="AR205" s="34" t="e">
        <f t="shared" si="467"/>
        <v>#N/A</v>
      </c>
      <c r="AS205" s="27"/>
      <c r="AT205" s="41"/>
      <c r="AU205" s="41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30"/>
    </row>
    <row r="206" spans="1:66" ht="11.25" customHeight="1" x14ac:dyDescent="0.2">
      <c r="A206" s="37"/>
      <c r="B206" s="73"/>
      <c r="C206" s="33">
        <v>10</v>
      </c>
      <c r="D206" s="13" t="s">
        <v>178</v>
      </c>
      <c r="E206" s="16">
        <f t="shared" si="450"/>
        <v>0</v>
      </c>
      <c r="F206" s="6">
        <f>SUMIFS([0]!VOTOS2,[0]!TURNO1,F$31,[0]!CANDIDATO1,$C206,[0]!MUNICIPIO1,$B$197)</f>
        <v>0</v>
      </c>
      <c r="G206" s="6">
        <f>SUMIFS([0]!VOTOS2,[0]!TURNO1,G$31,[0]!CANDIDATO1,$C206,[0]!MUNICIPIO1,$B$197)</f>
        <v>0</v>
      </c>
      <c r="H206" s="6">
        <f>SUMIFS([0]!VOTOS2,[0]!TURNO1,H$31,[0]!CANDIDATO1,$C206,[0]!MUNICIPIO1,$B$197)</f>
        <v>0</v>
      </c>
      <c r="I206" s="6">
        <f>SUMIFS([0]!VOTOS2,[0]!TURNO1,I$31,[0]!CANDIDATO1,$C206,[0]!MUNICIPIO1,$B$197)</f>
        <v>0</v>
      </c>
      <c r="J206" s="6">
        <f>SUMIFS([0]!VOTOS2,[0]!TURNO1,J$31,[0]!CANDIDATO1,$C206,[0]!MUNICIPIO1,$B$197)</f>
        <v>0</v>
      </c>
      <c r="K206" s="6">
        <f>SUMIFS([0]!VOTOS2,[0]!TURNO1,K$31,[0]!CANDIDATO1,$C206,[0]!MUNICIPIO1,$B$197)</f>
        <v>0</v>
      </c>
      <c r="L206" s="6">
        <f>SUMIFS([0]!VOTOS2,[0]!TURNO1,L$31,[0]!CANDIDATO1,$C206,[0]!MUNICIPIO1,$B$197)</f>
        <v>0</v>
      </c>
      <c r="M206" s="6">
        <f>SUMIFS([0]!VOTOS2,[0]!TURNO1,M$31,[0]!CANDIDATO1,$C206,[0]!MUNICIPIO1,$B$197)</f>
        <v>0</v>
      </c>
      <c r="N206" s="6">
        <f>SUMIFS([0]!VOTOS2,[0]!TURNO1,N$31,[0]!CANDIDATO1,$C206,[0]!MUNICIPIO1,$B$197)</f>
        <v>0</v>
      </c>
      <c r="O206" s="6">
        <f>SUMIFS([0]!VOTOS2,[0]!TURNO1,O$31,[0]!CANDIDATO1,$C206,[0]!MUNICIPIO1,$B$197)</f>
        <v>0</v>
      </c>
      <c r="P206" s="6">
        <f>SUMIFS([0]!VOTOS2,[0]!TURNO1,P$31,[0]!CANDIDATO1,$C206,[0]!MUNICIPIO1,$B$197)</f>
        <v>0</v>
      </c>
      <c r="Q206" s="6">
        <f>SUMIFS([0]!VOTOS2,[0]!TURNO1,Q$31,[0]!CANDIDATO1,$C206,[0]!MUNICIPIO1,$B$197)</f>
        <v>0</v>
      </c>
      <c r="R206" s="6">
        <f>SUMIFS([0]!VOTOS2,[0]!TURNO1,R$31,[0]!CANDIDATO1,$C206,[0]!MUNICIPIO1,$B$197)</f>
        <v>0</v>
      </c>
      <c r="S206" s="6">
        <f>SUMIFS([0]!VOTOS2,[0]!TURNO1,S$31,[0]!CANDIDATO1,$C206,[0]!MUNICIPIO1,$B$197)</f>
        <v>0</v>
      </c>
      <c r="T206" s="6">
        <f>SUMIFS([0]!VOTOS2,[0]!TURNO1,T$31,[0]!CANDIDATO1,$C206,[0]!MUNICIPIO1,$B$197)</f>
        <v>0</v>
      </c>
      <c r="U206" s="6">
        <f>SUMIFS([0]!VOTOS2,[0]!TURNO1,U$31,[0]!CANDIDATO1,$C206,[0]!MUNICIPIO1,$B$197)</f>
        <v>0</v>
      </c>
      <c r="V206" s="6">
        <f>SUMIFS([0]!VOTOS2,[0]!TURNO1,V$31,[0]!CANDIDATO1,$C206,[0]!MUNICIPIO1,$B$197)</f>
        <v>0</v>
      </c>
      <c r="W206" s="6">
        <f>SUMIFS([0]!VOTOS2,[0]!TURNO1,W$31,[0]!CANDIDATO1,$C206,[0]!MUNICIPIO1,$B$197)</f>
        <v>0</v>
      </c>
      <c r="X206" s="24"/>
      <c r="Y206" s="18" t="str">
        <f t="shared" si="451"/>
        <v>ANDRES RODRIGUEZ</v>
      </c>
      <c r="Z206" s="34">
        <f t="shared" si="452"/>
        <v>0</v>
      </c>
      <c r="AA206" s="34">
        <f t="shared" si="453"/>
        <v>0</v>
      </c>
      <c r="AB206" s="34">
        <f t="shared" ref="AB206:AR206" si="468">IF(SUM(G197:G209)=0,NA(),G206+AA206)</f>
        <v>0</v>
      </c>
      <c r="AC206" s="34">
        <f t="shared" si="468"/>
        <v>0</v>
      </c>
      <c r="AD206" s="34">
        <f t="shared" si="468"/>
        <v>0</v>
      </c>
      <c r="AE206" s="34">
        <f t="shared" si="468"/>
        <v>0</v>
      </c>
      <c r="AF206" s="34">
        <f t="shared" si="468"/>
        <v>0</v>
      </c>
      <c r="AG206" s="34">
        <f t="shared" si="468"/>
        <v>0</v>
      </c>
      <c r="AH206" s="34">
        <f t="shared" si="468"/>
        <v>0</v>
      </c>
      <c r="AI206" s="34">
        <f t="shared" si="468"/>
        <v>0</v>
      </c>
      <c r="AJ206" s="34">
        <f t="shared" si="468"/>
        <v>0</v>
      </c>
      <c r="AK206" s="34" t="e">
        <f t="shared" si="468"/>
        <v>#N/A</v>
      </c>
      <c r="AL206" s="34" t="e">
        <f t="shared" si="468"/>
        <v>#N/A</v>
      </c>
      <c r="AM206" s="34" t="e">
        <f t="shared" si="468"/>
        <v>#N/A</v>
      </c>
      <c r="AN206" s="34" t="e">
        <f t="shared" si="468"/>
        <v>#N/A</v>
      </c>
      <c r="AO206" s="34" t="e">
        <f t="shared" si="468"/>
        <v>#N/A</v>
      </c>
      <c r="AP206" s="34" t="e">
        <f t="shared" si="468"/>
        <v>#N/A</v>
      </c>
      <c r="AQ206" s="34" t="e">
        <f t="shared" si="468"/>
        <v>#N/A</v>
      </c>
      <c r="AR206" s="34" t="e">
        <f t="shared" si="468"/>
        <v>#N/A</v>
      </c>
      <c r="AS206" s="27"/>
      <c r="AT206" s="41"/>
      <c r="AU206" s="41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30"/>
    </row>
    <row r="207" spans="1:66" ht="11.25" customHeight="1" x14ac:dyDescent="0.2">
      <c r="A207" s="42"/>
      <c r="B207" s="74"/>
      <c r="C207" s="33">
        <v>11</v>
      </c>
      <c r="D207" s="13" t="s">
        <v>179</v>
      </c>
      <c r="E207" s="16">
        <f t="shared" si="450"/>
        <v>12</v>
      </c>
      <c r="F207" s="6">
        <f>SUMIFS([0]!VOTOS2,[0]!TURNO1,F$31,[0]!CANDIDATO1,$C207,[0]!MUNICIPIO1,$B$197)</f>
        <v>0</v>
      </c>
      <c r="G207" s="6">
        <f>SUMIFS([0]!VOTOS2,[0]!TURNO1,G$31,[0]!CANDIDATO1,$C207,[0]!MUNICIPIO1,$B$197)</f>
        <v>0</v>
      </c>
      <c r="H207" s="6">
        <f>SUMIFS([0]!VOTOS2,[0]!TURNO1,H$31,[0]!CANDIDATO1,$C207,[0]!MUNICIPIO1,$B$197)</f>
        <v>0</v>
      </c>
      <c r="I207" s="6">
        <f>SUMIFS([0]!VOTOS2,[0]!TURNO1,I$31,[0]!CANDIDATO1,$C207,[0]!MUNICIPIO1,$B$197)</f>
        <v>5</v>
      </c>
      <c r="J207" s="6">
        <f>SUMIFS([0]!VOTOS2,[0]!TURNO1,J$31,[0]!CANDIDATO1,$C207,[0]!MUNICIPIO1,$B$197)</f>
        <v>5</v>
      </c>
      <c r="K207" s="6">
        <f>SUMIFS([0]!VOTOS2,[0]!TURNO1,K$31,[0]!CANDIDATO1,$C207,[0]!MUNICIPIO1,$B$197)</f>
        <v>0</v>
      </c>
      <c r="L207" s="6">
        <f>SUMIFS([0]!VOTOS2,[0]!TURNO1,L$31,[0]!CANDIDATO1,$C207,[0]!MUNICIPIO1,$B$197)</f>
        <v>2</v>
      </c>
      <c r="M207" s="6">
        <f>SUMIFS([0]!VOTOS2,[0]!TURNO1,M$31,[0]!CANDIDATO1,$C207,[0]!MUNICIPIO1,$B$197)</f>
        <v>0</v>
      </c>
      <c r="N207" s="6">
        <f>SUMIFS([0]!VOTOS2,[0]!TURNO1,N$31,[0]!CANDIDATO1,$C207,[0]!MUNICIPIO1,$B$197)</f>
        <v>0</v>
      </c>
      <c r="O207" s="6">
        <f>SUMIFS([0]!VOTOS2,[0]!TURNO1,O$31,[0]!CANDIDATO1,$C207,[0]!MUNICIPIO1,$B$197)</f>
        <v>0</v>
      </c>
      <c r="P207" s="6">
        <f>SUMIFS([0]!VOTOS2,[0]!TURNO1,P$31,[0]!CANDIDATO1,$C207,[0]!MUNICIPIO1,$B$197)</f>
        <v>0</v>
      </c>
      <c r="Q207" s="6">
        <f>SUMIFS([0]!VOTOS2,[0]!TURNO1,Q$31,[0]!CANDIDATO1,$C207,[0]!MUNICIPIO1,$B$197)</f>
        <v>0</v>
      </c>
      <c r="R207" s="6">
        <f>SUMIFS([0]!VOTOS2,[0]!TURNO1,R$31,[0]!CANDIDATO1,$C207,[0]!MUNICIPIO1,$B$197)</f>
        <v>0</v>
      </c>
      <c r="S207" s="6">
        <f>SUMIFS([0]!VOTOS2,[0]!TURNO1,S$31,[0]!CANDIDATO1,$C207,[0]!MUNICIPIO1,$B$197)</f>
        <v>0</v>
      </c>
      <c r="T207" s="6">
        <f>SUMIFS([0]!VOTOS2,[0]!TURNO1,T$31,[0]!CANDIDATO1,$C207,[0]!MUNICIPIO1,$B$197)</f>
        <v>0</v>
      </c>
      <c r="U207" s="6">
        <f>SUMIFS([0]!VOTOS2,[0]!TURNO1,U$31,[0]!CANDIDATO1,$C207,[0]!MUNICIPIO1,$B$197)</f>
        <v>0</v>
      </c>
      <c r="V207" s="6">
        <f>SUMIFS([0]!VOTOS2,[0]!TURNO1,V$31,[0]!CANDIDATO1,$C207,[0]!MUNICIPIO1,$B$197)</f>
        <v>0</v>
      </c>
      <c r="W207" s="6">
        <f>SUMIFS([0]!VOTOS2,[0]!TURNO1,W$31,[0]!CANDIDATO1,$C207,[0]!MUNICIPIO1,$B$197)</f>
        <v>0</v>
      </c>
      <c r="X207" s="24"/>
      <c r="Y207" s="18" t="str">
        <f t="shared" si="451"/>
        <v>CARLOS VILLASANA</v>
      </c>
      <c r="Z207" s="34">
        <f t="shared" si="452"/>
        <v>12</v>
      </c>
      <c r="AA207" s="34">
        <f t="shared" si="453"/>
        <v>0</v>
      </c>
      <c r="AB207" s="34">
        <f t="shared" ref="AB207:AR207" si="469">IF(SUM(G197:G209)=0,NA(),G207+AA207)</f>
        <v>0</v>
      </c>
      <c r="AC207" s="34">
        <f t="shared" si="469"/>
        <v>0</v>
      </c>
      <c r="AD207" s="34">
        <f t="shared" si="469"/>
        <v>5</v>
      </c>
      <c r="AE207" s="34">
        <f t="shared" si="469"/>
        <v>10</v>
      </c>
      <c r="AF207" s="34">
        <f t="shared" si="469"/>
        <v>10</v>
      </c>
      <c r="AG207" s="34">
        <f t="shared" si="469"/>
        <v>12</v>
      </c>
      <c r="AH207" s="34">
        <f t="shared" si="469"/>
        <v>12</v>
      </c>
      <c r="AI207" s="34">
        <f t="shared" si="469"/>
        <v>12</v>
      </c>
      <c r="AJ207" s="34">
        <f t="shared" si="469"/>
        <v>12</v>
      </c>
      <c r="AK207" s="34" t="e">
        <f t="shared" si="469"/>
        <v>#N/A</v>
      </c>
      <c r="AL207" s="34" t="e">
        <f t="shared" si="469"/>
        <v>#N/A</v>
      </c>
      <c r="AM207" s="34" t="e">
        <f t="shared" si="469"/>
        <v>#N/A</v>
      </c>
      <c r="AN207" s="34" t="e">
        <f t="shared" si="469"/>
        <v>#N/A</v>
      </c>
      <c r="AO207" s="34" t="e">
        <f t="shared" si="469"/>
        <v>#N/A</v>
      </c>
      <c r="AP207" s="34" t="e">
        <f t="shared" si="469"/>
        <v>#N/A</v>
      </c>
      <c r="AQ207" s="34" t="e">
        <f t="shared" si="469"/>
        <v>#N/A</v>
      </c>
      <c r="AR207" s="34" t="e">
        <f t="shared" si="469"/>
        <v>#N/A</v>
      </c>
      <c r="AS207" s="27"/>
      <c r="AT207" s="41"/>
      <c r="AU207" s="41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30"/>
    </row>
    <row r="208" spans="1:66" ht="11.25" customHeight="1" x14ac:dyDescent="0.2">
      <c r="A208" s="44"/>
      <c r="B208" s="54"/>
      <c r="C208" s="46">
        <v>12</v>
      </c>
      <c r="D208" s="14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24"/>
      <c r="Y208" s="18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27"/>
      <c r="AT208" s="41"/>
      <c r="AU208" s="41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30"/>
    </row>
    <row r="209" spans="1:66" ht="11.25" customHeight="1" x14ac:dyDescent="0.2">
      <c r="A209" s="44"/>
      <c r="B209" s="54"/>
      <c r="C209" s="46">
        <v>13</v>
      </c>
      <c r="D209" s="14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24"/>
      <c r="Y209" s="18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27"/>
      <c r="AT209" s="41"/>
      <c r="AU209" s="41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30"/>
    </row>
    <row r="210" spans="1:66" ht="11.25" customHeight="1" x14ac:dyDescent="0.2">
      <c r="D210" s="31" t="s">
        <v>76</v>
      </c>
      <c r="X210" s="24"/>
      <c r="Y210" s="19" t="s">
        <v>79</v>
      </c>
      <c r="Z210" s="34">
        <f t="shared" ref="Z210" si="470">SUM(Z199:Z209)</f>
        <v>96</v>
      </c>
      <c r="AA210" s="34">
        <f t="shared" ref="AA210" si="471">SUM(AA199:AA209)</f>
        <v>0</v>
      </c>
      <c r="AB210" s="34">
        <f t="shared" ref="AB210" si="472">SUM(AB199:AB209)</f>
        <v>4</v>
      </c>
      <c r="AC210" s="34">
        <f t="shared" ref="AC210" si="473">SUM(AC199:AC209)</f>
        <v>45</v>
      </c>
      <c r="AD210" s="34">
        <f t="shared" ref="AD210" si="474">SUM(AD199:AD209)</f>
        <v>64</v>
      </c>
      <c r="AE210" s="34">
        <f t="shared" ref="AE210" si="475">SUM(AE199:AE209)</f>
        <v>84</v>
      </c>
      <c r="AF210" s="34">
        <f t="shared" ref="AF210" si="476">SUM(AF199:AF209)</f>
        <v>86</v>
      </c>
      <c r="AG210" s="34">
        <f t="shared" ref="AG210" si="477">SUM(AG199:AG209)</f>
        <v>94</v>
      </c>
      <c r="AH210" s="34">
        <f t="shared" ref="AH210" si="478">SUM(AH199:AH209)</f>
        <v>94</v>
      </c>
      <c r="AI210" s="34">
        <f t="shared" ref="AI210" si="479">SUM(AI199:AI209)</f>
        <v>96</v>
      </c>
      <c r="AJ210" s="34">
        <f t="shared" ref="AJ210" si="480">SUM(AJ199:AJ209)</f>
        <v>96</v>
      </c>
      <c r="AK210" s="34" t="e">
        <f t="shared" ref="AK210" si="481">SUM(AK199:AK209)</f>
        <v>#N/A</v>
      </c>
      <c r="AL210" s="34" t="e">
        <f t="shared" ref="AL210" si="482">SUM(AL199:AL209)</f>
        <v>#N/A</v>
      </c>
      <c r="AM210" s="34" t="e">
        <f t="shared" ref="AM210" si="483">SUM(AM199:AM209)</f>
        <v>#N/A</v>
      </c>
      <c r="AN210" s="34" t="e">
        <f t="shared" ref="AN210" si="484">SUM(AN199:AN209)</f>
        <v>#N/A</v>
      </c>
      <c r="AO210" s="34" t="e">
        <f t="shared" ref="AO210" si="485">SUM(AO199:AO209)</f>
        <v>#N/A</v>
      </c>
      <c r="AP210" s="34" t="e">
        <f t="shared" ref="AP210" si="486">SUM(AP199:AP209)</f>
        <v>#N/A</v>
      </c>
      <c r="AQ210" s="34" t="e">
        <f t="shared" ref="AQ210" si="487">SUM(AQ199:AQ209)</f>
        <v>#N/A</v>
      </c>
      <c r="AR210" s="34" t="e">
        <f t="shared" ref="AR210" si="488">SUM(AR199:AR209)</f>
        <v>#N/A</v>
      </c>
      <c r="AS210" s="27"/>
      <c r="AT210" s="41"/>
      <c r="AU210" s="41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30"/>
    </row>
    <row r="211" spans="1:66" ht="11.25" customHeight="1" x14ac:dyDescent="0.2">
      <c r="A211" s="80" t="s">
        <v>63</v>
      </c>
      <c r="B211" s="81"/>
      <c r="C211" s="47"/>
      <c r="D211" s="48" t="s">
        <v>75</v>
      </c>
      <c r="E211" s="49" t="s">
        <v>70</v>
      </c>
      <c r="F211" s="49">
        <v>0</v>
      </c>
      <c r="G211" s="49">
        <v>1</v>
      </c>
      <c r="H211" s="49">
        <v>2</v>
      </c>
      <c r="I211" s="49">
        <v>3</v>
      </c>
      <c r="J211" s="49">
        <v>4</v>
      </c>
      <c r="K211" s="49">
        <v>5</v>
      </c>
      <c r="L211" s="49">
        <v>6</v>
      </c>
      <c r="M211" s="49">
        <v>7</v>
      </c>
      <c r="N211" s="49">
        <v>8</v>
      </c>
      <c r="O211" s="49">
        <v>9</v>
      </c>
      <c r="P211" s="49">
        <v>10</v>
      </c>
      <c r="Q211" s="49">
        <v>11</v>
      </c>
      <c r="R211" s="49">
        <v>12</v>
      </c>
      <c r="S211" s="49">
        <v>13</v>
      </c>
      <c r="T211" s="49">
        <v>14</v>
      </c>
      <c r="U211" s="49">
        <v>15</v>
      </c>
      <c r="V211" s="49">
        <v>16</v>
      </c>
      <c r="W211" s="23">
        <v>17</v>
      </c>
      <c r="X211" s="24"/>
      <c r="Y211" s="17"/>
      <c r="Z211" s="25" t="s">
        <v>64</v>
      </c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7"/>
      <c r="AT211" s="28"/>
      <c r="AU211" s="28" t="s">
        <v>64</v>
      </c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30"/>
    </row>
    <row r="212" spans="1:66" ht="11.25" customHeight="1" x14ac:dyDescent="0.2">
      <c r="A212" s="32"/>
      <c r="B212" s="72">
        <v>15</v>
      </c>
      <c r="C212" s="50">
        <v>1</v>
      </c>
      <c r="D212" s="12" t="s">
        <v>180</v>
      </c>
      <c r="E212" s="16">
        <f t="shared" ref="E212:E220" si="489">SUM(F212:W212)</f>
        <v>10</v>
      </c>
      <c r="F212" s="6">
        <f>SUMIFS([0]!VOTOS2,[0]!TURNO1,F$31,[0]!CANDIDATO1,$C212,[0]!MUNICIPIO1,$B$212)</f>
        <v>10</v>
      </c>
      <c r="G212" s="6">
        <f>SUMIFS([0]!VOTOS2,[0]!TURNO1,G$31,[0]!CANDIDATO1,$C212,[0]!MUNICIPIO1,$B$212)</f>
        <v>0</v>
      </c>
      <c r="H212" s="6">
        <f>SUMIFS([0]!VOTOS2,[0]!TURNO1,H$31,[0]!CANDIDATO1,$C212,[0]!MUNICIPIO1,$B$212)</f>
        <v>0</v>
      </c>
      <c r="I212" s="6">
        <f>SUMIFS([0]!VOTOS2,[0]!TURNO1,I$31,[0]!CANDIDATO1,$C212,[0]!MUNICIPIO1,$B$212)</f>
        <v>0</v>
      </c>
      <c r="J212" s="6">
        <f>SUMIFS([0]!VOTOS2,[0]!TURNO1,J$31,[0]!CANDIDATO1,$C212,[0]!MUNICIPIO1,$B$212)</f>
        <v>0</v>
      </c>
      <c r="K212" s="6">
        <f>SUMIFS([0]!VOTOS2,[0]!TURNO1,K$31,[0]!CANDIDATO1,$C212,[0]!MUNICIPIO1,$B$212)</f>
        <v>0</v>
      </c>
      <c r="L212" s="6">
        <f>SUMIFS([0]!VOTOS2,[0]!TURNO1,L$31,[0]!CANDIDATO1,$C212,[0]!MUNICIPIO1,$B$212)</f>
        <v>0</v>
      </c>
      <c r="M212" s="6">
        <f>SUMIFS([0]!VOTOS2,[0]!TURNO1,M$31,[0]!CANDIDATO1,$C212,[0]!MUNICIPIO1,$B$212)</f>
        <v>0</v>
      </c>
      <c r="N212" s="6">
        <f>SUMIFS([0]!VOTOS2,[0]!TURNO1,N$31,[0]!CANDIDATO1,$C212,[0]!MUNICIPIO1,$B$212)</f>
        <v>0</v>
      </c>
      <c r="O212" s="6">
        <f>SUMIFS([0]!VOTOS2,[0]!TURNO1,O$31,[0]!CANDIDATO1,$C212,[0]!MUNICIPIO1,$B$212)</f>
        <v>0</v>
      </c>
      <c r="P212" s="6">
        <f>SUMIFS([0]!VOTOS2,[0]!TURNO1,P$31,[0]!CANDIDATO1,$C212,[0]!MUNICIPIO1,$B$212)</f>
        <v>0</v>
      </c>
      <c r="Q212" s="6">
        <f>SUMIFS([0]!VOTOS2,[0]!TURNO1,Q$31,[0]!CANDIDATO1,$C212,[0]!MUNICIPIO1,$B$212)</f>
        <v>0</v>
      </c>
      <c r="R212" s="6">
        <f>SUMIFS([0]!VOTOS2,[0]!TURNO1,R$31,[0]!CANDIDATO1,$C212,[0]!MUNICIPIO1,$B$212)</f>
        <v>0</v>
      </c>
      <c r="S212" s="6">
        <f>SUMIFS([0]!VOTOS2,[0]!TURNO1,S$31,[0]!CANDIDATO1,$C212,[0]!MUNICIPIO1,$B$212)</f>
        <v>0</v>
      </c>
      <c r="T212" s="6">
        <f>SUMIFS([0]!VOTOS2,[0]!TURNO1,T$31,[0]!CANDIDATO1,$C212,[0]!MUNICIPIO1,$B$212)</f>
        <v>0</v>
      </c>
      <c r="U212" s="6">
        <f>SUMIFS([0]!VOTOS2,[0]!TURNO1,U$31,[0]!CANDIDATO1,$C212,[0]!MUNICIPIO1,$B$212)</f>
        <v>0</v>
      </c>
      <c r="V212" s="6">
        <f>SUMIFS([0]!VOTOS2,[0]!TURNO1,V$31,[0]!CANDIDATO1,$C212,[0]!MUNICIPIO1,$B$212)</f>
        <v>0</v>
      </c>
      <c r="W212" s="6">
        <f>SUMIFS([0]!VOTOS2,[0]!TURNO1,W$31,[0]!CANDIDATO1,$C212,[0]!MUNICIPIO1,$B$212)</f>
        <v>0</v>
      </c>
      <c r="X212" s="24"/>
      <c r="Y212" s="18" t="str">
        <f t="shared" ref="Y212:Y220" si="490">D212</f>
        <v>SERGIO HERNANDEZ</v>
      </c>
      <c r="Z212" s="34">
        <f t="shared" ref="Z212:Z220" si="491">E212</f>
        <v>10</v>
      </c>
      <c r="AA212" s="34">
        <f t="shared" ref="AA212:AA220" si="492">F212</f>
        <v>10</v>
      </c>
      <c r="AB212" s="34" t="e">
        <f t="shared" ref="AB212:AR212" si="493">IF(SUM(G212:G224)=0,NA(),G212+AA212)</f>
        <v>#N/A</v>
      </c>
      <c r="AC212" s="34" t="e">
        <f t="shared" si="493"/>
        <v>#N/A</v>
      </c>
      <c r="AD212" s="34" t="e">
        <f t="shared" si="493"/>
        <v>#N/A</v>
      </c>
      <c r="AE212" s="34" t="e">
        <f t="shared" si="493"/>
        <v>#N/A</v>
      </c>
      <c r="AF212" s="34" t="e">
        <f t="shared" si="493"/>
        <v>#N/A</v>
      </c>
      <c r="AG212" s="34" t="e">
        <f t="shared" si="493"/>
        <v>#N/A</v>
      </c>
      <c r="AH212" s="34" t="e">
        <f t="shared" si="493"/>
        <v>#N/A</v>
      </c>
      <c r="AI212" s="34" t="e">
        <f t="shared" si="493"/>
        <v>#N/A</v>
      </c>
      <c r="AJ212" s="34" t="e">
        <f t="shared" si="493"/>
        <v>#N/A</v>
      </c>
      <c r="AK212" s="34" t="e">
        <f t="shared" si="493"/>
        <v>#N/A</v>
      </c>
      <c r="AL212" s="34" t="e">
        <f t="shared" si="493"/>
        <v>#N/A</v>
      </c>
      <c r="AM212" s="34" t="e">
        <f t="shared" si="493"/>
        <v>#N/A</v>
      </c>
      <c r="AN212" s="34" t="e">
        <f t="shared" si="493"/>
        <v>#N/A</v>
      </c>
      <c r="AO212" s="34" t="e">
        <f t="shared" si="493"/>
        <v>#N/A</v>
      </c>
      <c r="AP212" s="34" t="e">
        <f t="shared" si="493"/>
        <v>#N/A</v>
      </c>
      <c r="AQ212" s="34" t="e">
        <f t="shared" si="493"/>
        <v>#N/A</v>
      </c>
      <c r="AR212" s="34" t="e">
        <f t="shared" si="493"/>
        <v>#N/A</v>
      </c>
      <c r="AS212" s="27"/>
      <c r="AT212" s="35" t="str">
        <f t="shared" ref="AT212:AT213" si="494">Y212</f>
        <v>SERGIO HERNANDEZ</v>
      </c>
      <c r="AU212" s="36">
        <f t="shared" ref="AU212:BM212" si="495">Z212/(Z212+Z213+Z225)</f>
        <v>0.5</v>
      </c>
      <c r="AV212" s="36">
        <f t="shared" si="495"/>
        <v>0.5</v>
      </c>
      <c r="AW212" s="36" t="e">
        <f t="shared" si="495"/>
        <v>#N/A</v>
      </c>
      <c r="AX212" s="36" t="e">
        <f t="shared" si="495"/>
        <v>#N/A</v>
      </c>
      <c r="AY212" s="36" t="e">
        <f t="shared" si="495"/>
        <v>#N/A</v>
      </c>
      <c r="AZ212" s="36" t="e">
        <f t="shared" si="495"/>
        <v>#N/A</v>
      </c>
      <c r="BA212" s="36" t="e">
        <f t="shared" si="495"/>
        <v>#N/A</v>
      </c>
      <c r="BB212" s="36" t="e">
        <f t="shared" si="495"/>
        <v>#N/A</v>
      </c>
      <c r="BC212" s="36" t="e">
        <f t="shared" si="495"/>
        <v>#N/A</v>
      </c>
      <c r="BD212" s="36" t="e">
        <f t="shared" si="495"/>
        <v>#N/A</v>
      </c>
      <c r="BE212" s="36" t="e">
        <f t="shared" si="495"/>
        <v>#N/A</v>
      </c>
      <c r="BF212" s="36" t="e">
        <f t="shared" si="495"/>
        <v>#N/A</v>
      </c>
      <c r="BG212" s="36" t="e">
        <f t="shared" si="495"/>
        <v>#N/A</v>
      </c>
      <c r="BH212" s="36" t="e">
        <f t="shared" si="495"/>
        <v>#N/A</v>
      </c>
      <c r="BI212" s="36" t="e">
        <f t="shared" si="495"/>
        <v>#N/A</v>
      </c>
      <c r="BJ212" s="36" t="e">
        <f t="shared" si="495"/>
        <v>#N/A</v>
      </c>
      <c r="BK212" s="36" t="e">
        <f t="shared" si="495"/>
        <v>#N/A</v>
      </c>
      <c r="BL212" s="36" t="e">
        <f t="shared" si="495"/>
        <v>#N/A</v>
      </c>
      <c r="BM212" s="36" t="e">
        <f t="shared" si="495"/>
        <v>#N/A</v>
      </c>
      <c r="BN212" s="30"/>
    </row>
    <row r="213" spans="1:66" ht="11.25" customHeight="1" x14ac:dyDescent="0.2">
      <c r="A213" s="37"/>
      <c r="B213" s="73"/>
      <c r="C213" s="51">
        <v>2</v>
      </c>
      <c r="D213" s="13" t="s">
        <v>181</v>
      </c>
      <c r="E213" s="16">
        <f t="shared" si="489"/>
        <v>10</v>
      </c>
      <c r="F213" s="6">
        <f>SUMIFS([0]!VOTOS2,[0]!TURNO1,F$31,[0]!CANDIDATO1,$C213,[0]!MUNICIPIO1,$B$212)</f>
        <v>10</v>
      </c>
      <c r="G213" s="6">
        <f>SUMIFS([0]!VOTOS2,[0]!TURNO1,G$31,[0]!CANDIDATO1,$C213,[0]!MUNICIPIO1,$B$212)</f>
        <v>0</v>
      </c>
      <c r="H213" s="6">
        <f>SUMIFS([0]!VOTOS2,[0]!TURNO1,H$31,[0]!CANDIDATO1,$C213,[0]!MUNICIPIO1,$B$212)</f>
        <v>0</v>
      </c>
      <c r="I213" s="6">
        <f>SUMIFS([0]!VOTOS2,[0]!TURNO1,I$31,[0]!CANDIDATO1,$C213,[0]!MUNICIPIO1,$B$212)</f>
        <v>0</v>
      </c>
      <c r="J213" s="6">
        <f>SUMIFS([0]!VOTOS2,[0]!TURNO1,J$31,[0]!CANDIDATO1,$C213,[0]!MUNICIPIO1,$B$212)</f>
        <v>0</v>
      </c>
      <c r="K213" s="6">
        <f>SUMIFS([0]!VOTOS2,[0]!TURNO1,K$31,[0]!CANDIDATO1,$C213,[0]!MUNICIPIO1,$B$212)</f>
        <v>0</v>
      </c>
      <c r="L213" s="6">
        <f>SUMIFS([0]!VOTOS2,[0]!TURNO1,L$31,[0]!CANDIDATO1,$C213,[0]!MUNICIPIO1,$B$212)</f>
        <v>0</v>
      </c>
      <c r="M213" s="6">
        <f>SUMIFS([0]!VOTOS2,[0]!TURNO1,M$31,[0]!CANDIDATO1,$C213,[0]!MUNICIPIO1,$B$212)</f>
        <v>0</v>
      </c>
      <c r="N213" s="6">
        <f>SUMIFS([0]!VOTOS2,[0]!TURNO1,N$31,[0]!CANDIDATO1,$C213,[0]!MUNICIPIO1,$B$212)</f>
        <v>0</v>
      </c>
      <c r="O213" s="6">
        <f>SUMIFS([0]!VOTOS2,[0]!TURNO1,O$31,[0]!CANDIDATO1,$C213,[0]!MUNICIPIO1,$B$212)</f>
        <v>0</v>
      </c>
      <c r="P213" s="6">
        <f>SUMIFS([0]!VOTOS2,[0]!TURNO1,P$31,[0]!CANDIDATO1,$C213,[0]!MUNICIPIO1,$B$212)</f>
        <v>0</v>
      </c>
      <c r="Q213" s="6">
        <f>SUMIFS([0]!VOTOS2,[0]!TURNO1,Q$31,[0]!CANDIDATO1,$C213,[0]!MUNICIPIO1,$B$212)</f>
        <v>0</v>
      </c>
      <c r="R213" s="6">
        <f>SUMIFS([0]!VOTOS2,[0]!TURNO1,R$31,[0]!CANDIDATO1,$C213,[0]!MUNICIPIO1,$B$212)</f>
        <v>0</v>
      </c>
      <c r="S213" s="6">
        <f>SUMIFS([0]!VOTOS2,[0]!TURNO1,S$31,[0]!CANDIDATO1,$C213,[0]!MUNICIPIO1,$B$212)</f>
        <v>0</v>
      </c>
      <c r="T213" s="6">
        <f>SUMIFS([0]!VOTOS2,[0]!TURNO1,T$31,[0]!CANDIDATO1,$C213,[0]!MUNICIPIO1,$B$212)</f>
        <v>0</v>
      </c>
      <c r="U213" s="6">
        <f>SUMIFS([0]!VOTOS2,[0]!TURNO1,U$31,[0]!CANDIDATO1,$C213,[0]!MUNICIPIO1,$B$212)</f>
        <v>0</v>
      </c>
      <c r="V213" s="6">
        <f>SUMIFS([0]!VOTOS2,[0]!TURNO1,V$31,[0]!CANDIDATO1,$C213,[0]!MUNICIPIO1,$B$212)</f>
        <v>0</v>
      </c>
      <c r="W213" s="6">
        <f>SUMIFS([0]!VOTOS2,[0]!TURNO1,W$31,[0]!CANDIDATO1,$C213,[0]!MUNICIPIO1,$B$212)</f>
        <v>0</v>
      </c>
      <c r="X213" s="24"/>
      <c r="Y213" s="18" t="str">
        <f t="shared" si="490"/>
        <v>VICTOR FUENMAYOR</v>
      </c>
      <c r="Z213" s="34">
        <f t="shared" si="491"/>
        <v>10</v>
      </c>
      <c r="AA213" s="34">
        <f t="shared" si="492"/>
        <v>10</v>
      </c>
      <c r="AB213" s="34" t="e">
        <f t="shared" ref="AB213:AR213" si="496">IF(SUM(G212:G224)=0,NA(),G213+AA213)</f>
        <v>#N/A</v>
      </c>
      <c r="AC213" s="34" t="e">
        <f t="shared" si="496"/>
        <v>#N/A</v>
      </c>
      <c r="AD213" s="34" t="e">
        <f t="shared" si="496"/>
        <v>#N/A</v>
      </c>
      <c r="AE213" s="34" t="e">
        <f t="shared" si="496"/>
        <v>#N/A</v>
      </c>
      <c r="AF213" s="34" t="e">
        <f t="shared" si="496"/>
        <v>#N/A</v>
      </c>
      <c r="AG213" s="34" t="e">
        <f t="shared" si="496"/>
        <v>#N/A</v>
      </c>
      <c r="AH213" s="34" t="e">
        <f t="shared" si="496"/>
        <v>#N/A</v>
      </c>
      <c r="AI213" s="34" t="e">
        <f t="shared" si="496"/>
        <v>#N/A</v>
      </c>
      <c r="AJ213" s="34" t="e">
        <f t="shared" si="496"/>
        <v>#N/A</v>
      </c>
      <c r="AK213" s="34" t="e">
        <f t="shared" si="496"/>
        <v>#N/A</v>
      </c>
      <c r="AL213" s="34" t="e">
        <f t="shared" si="496"/>
        <v>#N/A</v>
      </c>
      <c r="AM213" s="34" t="e">
        <f t="shared" si="496"/>
        <v>#N/A</v>
      </c>
      <c r="AN213" s="34" t="e">
        <f t="shared" si="496"/>
        <v>#N/A</v>
      </c>
      <c r="AO213" s="34" t="e">
        <f t="shared" si="496"/>
        <v>#N/A</v>
      </c>
      <c r="AP213" s="34" t="e">
        <f t="shared" si="496"/>
        <v>#N/A</v>
      </c>
      <c r="AQ213" s="34" t="e">
        <f t="shared" si="496"/>
        <v>#N/A</v>
      </c>
      <c r="AR213" s="34" t="e">
        <f t="shared" si="496"/>
        <v>#N/A</v>
      </c>
      <c r="AS213" s="27"/>
      <c r="AT213" s="35" t="str">
        <f t="shared" si="494"/>
        <v>VICTOR FUENMAYOR</v>
      </c>
      <c r="AU213" s="36">
        <f t="shared" ref="AU213:BM213" si="497">Z213/(Z212+Z213+Z225)</f>
        <v>0.5</v>
      </c>
      <c r="AV213" s="36">
        <f t="shared" si="497"/>
        <v>0.5</v>
      </c>
      <c r="AW213" s="36" t="e">
        <f t="shared" si="497"/>
        <v>#N/A</v>
      </c>
      <c r="AX213" s="36" t="e">
        <f t="shared" si="497"/>
        <v>#N/A</v>
      </c>
      <c r="AY213" s="36" t="e">
        <f t="shared" si="497"/>
        <v>#N/A</v>
      </c>
      <c r="AZ213" s="36" t="e">
        <f t="shared" si="497"/>
        <v>#N/A</v>
      </c>
      <c r="BA213" s="36" t="e">
        <f t="shared" si="497"/>
        <v>#N/A</v>
      </c>
      <c r="BB213" s="36" t="e">
        <f t="shared" si="497"/>
        <v>#N/A</v>
      </c>
      <c r="BC213" s="36" t="e">
        <f t="shared" si="497"/>
        <v>#N/A</v>
      </c>
      <c r="BD213" s="36" t="e">
        <f t="shared" si="497"/>
        <v>#N/A</v>
      </c>
      <c r="BE213" s="36" t="e">
        <f t="shared" si="497"/>
        <v>#N/A</v>
      </c>
      <c r="BF213" s="36" t="e">
        <f t="shared" si="497"/>
        <v>#N/A</v>
      </c>
      <c r="BG213" s="36" t="e">
        <f t="shared" si="497"/>
        <v>#N/A</v>
      </c>
      <c r="BH213" s="36" t="e">
        <f t="shared" si="497"/>
        <v>#N/A</v>
      </c>
      <c r="BI213" s="36" t="e">
        <f t="shared" si="497"/>
        <v>#N/A</v>
      </c>
      <c r="BJ213" s="36" t="e">
        <f t="shared" si="497"/>
        <v>#N/A</v>
      </c>
      <c r="BK213" s="36" t="e">
        <f t="shared" si="497"/>
        <v>#N/A</v>
      </c>
      <c r="BL213" s="36" t="e">
        <f t="shared" si="497"/>
        <v>#N/A</v>
      </c>
      <c r="BM213" s="36" t="e">
        <f t="shared" si="497"/>
        <v>#N/A</v>
      </c>
      <c r="BN213" s="30"/>
    </row>
    <row r="214" spans="1:66" ht="11.25" customHeight="1" x14ac:dyDescent="0.2">
      <c r="A214" s="37"/>
      <c r="B214" s="73"/>
      <c r="C214" s="50">
        <v>3</v>
      </c>
      <c r="D214" s="13" t="s">
        <v>182</v>
      </c>
      <c r="E214" s="16">
        <f t="shared" si="489"/>
        <v>0</v>
      </c>
      <c r="F214" s="6">
        <f>SUMIFS([0]!VOTOS2,[0]!TURNO1,F$31,[0]!CANDIDATO1,$C214,[0]!MUNICIPIO1,$B$212)</f>
        <v>0</v>
      </c>
      <c r="G214" s="6">
        <f>SUMIFS([0]!VOTOS2,[0]!TURNO1,G$31,[0]!CANDIDATO1,$C214,[0]!MUNICIPIO1,$B$212)</f>
        <v>0</v>
      </c>
      <c r="H214" s="6">
        <f>SUMIFS([0]!VOTOS2,[0]!TURNO1,H$31,[0]!CANDIDATO1,$C214,[0]!MUNICIPIO1,$B$212)</f>
        <v>0</v>
      </c>
      <c r="I214" s="6">
        <f>SUMIFS([0]!VOTOS2,[0]!TURNO1,I$31,[0]!CANDIDATO1,$C214,[0]!MUNICIPIO1,$B$212)</f>
        <v>0</v>
      </c>
      <c r="J214" s="6">
        <f>SUMIFS([0]!VOTOS2,[0]!TURNO1,J$31,[0]!CANDIDATO1,$C214,[0]!MUNICIPIO1,$B$212)</f>
        <v>0</v>
      </c>
      <c r="K214" s="6">
        <f>SUMIFS([0]!VOTOS2,[0]!TURNO1,K$31,[0]!CANDIDATO1,$C214,[0]!MUNICIPIO1,$B$212)</f>
        <v>0</v>
      </c>
      <c r="L214" s="6">
        <f>SUMIFS([0]!VOTOS2,[0]!TURNO1,L$31,[0]!CANDIDATO1,$C214,[0]!MUNICIPIO1,$B$212)</f>
        <v>0</v>
      </c>
      <c r="M214" s="6">
        <f>SUMIFS([0]!VOTOS2,[0]!TURNO1,M$31,[0]!CANDIDATO1,$C214,[0]!MUNICIPIO1,$B$212)</f>
        <v>0</v>
      </c>
      <c r="N214" s="6">
        <f>SUMIFS([0]!VOTOS2,[0]!TURNO1,N$31,[0]!CANDIDATO1,$C214,[0]!MUNICIPIO1,$B$212)</f>
        <v>0</v>
      </c>
      <c r="O214" s="6">
        <f>SUMIFS([0]!VOTOS2,[0]!TURNO1,O$31,[0]!CANDIDATO1,$C214,[0]!MUNICIPIO1,$B$212)</f>
        <v>0</v>
      </c>
      <c r="P214" s="6">
        <f>SUMIFS([0]!VOTOS2,[0]!TURNO1,P$31,[0]!CANDIDATO1,$C214,[0]!MUNICIPIO1,$B$212)</f>
        <v>0</v>
      </c>
      <c r="Q214" s="6">
        <f>SUMIFS([0]!VOTOS2,[0]!TURNO1,Q$31,[0]!CANDIDATO1,$C214,[0]!MUNICIPIO1,$B$212)</f>
        <v>0</v>
      </c>
      <c r="R214" s="6">
        <f>SUMIFS([0]!VOTOS2,[0]!TURNO1,R$31,[0]!CANDIDATO1,$C214,[0]!MUNICIPIO1,$B$212)</f>
        <v>0</v>
      </c>
      <c r="S214" s="6">
        <f>SUMIFS([0]!VOTOS2,[0]!TURNO1,S$31,[0]!CANDIDATO1,$C214,[0]!MUNICIPIO1,$B$212)</f>
        <v>0</v>
      </c>
      <c r="T214" s="6">
        <f>SUMIFS([0]!VOTOS2,[0]!TURNO1,T$31,[0]!CANDIDATO1,$C214,[0]!MUNICIPIO1,$B$212)</f>
        <v>0</v>
      </c>
      <c r="U214" s="6">
        <f>SUMIFS([0]!VOTOS2,[0]!TURNO1,U$31,[0]!CANDIDATO1,$C214,[0]!MUNICIPIO1,$B$212)</f>
        <v>0</v>
      </c>
      <c r="V214" s="6">
        <f>SUMIFS([0]!VOTOS2,[0]!TURNO1,V$31,[0]!CANDIDATO1,$C214,[0]!MUNICIPIO1,$B$212)</f>
        <v>0</v>
      </c>
      <c r="W214" s="6">
        <f>SUMIFS([0]!VOTOS2,[0]!TURNO1,W$31,[0]!CANDIDATO1,$C214,[0]!MUNICIPIO1,$B$212)</f>
        <v>0</v>
      </c>
      <c r="X214" s="24"/>
      <c r="Y214" s="18" t="str">
        <f t="shared" si="490"/>
        <v>ROMULO DOMMAR</v>
      </c>
      <c r="Z214" s="34">
        <f t="shared" si="491"/>
        <v>0</v>
      </c>
      <c r="AA214" s="34">
        <f t="shared" si="492"/>
        <v>0</v>
      </c>
      <c r="AB214" s="34" t="e">
        <f t="shared" ref="AB214:AR214" si="498">IF(SUM(G212:G224)=0,NA(),G214+AA214)</f>
        <v>#N/A</v>
      </c>
      <c r="AC214" s="34" t="e">
        <f t="shared" si="498"/>
        <v>#N/A</v>
      </c>
      <c r="AD214" s="34" t="e">
        <f t="shared" si="498"/>
        <v>#N/A</v>
      </c>
      <c r="AE214" s="34" t="e">
        <f t="shared" si="498"/>
        <v>#N/A</v>
      </c>
      <c r="AF214" s="34" t="e">
        <f t="shared" si="498"/>
        <v>#N/A</v>
      </c>
      <c r="AG214" s="34" t="e">
        <f t="shared" si="498"/>
        <v>#N/A</v>
      </c>
      <c r="AH214" s="34" t="e">
        <f t="shared" si="498"/>
        <v>#N/A</v>
      </c>
      <c r="AI214" s="34" t="e">
        <f t="shared" si="498"/>
        <v>#N/A</v>
      </c>
      <c r="AJ214" s="34" t="e">
        <f t="shared" si="498"/>
        <v>#N/A</v>
      </c>
      <c r="AK214" s="34" t="e">
        <f t="shared" si="498"/>
        <v>#N/A</v>
      </c>
      <c r="AL214" s="34" t="e">
        <f t="shared" si="498"/>
        <v>#N/A</v>
      </c>
      <c r="AM214" s="34" t="e">
        <f t="shared" si="498"/>
        <v>#N/A</v>
      </c>
      <c r="AN214" s="34" t="e">
        <f t="shared" si="498"/>
        <v>#N/A</v>
      </c>
      <c r="AO214" s="34" t="e">
        <f t="shared" si="498"/>
        <v>#N/A</v>
      </c>
      <c r="AP214" s="34" t="e">
        <f t="shared" si="498"/>
        <v>#N/A</v>
      </c>
      <c r="AQ214" s="34" t="e">
        <f t="shared" si="498"/>
        <v>#N/A</v>
      </c>
      <c r="AR214" s="34" t="e">
        <f t="shared" si="498"/>
        <v>#N/A</v>
      </c>
      <c r="AS214" s="27"/>
      <c r="AT214" s="35" t="str">
        <f t="shared" ref="AT214" si="499">Y225</f>
        <v>Otros</v>
      </c>
      <c r="AU214" s="36">
        <f t="shared" ref="AU214:BM214" si="500">Z225/(Z212+Z213+Z225)</f>
        <v>0</v>
      </c>
      <c r="AV214" s="36">
        <f t="shared" si="500"/>
        <v>0</v>
      </c>
      <c r="AW214" s="36" t="e">
        <f t="shared" si="500"/>
        <v>#N/A</v>
      </c>
      <c r="AX214" s="36" t="e">
        <f t="shared" si="500"/>
        <v>#N/A</v>
      </c>
      <c r="AY214" s="36" t="e">
        <f t="shared" si="500"/>
        <v>#N/A</v>
      </c>
      <c r="AZ214" s="36" t="e">
        <f t="shared" si="500"/>
        <v>#N/A</v>
      </c>
      <c r="BA214" s="36" t="e">
        <f t="shared" si="500"/>
        <v>#N/A</v>
      </c>
      <c r="BB214" s="36" t="e">
        <f t="shared" si="500"/>
        <v>#N/A</v>
      </c>
      <c r="BC214" s="36" t="e">
        <f t="shared" si="500"/>
        <v>#N/A</v>
      </c>
      <c r="BD214" s="36" t="e">
        <f t="shared" si="500"/>
        <v>#N/A</v>
      </c>
      <c r="BE214" s="36" t="e">
        <f t="shared" si="500"/>
        <v>#N/A</v>
      </c>
      <c r="BF214" s="36" t="e">
        <f t="shared" si="500"/>
        <v>#N/A</v>
      </c>
      <c r="BG214" s="36" t="e">
        <f t="shared" si="500"/>
        <v>#N/A</v>
      </c>
      <c r="BH214" s="36" t="e">
        <f t="shared" si="500"/>
        <v>#N/A</v>
      </c>
      <c r="BI214" s="36" t="e">
        <f t="shared" si="500"/>
        <v>#N/A</v>
      </c>
      <c r="BJ214" s="36" t="e">
        <f t="shared" si="500"/>
        <v>#N/A</v>
      </c>
      <c r="BK214" s="36" t="e">
        <f t="shared" si="500"/>
        <v>#N/A</v>
      </c>
      <c r="BL214" s="36" t="e">
        <f t="shared" si="500"/>
        <v>#N/A</v>
      </c>
      <c r="BM214" s="36" t="e">
        <f t="shared" si="500"/>
        <v>#N/A</v>
      </c>
      <c r="BN214" s="30"/>
    </row>
    <row r="215" spans="1:66" ht="11.25" customHeight="1" x14ac:dyDescent="0.2">
      <c r="A215" s="38" t="s">
        <v>2</v>
      </c>
      <c r="B215" s="73"/>
      <c r="C215" s="51">
        <v>4</v>
      </c>
      <c r="D215" s="13" t="s">
        <v>183</v>
      </c>
      <c r="E215" s="16">
        <f t="shared" si="489"/>
        <v>0</v>
      </c>
      <c r="F215" s="6">
        <f>SUMIFS([0]!VOTOS2,[0]!TURNO1,F$31,[0]!CANDIDATO1,$C215,[0]!MUNICIPIO1,$B$212)</f>
        <v>0</v>
      </c>
      <c r="G215" s="6">
        <f>SUMIFS([0]!VOTOS2,[0]!TURNO1,G$31,[0]!CANDIDATO1,$C215,[0]!MUNICIPIO1,$B$212)</f>
        <v>0</v>
      </c>
      <c r="H215" s="6">
        <f>SUMIFS([0]!VOTOS2,[0]!TURNO1,H$31,[0]!CANDIDATO1,$C215,[0]!MUNICIPIO1,$B$212)</f>
        <v>0</v>
      </c>
      <c r="I215" s="6">
        <f>SUMIFS([0]!VOTOS2,[0]!TURNO1,I$31,[0]!CANDIDATO1,$C215,[0]!MUNICIPIO1,$B$212)</f>
        <v>0</v>
      </c>
      <c r="J215" s="6">
        <f>SUMIFS([0]!VOTOS2,[0]!TURNO1,J$31,[0]!CANDIDATO1,$C215,[0]!MUNICIPIO1,$B$212)</f>
        <v>0</v>
      </c>
      <c r="K215" s="6">
        <f>SUMIFS([0]!VOTOS2,[0]!TURNO1,K$31,[0]!CANDIDATO1,$C215,[0]!MUNICIPIO1,$B$212)</f>
        <v>0</v>
      </c>
      <c r="L215" s="6">
        <f>SUMIFS([0]!VOTOS2,[0]!TURNO1,L$31,[0]!CANDIDATO1,$C215,[0]!MUNICIPIO1,$B$212)</f>
        <v>0</v>
      </c>
      <c r="M215" s="6">
        <f>SUMIFS([0]!VOTOS2,[0]!TURNO1,M$31,[0]!CANDIDATO1,$C215,[0]!MUNICIPIO1,$B$212)</f>
        <v>0</v>
      </c>
      <c r="N215" s="6">
        <f>SUMIFS([0]!VOTOS2,[0]!TURNO1,N$31,[0]!CANDIDATO1,$C215,[0]!MUNICIPIO1,$B$212)</f>
        <v>0</v>
      </c>
      <c r="O215" s="6">
        <f>SUMIFS([0]!VOTOS2,[0]!TURNO1,O$31,[0]!CANDIDATO1,$C215,[0]!MUNICIPIO1,$B$212)</f>
        <v>0</v>
      </c>
      <c r="P215" s="6">
        <f>SUMIFS([0]!VOTOS2,[0]!TURNO1,P$31,[0]!CANDIDATO1,$C215,[0]!MUNICIPIO1,$B$212)</f>
        <v>0</v>
      </c>
      <c r="Q215" s="6">
        <f>SUMIFS([0]!VOTOS2,[0]!TURNO1,Q$31,[0]!CANDIDATO1,$C215,[0]!MUNICIPIO1,$B$212)</f>
        <v>0</v>
      </c>
      <c r="R215" s="6">
        <f>SUMIFS([0]!VOTOS2,[0]!TURNO1,R$31,[0]!CANDIDATO1,$C215,[0]!MUNICIPIO1,$B$212)</f>
        <v>0</v>
      </c>
      <c r="S215" s="6">
        <f>SUMIFS([0]!VOTOS2,[0]!TURNO1,S$31,[0]!CANDIDATO1,$C215,[0]!MUNICIPIO1,$B$212)</f>
        <v>0</v>
      </c>
      <c r="T215" s="6">
        <f>SUMIFS([0]!VOTOS2,[0]!TURNO1,T$31,[0]!CANDIDATO1,$C215,[0]!MUNICIPIO1,$B$212)</f>
        <v>0</v>
      </c>
      <c r="U215" s="6">
        <f>SUMIFS([0]!VOTOS2,[0]!TURNO1,U$31,[0]!CANDIDATO1,$C215,[0]!MUNICIPIO1,$B$212)</f>
        <v>0</v>
      </c>
      <c r="V215" s="6">
        <f>SUMIFS([0]!VOTOS2,[0]!TURNO1,V$31,[0]!CANDIDATO1,$C215,[0]!MUNICIPIO1,$B$212)</f>
        <v>0</v>
      </c>
      <c r="W215" s="6">
        <f>SUMIFS([0]!VOTOS2,[0]!TURNO1,W$31,[0]!CANDIDATO1,$C215,[0]!MUNICIPIO1,$B$212)</f>
        <v>0</v>
      </c>
      <c r="X215" s="24"/>
      <c r="Y215" s="18" t="str">
        <f t="shared" si="490"/>
        <v>NESTOR PETIT</v>
      </c>
      <c r="Z215" s="34">
        <f t="shared" si="491"/>
        <v>0</v>
      </c>
      <c r="AA215" s="34">
        <f t="shared" si="492"/>
        <v>0</v>
      </c>
      <c r="AB215" s="34" t="e">
        <f t="shared" ref="AB215:AR215" si="501">IF(SUM(G212:G224)=0,NA(),G215+AA215)</f>
        <v>#N/A</v>
      </c>
      <c r="AC215" s="34" t="e">
        <f t="shared" si="501"/>
        <v>#N/A</v>
      </c>
      <c r="AD215" s="34" t="e">
        <f t="shared" si="501"/>
        <v>#N/A</v>
      </c>
      <c r="AE215" s="34" t="e">
        <f t="shared" si="501"/>
        <v>#N/A</v>
      </c>
      <c r="AF215" s="34" t="e">
        <f t="shared" si="501"/>
        <v>#N/A</v>
      </c>
      <c r="AG215" s="34" t="e">
        <f t="shared" si="501"/>
        <v>#N/A</v>
      </c>
      <c r="AH215" s="34" t="e">
        <f t="shared" si="501"/>
        <v>#N/A</v>
      </c>
      <c r="AI215" s="34" t="e">
        <f t="shared" si="501"/>
        <v>#N/A</v>
      </c>
      <c r="AJ215" s="34" t="e">
        <f t="shared" si="501"/>
        <v>#N/A</v>
      </c>
      <c r="AK215" s="34" t="e">
        <f t="shared" si="501"/>
        <v>#N/A</v>
      </c>
      <c r="AL215" s="34" t="e">
        <f t="shared" si="501"/>
        <v>#N/A</v>
      </c>
      <c r="AM215" s="34" t="e">
        <f t="shared" si="501"/>
        <v>#N/A</v>
      </c>
      <c r="AN215" s="34" t="e">
        <f t="shared" si="501"/>
        <v>#N/A</v>
      </c>
      <c r="AO215" s="34" t="e">
        <f t="shared" si="501"/>
        <v>#N/A</v>
      </c>
      <c r="AP215" s="34" t="e">
        <f t="shared" si="501"/>
        <v>#N/A</v>
      </c>
      <c r="AQ215" s="34" t="e">
        <f t="shared" si="501"/>
        <v>#N/A</v>
      </c>
      <c r="AR215" s="34" t="e">
        <f t="shared" si="501"/>
        <v>#N/A</v>
      </c>
      <c r="AS215" s="27"/>
      <c r="AT215" s="39"/>
      <c r="AU215" s="39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30"/>
    </row>
    <row r="216" spans="1:66" ht="11.25" customHeight="1" x14ac:dyDescent="0.2">
      <c r="A216" s="38" t="s">
        <v>20</v>
      </c>
      <c r="B216" s="73"/>
      <c r="C216" s="50">
        <v>5</v>
      </c>
      <c r="D216" s="13" t="s">
        <v>184</v>
      </c>
      <c r="E216" s="16">
        <f t="shared" si="489"/>
        <v>0</v>
      </c>
      <c r="F216" s="6">
        <f>SUMIFS([0]!VOTOS2,[0]!TURNO1,F$31,[0]!CANDIDATO1,$C216,[0]!MUNICIPIO1,$B$212)</f>
        <v>0</v>
      </c>
      <c r="G216" s="6">
        <f>SUMIFS([0]!VOTOS2,[0]!TURNO1,G$31,[0]!CANDIDATO1,$C216,[0]!MUNICIPIO1,$B$212)</f>
        <v>0</v>
      </c>
      <c r="H216" s="6">
        <f>SUMIFS([0]!VOTOS2,[0]!TURNO1,H$31,[0]!CANDIDATO1,$C216,[0]!MUNICIPIO1,$B$212)</f>
        <v>0</v>
      </c>
      <c r="I216" s="6">
        <f>SUMIFS([0]!VOTOS2,[0]!TURNO1,I$31,[0]!CANDIDATO1,$C216,[0]!MUNICIPIO1,$B$212)</f>
        <v>0</v>
      </c>
      <c r="J216" s="6">
        <f>SUMIFS([0]!VOTOS2,[0]!TURNO1,J$31,[0]!CANDIDATO1,$C216,[0]!MUNICIPIO1,$B$212)</f>
        <v>0</v>
      </c>
      <c r="K216" s="6">
        <f>SUMIFS([0]!VOTOS2,[0]!TURNO1,K$31,[0]!CANDIDATO1,$C216,[0]!MUNICIPIO1,$B$212)</f>
        <v>0</v>
      </c>
      <c r="L216" s="6">
        <f>SUMIFS([0]!VOTOS2,[0]!TURNO1,L$31,[0]!CANDIDATO1,$C216,[0]!MUNICIPIO1,$B$212)</f>
        <v>0</v>
      </c>
      <c r="M216" s="6">
        <f>SUMIFS([0]!VOTOS2,[0]!TURNO1,M$31,[0]!CANDIDATO1,$C216,[0]!MUNICIPIO1,$B$212)</f>
        <v>0</v>
      </c>
      <c r="N216" s="6">
        <f>SUMIFS([0]!VOTOS2,[0]!TURNO1,N$31,[0]!CANDIDATO1,$C216,[0]!MUNICIPIO1,$B$212)</f>
        <v>0</v>
      </c>
      <c r="O216" s="6">
        <f>SUMIFS([0]!VOTOS2,[0]!TURNO1,O$31,[0]!CANDIDATO1,$C216,[0]!MUNICIPIO1,$B$212)</f>
        <v>0</v>
      </c>
      <c r="P216" s="6">
        <f>SUMIFS([0]!VOTOS2,[0]!TURNO1,P$31,[0]!CANDIDATO1,$C216,[0]!MUNICIPIO1,$B$212)</f>
        <v>0</v>
      </c>
      <c r="Q216" s="6">
        <f>SUMIFS([0]!VOTOS2,[0]!TURNO1,Q$31,[0]!CANDIDATO1,$C216,[0]!MUNICIPIO1,$B$212)</f>
        <v>0</v>
      </c>
      <c r="R216" s="6">
        <f>SUMIFS([0]!VOTOS2,[0]!TURNO1,R$31,[0]!CANDIDATO1,$C216,[0]!MUNICIPIO1,$B$212)</f>
        <v>0</v>
      </c>
      <c r="S216" s="6">
        <f>SUMIFS([0]!VOTOS2,[0]!TURNO1,S$31,[0]!CANDIDATO1,$C216,[0]!MUNICIPIO1,$B$212)</f>
        <v>0</v>
      </c>
      <c r="T216" s="6">
        <f>SUMIFS([0]!VOTOS2,[0]!TURNO1,T$31,[0]!CANDIDATO1,$C216,[0]!MUNICIPIO1,$B$212)</f>
        <v>0</v>
      </c>
      <c r="U216" s="6">
        <f>SUMIFS([0]!VOTOS2,[0]!TURNO1,U$31,[0]!CANDIDATO1,$C216,[0]!MUNICIPIO1,$B$212)</f>
        <v>0</v>
      </c>
      <c r="V216" s="6">
        <f>SUMIFS([0]!VOTOS2,[0]!TURNO1,V$31,[0]!CANDIDATO1,$C216,[0]!MUNICIPIO1,$B$212)</f>
        <v>0</v>
      </c>
      <c r="W216" s="6">
        <f>SUMIFS([0]!VOTOS2,[0]!TURNO1,W$31,[0]!CANDIDATO1,$C216,[0]!MUNICIPIO1,$B$212)</f>
        <v>0</v>
      </c>
      <c r="X216" s="24"/>
      <c r="Y216" s="18" t="str">
        <f t="shared" si="490"/>
        <v>GEORGES ALTAFECH</v>
      </c>
      <c r="Z216" s="34">
        <f t="shared" si="491"/>
        <v>0</v>
      </c>
      <c r="AA216" s="34">
        <f t="shared" si="492"/>
        <v>0</v>
      </c>
      <c r="AB216" s="34" t="e">
        <f t="shared" ref="AB216:AR216" si="502">IF(SUM(G212:G224)=0,NA(),G216+AA216)</f>
        <v>#N/A</v>
      </c>
      <c r="AC216" s="34" t="e">
        <f t="shared" si="502"/>
        <v>#N/A</v>
      </c>
      <c r="AD216" s="34" t="e">
        <f t="shared" si="502"/>
        <v>#N/A</v>
      </c>
      <c r="AE216" s="34" t="e">
        <f t="shared" si="502"/>
        <v>#N/A</v>
      </c>
      <c r="AF216" s="34" t="e">
        <f t="shared" si="502"/>
        <v>#N/A</v>
      </c>
      <c r="AG216" s="34" t="e">
        <f t="shared" si="502"/>
        <v>#N/A</v>
      </c>
      <c r="AH216" s="34" t="e">
        <f t="shared" si="502"/>
        <v>#N/A</v>
      </c>
      <c r="AI216" s="34" t="e">
        <f t="shared" si="502"/>
        <v>#N/A</v>
      </c>
      <c r="AJ216" s="34" t="e">
        <f t="shared" si="502"/>
        <v>#N/A</v>
      </c>
      <c r="AK216" s="34" t="e">
        <f t="shared" si="502"/>
        <v>#N/A</v>
      </c>
      <c r="AL216" s="34" t="e">
        <f t="shared" si="502"/>
        <v>#N/A</v>
      </c>
      <c r="AM216" s="34" t="e">
        <f t="shared" si="502"/>
        <v>#N/A</v>
      </c>
      <c r="AN216" s="34" t="e">
        <f t="shared" si="502"/>
        <v>#N/A</v>
      </c>
      <c r="AO216" s="34" t="e">
        <f t="shared" si="502"/>
        <v>#N/A</v>
      </c>
      <c r="AP216" s="34" t="e">
        <f t="shared" si="502"/>
        <v>#N/A</v>
      </c>
      <c r="AQ216" s="34" t="e">
        <f t="shared" si="502"/>
        <v>#N/A</v>
      </c>
      <c r="AR216" s="34" t="e">
        <f t="shared" si="502"/>
        <v>#N/A</v>
      </c>
      <c r="AS216" s="27"/>
      <c r="AT216" s="39"/>
      <c r="AU216" s="39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30"/>
    </row>
    <row r="217" spans="1:66" ht="11.25" customHeight="1" x14ac:dyDescent="0.2">
      <c r="A217" s="37"/>
      <c r="B217" s="73"/>
      <c r="C217" s="51">
        <v>6</v>
      </c>
      <c r="D217" s="13" t="s">
        <v>185</v>
      </c>
      <c r="E217" s="16">
        <f t="shared" si="489"/>
        <v>0</v>
      </c>
      <c r="F217" s="6">
        <f>SUMIFS([0]!VOTOS2,[0]!TURNO1,F$31,[0]!CANDIDATO1,$C217,[0]!MUNICIPIO1,$B$212)</f>
        <v>0</v>
      </c>
      <c r="G217" s="6">
        <f>SUMIFS([0]!VOTOS2,[0]!TURNO1,G$31,[0]!CANDIDATO1,$C217,[0]!MUNICIPIO1,$B$212)</f>
        <v>0</v>
      </c>
      <c r="H217" s="6">
        <f>SUMIFS([0]!VOTOS2,[0]!TURNO1,H$31,[0]!CANDIDATO1,$C217,[0]!MUNICIPIO1,$B$212)</f>
        <v>0</v>
      </c>
      <c r="I217" s="6">
        <f>SUMIFS([0]!VOTOS2,[0]!TURNO1,I$31,[0]!CANDIDATO1,$C217,[0]!MUNICIPIO1,$B$212)</f>
        <v>0</v>
      </c>
      <c r="J217" s="6">
        <f>SUMIFS([0]!VOTOS2,[0]!TURNO1,J$31,[0]!CANDIDATO1,$C217,[0]!MUNICIPIO1,$B$212)</f>
        <v>0</v>
      </c>
      <c r="K217" s="6">
        <f>SUMIFS([0]!VOTOS2,[0]!TURNO1,K$31,[0]!CANDIDATO1,$C217,[0]!MUNICIPIO1,$B$212)</f>
        <v>0</v>
      </c>
      <c r="L217" s="6">
        <f>SUMIFS([0]!VOTOS2,[0]!TURNO1,L$31,[0]!CANDIDATO1,$C217,[0]!MUNICIPIO1,$B$212)</f>
        <v>0</v>
      </c>
      <c r="M217" s="6">
        <f>SUMIFS([0]!VOTOS2,[0]!TURNO1,M$31,[0]!CANDIDATO1,$C217,[0]!MUNICIPIO1,$B$212)</f>
        <v>0</v>
      </c>
      <c r="N217" s="6">
        <f>SUMIFS([0]!VOTOS2,[0]!TURNO1,N$31,[0]!CANDIDATO1,$C217,[0]!MUNICIPIO1,$B$212)</f>
        <v>0</v>
      </c>
      <c r="O217" s="6">
        <f>SUMIFS([0]!VOTOS2,[0]!TURNO1,O$31,[0]!CANDIDATO1,$C217,[0]!MUNICIPIO1,$B$212)</f>
        <v>0</v>
      </c>
      <c r="P217" s="6">
        <f>SUMIFS([0]!VOTOS2,[0]!TURNO1,P$31,[0]!CANDIDATO1,$C217,[0]!MUNICIPIO1,$B$212)</f>
        <v>0</v>
      </c>
      <c r="Q217" s="6">
        <f>SUMIFS([0]!VOTOS2,[0]!TURNO1,Q$31,[0]!CANDIDATO1,$C217,[0]!MUNICIPIO1,$B$212)</f>
        <v>0</v>
      </c>
      <c r="R217" s="6">
        <f>SUMIFS([0]!VOTOS2,[0]!TURNO1,R$31,[0]!CANDIDATO1,$C217,[0]!MUNICIPIO1,$B$212)</f>
        <v>0</v>
      </c>
      <c r="S217" s="6">
        <f>SUMIFS([0]!VOTOS2,[0]!TURNO1,S$31,[0]!CANDIDATO1,$C217,[0]!MUNICIPIO1,$B$212)</f>
        <v>0</v>
      </c>
      <c r="T217" s="6">
        <f>SUMIFS([0]!VOTOS2,[0]!TURNO1,T$31,[0]!CANDIDATO1,$C217,[0]!MUNICIPIO1,$B$212)</f>
        <v>0</v>
      </c>
      <c r="U217" s="6">
        <f>SUMIFS([0]!VOTOS2,[0]!TURNO1,U$31,[0]!CANDIDATO1,$C217,[0]!MUNICIPIO1,$B$212)</f>
        <v>0</v>
      </c>
      <c r="V217" s="6">
        <f>SUMIFS([0]!VOTOS2,[0]!TURNO1,V$31,[0]!CANDIDATO1,$C217,[0]!MUNICIPIO1,$B$212)</f>
        <v>0</v>
      </c>
      <c r="W217" s="6">
        <f>SUMIFS([0]!VOTOS2,[0]!TURNO1,W$31,[0]!CANDIDATO1,$C217,[0]!MUNICIPIO1,$B$212)</f>
        <v>0</v>
      </c>
      <c r="X217" s="24"/>
      <c r="Y217" s="18" t="str">
        <f t="shared" si="490"/>
        <v>WILLIAN FLORES</v>
      </c>
      <c r="Z217" s="34">
        <f t="shared" si="491"/>
        <v>0</v>
      </c>
      <c r="AA217" s="34">
        <f t="shared" si="492"/>
        <v>0</v>
      </c>
      <c r="AB217" s="34" t="e">
        <f t="shared" ref="AB217:AR217" si="503">IF(SUM(G212:G224)=0,NA(),G217+AA217)</f>
        <v>#N/A</v>
      </c>
      <c r="AC217" s="34" t="e">
        <f t="shared" si="503"/>
        <v>#N/A</v>
      </c>
      <c r="AD217" s="34" t="e">
        <f t="shared" si="503"/>
        <v>#N/A</v>
      </c>
      <c r="AE217" s="34" t="e">
        <f t="shared" si="503"/>
        <v>#N/A</v>
      </c>
      <c r="AF217" s="34" t="e">
        <f t="shared" si="503"/>
        <v>#N/A</v>
      </c>
      <c r="AG217" s="34" t="e">
        <f t="shared" si="503"/>
        <v>#N/A</v>
      </c>
      <c r="AH217" s="34" t="e">
        <f t="shared" si="503"/>
        <v>#N/A</v>
      </c>
      <c r="AI217" s="34" t="e">
        <f t="shared" si="503"/>
        <v>#N/A</v>
      </c>
      <c r="AJ217" s="34" t="e">
        <f t="shared" si="503"/>
        <v>#N/A</v>
      </c>
      <c r="AK217" s="34" t="e">
        <f t="shared" si="503"/>
        <v>#N/A</v>
      </c>
      <c r="AL217" s="34" t="e">
        <f t="shared" si="503"/>
        <v>#N/A</v>
      </c>
      <c r="AM217" s="34" t="e">
        <f t="shared" si="503"/>
        <v>#N/A</v>
      </c>
      <c r="AN217" s="34" t="e">
        <f t="shared" si="503"/>
        <v>#N/A</v>
      </c>
      <c r="AO217" s="34" t="e">
        <f t="shared" si="503"/>
        <v>#N/A</v>
      </c>
      <c r="AP217" s="34" t="e">
        <f t="shared" si="503"/>
        <v>#N/A</v>
      </c>
      <c r="AQ217" s="34" t="e">
        <f t="shared" si="503"/>
        <v>#N/A</v>
      </c>
      <c r="AR217" s="34" t="e">
        <f t="shared" si="503"/>
        <v>#N/A</v>
      </c>
      <c r="AS217" s="27"/>
      <c r="AT217" s="39"/>
      <c r="AU217" s="39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30"/>
    </row>
    <row r="218" spans="1:66" ht="11.25" customHeight="1" x14ac:dyDescent="0.2">
      <c r="A218" s="37"/>
      <c r="B218" s="73"/>
      <c r="C218" s="50">
        <v>7</v>
      </c>
      <c r="D218" s="13" t="s">
        <v>186</v>
      </c>
      <c r="E218" s="16">
        <f t="shared" si="489"/>
        <v>0</v>
      </c>
      <c r="F218" s="6">
        <f>SUMIFS([0]!VOTOS2,[0]!TURNO1,F$31,[0]!CANDIDATO1,$C218,[0]!MUNICIPIO1,$B$212)</f>
        <v>0</v>
      </c>
      <c r="G218" s="6">
        <f>SUMIFS([0]!VOTOS2,[0]!TURNO1,G$31,[0]!CANDIDATO1,$C218,[0]!MUNICIPIO1,$B$212)</f>
        <v>0</v>
      </c>
      <c r="H218" s="6">
        <f>SUMIFS([0]!VOTOS2,[0]!TURNO1,H$31,[0]!CANDIDATO1,$C218,[0]!MUNICIPIO1,$B$212)</f>
        <v>0</v>
      </c>
      <c r="I218" s="6">
        <f>SUMIFS([0]!VOTOS2,[0]!TURNO1,I$31,[0]!CANDIDATO1,$C218,[0]!MUNICIPIO1,$B$212)</f>
        <v>0</v>
      </c>
      <c r="J218" s="6">
        <f>SUMIFS([0]!VOTOS2,[0]!TURNO1,J$31,[0]!CANDIDATO1,$C218,[0]!MUNICIPIO1,$B$212)</f>
        <v>0</v>
      </c>
      <c r="K218" s="6">
        <f>SUMIFS([0]!VOTOS2,[0]!TURNO1,K$31,[0]!CANDIDATO1,$C218,[0]!MUNICIPIO1,$B$212)</f>
        <v>0</v>
      </c>
      <c r="L218" s="6">
        <f>SUMIFS([0]!VOTOS2,[0]!TURNO1,L$31,[0]!CANDIDATO1,$C218,[0]!MUNICIPIO1,$B$212)</f>
        <v>0</v>
      </c>
      <c r="M218" s="6">
        <f>SUMIFS([0]!VOTOS2,[0]!TURNO1,M$31,[0]!CANDIDATO1,$C218,[0]!MUNICIPIO1,$B$212)</f>
        <v>0</v>
      </c>
      <c r="N218" s="6">
        <f>SUMIFS([0]!VOTOS2,[0]!TURNO1,N$31,[0]!CANDIDATO1,$C218,[0]!MUNICIPIO1,$B$212)</f>
        <v>0</v>
      </c>
      <c r="O218" s="6">
        <f>SUMIFS([0]!VOTOS2,[0]!TURNO1,O$31,[0]!CANDIDATO1,$C218,[0]!MUNICIPIO1,$B$212)</f>
        <v>0</v>
      </c>
      <c r="P218" s="6">
        <f>SUMIFS([0]!VOTOS2,[0]!TURNO1,P$31,[0]!CANDIDATO1,$C218,[0]!MUNICIPIO1,$B$212)</f>
        <v>0</v>
      </c>
      <c r="Q218" s="6">
        <f>SUMIFS([0]!VOTOS2,[0]!TURNO1,Q$31,[0]!CANDIDATO1,$C218,[0]!MUNICIPIO1,$B$212)</f>
        <v>0</v>
      </c>
      <c r="R218" s="6">
        <f>SUMIFS([0]!VOTOS2,[0]!TURNO1,R$31,[0]!CANDIDATO1,$C218,[0]!MUNICIPIO1,$B$212)</f>
        <v>0</v>
      </c>
      <c r="S218" s="6">
        <f>SUMIFS([0]!VOTOS2,[0]!TURNO1,S$31,[0]!CANDIDATO1,$C218,[0]!MUNICIPIO1,$B$212)</f>
        <v>0</v>
      </c>
      <c r="T218" s="6">
        <f>SUMIFS([0]!VOTOS2,[0]!TURNO1,T$31,[0]!CANDIDATO1,$C218,[0]!MUNICIPIO1,$B$212)</f>
        <v>0</v>
      </c>
      <c r="U218" s="6">
        <f>SUMIFS([0]!VOTOS2,[0]!TURNO1,U$31,[0]!CANDIDATO1,$C218,[0]!MUNICIPIO1,$B$212)</f>
        <v>0</v>
      </c>
      <c r="V218" s="6">
        <f>SUMIFS([0]!VOTOS2,[0]!TURNO1,V$31,[0]!CANDIDATO1,$C218,[0]!MUNICIPIO1,$B$212)</f>
        <v>0</v>
      </c>
      <c r="W218" s="6">
        <f>SUMIFS([0]!VOTOS2,[0]!TURNO1,W$31,[0]!CANDIDATO1,$C218,[0]!MUNICIPIO1,$B$212)</f>
        <v>0</v>
      </c>
      <c r="X218" s="24"/>
      <c r="Y218" s="18" t="str">
        <f t="shared" si="490"/>
        <v>ORLANDO GONZALEZ</v>
      </c>
      <c r="Z218" s="34">
        <f t="shared" si="491"/>
        <v>0</v>
      </c>
      <c r="AA218" s="34">
        <f t="shared" si="492"/>
        <v>0</v>
      </c>
      <c r="AB218" s="34" t="e">
        <f t="shared" ref="AB218:AR218" si="504">IF(SUM(G212:G224)=0,NA(),G218+AA218)</f>
        <v>#N/A</v>
      </c>
      <c r="AC218" s="34" t="e">
        <f t="shared" si="504"/>
        <v>#N/A</v>
      </c>
      <c r="AD218" s="34" t="e">
        <f t="shared" si="504"/>
        <v>#N/A</v>
      </c>
      <c r="AE218" s="34" t="e">
        <f t="shared" si="504"/>
        <v>#N/A</v>
      </c>
      <c r="AF218" s="34" t="e">
        <f t="shared" si="504"/>
        <v>#N/A</v>
      </c>
      <c r="AG218" s="34" t="e">
        <f t="shared" si="504"/>
        <v>#N/A</v>
      </c>
      <c r="AH218" s="34" t="e">
        <f t="shared" si="504"/>
        <v>#N/A</v>
      </c>
      <c r="AI218" s="34" t="e">
        <f t="shared" si="504"/>
        <v>#N/A</v>
      </c>
      <c r="AJ218" s="34" t="e">
        <f t="shared" si="504"/>
        <v>#N/A</v>
      </c>
      <c r="AK218" s="34" t="e">
        <f t="shared" si="504"/>
        <v>#N/A</v>
      </c>
      <c r="AL218" s="34" t="e">
        <f t="shared" si="504"/>
        <v>#N/A</v>
      </c>
      <c r="AM218" s="34" t="e">
        <f t="shared" si="504"/>
        <v>#N/A</v>
      </c>
      <c r="AN218" s="34" t="e">
        <f t="shared" si="504"/>
        <v>#N/A</v>
      </c>
      <c r="AO218" s="34" t="e">
        <f t="shared" si="504"/>
        <v>#N/A</v>
      </c>
      <c r="AP218" s="34" t="e">
        <f t="shared" si="504"/>
        <v>#N/A</v>
      </c>
      <c r="AQ218" s="34" t="e">
        <f t="shared" si="504"/>
        <v>#N/A</v>
      </c>
      <c r="AR218" s="34" t="e">
        <f t="shared" si="504"/>
        <v>#N/A</v>
      </c>
      <c r="AS218" s="27"/>
      <c r="AT218" s="39"/>
      <c r="AU218" s="39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30"/>
    </row>
    <row r="219" spans="1:66" ht="11.25" customHeight="1" x14ac:dyDescent="0.2">
      <c r="A219" s="37"/>
      <c r="B219" s="73"/>
      <c r="C219" s="51">
        <v>8</v>
      </c>
      <c r="D219" s="13" t="s">
        <v>187</v>
      </c>
      <c r="E219" s="16">
        <f t="shared" si="489"/>
        <v>0</v>
      </c>
      <c r="F219" s="6">
        <f>SUMIFS([0]!VOTOS2,[0]!TURNO1,F$31,[0]!CANDIDATO1,$C219,[0]!MUNICIPIO1,$B$212)</f>
        <v>0</v>
      </c>
      <c r="G219" s="6">
        <f>SUMIFS([0]!VOTOS2,[0]!TURNO1,G$31,[0]!CANDIDATO1,$C219,[0]!MUNICIPIO1,$B$212)</f>
        <v>0</v>
      </c>
      <c r="H219" s="6">
        <f>SUMIFS([0]!VOTOS2,[0]!TURNO1,H$31,[0]!CANDIDATO1,$C219,[0]!MUNICIPIO1,$B$212)</f>
        <v>0</v>
      </c>
      <c r="I219" s="6">
        <f>SUMIFS([0]!VOTOS2,[0]!TURNO1,I$31,[0]!CANDIDATO1,$C219,[0]!MUNICIPIO1,$B$212)</f>
        <v>0</v>
      </c>
      <c r="J219" s="6">
        <f>SUMIFS([0]!VOTOS2,[0]!TURNO1,J$31,[0]!CANDIDATO1,$C219,[0]!MUNICIPIO1,$B$212)</f>
        <v>0</v>
      </c>
      <c r="K219" s="6">
        <f>SUMIFS([0]!VOTOS2,[0]!TURNO1,K$31,[0]!CANDIDATO1,$C219,[0]!MUNICIPIO1,$B$212)</f>
        <v>0</v>
      </c>
      <c r="L219" s="6">
        <f>SUMIFS([0]!VOTOS2,[0]!TURNO1,L$31,[0]!CANDIDATO1,$C219,[0]!MUNICIPIO1,$B$212)</f>
        <v>0</v>
      </c>
      <c r="M219" s="6">
        <f>SUMIFS([0]!VOTOS2,[0]!TURNO1,M$31,[0]!CANDIDATO1,$C219,[0]!MUNICIPIO1,$B$212)</f>
        <v>0</v>
      </c>
      <c r="N219" s="6">
        <f>SUMIFS([0]!VOTOS2,[0]!TURNO1,N$31,[0]!CANDIDATO1,$C219,[0]!MUNICIPIO1,$B$212)</f>
        <v>0</v>
      </c>
      <c r="O219" s="6">
        <f>SUMIFS([0]!VOTOS2,[0]!TURNO1,O$31,[0]!CANDIDATO1,$C219,[0]!MUNICIPIO1,$B$212)</f>
        <v>0</v>
      </c>
      <c r="P219" s="6">
        <f>SUMIFS([0]!VOTOS2,[0]!TURNO1,P$31,[0]!CANDIDATO1,$C219,[0]!MUNICIPIO1,$B$212)</f>
        <v>0</v>
      </c>
      <c r="Q219" s="6">
        <f>SUMIFS([0]!VOTOS2,[0]!TURNO1,Q$31,[0]!CANDIDATO1,$C219,[0]!MUNICIPIO1,$B$212)</f>
        <v>0</v>
      </c>
      <c r="R219" s="6">
        <f>SUMIFS([0]!VOTOS2,[0]!TURNO1,R$31,[0]!CANDIDATO1,$C219,[0]!MUNICIPIO1,$B$212)</f>
        <v>0</v>
      </c>
      <c r="S219" s="6">
        <f>SUMIFS([0]!VOTOS2,[0]!TURNO1,S$31,[0]!CANDIDATO1,$C219,[0]!MUNICIPIO1,$B$212)</f>
        <v>0</v>
      </c>
      <c r="T219" s="6">
        <f>SUMIFS([0]!VOTOS2,[0]!TURNO1,T$31,[0]!CANDIDATO1,$C219,[0]!MUNICIPIO1,$B$212)</f>
        <v>0</v>
      </c>
      <c r="U219" s="6">
        <f>SUMIFS([0]!VOTOS2,[0]!TURNO1,U$31,[0]!CANDIDATO1,$C219,[0]!MUNICIPIO1,$B$212)</f>
        <v>0</v>
      </c>
      <c r="V219" s="6">
        <f>SUMIFS([0]!VOTOS2,[0]!TURNO1,V$31,[0]!CANDIDATO1,$C219,[0]!MUNICIPIO1,$B$212)</f>
        <v>0</v>
      </c>
      <c r="W219" s="6">
        <f>SUMIFS([0]!VOTOS2,[0]!TURNO1,W$31,[0]!CANDIDATO1,$C219,[0]!MUNICIPIO1,$B$212)</f>
        <v>0</v>
      </c>
      <c r="X219" s="24"/>
      <c r="Y219" s="18" t="str">
        <f t="shared" si="490"/>
        <v>CARLOS DELGADO</v>
      </c>
      <c r="Z219" s="34">
        <f t="shared" si="491"/>
        <v>0</v>
      </c>
      <c r="AA219" s="34">
        <f t="shared" si="492"/>
        <v>0</v>
      </c>
      <c r="AB219" s="34" t="e">
        <f t="shared" ref="AB219:AR219" si="505">IF(SUM(G212:G224)=0,NA(),G219+AA219)</f>
        <v>#N/A</v>
      </c>
      <c r="AC219" s="34" t="e">
        <f t="shared" si="505"/>
        <v>#N/A</v>
      </c>
      <c r="AD219" s="34" t="e">
        <f t="shared" si="505"/>
        <v>#N/A</v>
      </c>
      <c r="AE219" s="34" t="e">
        <f t="shared" si="505"/>
        <v>#N/A</v>
      </c>
      <c r="AF219" s="34" t="e">
        <f t="shared" si="505"/>
        <v>#N/A</v>
      </c>
      <c r="AG219" s="34" t="e">
        <f t="shared" si="505"/>
        <v>#N/A</v>
      </c>
      <c r="AH219" s="34" t="e">
        <f t="shared" si="505"/>
        <v>#N/A</v>
      </c>
      <c r="AI219" s="34" t="e">
        <f t="shared" si="505"/>
        <v>#N/A</v>
      </c>
      <c r="AJ219" s="34" t="e">
        <f t="shared" si="505"/>
        <v>#N/A</v>
      </c>
      <c r="AK219" s="34" t="e">
        <f t="shared" si="505"/>
        <v>#N/A</v>
      </c>
      <c r="AL219" s="34" t="e">
        <f t="shared" si="505"/>
        <v>#N/A</v>
      </c>
      <c r="AM219" s="34" t="e">
        <f t="shared" si="505"/>
        <v>#N/A</v>
      </c>
      <c r="AN219" s="34" t="e">
        <f t="shared" si="505"/>
        <v>#N/A</v>
      </c>
      <c r="AO219" s="34" t="e">
        <f t="shared" si="505"/>
        <v>#N/A</v>
      </c>
      <c r="AP219" s="34" t="e">
        <f t="shared" si="505"/>
        <v>#N/A</v>
      </c>
      <c r="AQ219" s="34" t="e">
        <f t="shared" si="505"/>
        <v>#N/A</v>
      </c>
      <c r="AR219" s="34" t="e">
        <f t="shared" si="505"/>
        <v>#N/A</v>
      </c>
      <c r="AS219" s="27"/>
      <c r="AT219" s="41"/>
      <c r="AU219" s="41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30"/>
    </row>
    <row r="220" spans="1:66" ht="11.25" customHeight="1" x14ac:dyDescent="0.2">
      <c r="A220" s="42"/>
      <c r="B220" s="74"/>
      <c r="C220" s="51">
        <v>9</v>
      </c>
      <c r="D220" s="13" t="s">
        <v>188</v>
      </c>
      <c r="E220" s="16">
        <f t="shared" si="489"/>
        <v>0</v>
      </c>
      <c r="F220" s="6">
        <f>SUMIFS([0]!VOTOS2,[0]!TURNO1,F$31,[0]!CANDIDATO1,$C220,[0]!MUNICIPIO1,$B$212)</f>
        <v>0</v>
      </c>
      <c r="G220" s="6">
        <f>SUMIFS([0]!VOTOS2,[0]!TURNO1,G$31,[0]!CANDIDATO1,$C220,[0]!MUNICIPIO1,$B$212)</f>
        <v>0</v>
      </c>
      <c r="H220" s="6">
        <f>SUMIFS([0]!VOTOS2,[0]!TURNO1,H$31,[0]!CANDIDATO1,$C220,[0]!MUNICIPIO1,$B$212)</f>
        <v>0</v>
      </c>
      <c r="I220" s="6">
        <f>SUMIFS([0]!VOTOS2,[0]!TURNO1,I$31,[0]!CANDIDATO1,$C220,[0]!MUNICIPIO1,$B$212)</f>
        <v>0</v>
      </c>
      <c r="J220" s="6">
        <f>SUMIFS([0]!VOTOS2,[0]!TURNO1,J$31,[0]!CANDIDATO1,$C220,[0]!MUNICIPIO1,$B$212)</f>
        <v>0</v>
      </c>
      <c r="K220" s="6">
        <f>SUMIFS([0]!VOTOS2,[0]!TURNO1,K$31,[0]!CANDIDATO1,$C220,[0]!MUNICIPIO1,$B$212)</f>
        <v>0</v>
      </c>
      <c r="L220" s="6">
        <f>SUMIFS([0]!VOTOS2,[0]!TURNO1,L$31,[0]!CANDIDATO1,$C220,[0]!MUNICIPIO1,$B$212)</f>
        <v>0</v>
      </c>
      <c r="M220" s="6">
        <f>SUMIFS([0]!VOTOS2,[0]!TURNO1,M$31,[0]!CANDIDATO1,$C220,[0]!MUNICIPIO1,$B$212)</f>
        <v>0</v>
      </c>
      <c r="N220" s="6">
        <f>SUMIFS([0]!VOTOS2,[0]!TURNO1,N$31,[0]!CANDIDATO1,$C220,[0]!MUNICIPIO1,$B$212)</f>
        <v>0</v>
      </c>
      <c r="O220" s="6">
        <f>SUMIFS([0]!VOTOS2,[0]!TURNO1,O$31,[0]!CANDIDATO1,$C220,[0]!MUNICIPIO1,$B$212)</f>
        <v>0</v>
      </c>
      <c r="P220" s="6">
        <f>SUMIFS([0]!VOTOS2,[0]!TURNO1,P$31,[0]!CANDIDATO1,$C220,[0]!MUNICIPIO1,$B$212)</f>
        <v>0</v>
      </c>
      <c r="Q220" s="6">
        <f>SUMIFS([0]!VOTOS2,[0]!TURNO1,Q$31,[0]!CANDIDATO1,$C220,[0]!MUNICIPIO1,$B$212)</f>
        <v>0</v>
      </c>
      <c r="R220" s="6">
        <f>SUMIFS([0]!VOTOS2,[0]!TURNO1,R$31,[0]!CANDIDATO1,$C220,[0]!MUNICIPIO1,$B$212)</f>
        <v>0</v>
      </c>
      <c r="S220" s="6">
        <f>SUMIFS([0]!VOTOS2,[0]!TURNO1,S$31,[0]!CANDIDATO1,$C220,[0]!MUNICIPIO1,$B$212)</f>
        <v>0</v>
      </c>
      <c r="T220" s="6">
        <f>SUMIFS([0]!VOTOS2,[0]!TURNO1,T$31,[0]!CANDIDATO1,$C220,[0]!MUNICIPIO1,$B$212)</f>
        <v>0</v>
      </c>
      <c r="U220" s="6">
        <f>SUMIFS([0]!VOTOS2,[0]!TURNO1,U$31,[0]!CANDIDATO1,$C220,[0]!MUNICIPIO1,$B$212)</f>
        <v>0</v>
      </c>
      <c r="V220" s="6">
        <f>SUMIFS([0]!VOTOS2,[0]!TURNO1,V$31,[0]!CANDIDATO1,$C220,[0]!MUNICIPIO1,$B$212)</f>
        <v>0</v>
      </c>
      <c r="W220" s="6">
        <f>SUMIFS([0]!VOTOS2,[0]!TURNO1,W$31,[0]!CANDIDATO1,$C220,[0]!MUNICIPIO1,$B$212)</f>
        <v>0</v>
      </c>
      <c r="X220" s="24"/>
      <c r="Y220" s="18" t="str">
        <f t="shared" si="490"/>
        <v>NAJIB GARCIA</v>
      </c>
      <c r="Z220" s="34">
        <f t="shared" si="491"/>
        <v>0</v>
      </c>
      <c r="AA220" s="34">
        <f t="shared" si="492"/>
        <v>0</v>
      </c>
      <c r="AB220" s="34" t="e">
        <f t="shared" ref="AB220:AR220" si="506">IF(SUM(G212:G224)=0,NA(),G220+AA220)</f>
        <v>#N/A</v>
      </c>
      <c r="AC220" s="34" t="e">
        <f t="shared" si="506"/>
        <v>#N/A</v>
      </c>
      <c r="AD220" s="34" t="e">
        <f t="shared" si="506"/>
        <v>#N/A</v>
      </c>
      <c r="AE220" s="34" t="e">
        <f t="shared" si="506"/>
        <v>#N/A</v>
      </c>
      <c r="AF220" s="34" t="e">
        <f t="shared" si="506"/>
        <v>#N/A</v>
      </c>
      <c r="AG220" s="34" t="e">
        <f t="shared" si="506"/>
        <v>#N/A</v>
      </c>
      <c r="AH220" s="34" t="e">
        <f t="shared" si="506"/>
        <v>#N/A</v>
      </c>
      <c r="AI220" s="34" t="e">
        <f t="shared" si="506"/>
        <v>#N/A</v>
      </c>
      <c r="AJ220" s="34" t="e">
        <f t="shared" si="506"/>
        <v>#N/A</v>
      </c>
      <c r="AK220" s="34" t="e">
        <f t="shared" si="506"/>
        <v>#N/A</v>
      </c>
      <c r="AL220" s="34" t="e">
        <f t="shared" si="506"/>
        <v>#N/A</v>
      </c>
      <c r="AM220" s="34" t="e">
        <f t="shared" si="506"/>
        <v>#N/A</v>
      </c>
      <c r="AN220" s="34" t="e">
        <f t="shared" si="506"/>
        <v>#N/A</v>
      </c>
      <c r="AO220" s="34" t="e">
        <f t="shared" si="506"/>
        <v>#N/A</v>
      </c>
      <c r="AP220" s="34" t="e">
        <f t="shared" si="506"/>
        <v>#N/A</v>
      </c>
      <c r="AQ220" s="34" t="e">
        <f t="shared" si="506"/>
        <v>#N/A</v>
      </c>
      <c r="AR220" s="34" t="e">
        <f t="shared" si="506"/>
        <v>#N/A</v>
      </c>
      <c r="AS220" s="27"/>
      <c r="AT220" s="41"/>
      <c r="AU220" s="41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30"/>
    </row>
    <row r="221" spans="1:66" ht="11.25" customHeight="1" x14ac:dyDescent="0.2">
      <c r="A221" s="44"/>
      <c r="B221" s="54"/>
      <c r="C221" s="46">
        <v>10</v>
      </c>
      <c r="D221" s="14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24"/>
      <c r="Y221" s="18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27"/>
      <c r="AT221" s="41"/>
      <c r="AU221" s="41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30"/>
    </row>
    <row r="222" spans="1:66" ht="11.25" customHeight="1" x14ac:dyDescent="0.2">
      <c r="A222" s="44"/>
      <c r="B222" s="54"/>
      <c r="C222" s="46">
        <v>11</v>
      </c>
      <c r="D222" s="14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24"/>
      <c r="Y222" s="18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27"/>
      <c r="AT222" s="41"/>
      <c r="AU222" s="41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30"/>
    </row>
    <row r="223" spans="1:66" ht="11.25" customHeight="1" x14ac:dyDescent="0.2">
      <c r="A223" s="44"/>
      <c r="B223" s="54"/>
      <c r="C223" s="46">
        <v>12</v>
      </c>
      <c r="D223" s="14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24"/>
      <c r="Y223" s="18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27"/>
      <c r="AT223" s="41"/>
      <c r="AU223" s="41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30"/>
    </row>
    <row r="224" spans="1:66" ht="11.25" customHeight="1" x14ac:dyDescent="0.2">
      <c r="A224" s="44"/>
      <c r="B224" s="54"/>
      <c r="C224" s="46">
        <v>13</v>
      </c>
      <c r="D224" s="14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24"/>
      <c r="Y224" s="18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27"/>
      <c r="AT224" s="41"/>
      <c r="AU224" s="41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30"/>
    </row>
    <row r="225" spans="1:66" ht="11.25" customHeight="1" x14ac:dyDescent="0.2">
      <c r="D225" s="31" t="s">
        <v>76</v>
      </c>
      <c r="X225" s="24"/>
      <c r="Y225" s="19" t="s">
        <v>79</v>
      </c>
      <c r="Z225" s="34">
        <f t="shared" ref="Z225" si="507">SUM(Z214:Z224)</f>
        <v>0</v>
      </c>
      <c r="AA225" s="34">
        <f t="shared" ref="AA225" si="508">SUM(AA214:AA224)</f>
        <v>0</v>
      </c>
      <c r="AB225" s="34" t="e">
        <f t="shared" ref="AB225" si="509">SUM(AB214:AB224)</f>
        <v>#N/A</v>
      </c>
      <c r="AC225" s="34" t="e">
        <f t="shared" ref="AC225" si="510">SUM(AC214:AC224)</f>
        <v>#N/A</v>
      </c>
      <c r="AD225" s="34" t="e">
        <f t="shared" ref="AD225" si="511">SUM(AD214:AD224)</f>
        <v>#N/A</v>
      </c>
      <c r="AE225" s="34" t="e">
        <f t="shared" ref="AE225" si="512">SUM(AE214:AE224)</f>
        <v>#N/A</v>
      </c>
      <c r="AF225" s="34" t="e">
        <f t="shared" ref="AF225" si="513">SUM(AF214:AF224)</f>
        <v>#N/A</v>
      </c>
      <c r="AG225" s="34" t="e">
        <f t="shared" ref="AG225" si="514">SUM(AG214:AG224)</f>
        <v>#N/A</v>
      </c>
      <c r="AH225" s="34" t="e">
        <f t="shared" ref="AH225" si="515">SUM(AH214:AH224)</f>
        <v>#N/A</v>
      </c>
      <c r="AI225" s="34" t="e">
        <f t="shared" ref="AI225" si="516">SUM(AI214:AI224)</f>
        <v>#N/A</v>
      </c>
      <c r="AJ225" s="34" t="e">
        <f t="shared" ref="AJ225" si="517">SUM(AJ214:AJ224)</f>
        <v>#N/A</v>
      </c>
      <c r="AK225" s="34" t="e">
        <f t="shared" ref="AK225" si="518">SUM(AK214:AK224)</f>
        <v>#N/A</v>
      </c>
      <c r="AL225" s="34" t="e">
        <f t="shared" ref="AL225" si="519">SUM(AL214:AL224)</f>
        <v>#N/A</v>
      </c>
      <c r="AM225" s="34" t="e">
        <f t="shared" ref="AM225" si="520">SUM(AM214:AM224)</f>
        <v>#N/A</v>
      </c>
      <c r="AN225" s="34" t="e">
        <f t="shared" ref="AN225" si="521">SUM(AN214:AN224)</f>
        <v>#N/A</v>
      </c>
      <c r="AO225" s="34" t="e">
        <f t="shared" ref="AO225" si="522">SUM(AO214:AO224)</f>
        <v>#N/A</v>
      </c>
      <c r="AP225" s="34" t="e">
        <f t="shared" ref="AP225" si="523">SUM(AP214:AP224)</f>
        <v>#N/A</v>
      </c>
      <c r="AQ225" s="34" t="e">
        <f t="shared" ref="AQ225" si="524">SUM(AQ214:AQ224)</f>
        <v>#N/A</v>
      </c>
      <c r="AR225" s="34" t="e">
        <f t="shared" ref="AR225" si="525">SUM(AR214:AR224)</f>
        <v>#N/A</v>
      </c>
      <c r="AS225" s="27"/>
      <c r="AT225" s="41"/>
      <c r="AU225" s="41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30"/>
    </row>
    <row r="226" spans="1:66" ht="11.25" customHeight="1" x14ac:dyDescent="0.2">
      <c r="A226" s="75" t="s">
        <v>63</v>
      </c>
      <c r="B226" s="76"/>
      <c r="C226" s="47"/>
      <c r="D226" s="48" t="s">
        <v>75</v>
      </c>
      <c r="E226" s="49" t="s">
        <v>70</v>
      </c>
      <c r="F226" s="49">
        <v>0</v>
      </c>
      <c r="G226" s="49">
        <v>1</v>
      </c>
      <c r="H226" s="49">
        <v>2</v>
      </c>
      <c r="I226" s="49">
        <v>3</v>
      </c>
      <c r="J226" s="49">
        <v>4</v>
      </c>
      <c r="K226" s="49">
        <v>5</v>
      </c>
      <c r="L226" s="49">
        <v>6</v>
      </c>
      <c r="M226" s="49">
        <v>7</v>
      </c>
      <c r="N226" s="49">
        <v>8</v>
      </c>
      <c r="O226" s="49">
        <v>9</v>
      </c>
      <c r="P226" s="49">
        <v>10</v>
      </c>
      <c r="Q226" s="49">
        <v>11</v>
      </c>
      <c r="R226" s="49">
        <v>12</v>
      </c>
      <c r="S226" s="49">
        <v>13</v>
      </c>
      <c r="T226" s="49">
        <v>14</v>
      </c>
      <c r="U226" s="49">
        <v>15</v>
      </c>
      <c r="V226" s="49">
        <v>16</v>
      </c>
      <c r="W226" s="23">
        <v>17</v>
      </c>
      <c r="X226" s="24"/>
      <c r="Y226" s="17"/>
      <c r="Z226" s="25" t="s">
        <v>64</v>
      </c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7"/>
      <c r="AT226" s="28"/>
      <c r="AU226" s="28" t="s">
        <v>64</v>
      </c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30"/>
    </row>
    <row r="227" spans="1:66" ht="11.25" customHeight="1" x14ac:dyDescent="0.2">
      <c r="A227" s="32"/>
      <c r="B227" s="72">
        <v>17</v>
      </c>
      <c r="C227" s="56">
        <v>1</v>
      </c>
      <c r="D227" s="7" t="s">
        <v>200</v>
      </c>
      <c r="E227" s="16">
        <f t="shared" ref="E227:E234" si="526">SUM(F227:W227)</f>
        <v>512</v>
      </c>
      <c r="F227" s="6">
        <f>SUMIFS([0]!VOTOS2,[0]!TURNO1,F$31,[0]!CANDIDATO1,$C227,[0]!MUNICIPIO1,$B$227)</f>
        <v>8</v>
      </c>
      <c r="G227" s="6">
        <f>SUMIFS([0]!VOTOS2,[0]!TURNO1,G$31,[0]!CANDIDATO1,$C227,[0]!MUNICIPIO1,$B$227)</f>
        <v>104</v>
      </c>
      <c r="H227" s="6">
        <f>SUMIFS([0]!VOTOS2,[0]!TURNO1,H$31,[0]!CANDIDATO1,$C227,[0]!MUNICIPIO1,$B$227)</f>
        <v>50</v>
      </c>
      <c r="I227" s="6">
        <f>SUMIFS([0]!VOTOS2,[0]!TURNO1,I$31,[0]!CANDIDATO1,$C227,[0]!MUNICIPIO1,$B$227)</f>
        <v>104</v>
      </c>
      <c r="J227" s="6">
        <f>SUMIFS([0]!VOTOS2,[0]!TURNO1,J$31,[0]!CANDIDATO1,$C227,[0]!MUNICIPIO1,$B$227)</f>
        <v>46</v>
      </c>
      <c r="K227" s="6">
        <f>SUMIFS([0]!VOTOS2,[0]!TURNO1,K$31,[0]!CANDIDATO1,$C227,[0]!MUNICIPIO1,$B$227)</f>
        <v>62</v>
      </c>
      <c r="L227" s="6">
        <f>SUMIFS([0]!VOTOS2,[0]!TURNO1,L$31,[0]!CANDIDATO1,$C227,[0]!MUNICIPIO1,$B$227)</f>
        <v>68</v>
      </c>
      <c r="M227" s="6">
        <f>SUMIFS([0]!VOTOS2,[0]!TURNO1,M$31,[0]!CANDIDATO1,$C227,[0]!MUNICIPIO1,$B$227)</f>
        <v>20</v>
      </c>
      <c r="N227" s="6">
        <f>SUMIFS([0]!VOTOS2,[0]!TURNO1,N$31,[0]!CANDIDATO1,$C227,[0]!MUNICIPIO1,$B$227)</f>
        <v>33</v>
      </c>
      <c r="O227" s="6">
        <f>SUMIFS([0]!VOTOS2,[0]!TURNO1,O$31,[0]!CANDIDATO1,$C227,[0]!MUNICIPIO1,$B$227)</f>
        <v>17</v>
      </c>
      <c r="P227" s="6">
        <f>SUMIFS([0]!VOTOS2,[0]!TURNO1,P$31,[0]!CANDIDATO1,$C227,[0]!MUNICIPIO1,$B$227)</f>
        <v>0</v>
      </c>
      <c r="Q227" s="6">
        <f>SUMIFS([0]!VOTOS2,[0]!TURNO1,Q$31,[0]!CANDIDATO1,$C227,[0]!MUNICIPIO1,$B$227)</f>
        <v>0</v>
      </c>
      <c r="R227" s="6">
        <f>SUMIFS([0]!VOTOS2,[0]!TURNO1,R$31,[0]!CANDIDATO1,$C227,[0]!MUNICIPIO1,$B$227)</f>
        <v>0</v>
      </c>
      <c r="S227" s="6">
        <f>SUMIFS([0]!VOTOS2,[0]!TURNO1,S$31,[0]!CANDIDATO1,$C227,[0]!MUNICIPIO1,$B$227)</f>
        <v>0</v>
      </c>
      <c r="T227" s="6">
        <f>SUMIFS([0]!VOTOS2,[0]!TURNO1,T$31,[0]!CANDIDATO1,$C227,[0]!MUNICIPIO1,$B$227)</f>
        <v>0</v>
      </c>
      <c r="U227" s="6">
        <f>SUMIFS([0]!VOTOS2,[0]!TURNO1,U$31,[0]!CANDIDATO1,$C227,[0]!MUNICIPIO1,$B$227)</f>
        <v>0</v>
      </c>
      <c r="V227" s="6">
        <f>SUMIFS([0]!VOTOS2,[0]!TURNO1,V$31,[0]!CANDIDATO1,$C227,[0]!MUNICIPIO1,$B$227)</f>
        <v>0</v>
      </c>
      <c r="W227" s="6">
        <f>SUMIFS([0]!VOTOS2,[0]!TURNO1,W$31,[0]!CANDIDATO1,$C227,[0]!MUNICIPIO1,$B$227)</f>
        <v>0</v>
      </c>
      <c r="X227" s="24"/>
      <c r="Y227" s="18" t="str">
        <f t="shared" ref="Y227:Y234" si="527">D227</f>
        <v>JUAN PEROZO</v>
      </c>
      <c r="Z227" s="34">
        <f t="shared" ref="Z227:Z234" si="528">E227</f>
        <v>512</v>
      </c>
      <c r="AA227" s="34">
        <f t="shared" ref="AA227:AA234" si="529">F227</f>
        <v>8</v>
      </c>
      <c r="AB227" s="34">
        <f t="shared" ref="AB227:AR227" si="530">IF(SUM(G227:G239)=0,NA(),G227+AA227)</f>
        <v>112</v>
      </c>
      <c r="AC227" s="34">
        <f t="shared" si="530"/>
        <v>162</v>
      </c>
      <c r="AD227" s="34">
        <f t="shared" si="530"/>
        <v>266</v>
      </c>
      <c r="AE227" s="34">
        <f t="shared" si="530"/>
        <v>312</v>
      </c>
      <c r="AF227" s="34">
        <f t="shared" si="530"/>
        <v>374</v>
      </c>
      <c r="AG227" s="34">
        <f t="shared" si="530"/>
        <v>442</v>
      </c>
      <c r="AH227" s="34">
        <f t="shared" si="530"/>
        <v>462</v>
      </c>
      <c r="AI227" s="34">
        <f t="shared" si="530"/>
        <v>495</v>
      </c>
      <c r="AJ227" s="34">
        <f t="shared" si="530"/>
        <v>512</v>
      </c>
      <c r="AK227" s="34" t="e">
        <f t="shared" si="530"/>
        <v>#N/A</v>
      </c>
      <c r="AL227" s="34" t="e">
        <f t="shared" si="530"/>
        <v>#N/A</v>
      </c>
      <c r="AM227" s="34" t="e">
        <f t="shared" si="530"/>
        <v>#N/A</v>
      </c>
      <c r="AN227" s="34" t="e">
        <f t="shared" si="530"/>
        <v>#N/A</v>
      </c>
      <c r="AO227" s="34" t="e">
        <f t="shared" si="530"/>
        <v>#N/A</v>
      </c>
      <c r="AP227" s="34" t="e">
        <f t="shared" si="530"/>
        <v>#N/A</v>
      </c>
      <c r="AQ227" s="34" t="e">
        <f t="shared" si="530"/>
        <v>#N/A</v>
      </c>
      <c r="AR227" s="34" t="e">
        <f t="shared" si="530"/>
        <v>#N/A</v>
      </c>
      <c r="AS227" s="27"/>
      <c r="AT227" s="35" t="str">
        <f t="shared" ref="AT227:AT228" si="531">Y227</f>
        <v>JUAN PEROZO</v>
      </c>
      <c r="AU227" s="36">
        <f t="shared" ref="AU227:BM227" si="532">Z227/(Z227+Z228+Z240)</f>
        <v>0.49612403100775193</v>
      </c>
      <c r="AV227" s="36">
        <f t="shared" si="532"/>
        <v>0.44444444444444442</v>
      </c>
      <c r="AW227" s="36">
        <f t="shared" si="532"/>
        <v>0.48484848484848486</v>
      </c>
      <c r="AX227" s="36">
        <f t="shared" si="532"/>
        <v>0.52258064516129032</v>
      </c>
      <c r="AY227" s="36">
        <f t="shared" si="532"/>
        <v>0.53413654618473894</v>
      </c>
      <c r="AZ227" s="36">
        <f t="shared" si="532"/>
        <v>0.54166666666666663</v>
      </c>
      <c r="BA227" s="36">
        <f t="shared" si="532"/>
        <v>0.52750352609308881</v>
      </c>
      <c r="BB227" s="36">
        <f t="shared" si="532"/>
        <v>0.53771289537712896</v>
      </c>
      <c r="BC227" s="36">
        <f t="shared" si="532"/>
        <v>0.53410404624277452</v>
      </c>
      <c r="BD227" s="36">
        <f t="shared" si="532"/>
        <v>0.51778242677824271</v>
      </c>
      <c r="BE227" s="36">
        <f t="shared" si="532"/>
        <v>0.49612403100775193</v>
      </c>
      <c r="BF227" s="36" t="e">
        <f t="shared" si="532"/>
        <v>#N/A</v>
      </c>
      <c r="BG227" s="36" t="e">
        <f t="shared" si="532"/>
        <v>#N/A</v>
      </c>
      <c r="BH227" s="36" t="e">
        <f t="shared" si="532"/>
        <v>#N/A</v>
      </c>
      <c r="BI227" s="36" t="e">
        <f t="shared" si="532"/>
        <v>#N/A</v>
      </c>
      <c r="BJ227" s="36" t="e">
        <f t="shared" si="532"/>
        <v>#N/A</v>
      </c>
      <c r="BK227" s="36" t="e">
        <f t="shared" si="532"/>
        <v>#N/A</v>
      </c>
      <c r="BL227" s="36" t="e">
        <f t="shared" si="532"/>
        <v>#N/A</v>
      </c>
      <c r="BM227" s="36" t="e">
        <f t="shared" si="532"/>
        <v>#N/A</v>
      </c>
      <c r="BN227" s="30"/>
    </row>
    <row r="228" spans="1:66" ht="11.25" customHeight="1" x14ac:dyDescent="0.2">
      <c r="A228" s="37"/>
      <c r="B228" s="73"/>
      <c r="C228" s="33">
        <v>2</v>
      </c>
      <c r="D228" s="8" t="s">
        <v>201</v>
      </c>
      <c r="E228" s="16">
        <f t="shared" si="526"/>
        <v>236</v>
      </c>
      <c r="F228" s="6">
        <f>SUMIFS([0]!VOTOS2,[0]!TURNO1,F$31,[0]!CANDIDATO1,$C228,[0]!MUNICIPIO1,$B$227)</f>
        <v>10</v>
      </c>
      <c r="G228" s="6">
        <f>SUMIFS([0]!VOTOS2,[0]!TURNO1,G$31,[0]!CANDIDATO1,$C228,[0]!MUNICIPIO1,$B$227)</f>
        <v>69</v>
      </c>
      <c r="H228" s="6">
        <f>SUMIFS([0]!VOTOS2,[0]!TURNO1,H$31,[0]!CANDIDATO1,$C228,[0]!MUNICIPIO1,$B$227)</f>
        <v>15</v>
      </c>
      <c r="I228" s="6">
        <f>SUMIFS([0]!VOTOS2,[0]!TURNO1,I$31,[0]!CANDIDATO1,$C228,[0]!MUNICIPIO1,$B$227)</f>
        <v>58</v>
      </c>
      <c r="J228" s="6">
        <f>SUMIFS([0]!VOTOS2,[0]!TURNO1,J$31,[0]!CANDIDATO1,$C228,[0]!MUNICIPIO1,$B$227)</f>
        <v>13</v>
      </c>
      <c r="K228" s="6">
        <f>SUMIFS([0]!VOTOS2,[0]!TURNO1,K$31,[0]!CANDIDATO1,$C228,[0]!MUNICIPIO1,$B$227)</f>
        <v>18</v>
      </c>
      <c r="L228" s="6">
        <f>SUMIFS([0]!VOTOS2,[0]!TURNO1,L$31,[0]!CANDIDATO1,$C228,[0]!MUNICIPIO1,$B$227)</f>
        <v>13</v>
      </c>
      <c r="M228" s="6">
        <f>SUMIFS([0]!VOTOS2,[0]!TURNO1,M$31,[0]!CANDIDATO1,$C228,[0]!MUNICIPIO1,$B$227)</f>
        <v>14</v>
      </c>
      <c r="N228" s="6">
        <f>SUMIFS([0]!VOTOS2,[0]!TURNO1,N$31,[0]!CANDIDATO1,$C228,[0]!MUNICIPIO1,$B$227)</f>
        <v>16</v>
      </c>
      <c r="O228" s="6">
        <f>SUMIFS([0]!VOTOS2,[0]!TURNO1,O$31,[0]!CANDIDATO1,$C228,[0]!MUNICIPIO1,$B$227)</f>
        <v>10</v>
      </c>
      <c r="P228" s="6">
        <f>SUMIFS([0]!VOTOS2,[0]!TURNO1,P$31,[0]!CANDIDATO1,$C228,[0]!MUNICIPIO1,$B$227)</f>
        <v>0</v>
      </c>
      <c r="Q228" s="6">
        <f>SUMIFS([0]!VOTOS2,[0]!TURNO1,Q$31,[0]!CANDIDATO1,$C228,[0]!MUNICIPIO1,$B$227)</f>
        <v>0</v>
      </c>
      <c r="R228" s="6">
        <f>SUMIFS([0]!VOTOS2,[0]!TURNO1,R$31,[0]!CANDIDATO1,$C228,[0]!MUNICIPIO1,$B$227)</f>
        <v>0</v>
      </c>
      <c r="S228" s="6">
        <f>SUMIFS([0]!VOTOS2,[0]!TURNO1,S$31,[0]!CANDIDATO1,$C228,[0]!MUNICIPIO1,$B$227)</f>
        <v>0</v>
      </c>
      <c r="T228" s="6">
        <f>SUMIFS([0]!VOTOS2,[0]!TURNO1,T$31,[0]!CANDIDATO1,$C228,[0]!MUNICIPIO1,$B$227)</f>
        <v>0</v>
      </c>
      <c r="U228" s="6">
        <f>SUMIFS([0]!VOTOS2,[0]!TURNO1,U$31,[0]!CANDIDATO1,$C228,[0]!MUNICIPIO1,$B$227)</f>
        <v>0</v>
      </c>
      <c r="V228" s="6">
        <f>SUMIFS([0]!VOTOS2,[0]!TURNO1,V$31,[0]!CANDIDATO1,$C228,[0]!MUNICIPIO1,$B$227)</f>
        <v>0</v>
      </c>
      <c r="W228" s="6">
        <f>SUMIFS([0]!VOTOS2,[0]!TURNO1,W$31,[0]!CANDIDATO1,$C228,[0]!MUNICIPIO1,$B$227)</f>
        <v>0</v>
      </c>
      <c r="X228" s="24"/>
      <c r="Y228" s="18" t="str">
        <f t="shared" si="527"/>
        <v>TITO DE FREITAS</v>
      </c>
      <c r="Z228" s="34">
        <f t="shared" si="528"/>
        <v>236</v>
      </c>
      <c r="AA228" s="34">
        <f t="shared" si="529"/>
        <v>10</v>
      </c>
      <c r="AB228" s="34">
        <f t="shared" ref="AB228:AR228" si="533">IF(SUM(G227:G239)=0,NA(),G228+AA228)</f>
        <v>79</v>
      </c>
      <c r="AC228" s="34">
        <f t="shared" si="533"/>
        <v>94</v>
      </c>
      <c r="AD228" s="34">
        <f t="shared" si="533"/>
        <v>152</v>
      </c>
      <c r="AE228" s="34">
        <f t="shared" si="533"/>
        <v>165</v>
      </c>
      <c r="AF228" s="34">
        <f t="shared" si="533"/>
        <v>183</v>
      </c>
      <c r="AG228" s="34">
        <f t="shared" si="533"/>
        <v>196</v>
      </c>
      <c r="AH228" s="34">
        <f t="shared" si="533"/>
        <v>210</v>
      </c>
      <c r="AI228" s="34">
        <f t="shared" si="533"/>
        <v>226</v>
      </c>
      <c r="AJ228" s="34">
        <f t="shared" si="533"/>
        <v>236</v>
      </c>
      <c r="AK228" s="34" t="e">
        <f t="shared" si="533"/>
        <v>#N/A</v>
      </c>
      <c r="AL228" s="34" t="e">
        <f t="shared" si="533"/>
        <v>#N/A</v>
      </c>
      <c r="AM228" s="34" t="e">
        <f t="shared" si="533"/>
        <v>#N/A</v>
      </c>
      <c r="AN228" s="34" t="e">
        <f t="shared" si="533"/>
        <v>#N/A</v>
      </c>
      <c r="AO228" s="34" t="e">
        <f t="shared" si="533"/>
        <v>#N/A</v>
      </c>
      <c r="AP228" s="34" t="e">
        <f t="shared" si="533"/>
        <v>#N/A</v>
      </c>
      <c r="AQ228" s="34" t="e">
        <f t="shared" si="533"/>
        <v>#N/A</v>
      </c>
      <c r="AR228" s="34" t="e">
        <f t="shared" si="533"/>
        <v>#N/A</v>
      </c>
      <c r="AS228" s="27"/>
      <c r="AT228" s="35" t="str">
        <f t="shared" si="531"/>
        <v>TITO DE FREITAS</v>
      </c>
      <c r="AU228" s="36">
        <f t="shared" ref="AU228:BM228" si="534">Z228/(Z227+Z228+Z240)</f>
        <v>0.22868217054263565</v>
      </c>
      <c r="AV228" s="36">
        <f t="shared" si="534"/>
        <v>0.55555555555555558</v>
      </c>
      <c r="AW228" s="36">
        <f t="shared" si="534"/>
        <v>0.34199134199134201</v>
      </c>
      <c r="AX228" s="36">
        <f t="shared" si="534"/>
        <v>0.3032258064516129</v>
      </c>
      <c r="AY228" s="36">
        <f t="shared" si="534"/>
        <v>0.30522088353413657</v>
      </c>
      <c r="AZ228" s="36">
        <f t="shared" si="534"/>
        <v>0.28645833333333331</v>
      </c>
      <c r="BA228" s="36">
        <f t="shared" si="534"/>
        <v>0.25811001410437234</v>
      </c>
      <c r="BB228" s="36">
        <f t="shared" si="534"/>
        <v>0.23844282238442821</v>
      </c>
      <c r="BC228" s="36">
        <f t="shared" si="534"/>
        <v>0.24277456647398843</v>
      </c>
      <c r="BD228" s="36">
        <f t="shared" si="534"/>
        <v>0.23640167364016737</v>
      </c>
      <c r="BE228" s="36">
        <f t="shared" si="534"/>
        <v>0.22868217054263565</v>
      </c>
      <c r="BF228" s="36" t="e">
        <f t="shared" si="534"/>
        <v>#N/A</v>
      </c>
      <c r="BG228" s="36" t="e">
        <f t="shared" si="534"/>
        <v>#N/A</v>
      </c>
      <c r="BH228" s="36" t="e">
        <f t="shared" si="534"/>
        <v>#N/A</v>
      </c>
      <c r="BI228" s="36" t="e">
        <f t="shared" si="534"/>
        <v>#N/A</v>
      </c>
      <c r="BJ228" s="36" t="e">
        <f t="shared" si="534"/>
        <v>#N/A</v>
      </c>
      <c r="BK228" s="36" t="e">
        <f t="shared" si="534"/>
        <v>#N/A</v>
      </c>
      <c r="BL228" s="36" t="e">
        <f t="shared" si="534"/>
        <v>#N/A</v>
      </c>
      <c r="BM228" s="36" t="e">
        <f t="shared" si="534"/>
        <v>#N/A</v>
      </c>
      <c r="BN228" s="30"/>
    </row>
    <row r="229" spans="1:66" ht="11.25" customHeight="1" x14ac:dyDescent="0.2">
      <c r="A229" s="37"/>
      <c r="B229" s="73"/>
      <c r="C229" s="56">
        <v>3</v>
      </c>
      <c r="D229" s="8" t="s">
        <v>202</v>
      </c>
      <c r="E229" s="16">
        <f t="shared" si="526"/>
        <v>153</v>
      </c>
      <c r="F229" s="6">
        <f>SUMIFS([0]!VOTOS2,[0]!TURNO1,F$31,[0]!CANDIDATO1,$C229,[0]!MUNICIPIO1,$B$227)</f>
        <v>0</v>
      </c>
      <c r="G229" s="6">
        <f>SUMIFS([0]!VOTOS2,[0]!TURNO1,G$31,[0]!CANDIDATO1,$C229,[0]!MUNICIPIO1,$B$227)</f>
        <v>24</v>
      </c>
      <c r="H229" s="6">
        <f>SUMIFS([0]!VOTOS2,[0]!TURNO1,H$31,[0]!CANDIDATO1,$C229,[0]!MUNICIPIO1,$B$227)</f>
        <v>11</v>
      </c>
      <c r="I229" s="6">
        <f>SUMIFS([0]!VOTOS2,[0]!TURNO1,I$31,[0]!CANDIDATO1,$C229,[0]!MUNICIPIO1,$B$227)</f>
        <v>23</v>
      </c>
      <c r="J229" s="6">
        <f>SUMIFS([0]!VOTOS2,[0]!TURNO1,J$31,[0]!CANDIDATO1,$C229,[0]!MUNICIPIO1,$B$227)</f>
        <v>15</v>
      </c>
      <c r="K229" s="6">
        <f>SUMIFS([0]!VOTOS2,[0]!TURNO1,K$31,[0]!CANDIDATO1,$C229,[0]!MUNICIPIO1,$B$227)</f>
        <v>18</v>
      </c>
      <c r="L229" s="6">
        <f>SUMIFS([0]!VOTOS2,[0]!TURNO1,L$31,[0]!CANDIDATO1,$C229,[0]!MUNICIPIO1,$B$227)</f>
        <v>14</v>
      </c>
      <c r="M229" s="6">
        <f>SUMIFS([0]!VOTOS2,[0]!TURNO1,M$31,[0]!CANDIDATO1,$C229,[0]!MUNICIPIO1,$B$227)</f>
        <v>9</v>
      </c>
      <c r="N229" s="6">
        <f>SUMIFS([0]!VOTOS2,[0]!TURNO1,N$31,[0]!CANDIDATO1,$C229,[0]!MUNICIPIO1,$B$227)</f>
        <v>18</v>
      </c>
      <c r="O229" s="6">
        <f>SUMIFS([0]!VOTOS2,[0]!TURNO1,O$31,[0]!CANDIDATO1,$C229,[0]!MUNICIPIO1,$B$227)</f>
        <v>21</v>
      </c>
      <c r="P229" s="6">
        <f>SUMIFS([0]!VOTOS2,[0]!TURNO1,P$31,[0]!CANDIDATO1,$C229,[0]!MUNICIPIO1,$B$227)</f>
        <v>0</v>
      </c>
      <c r="Q229" s="6">
        <f>SUMIFS([0]!VOTOS2,[0]!TURNO1,Q$31,[0]!CANDIDATO1,$C229,[0]!MUNICIPIO1,$B$227)</f>
        <v>0</v>
      </c>
      <c r="R229" s="6">
        <f>SUMIFS([0]!VOTOS2,[0]!TURNO1,R$31,[0]!CANDIDATO1,$C229,[0]!MUNICIPIO1,$B$227)</f>
        <v>0</v>
      </c>
      <c r="S229" s="6">
        <f>SUMIFS([0]!VOTOS2,[0]!TURNO1,S$31,[0]!CANDIDATO1,$C229,[0]!MUNICIPIO1,$B$227)</f>
        <v>0</v>
      </c>
      <c r="T229" s="6">
        <f>SUMIFS([0]!VOTOS2,[0]!TURNO1,T$31,[0]!CANDIDATO1,$C229,[0]!MUNICIPIO1,$B$227)</f>
        <v>0</v>
      </c>
      <c r="U229" s="6">
        <f>SUMIFS([0]!VOTOS2,[0]!TURNO1,U$31,[0]!CANDIDATO1,$C229,[0]!MUNICIPIO1,$B$227)</f>
        <v>0</v>
      </c>
      <c r="V229" s="6">
        <f>SUMIFS([0]!VOTOS2,[0]!TURNO1,V$31,[0]!CANDIDATO1,$C229,[0]!MUNICIPIO1,$B$227)</f>
        <v>0</v>
      </c>
      <c r="W229" s="6">
        <f>SUMIFS([0]!VOTOS2,[0]!TURNO1,W$31,[0]!CANDIDATO1,$C229,[0]!MUNICIPIO1,$B$227)</f>
        <v>0</v>
      </c>
      <c r="X229" s="24"/>
      <c r="Y229" s="18" t="str">
        <f t="shared" si="527"/>
        <v>JOSE MENDEZ</v>
      </c>
      <c r="Z229" s="34">
        <f t="shared" si="528"/>
        <v>153</v>
      </c>
      <c r="AA229" s="34">
        <f t="shared" si="529"/>
        <v>0</v>
      </c>
      <c r="AB229" s="34">
        <f t="shared" ref="AB229:AR229" si="535">IF(SUM(G227:G239)=0,NA(),G229+AA229)</f>
        <v>24</v>
      </c>
      <c r="AC229" s="34">
        <f t="shared" si="535"/>
        <v>35</v>
      </c>
      <c r="AD229" s="34">
        <f t="shared" si="535"/>
        <v>58</v>
      </c>
      <c r="AE229" s="34">
        <f t="shared" si="535"/>
        <v>73</v>
      </c>
      <c r="AF229" s="34">
        <f t="shared" si="535"/>
        <v>91</v>
      </c>
      <c r="AG229" s="34">
        <f t="shared" si="535"/>
        <v>105</v>
      </c>
      <c r="AH229" s="34">
        <f t="shared" si="535"/>
        <v>114</v>
      </c>
      <c r="AI229" s="34">
        <f t="shared" si="535"/>
        <v>132</v>
      </c>
      <c r="AJ229" s="34">
        <f t="shared" si="535"/>
        <v>153</v>
      </c>
      <c r="AK229" s="34" t="e">
        <f t="shared" si="535"/>
        <v>#N/A</v>
      </c>
      <c r="AL229" s="34" t="e">
        <f t="shared" si="535"/>
        <v>#N/A</v>
      </c>
      <c r="AM229" s="34" t="e">
        <f t="shared" si="535"/>
        <v>#N/A</v>
      </c>
      <c r="AN229" s="34" t="e">
        <f t="shared" si="535"/>
        <v>#N/A</v>
      </c>
      <c r="AO229" s="34" t="e">
        <f t="shared" si="535"/>
        <v>#N/A</v>
      </c>
      <c r="AP229" s="34" t="e">
        <f t="shared" si="535"/>
        <v>#N/A</v>
      </c>
      <c r="AQ229" s="34" t="e">
        <f t="shared" si="535"/>
        <v>#N/A</v>
      </c>
      <c r="AR229" s="34" t="e">
        <f t="shared" si="535"/>
        <v>#N/A</v>
      </c>
      <c r="AS229" s="27"/>
      <c r="AT229" s="35" t="str">
        <f t="shared" ref="AT229" si="536">Y240</f>
        <v>Otros</v>
      </c>
      <c r="AU229" s="36">
        <f t="shared" ref="AU229:BM229" si="537">Z240/(Z227+Z228+Z240)</f>
        <v>0.27519379844961239</v>
      </c>
      <c r="AV229" s="36">
        <f t="shared" si="537"/>
        <v>0</v>
      </c>
      <c r="AW229" s="36">
        <f t="shared" si="537"/>
        <v>0.17316017316017315</v>
      </c>
      <c r="AX229" s="36">
        <f t="shared" si="537"/>
        <v>0.17419354838709677</v>
      </c>
      <c r="AY229" s="36">
        <f t="shared" si="537"/>
        <v>0.1606425702811245</v>
      </c>
      <c r="AZ229" s="36">
        <f t="shared" si="537"/>
        <v>0.171875</v>
      </c>
      <c r="BA229" s="36">
        <f t="shared" si="537"/>
        <v>0.21438645980253879</v>
      </c>
      <c r="BB229" s="36">
        <f t="shared" si="537"/>
        <v>0.22384428223844283</v>
      </c>
      <c r="BC229" s="36">
        <f t="shared" si="537"/>
        <v>0.22312138728323699</v>
      </c>
      <c r="BD229" s="36">
        <f t="shared" si="537"/>
        <v>0.24581589958158995</v>
      </c>
      <c r="BE229" s="36">
        <f t="shared" si="537"/>
        <v>0.27519379844961239</v>
      </c>
      <c r="BF229" s="36" t="e">
        <f t="shared" si="537"/>
        <v>#N/A</v>
      </c>
      <c r="BG229" s="36" t="e">
        <f t="shared" si="537"/>
        <v>#N/A</v>
      </c>
      <c r="BH229" s="36" t="e">
        <f t="shared" si="537"/>
        <v>#N/A</v>
      </c>
      <c r="BI229" s="36" t="e">
        <f t="shared" si="537"/>
        <v>#N/A</v>
      </c>
      <c r="BJ229" s="36" t="e">
        <f t="shared" si="537"/>
        <v>#N/A</v>
      </c>
      <c r="BK229" s="36" t="e">
        <f t="shared" si="537"/>
        <v>#N/A</v>
      </c>
      <c r="BL229" s="36" t="e">
        <f t="shared" si="537"/>
        <v>#N/A</v>
      </c>
      <c r="BM229" s="36" t="e">
        <f t="shared" si="537"/>
        <v>#N/A</v>
      </c>
      <c r="BN229" s="30"/>
    </row>
    <row r="230" spans="1:66" ht="11.25" customHeight="1" x14ac:dyDescent="0.2">
      <c r="A230" s="38" t="s">
        <v>21</v>
      </c>
      <c r="B230" s="73"/>
      <c r="C230" s="33">
        <v>4</v>
      </c>
      <c r="D230" s="8" t="s">
        <v>203</v>
      </c>
      <c r="E230" s="16">
        <f t="shared" si="526"/>
        <v>40</v>
      </c>
      <c r="F230" s="6">
        <f>SUMIFS([0]!VOTOS2,[0]!TURNO1,F$31,[0]!CANDIDATO1,$C230,[0]!MUNICIPIO1,$B$227)</f>
        <v>0</v>
      </c>
      <c r="G230" s="6">
        <f>SUMIFS([0]!VOTOS2,[0]!TURNO1,G$31,[0]!CANDIDATO1,$C230,[0]!MUNICIPIO1,$B$227)</f>
        <v>3</v>
      </c>
      <c r="H230" s="6">
        <f>SUMIFS([0]!VOTOS2,[0]!TURNO1,H$31,[0]!CANDIDATO1,$C230,[0]!MUNICIPIO1,$B$227)</f>
        <v>3</v>
      </c>
      <c r="I230" s="6">
        <f>SUMIFS([0]!VOTOS2,[0]!TURNO1,I$31,[0]!CANDIDATO1,$C230,[0]!MUNICIPIO1,$B$227)</f>
        <v>3</v>
      </c>
      <c r="J230" s="6">
        <f>SUMIFS([0]!VOTOS2,[0]!TURNO1,J$31,[0]!CANDIDATO1,$C230,[0]!MUNICIPIO1,$B$227)</f>
        <v>4</v>
      </c>
      <c r="K230" s="6">
        <f>SUMIFS([0]!VOTOS2,[0]!TURNO1,K$31,[0]!CANDIDATO1,$C230,[0]!MUNICIPIO1,$B$227)</f>
        <v>10</v>
      </c>
      <c r="L230" s="6">
        <f>SUMIFS([0]!VOTOS2,[0]!TURNO1,L$31,[0]!CANDIDATO1,$C230,[0]!MUNICIPIO1,$B$227)</f>
        <v>5</v>
      </c>
      <c r="M230" s="6">
        <f>SUMIFS([0]!VOTOS2,[0]!TURNO1,M$31,[0]!CANDIDATO1,$C230,[0]!MUNICIPIO1,$B$227)</f>
        <v>0</v>
      </c>
      <c r="N230" s="6">
        <f>SUMIFS([0]!VOTOS2,[0]!TURNO1,N$31,[0]!CANDIDATO1,$C230,[0]!MUNICIPIO1,$B$227)</f>
        <v>5</v>
      </c>
      <c r="O230" s="6">
        <f>SUMIFS([0]!VOTOS2,[0]!TURNO1,O$31,[0]!CANDIDATO1,$C230,[0]!MUNICIPIO1,$B$227)</f>
        <v>7</v>
      </c>
      <c r="P230" s="6">
        <f>SUMIFS([0]!VOTOS2,[0]!TURNO1,P$31,[0]!CANDIDATO1,$C230,[0]!MUNICIPIO1,$B$227)</f>
        <v>0</v>
      </c>
      <c r="Q230" s="6">
        <f>SUMIFS([0]!VOTOS2,[0]!TURNO1,Q$31,[0]!CANDIDATO1,$C230,[0]!MUNICIPIO1,$B$227)</f>
        <v>0</v>
      </c>
      <c r="R230" s="6">
        <f>SUMIFS([0]!VOTOS2,[0]!TURNO1,R$31,[0]!CANDIDATO1,$C230,[0]!MUNICIPIO1,$B$227)</f>
        <v>0</v>
      </c>
      <c r="S230" s="6">
        <f>SUMIFS([0]!VOTOS2,[0]!TURNO1,S$31,[0]!CANDIDATO1,$C230,[0]!MUNICIPIO1,$B$227)</f>
        <v>0</v>
      </c>
      <c r="T230" s="6">
        <f>SUMIFS([0]!VOTOS2,[0]!TURNO1,T$31,[0]!CANDIDATO1,$C230,[0]!MUNICIPIO1,$B$227)</f>
        <v>0</v>
      </c>
      <c r="U230" s="6">
        <f>SUMIFS([0]!VOTOS2,[0]!TURNO1,U$31,[0]!CANDIDATO1,$C230,[0]!MUNICIPIO1,$B$227)</f>
        <v>0</v>
      </c>
      <c r="V230" s="6">
        <f>SUMIFS([0]!VOTOS2,[0]!TURNO1,V$31,[0]!CANDIDATO1,$C230,[0]!MUNICIPIO1,$B$227)</f>
        <v>0</v>
      </c>
      <c r="W230" s="6">
        <f>SUMIFS([0]!VOTOS2,[0]!TURNO1,W$31,[0]!CANDIDATO1,$C230,[0]!MUNICIPIO1,$B$227)</f>
        <v>0</v>
      </c>
      <c r="X230" s="24"/>
      <c r="Y230" s="18" t="str">
        <f t="shared" si="527"/>
        <v>ALEXIS IGLESIA</v>
      </c>
      <c r="Z230" s="34">
        <f t="shared" si="528"/>
        <v>40</v>
      </c>
      <c r="AA230" s="34">
        <f t="shared" si="529"/>
        <v>0</v>
      </c>
      <c r="AB230" s="34">
        <f t="shared" ref="AB230:AR230" si="538">IF(SUM(G227:G239)=0,NA(),G230+AA230)</f>
        <v>3</v>
      </c>
      <c r="AC230" s="34">
        <f t="shared" si="538"/>
        <v>6</v>
      </c>
      <c r="AD230" s="34">
        <f t="shared" si="538"/>
        <v>9</v>
      </c>
      <c r="AE230" s="34">
        <f t="shared" si="538"/>
        <v>13</v>
      </c>
      <c r="AF230" s="34">
        <f t="shared" si="538"/>
        <v>23</v>
      </c>
      <c r="AG230" s="34">
        <f t="shared" si="538"/>
        <v>28</v>
      </c>
      <c r="AH230" s="34">
        <f t="shared" si="538"/>
        <v>28</v>
      </c>
      <c r="AI230" s="34">
        <f t="shared" si="538"/>
        <v>33</v>
      </c>
      <c r="AJ230" s="34">
        <f t="shared" si="538"/>
        <v>40</v>
      </c>
      <c r="AK230" s="34" t="e">
        <f t="shared" si="538"/>
        <v>#N/A</v>
      </c>
      <c r="AL230" s="34" t="e">
        <f t="shared" si="538"/>
        <v>#N/A</v>
      </c>
      <c r="AM230" s="34" t="e">
        <f t="shared" si="538"/>
        <v>#N/A</v>
      </c>
      <c r="AN230" s="34" t="e">
        <f t="shared" si="538"/>
        <v>#N/A</v>
      </c>
      <c r="AO230" s="34" t="e">
        <f t="shared" si="538"/>
        <v>#N/A</v>
      </c>
      <c r="AP230" s="34" t="e">
        <f t="shared" si="538"/>
        <v>#N/A</v>
      </c>
      <c r="AQ230" s="34" t="e">
        <f t="shared" si="538"/>
        <v>#N/A</v>
      </c>
      <c r="AR230" s="34" t="e">
        <f t="shared" si="538"/>
        <v>#N/A</v>
      </c>
      <c r="AS230" s="27"/>
      <c r="AT230" s="39"/>
      <c r="AU230" s="39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30"/>
    </row>
    <row r="231" spans="1:66" ht="11.25" customHeight="1" x14ac:dyDescent="0.2">
      <c r="A231" s="38" t="s">
        <v>12</v>
      </c>
      <c r="B231" s="73"/>
      <c r="C231" s="56">
        <v>5</v>
      </c>
      <c r="D231" s="8" t="s">
        <v>204</v>
      </c>
      <c r="E231" s="16">
        <f t="shared" si="526"/>
        <v>26</v>
      </c>
      <c r="F231" s="6">
        <f>SUMIFS([0]!VOTOS2,[0]!TURNO1,F$31,[0]!CANDIDATO1,$C231,[0]!MUNICIPIO1,$B$227)</f>
        <v>0</v>
      </c>
      <c r="G231" s="6">
        <f>SUMIFS([0]!VOTOS2,[0]!TURNO1,G$31,[0]!CANDIDATO1,$C231,[0]!MUNICIPIO1,$B$227)</f>
        <v>3</v>
      </c>
      <c r="H231" s="6">
        <f>SUMIFS([0]!VOTOS2,[0]!TURNO1,H$31,[0]!CANDIDATO1,$C231,[0]!MUNICIPIO1,$B$227)</f>
        <v>0</v>
      </c>
      <c r="I231" s="6">
        <f>SUMIFS([0]!VOTOS2,[0]!TURNO1,I$31,[0]!CANDIDATO1,$C231,[0]!MUNICIPIO1,$B$227)</f>
        <v>0</v>
      </c>
      <c r="J231" s="6">
        <f>SUMIFS([0]!VOTOS2,[0]!TURNO1,J$31,[0]!CANDIDATO1,$C231,[0]!MUNICIPIO1,$B$227)</f>
        <v>0</v>
      </c>
      <c r="K231" s="6">
        <f>SUMIFS([0]!VOTOS2,[0]!TURNO1,K$31,[0]!CANDIDATO1,$C231,[0]!MUNICIPIO1,$B$227)</f>
        <v>10</v>
      </c>
      <c r="L231" s="6">
        <f>SUMIFS([0]!VOTOS2,[0]!TURNO1,L$31,[0]!CANDIDATO1,$C231,[0]!MUNICIPIO1,$B$227)</f>
        <v>0</v>
      </c>
      <c r="M231" s="6">
        <f>SUMIFS([0]!VOTOS2,[0]!TURNO1,M$31,[0]!CANDIDATO1,$C231,[0]!MUNICIPIO1,$B$227)</f>
        <v>0</v>
      </c>
      <c r="N231" s="6">
        <f>SUMIFS([0]!VOTOS2,[0]!TURNO1,N$31,[0]!CANDIDATO1,$C231,[0]!MUNICIPIO1,$B$227)</f>
        <v>7</v>
      </c>
      <c r="O231" s="6">
        <f>SUMIFS([0]!VOTOS2,[0]!TURNO1,O$31,[0]!CANDIDATO1,$C231,[0]!MUNICIPIO1,$B$227)</f>
        <v>6</v>
      </c>
      <c r="P231" s="6">
        <f>SUMIFS([0]!VOTOS2,[0]!TURNO1,P$31,[0]!CANDIDATO1,$C231,[0]!MUNICIPIO1,$B$227)</f>
        <v>0</v>
      </c>
      <c r="Q231" s="6">
        <f>SUMIFS([0]!VOTOS2,[0]!TURNO1,Q$31,[0]!CANDIDATO1,$C231,[0]!MUNICIPIO1,$B$227)</f>
        <v>0</v>
      </c>
      <c r="R231" s="6">
        <f>SUMIFS([0]!VOTOS2,[0]!TURNO1,R$31,[0]!CANDIDATO1,$C231,[0]!MUNICIPIO1,$B$227)</f>
        <v>0</v>
      </c>
      <c r="S231" s="6">
        <f>SUMIFS([0]!VOTOS2,[0]!TURNO1,S$31,[0]!CANDIDATO1,$C231,[0]!MUNICIPIO1,$B$227)</f>
        <v>0</v>
      </c>
      <c r="T231" s="6">
        <f>SUMIFS([0]!VOTOS2,[0]!TURNO1,T$31,[0]!CANDIDATO1,$C231,[0]!MUNICIPIO1,$B$227)</f>
        <v>0</v>
      </c>
      <c r="U231" s="6">
        <f>SUMIFS([0]!VOTOS2,[0]!TURNO1,U$31,[0]!CANDIDATO1,$C231,[0]!MUNICIPIO1,$B$227)</f>
        <v>0</v>
      </c>
      <c r="V231" s="6">
        <f>SUMIFS([0]!VOTOS2,[0]!TURNO1,V$31,[0]!CANDIDATO1,$C231,[0]!MUNICIPIO1,$B$227)</f>
        <v>0</v>
      </c>
      <c r="W231" s="6">
        <f>SUMIFS([0]!VOTOS2,[0]!TURNO1,W$31,[0]!CANDIDATO1,$C231,[0]!MUNICIPIO1,$B$227)</f>
        <v>0</v>
      </c>
      <c r="X231" s="24"/>
      <c r="Y231" s="18" t="str">
        <f t="shared" si="527"/>
        <v>JOSE DOMINGUEZ</v>
      </c>
      <c r="Z231" s="34">
        <f t="shared" si="528"/>
        <v>26</v>
      </c>
      <c r="AA231" s="34">
        <f t="shared" si="529"/>
        <v>0</v>
      </c>
      <c r="AB231" s="34">
        <f t="shared" ref="AB231:AR231" si="539">IF(SUM(G227:G239)=0,NA(),G231+AA231)</f>
        <v>3</v>
      </c>
      <c r="AC231" s="34">
        <f t="shared" si="539"/>
        <v>3</v>
      </c>
      <c r="AD231" s="34">
        <f t="shared" si="539"/>
        <v>3</v>
      </c>
      <c r="AE231" s="34">
        <f t="shared" si="539"/>
        <v>3</v>
      </c>
      <c r="AF231" s="34">
        <f t="shared" si="539"/>
        <v>13</v>
      </c>
      <c r="AG231" s="34">
        <f t="shared" si="539"/>
        <v>13</v>
      </c>
      <c r="AH231" s="34">
        <f t="shared" si="539"/>
        <v>13</v>
      </c>
      <c r="AI231" s="34">
        <f t="shared" si="539"/>
        <v>20</v>
      </c>
      <c r="AJ231" s="34">
        <f t="shared" si="539"/>
        <v>26</v>
      </c>
      <c r="AK231" s="34" t="e">
        <f t="shared" si="539"/>
        <v>#N/A</v>
      </c>
      <c r="AL231" s="34" t="e">
        <f t="shared" si="539"/>
        <v>#N/A</v>
      </c>
      <c r="AM231" s="34" t="e">
        <f t="shared" si="539"/>
        <v>#N/A</v>
      </c>
      <c r="AN231" s="34" t="e">
        <f t="shared" si="539"/>
        <v>#N/A</v>
      </c>
      <c r="AO231" s="34" t="e">
        <f t="shared" si="539"/>
        <v>#N/A</v>
      </c>
      <c r="AP231" s="34" t="e">
        <f t="shared" si="539"/>
        <v>#N/A</v>
      </c>
      <c r="AQ231" s="34" t="e">
        <f t="shared" si="539"/>
        <v>#N/A</v>
      </c>
      <c r="AR231" s="34" t="e">
        <f t="shared" si="539"/>
        <v>#N/A</v>
      </c>
      <c r="AS231" s="27"/>
      <c r="AT231" s="39"/>
      <c r="AU231" s="39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30"/>
    </row>
    <row r="232" spans="1:66" ht="11.25" customHeight="1" x14ac:dyDescent="0.2">
      <c r="A232" s="37"/>
      <c r="B232" s="73"/>
      <c r="C232" s="33">
        <v>6</v>
      </c>
      <c r="D232" s="8" t="s">
        <v>205</v>
      </c>
      <c r="E232" s="16">
        <f t="shared" si="526"/>
        <v>10</v>
      </c>
      <c r="F232" s="6">
        <f>SUMIFS([0]!VOTOS2,[0]!TURNO1,F$31,[0]!CANDIDATO1,$C232,[0]!MUNICIPIO1,$B$227)</f>
        <v>0</v>
      </c>
      <c r="G232" s="6">
        <f>SUMIFS([0]!VOTOS2,[0]!TURNO1,G$31,[0]!CANDIDATO1,$C232,[0]!MUNICIPIO1,$B$227)</f>
        <v>0</v>
      </c>
      <c r="H232" s="6">
        <f>SUMIFS([0]!VOTOS2,[0]!TURNO1,H$31,[0]!CANDIDATO1,$C232,[0]!MUNICIPIO1,$B$227)</f>
        <v>0</v>
      </c>
      <c r="I232" s="6">
        <f>SUMIFS([0]!VOTOS2,[0]!TURNO1,I$31,[0]!CANDIDATO1,$C232,[0]!MUNICIPIO1,$B$227)</f>
        <v>0</v>
      </c>
      <c r="J232" s="6">
        <f>SUMIFS([0]!VOTOS2,[0]!TURNO1,J$31,[0]!CANDIDATO1,$C232,[0]!MUNICIPIO1,$B$227)</f>
        <v>0</v>
      </c>
      <c r="K232" s="6">
        <f>SUMIFS([0]!VOTOS2,[0]!TURNO1,K$31,[0]!CANDIDATO1,$C232,[0]!MUNICIPIO1,$B$227)</f>
        <v>0</v>
      </c>
      <c r="L232" s="6">
        <f>SUMIFS([0]!VOTOS2,[0]!TURNO1,L$31,[0]!CANDIDATO1,$C232,[0]!MUNICIPIO1,$B$227)</f>
        <v>0</v>
      </c>
      <c r="M232" s="6">
        <f>SUMIFS([0]!VOTOS2,[0]!TURNO1,M$31,[0]!CANDIDATO1,$C232,[0]!MUNICIPIO1,$B$227)</f>
        <v>0</v>
      </c>
      <c r="N232" s="6">
        <f>SUMIFS([0]!VOTOS2,[0]!TURNO1,N$31,[0]!CANDIDATO1,$C232,[0]!MUNICIPIO1,$B$227)</f>
        <v>0</v>
      </c>
      <c r="O232" s="6">
        <f>SUMIFS([0]!VOTOS2,[0]!TURNO1,O$31,[0]!CANDIDATO1,$C232,[0]!MUNICIPIO1,$B$227)</f>
        <v>10</v>
      </c>
      <c r="P232" s="6">
        <f>SUMIFS([0]!VOTOS2,[0]!TURNO1,P$31,[0]!CANDIDATO1,$C232,[0]!MUNICIPIO1,$B$227)</f>
        <v>0</v>
      </c>
      <c r="Q232" s="6">
        <f>SUMIFS([0]!VOTOS2,[0]!TURNO1,Q$31,[0]!CANDIDATO1,$C232,[0]!MUNICIPIO1,$B$227)</f>
        <v>0</v>
      </c>
      <c r="R232" s="6">
        <f>SUMIFS([0]!VOTOS2,[0]!TURNO1,R$31,[0]!CANDIDATO1,$C232,[0]!MUNICIPIO1,$B$227)</f>
        <v>0</v>
      </c>
      <c r="S232" s="6">
        <f>SUMIFS([0]!VOTOS2,[0]!TURNO1,S$31,[0]!CANDIDATO1,$C232,[0]!MUNICIPIO1,$B$227)</f>
        <v>0</v>
      </c>
      <c r="T232" s="6">
        <f>SUMIFS([0]!VOTOS2,[0]!TURNO1,T$31,[0]!CANDIDATO1,$C232,[0]!MUNICIPIO1,$B$227)</f>
        <v>0</v>
      </c>
      <c r="U232" s="6">
        <f>SUMIFS([0]!VOTOS2,[0]!TURNO1,U$31,[0]!CANDIDATO1,$C232,[0]!MUNICIPIO1,$B$227)</f>
        <v>0</v>
      </c>
      <c r="V232" s="6">
        <f>SUMIFS([0]!VOTOS2,[0]!TURNO1,V$31,[0]!CANDIDATO1,$C232,[0]!MUNICIPIO1,$B$227)</f>
        <v>0</v>
      </c>
      <c r="W232" s="6">
        <f>SUMIFS([0]!VOTOS2,[0]!TURNO1,W$31,[0]!CANDIDATO1,$C232,[0]!MUNICIPIO1,$B$227)</f>
        <v>0</v>
      </c>
      <c r="X232" s="24"/>
      <c r="Y232" s="18" t="str">
        <f t="shared" si="527"/>
        <v>HECTOR SARMIENTO</v>
      </c>
      <c r="Z232" s="34">
        <f t="shared" si="528"/>
        <v>10</v>
      </c>
      <c r="AA232" s="34">
        <f t="shared" si="529"/>
        <v>0</v>
      </c>
      <c r="AB232" s="34">
        <f t="shared" ref="AB232:AR232" si="540">IF(SUM(G227:G239)=0,NA(),G232+AA232)</f>
        <v>0</v>
      </c>
      <c r="AC232" s="34">
        <f t="shared" si="540"/>
        <v>0</v>
      </c>
      <c r="AD232" s="34">
        <f t="shared" si="540"/>
        <v>0</v>
      </c>
      <c r="AE232" s="34">
        <f t="shared" si="540"/>
        <v>0</v>
      </c>
      <c r="AF232" s="34">
        <f t="shared" si="540"/>
        <v>0</v>
      </c>
      <c r="AG232" s="34">
        <f t="shared" si="540"/>
        <v>0</v>
      </c>
      <c r="AH232" s="34">
        <f t="shared" si="540"/>
        <v>0</v>
      </c>
      <c r="AI232" s="34">
        <f t="shared" si="540"/>
        <v>0</v>
      </c>
      <c r="AJ232" s="34">
        <f t="shared" si="540"/>
        <v>10</v>
      </c>
      <c r="AK232" s="34" t="e">
        <f t="shared" si="540"/>
        <v>#N/A</v>
      </c>
      <c r="AL232" s="34" t="e">
        <f t="shared" si="540"/>
        <v>#N/A</v>
      </c>
      <c r="AM232" s="34" t="e">
        <f t="shared" si="540"/>
        <v>#N/A</v>
      </c>
      <c r="AN232" s="34" t="e">
        <f t="shared" si="540"/>
        <v>#N/A</v>
      </c>
      <c r="AO232" s="34" t="e">
        <f t="shared" si="540"/>
        <v>#N/A</v>
      </c>
      <c r="AP232" s="34" t="e">
        <f t="shared" si="540"/>
        <v>#N/A</v>
      </c>
      <c r="AQ232" s="34" t="e">
        <f t="shared" si="540"/>
        <v>#N/A</v>
      </c>
      <c r="AR232" s="34" t="e">
        <f t="shared" si="540"/>
        <v>#N/A</v>
      </c>
      <c r="AS232" s="27"/>
      <c r="AT232" s="39"/>
      <c r="AU232" s="39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30"/>
    </row>
    <row r="233" spans="1:66" ht="11.25" customHeight="1" x14ac:dyDescent="0.2">
      <c r="A233" s="37"/>
      <c r="B233" s="73"/>
      <c r="C233" s="56">
        <v>7</v>
      </c>
      <c r="D233" s="8" t="s">
        <v>206</v>
      </c>
      <c r="E233" s="16">
        <f t="shared" si="526"/>
        <v>35</v>
      </c>
      <c r="F233" s="6">
        <f>SUMIFS([0]!VOTOS2,[0]!TURNO1,F$31,[0]!CANDIDATO1,$C233,[0]!MUNICIPIO1,$B$227)</f>
        <v>0</v>
      </c>
      <c r="G233" s="6">
        <f>SUMIFS([0]!VOTOS2,[0]!TURNO1,G$31,[0]!CANDIDATO1,$C233,[0]!MUNICIPIO1,$B$227)</f>
        <v>10</v>
      </c>
      <c r="H233" s="6">
        <f>SUMIFS([0]!VOTOS2,[0]!TURNO1,H$31,[0]!CANDIDATO1,$C233,[0]!MUNICIPIO1,$B$227)</f>
        <v>0</v>
      </c>
      <c r="I233" s="6">
        <f>SUMIFS([0]!VOTOS2,[0]!TURNO1,I$31,[0]!CANDIDATO1,$C233,[0]!MUNICIPIO1,$B$227)</f>
        <v>0</v>
      </c>
      <c r="J233" s="6">
        <f>SUMIFS([0]!VOTOS2,[0]!TURNO1,J$31,[0]!CANDIDATO1,$C233,[0]!MUNICIPIO1,$B$227)</f>
        <v>0</v>
      </c>
      <c r="K233" s="6">
        <f>SUMIFS([0]!VOTOS2,[0]!TURNO1,K$31,[0]!CANDIDATO1,$C233,[0]!MUNICIPIO1,$B$227)</f>
        <v>15</v>
      </c>
      <c r="L233" s="6">
        <f>SUMIFS([0]!VOTOS2,[0]!TURNO1,L$31,[0]!CANDIDATO1,$C233,[0]!MUNICIPIO1,$B$227)</f>
        <v>5</v>
      </c>
      <c r="M233" s="6">
        <f>SUMIFS([0]!VOTOS2,[0]!TURNO1,M$31,[0]!CANDIDATO1,$C233,[0]!MUNICIPIO1,$B$227)</f>
        <v>0</v>
      </c>
      <c r="N233" s="6">
        <f>SUMIFS([0]!VOTOS2,[0]!TURNO1,N$31,[0]!CANDIDATO1,$C233,[0]!MUNICIPIO1,$B$227)</f>
        <v>0</v>
      </c>
      <c r="O233" s="6">
        <f>SUMIFS([0]!VOTOS2,[0]!TURNO1,O$31,[0]!CANDIDATO1,$C233,[0]!MUNICIPIO1,$B$227)</f>
        <v>5</v>
      </c>
      <c r="P233" s="6">
        <f>SUMIFS([0]!VOTOS2,[0]!TURNO1,P$31,[0]!CANDIDATO1,$C233,[0]!MUNICIPIO1,$B$227)</f>
        <v>0</v>
      </c>
      <c r="Q233" s="6">
        <f>SUMIFS([0]!VOTOS2,[0]!TURNO1,Q$31,[0]!CANDIDATO1,$C233,[0]!MUNICIPIO1,$B$227)</f>
        <v>0</v>
      </c>
      <c r="R233" s="6">
        <f>SUMIFS([0]!VOTOS2,[0]!TURNO1,R$31,[0]!CANDIDATO1,$C233,[0]!MUNICIPIO1,$B$227)</f>
        <v>0</v>
      </c>
      <c r="S233" s="6">
        <f>SUMIFS([0]!VOTOS2,[0]!TURNO1,S$31,[0]!CANDIDATO1,$C233,[0]!MUNICIPIO1,$B$227)</f>
        <v>0</v>
      </c>
      <c r="T233" s="6">
        <f>SUMIFS([0]!VOTOS2,[0]!TURNO1,T$31,[0]!CANDIDATO1,$C233,[0]!MUNICIPIO1,$B$227)</f>
        <v>0</v>
      </c>
      <c r="U233" s="6">
        <f>SUMIFS([0]!VOTOS2,[0]!TURNO1,U$31,[0]!CANDIDATO1,$C233,[0]!MUNICIPIO1,$B$227)</f>
        <v>0</v>
      </c>
      <c r="V233" s="6">
        <f>SUMIFS([0]!VOTOS2,[0]!TURNO1,V$31,[0]!CANDIDATO1,$C233,[0]!MUNICIPIO1,$B$227)</f>
        <v>0</v>
      </c>
      <c r="W233" s="6">
        <f>SUMIFS([0]!VOTOS2,[0]!TURNO1,W$31,[0]!CANDIDATO1,$C233,[0]!MUNICIPIO1,$B$227)</f>
        <v>0</v>
      </c>
      <c r="X233" s="24"/>
      <c r="Y233" s="18" t="str">
        <f t="shared" si="527"/>
        <v>AURA CORINA AVILA</v>
      </c>
      <c r="Z233" s="34">
        <f t="shared" si="528"/>
        <v>35</v>
      </c>
      <c r="AA233" s="34">
        <f t="shared" si="529"/>
        <v>0</v>
      </c>
      <c r="AB233" s="34">
        <f t="shared" ref="AB233:AR233" si="541">IF(SUM(G227:G239)=0,NA(),G233+AA233)</f>
        <v>10</v>
      </c>
      <c r="AC233" s="34">
        <f t="shared" si="541"/>
        <v>10</v>
      </c>
      <c r="AD233" s="34">
        <f t="shared" si="541"/>
        <v>10</v>
      </c>
      <c r="AE233" s="34">
        <f t="shared" si="541"/>
        <v>10</v>
      </c>
      <c r="AF233" s="34">
        <f t="shared" si="541"/>
        <v>25</v>
      </c>
      <c r="AG233" s="34">
        <f t="shared" si="541"/>
        <v>30</v>
      </c>
      <c r="AH233" s="34">
        <f t="shared" si="541"/>
        <v>30</v>
      </c>
      <c r="AI233" s="34">
        <f t="shared" si="541"/>
        <v>30</v>
      </c>
      <c r="AJ233" s="34">
        <f t="shared" si="541"/>
        <v>35</v>
      </c>
      <c r="AK233" s="34" t="e">
        <f t="shared" si="541"/>
        <v>#N/A</v>
      </c>
      <c r="AL233" s="34" t="e">
        <f t="shared" si="541"/>
        <v>#N/A</v>
      </c>
      <c r="AM233" s="34" t="e">
        <f t="shared" si="541"/>
        <v>#N/A</v>
      </c>
      <c r="AN233" s="34" t="e">
        <f t="shared" si="541"/>
        <v>#N/A</v>
      </c>
      <c r="AO233" s="34" t="e">
        <f t="shared" si="541"/>
        <v>#N/A</v>
      </c>
      <c r="AP233" s="34" t="e">
        <f t="shared" si="541"/>
        <v>#N/A</v>
      </c>
      <c r="AQ233" s="34" t="e">
        <f t="shared" si="541"/>
        <v>#N/A</v>
      </c>
      <c r="AR233" s="34" t="e">
        <f t="shared" si="541"/>
        <v>#N/A</v>
      </c>
      <c r="AS233" s="27"/>
      <c r="AT233" s="39"/>
      <c r="AU233" s="39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30"/>
    </row>
    <row r="234" spans="1:66" ht="11.25" customHeight="1" x14ac:dyDescent="0.2">
      <c r="A234" s="42"/>
      <c r="B234" s="74"/>
      <c r="C234" s="33">
        <v>8</v>
      </c>
      <c r="D234" s="8" t="s">
        <v>207</v>
      </c>
      <c r="E234" s="16">
        <f t="shared" si="526"/>
        <v>20</v>
      </c>
      <c r="F234" s="6">
        <f>SUMIFS([0]!VOTOS2,[0]!TURNO1,F$31,[0]!CANDIDATO1,$C234,[0]!MUNICIPIO1,$B$227)</f>
        <v>0</v>
      </c>
      <c r="G234" s="6">
        <f>SUMIFS([0]!VOTOS2,[0]!TURNO1,G$31,[0]!CANDIDATO1,$C234,[0]!MUNICIPIO1,$B$227)</f>
        <v>0</v>
      </c>
      <c r="H234" s="6">
        <f>SUMIFS([0]!VOTOS2,[0]!TURNO1,H$31,[0]!CANDIDATO1,$C234,[0]!MUNICIPIO1,$B$227)</f>
        <v>0</v>
      </c>
      <c r="I234" s="6">
        <f>SUMIFS([0]!VOTOS2,[0]!TURNO1,I$31,[0]!CANDIDATO1,$C234,[0]!MUNICIPIO1,$B$227)</f>
        <v>0</v>
      </c>
      <c r="J234" s="6">
        <f>SUMIFS([0]!VOTOS2,[0]!TURNO1,J$31,[0]!CANDIDATO1,$C234,[0]!MUNICIPIO1,$B$227)</f>
        <v>0</v>
      </c>
      <c r="K234" s="6">
        <f>SUMIFS([0]!VOTOS2,[0]!TURNO1,K$31,[0]!CANDIDATO1,$C234,[0]!MUNICIPIO1,$B$227)</f>
        <v>0</v>
      </c>
      <c r="L234" s="6">
        <f>SUMIFS([0]!VOTOS2,[0]!TURNO1,L$31,[0]!CANDIDATO1,$C234,[0]!MUNICIPIO1,$B$227)</f>
        <v>8</v>
      </c>
      <c r="M234" s="6">
        <f>SUMIFS([0]!VOTOS2,[0]!TURNO1,M$31,[0]!CANDIDATO1,$C234,[0]!MUNICIPIO1,$B$227)</f>
        <v>0</v>
      </c>
      <c r="N234" s="6">
        <f>SUMIFS([0]!VOTOS2,[0]!TURNO1,N$31,[0]!CANDIDATO1,$C234,[0]!MUNICIPIO1,$B$227)</f>
        <v>12</v>
      </c>
      <c r="O234" s="6">
        <f>SUMIFS([0]!VOTOS2,[0]!TURNO1,O$31,[0]!CANDIDATO1,$C234,[0]!MUNICIPIO1,$B$227)</f>
        <v>0</v>
      </c>
      <c r="P234" s="6">
        <f>SUMIFS([0]!VOTOS2,[0]!TURNO1,P$31,[0]!CANDIDATO1,$C234,[0]!MUNICIPIO1,$B$227)</f>
        <v>0</v>
      </c>
      <c r="Q234" s="6">
        <f>SUMIFS([0]!VOTOS2,[0]!TURNO1,Q$31,[0]!CANDIDATO1,$C234,[0]!MUNICIPIO1,$B$227)</f>
        <v>0</v>
      </c>
      <c r="R234" s="6">
        <f>SUMIFS([0]!VOTOS2,[0]!TURNO1,R$31,[0]!CANDIDATO1,$C234,[0]!MUNICIPIO1,$B$227)</f>
        <v>0</v>
      </c>
      <c r="S234" s="6">
        <f>SUMIFS([0]!VOTOS2,[0]!TURNO1,S$31,[0]!CANDIDATO1,$C234,[0]!MUNICIPIO1,$B$227)</f>
        <v>0</v>
      </c>
      <c r="T234" s="6">
        <f>SUMIFS([0]!VOTOS2,[0]!TURNO1,T$31,[0]!CANDIDATO1,$C234,[0]!MUNICIPIO1,$B$227)</f>
        <v>0</v>
      </c>
      <c r="U234" s="6">
        <f>SUMIFS([0]!VOTOS2,[0]!TURNO1,U$31,[0]!CANDIDATO1,$C234,[0]!MUNICIPIO1,$B$227)</f>
        <v>0</v>
      </c>
      <c r="V234" s="6">
        <f>SUMIFS([0]!VOTOS2,[0]!TURNO1,V$31,[0]!CANDIDATO1,$C234,[0]!MUNICIPIO1,$B$227)</f>
        <v>0</v>
      </c>
      <c r="W234" s="6">
        <f>SUMIFS([0]!VOTOS2,[0]!TURNO1,W$31,[0]!CANDIDATO1,$C234,[0]!MUNICIPIO1,$B$227)</f>
        <v>0</v>
      </c>
      <c r="X234" s="24"/>
      <c r="Y234" s="18" t="str">
        <f t="shared" si="527"/>
        <v>CARMEN ALCALA</v>
      </c>
      <c r="Z234" s="34">
        <f t="shared" si="528"/>
        <v>20</v>
      </c>
      <c r="AA234" s="34">
        <f t="shared" si="529"/>
        <v>0</v>
      </c>
      <c r="AB234" s="34">
        <f t="shared" ref="AB234:AR234" si="542">IF(SUM(G227:G239)=0,NA(),G234+AA234)</f>
        <v>0</v>
      </c>
      <c r="AC234" s="34">
        <f t="shared" si="542"/>
        <v>0</v>
      </c>
      <c r="AD234" s="34">
        <f t="shared" si="542"/>
        <v>0</v>
      </c>
      <c r="AE234" s="34">
        <f t="shared" si="542"/>
        <v>0</v>
      </c>
      <c r="AF234" s="34">
        <f t="shared" si="542"/>
        <v>0</v>
      </c>
      <c r="AG234" s="34">
        <f t="shared" si="542"/>
        <v>8</v>
      </c>
      <c r="AH234" s="34">
        <f t="shared" si="542"/>
        <v>8</v>
      </c>
      <c r="AI234" s="34">
        <f t="shared" si="542"/>
        <v>20</v>
      </c>
      <c r="AJ234" s="34">
        <f t="shared" si="542"/>
        <v>20</v>
      </c>
      <c r="AK234" s="34" t="e">
        <f t="shared" si="542"/>
        <v>#N/A</v>
      </c>
      <c r="AL234" s="34" t="e">
        <f t="shared" si="542"/>
        <v>#N/A</v>
      </c>
      <c r="AM234" s="34" t="e">
        <f t="shared" si="542"/>
        <v>#N/A</v>
      </c>
      <c r="AN234" s="34" t="e">
        <f t="shared" si="542"/>
        <v>#N/A</v>
      </c>
      <c r="AO234" s="34" t="e">
        <f t="shared" si="542"/>
        <v>#N/A</v>
      </c>
      <c r="AP234" s="34" t="e">
        <f t="shared" si="542"/>
        <v>#N/A</v>
      </c>
      <c r="AQ234" s="34" t="e">
        <f t="shared" si="542"/>
        <v>#N/A</v>
      </c>
      <c r="AR234" s="34" t="e">
        <f t="shared" si="542"/>
        <v>#N/A</v>
      </c>
      <c r="AS234" s="27"/>
      <c r="AT234" s="41"/>
      <c r="AU234" s="41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30"/>
    </row>
    <row r="235" spans="1:66" ht="11.25" customHeight="1" x14ac:dyDescent="0.2">
      <c r="A235" s="44"/>
      <c r="B235" s="54"/>
      <c r="C235" s="46">
        <v>9</v>
      </c>
      <c r="D235" s="14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24"/>
      <c r="Y235" s="18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27"/>
      <c r="AT235" s="41"/>
      <c r="AU235" s="41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30"/>
    </row>
    <row r="236" spans="1:66" ht="11.25" customHeight="1" x14ac:dyDescent="0.2">
      <c r="A236" s="44"/>
      <c r="B236" s="54"/>
      <c r="C236" s="46">
        <v>10</v>
      </c>
      <c r="D236" s="14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24"/>
      <c r="Y236" s="18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27"/>
      <c r="AT236" s="41"/>
      <c r="AU236" s="41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30"/>
    </row>
    <row r="237" spans="1:66" ht="11.25" customHeight="1" x14ac:dyDescent="0.2">
      <c r="A237" s="44"/>
      <c r="B237" s="54"/>
      <c r="C237" s="46">
        <v>11</v>
      </c>
      <c r="D237" s="14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24"/>
      <c r="Y237" s="18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27"/>
      <c r="AT237" s="41"/>
      <c r="AU237" s="41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30"/>
    </row>
    <row r="238" spans="1:66" ht="11.25" customHeight="1" x14ac:dyDescent="0.2">
      <c r="A238" s="44"/>
      <c r="B238" s="54"/>
      <c r="C238" s="46">
        <v>12</v>
      </c>
      <c r="D238" s="14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24"/>
      <c r="Y238" s="18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27"/>
      <c r="AT238" s="41"/>
      <c r="AU238" s="41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30"/>
    </row>
    <row r="239" spans="1:66" ht="11.25" customHeight="1" x14ac:dyDescent="0.2">
      <c r="A239" s="44"/>
      <c r="B239" s="54"/>
      <c r="C239" s="46">
        <v>13</v>
      </c>
      <c r="D239" s="14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24"/>
      <c r="Y239" s="18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27"/>
      <c r="AT239" s="41"/>
      <c r="AU239" s="41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30"/>
    </row>
    <row r="240" spans="1:66" ht="11.25" customHeight="1" x14ac:dyDescent="0.2">
      <c r="D240" s="31" t="s">
        <v>76</v>
      </c>
      <c r="X240" s="24"/>
      <c r="Y240" s="19" t="s">
        <v>79</v>
      </c>
      <c r="Z240" s="34">
        <f t="shared" ref="Z240" si="543">SUM(Z229:Z239)</f>
        <v>284</v>
      </c>
      <c r="AA240" s="34">
        <f t="shared" ref="AA240" si="544">SUM(AA229:AA239)</f>
        <v>0</v>
      </c>
      <c r="AB240" s="34">
        <f t="shared" ref="AB240" si="545">SUM(AB229:AB239)</f>
        <v>40</v>
      </c>
      <c r="AC240" s="34">
        <f t="shared" ref="AC240" si="546">SUM(AC229:AC239)</f>
        <v>54</v>
      </c>
      <c r="AD240" s="34">
        <f t="shared" ref="AD240" si="547">SUM(AD229:AD239)</f>
        <v>80</v>
      </c>
      <c r="AE240" s="34">
        <f t="shared" ref="AE240" si="548">SUM(AE229:AE239)</f>
        <v>99</v>
      </c>
      <c r="AF240" s="34">
        <f t="shared" ref="AF240" si="549">SUM(AF229:AF239)</f>
        <v>152</v>
      </c>
      <c r="AG240" s="34">
        <f t="shared" ref="AG240" si="550">SUM(AG229:AG239)</f>
        <v>184</v>
      </c>
      <c r="AH240" s="34">
        <f t="shared" ref="AH240" si="551">SUM(AH229:AH239)</f>
        <v>193</v>
      </c>
      <c r="AI240" s="34">
        <f t="shared" ref="AI240" si="552">SUM(AI229:AI239)</f>
        <v>235</v>
      </c>
      <c r="AJ240" s="34">
        <f t="shared" ref="AJ240" si="553">SUM(AJ229:AJ239)</f>
        <v>284</v>
      </c>
      <c r="AK240" s="34" t="e">
        <f t="shared" ref="AK240" si="554">SUM(AK229:AK239)</f>
        <v>#N/A</v>
      </c>
      <c r="AL240" s="34" t="e">
        <f t="shared" ref="AL240" si="555">SUM(AL229:AL239)</f>
        <v>#N/A</v>
      </c>
      <c r="AM240" s="34" t="e">
        <f t="shared" ref="AM240" si="556">SUM(AM229:AM239)</f>
        <v>#N/A</v>
      </c>
      <c r="AN240" s="34" t="e">
        <f t="shared" ref="AN240" si="557">SUM(AN229:AN239)</f>
        <v>#N/A</v>
      </c>
      <c r="AO240" s="34" t="e">
        <f t="shared" ref="AO240" si="558">SUM(AO229:AO239)</f>
        <v>#N/A</v>
      </c>
      <c r="AP240" s="34" t="e">
        <f t="shared" ref="AP240" si="559">SUM(AP229:AP239)</f>
        <v>#N/A</v>
      </c>
      <c r="AQ240" s="34" t="e">
        <f t="shared" ref="AQ240" si="560">SUM(AQ229:AQ239)</f>
        <v>#N/A</v>
      </c>
      <c r="AR240" s="34" t="e">
        <f t="shared" ref="AR240" si="561">SUM(AR229:AR239)</f>
        <v>#N/A</v>
      </c>
      <c r="AS240" s="27"/>
      <c r="AT240" s="41"/>
      <c r="AU240" s="41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30"/>
    </row>
    <row r="241" spans="1:66" ht="11.25" customHeight="1" x14ac:dyDescent="0.2">
      <c r="A241" s="75" t="s">
        <v>63</v>
      </c>
      <c r="B241" s="76"/>
      <c r="C241" s="47"/>
      <c r="D241" s="48" t="s">
        <v>75</v>
      </c>
      <c r="E241" s="49" t="s">
        <v>70</v>
      </c>
      <c r="F241" s="49">
        <v>0</v>
      </c>
      <c r="G241" s="49">
        <v>1</v>
      </c>
      <c r="H241" s="49">
        <v>2</v>
      </c>
      <c r="I241" s="49">
        <v>3</v>
      </c>
      <c r="J241" s="49">
        <v>4</v>
      </c>
      <c r="K241" s="49">
        <v>5</v>
      </c>
      <c r="L241" s="49">
        <v>6</v>
      </c>
      <c r="M241" s="49">
        <v>7</v>
      </c>
      <c r="N241" s="49">
        <v>8</v>
      </c>
      <c r="O241" s="49">
        <v>9</v>
      </c>
      <c r="P241" s="49">
        <v>10</v>
      </c>
      <c r="Q241" s="49">
        <v>11</v>
      </c>
      <c r="R241" s="49">
        <v>12</v>
      </c>
      <c r="S241" s="49">
        <v>13</v>
      </c>
      <c r="T241" s="49">
        <v>14</v>
      </c>
      <c r="U241" s="49">
        <v>15</v>
      </c>
      <c r="V241" s="49">
        <v>16</v>
      </c>
      <c r="W241" s="23">
        <v>17</v>
      </c>
      <c r="X241" s="24"/>
      <c r="Y241" s="17"/>
      <c r="Z241" s="25" t="s">
        <v>64</v>
      </c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7"/>
      <c r="AT241" s="28"/>
      <c r="AU241" s="28" t="s">
        <v>64</v>
      </c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30"/>
    </row>
    <row r="242" spans="1:66" ht="11.25" customHeight="1" x14ac:dyDescent="0.2">
      <c r="A242" s="32"/>
      <c r="B242" s="72">
        <v>19</v>
      </c>
      <c r="C242" s="56">
        <v>1</v>
      </c>
      <c r="D242" s="7" t="s">
        <v>218</v>
      </c>
      <c r="E242" s="16">
        <f t="shared" ref="E242:E249" si="562">SUM(F242:W242)</f>
        <v>668</v>
      </c>
      <c r="F242" s="6">
        <f>SUMIFS([0]!VOTOS2,[0]!TURNO1,F$31,[0]!CANDIDATO1,$C242,[0]!MUNICIPIO1,$B$242)</f>
        <v>10</v>
      </c>
      <c r="G242" s="6">
        <f>SUMIFS([0]!VOTOS2,[0]!TURNO1,G$31,[0]!CANDIDATO1,$C242,[0]!MUNICIPIO1,$B$242)</f>
        <v>58</v>
      </c>
      <c r="H242" s="6">
        <f>SUMIFS([0]!VOTOS2,[0]!TURNO1,H$31,[0]!CANDIDATO1,$C242,[0]!MUNICIPIO1,$B$242)</f>
        <v>55</v>
      </c>
      <c r="I242" s="6">
        <f>SUMIFS([0]!VOTOS2,[0]!TURNO1,I$31,[0]!CANDIDATO1,$C242,[0]!MUNICIPIO1,$B$242)</f>
        <v>146</v>
      </c>
      <c r="J242" s="6">
        <f>SUMIFS([0]!VOTOS2,[0]!TURNO1,J$31,[0]!CANDIDATO1,$C242,[0]!MUNICIPIO1,$B$242)</f>
        <v>75</v>
      </c>
      <c r="K242" s="6">
        <f>SUMIFS([0]!VOTOS2,[0]!TURNO1,K$31,[0]!CANDIDATO1,$C242,[0]!MUNICIPIO1,$B$242)</f>
        <v>104</v>
      </c>
      <c r="L242" s="6">
        <f>SUMIFS([0]!VOTOS2,[0]!TURNO1,L$31,[0]!CANDIDATO1,$C242,[0]!MUNICIPIO1,$B$242)</f>
        <v>122</v>
      </c>
      <c r="M242" s="6">
        <f>SUMIFS([0]!VOTOS2,[0]!TURNO1,M$31,[0]!CANDIDATO1,$C242,[0]!MUNICIPIO1,$B$242)</f>
        <v>0</v>
      </c>
      <c r="N242" s="6">
        <f>SUMIFS([0]!VOTOS2,[0]!TURNO1,N$31,[0]!CANDIDATO1,$C242,[0]!MUNICIPIO1,$B$242)</f>
        <v>85</v>
      </c>
      <c r="O242" s="6">
        <f>SUMIFS([0]!VOTOS2,[0]!TURNO1,O$31,[0]!CANDIDATO1,$C242,[0]!MUNICIPIO1,$B$242)</f>
        <v>13</v>
      </c>
      <c r="P242" s="6">
        <f>SUMIFS([0]!VOTOS2,[0]!TURNO1,P$31,[0]!CANDIDATO1,$C242,[0]!MUNICIPIO1,$B$242)</f>
        <v>0</v>
      </c>
      <c r="Q242" s="6">
        <f>SUMIFS([0]!VOTOS2,[0]!TURNO1,Q$31,[0]!CANDIDATO1,$C242,[0]!MUNICIPIO1,$B$242)</f>
        <v>0</v>
      </c>
      <c r="R242" s="6">
        <f>SUMIFS([0]!VOTOS2,[0]!TURNO1,R$31,[0]!CANDIDATO1,$C242,[0]!MUNICIPIO1,$B$242)</f>
        <v>0</v>
      </c>
      <c r="S242" s="6">
        <f>SUMIFS([0]!VOTOS2,[0]!TURNO1,S$31,[0]!CANDIDATO1,$C242,[0]!MUNICIPIO1,$B$242)</f>
        <v>0</v>
      </c>
      <c r="T242" s="6">
        <f>SUMIFS([0]!VOTOS2,[0]!TURNO1,T$31,[0]!CANDIDATO1,$C242,[0]!MUNICIPIO1,$B$242)</f>
        <v>0</v>
      </c>
      <c r="U242" s="6">
        <f>SUMIFS([0]!VOTOS2,[0]!TURNO1,U$31,[0]!CANDIDATO1,$C242,[0]!MUNICIPIO1,$B$242)</f>
        <v>0</v>
      </c>
      <c r="V242" s="6">
        <f>SUMIFS([0]!VOTOS2,[0]!TURNO1,V$31,[0]!CANDIDATO1,$C242,[0]!MUNICIPIO1,$B$242)</f>
        <v>0</v>
      </c>
      <c r="W242" s="6">
        <f>SUMIFS([0]!VOTOS2,[0]!TURNO1,W$31,[0]!CANDIDATO1,$C242,[0]!MUNICIPIO1,$B$242)</f>
        <v>0</v>
      </c>
      <c r="X242" s="24"/>
      <c r="Y242" s="18" t="str">
        <f t="shared" ref="Y242:Y249" si="563">D242</f>
        <v>MIGUEL FLORES</v>
      </c>
      <c r="Z242" s="34">
        <f t="shared" ref="Z242:Z249" si="564">E242</f>
        <v>668</v>
      </c>
      <c r="AA242" s="34">
        <f t="shared" ref="AA242:AA249" si="565">F242</f>
        <v>10</v>
      </c>
      <c r="AB242" s="34">
        <f t="shared" ref="AB242:AR242" si="566">IF(SUM(G242:G254)=0,NA(),G242+AA242)</f>
        <v>68</v>
      </c>
      <c r="AC242" s="34">
        <f t="shared" si="566"/>
        <v>123</v>
      </c>
      <c r="AD242" s="34">
        <f t="shared" si="566"/>
        <v>269</v>
      </c>
      <c r="AE242" s="34">
        <f t="shared" si="566"/>
        <v>344</v>
      </c>
      <c r="AF242" s="34">
        <f t="shared" si="566"/>
        <v>448</v>
      </c>
      <c r="AG242" s="34">
        <f t="shared" si="566"/>
        <v>570</v>
      </c>
      <c r="AH242" s="34">
        <f t="shared" si="566"/>
        <v>570</v>
      </c>
      <c r="AI242" s="34">
        <f t="shared" si="566"/>
        <v>655</v>
      </c>
      <c r="AJ242" s="34">
        <f t="shared" si="566"/>
        <v>668</v>
      </c>
      <c r="AK242" s="34" t="e">
        <f t="shared" si="566"/>
        <v>#N/A</v>
      </c>
      <c r="AL242" s="34" t="e">
        <f t="shared" si="566"/>
        <v>#N/A</v>
      </c>
      <c r="AM242" s="34" t="e">
        <f t="shared" si="566"/>
        <v>#N/A</v>
      </c>
      <c r="AN242" s="34" t="e">
        <f t="shared" si="566"/>
        <v>#N/A</v>
      </c>
      <c r="AO242" s="34" t="e">
        <f t="shared" si="566"/>
        <v>#N/A</v>
      </c>
      <c r="AP242" s="34" t="e">
        <f t="shared" si="566"/>
        <v>#N/A</v>
      </c>
      <c r="AQ242" s="34" t="e">
        <f t="shared" si="566"/>
        <v>#N/A</v>
      </c>
      <c r="AR242" s="34" t="e">
        <f t="shared" si="566"/>
        <v>#N/A</v>
      </c>
      <c r="AS242" s="27"/>
      <c r="AT242" s="35" t="str">
        <f t="shared" ref="AT242:AT243" si="567">Y242</f>
        <v>MIGUEL FLORES</v>
      </c>
      <c r="AU242" s="36">
        <f t="shared" ref="AU242:BM242" si="568">Z242/(Z242+Z243+Z255)</f>
        <v>0.39041496201052017</v>
      </c>
      <c r="AV242" s="36">
        <f t="shared" si="568"/>
        <v>0.5</v>
      </c>
      <c r="AW242" s="36">
        <f t="shared" si="568"/>
        <v>0.15144766146993319</v>
      </c>
      <c r="AX242" s="36">
        <f t="shared" si="568"/>
        <v>0.20330578512396694</v>
      </c>
      <c r="AY242" s="36">
        <f t="shared" si="568"/>
        <v>0.29366812227074235</v>
      </c>
      <c r="AZ242" s="36">
        <f t="shared" si="568"/>
        <v>0.3041556145004421</v>
      </c>
      <c r="BA242" s="36">
        <f t="shared" si="568"/>
        <v>0.34863813229571983</v>
      </c>
      <c r="BB242" s="36">
        <f t="shared" si="568"/>
        <v>0.39121482498284144</v>
      </c>
      <c r="BC242" s="36">
        <f t="shared" si="568"/>
        <v>0.37823490378234903</v>
      </c>
      <c r="BD242" s="36">
        <f t="shared" si="568"/>
        <v>0.41143216080402012</v>
      </c>
      <c r="BE242" s="36">
        <f t="shared" si="568"/>
        <v>0.39041496201052017</v>
      </c>
      <c r="BF242" s="36" t="e">
        <f t="shared" si="568"/>
        <v>#N/A</v>
      </c>
      <c r="BG242" s="36" t="e">
        <f t="shared" si="568"/>
        <v>#N/A</v>
      </c>
      <c r="BH242" s="36" t="e">
        <f t="shared" si="568"/>
        <v>#N/A</v>
      </c>
      <c r="BI242" s="36" t="e">
        <f t="shared" si="568"/>
        <v>#N/A</v>
      </c>
      <c r="BJ242" s="36" t="e">
        <f t="shared" si="568"/>
        <v>#N/A</v>
      </c>
      <c r="BK242" s="36" t="e">
        <f t="shared" si="568"/>
        <v>#N/A</v>
      </c>
      <c r="BL242" s="36" t="e">
        <f t="shared" si="568"/>
        <v>#N/A</v>
      </c>
      <c r="BM242" s="36" t="e">
        <f t="shared" si="568"/>
        <v>#N/A</v>
      </c>
      <c r="BN242" s="30"/>
    </row>
    <row r="243" spans="1:66" ht="11.25" customHeight="1" x14ac:dyDescent="0.2">
      <c r="A243" s="37"/>
      <c r="B243" s="73"/>
      <c r="C243" s="33">
        <v>2</v>
      </c>
      <c r="D243" s="8" t="s">
        <v>219</v>
      </c>
      <c r="E243" s="16">
        <f t="shared" si="562"/>
        <v>906</v>
      </c>
      <c r="F243" s="6">
        <f>SUMIFS([0]!VOTOS2,[0]!TURNO1,F$31,[0]!CANDIDATO1,$C243,[0]!MUNICIPIO1,$B$242)</f>
        <v>10</v>
      </c>
      <c r="G243" s="6">
        <f>SUMIFS([0]!VOTOS2,[0]!TURNO1,G$31,[0]!CANDIDATO1,$C243,[0]!MUNICIPIO1,$B$242)</f>
        <v>371</v>
      </c>
      <c r="H243" s="6">
        <f>SUMIFS([0]!VOTOS2,[0]!TURNO1,H$31,[0]!CANDIDATO1,$C243,[0]!MUNICIPIO1,$B$242)</f>
        <v>84</v>
      </c>
      <c r="I243" s="6">
        <f>SUMIFS([0]!VOTOS2,[0]!TURNO1,I$31,[0]!CANDIDATO1,$C243,[0]!MUNICIPIO1,$B$242)</f>
        <v>105</v>
      </c>
      <c r="J243" s="6">
        <f>SUMIFS([0]!VOTOS2,[0]!TURNO1,J$31,[0]!CANDIDATO1,$C243,[0]!MUNICIPIO1,$B$242)</f>
        <v>80</v>
      </c>
      <c r="K243" s="6">
        <f>SUMIFS([0]!VOTOS2,[0]!TURNO1,K$31,[0]!CANDIDATO1,$C243,[0]!MUNICIPIO1,$B$242)</f>
        <v>50</v>
      </c>
      <c r="L243" s="6">
        <f>SUMIFS([0]!VOTOS2,[0]!TURNO1,L$31,[0]!CANDIDATO1,$C243,[0]!MUNICIPIO1,$B$242)</f>
        <v>50</v>
      </c>
      <c r="M243" s="6">
        <f>SUMIFS([0]!VOTOS2,[0]!TURNO1,M$31,[0]!CANDIDATO1,$C243,[0]!MUNICIPIO1,$B$242)</f>
        <v>50</v>
      </c>
      <c r="N243" s="6">
        <f>SUMIFS([0]!VOTOS2,[0]!TURNO1,N$31,[0]!CANDIDATO1,$C243,[0]!MUNICIPIO1,$B$242)</f>
        <v>0</v>
      </c>
      <c r="O243" s="6">
        <f>SUMIFS([0]!VOTOS2,[0]!TURNO1,O$31,[0]!CANDIDATO1,$C243,[0]!MUNICIPIO1,$B$242)</f>
        <v>106</v>
      </c>
      <c r="P243" s="6">
        <f>SUMIFS([0]!VOTOS2,[0]!TURNO1,P$31,[0]!CANDIDATO1,$C243,[0]!MUNICIPIO1,$B$242)</f>
        <v>0</v>
      </c>
      <c r="Q243" s="6">
        <f>SUMIFS([0]!VOTOS2,[0]!TURNO1,Q$31,[0]!CANDIDATO1,$C243,[0]!MUNICIPIO1,$B$242)</f>
        <v>0</v>
      </c>
      <c r="R243" s="6">
        <f>SUMIFS([0]!VOTOS2,[0]!TURNO1,R$31,[0]!CANDIDATO1,$C243,[0]!MUNICIPIO1,$B$242)</f>
        <v>0</v>
      </c>
      <c r="S243" s="6">
        <f>SUMIFS([0]!VOTOS2,[0]!TURNO1,S$31,[0]!CANDIDATO1,$C243,[0]!MUNICIPIO1,$B$242)</f>
        <v>0</v>
      </c>
      <c r="T243" s="6">
        <f>SUMIFS([0]!VOTOS2,[0]!TURNO1,T$31,[0]!CANDIDATO1,$C243,[0]!MUNICIPIO1,$B$242)</f>
        <v>0</v>
      </c>
      <c r="U243" s="6">
        <f>SUMIFS([0]!VOTOS2,[0]!TURNO1,U$31,[0]!CANDIDATO1,$C243,[0]!MUNICIPIO1,$B$242)</f>
        <v>0</v>
      </c>
      <c r="V243" s="6">
        <f>SUMIFS([0]!VOTOS2,[0]!TURNO1,V$31,[0]!CANDIDATO1,$C243,[0]!MUNICIPIO1,$B$242)</f>
        <v>0</v>
      </c>
      <c r="W243" s="6">
        <f>SUMIFS([0]!VOTOS2,[0]!TURNO1,W$31,[0]!CANDIDATO1,$C243,[0]!MUNICIPIO1,$B$242)</f>
        <v>0</v>
      </c>
      <c r="X243" s="24"/>
      <c r="Y243" s="18" t="str">
        <f t="shared" si="563"/>
        <v>MICHELE COCCHIOLA</v>
      </c>
      <c r="Z243" s="34">
        <f t="shared" si="564"/>
        <v>906</v>
      </c>
      <c r="AA243" s="34">
        <f t="shared" si="565"/>
        <v>10</v>
      </c>
      <c r="AB243" s="34">
        <f t="shared" ref="AB243:AR243" si="569">IF(SUM(G242:G254)=0,NA(),G243+AA243)</f>
        <v>381</v>
      </c>
      <c r="AC243" s="34">
        <f t="shared" si="569"/>
        <v>465</v>
      </c>
      <c r="AD243" s="34">
        <f t="shared" si="569"/>
        <v>570</v>
      </c>
      <c r="AE243" s="34">
        <f t="shared" si="569"/>
        <v>650</v>
      </c>
      <c r="AF243" s="34">
        <f t="shared" si="569"/>
        <v>700</v>
      </c>
      <c r="AG243" s="34">
        <f t="shared" si="569"/>
        <v>750</v>
      </c>
      <c r="AH243" s="34">
        <f t="shared" si="569"/>
        <v>800</v>
      </c>
      <c r="AI243" s="34">
        <f t="shared" si="569"/>
        <v>800</v>
      </c>
      <c r="AJ243" s="34">
        <f t="shared" si="569"/>
        <v>906</v>
      </c>
      <c r="AK243" s="34" t="e">
        <f t="shared" si="569"/>
        <v>#N/A</v>
      </c>
      <c r="AL243" s="34" t="e">
        <f t="shared" si="569"/>
        <v>#N/A</v>
      </c>
      <c r="AM243" s="34" t="e">
        <f t="shared" si="569"/>
        <v>#N/A</v>
      </c>
      <c r="AN243" s="34" t="e">
        <f t="shared" si="569"/>
        <v>#N/A</v>
      </c>
      <c r="AO243" s="34" t="e">
        <f t="shared" si="569"/>
        <v>#N/A</v>
      </c>
      <c r="AP243" s="34" t="e">
        <f t="shared" si="569"/>
        <v>#N/A</v>
      </c>
      <c r="AQ243" s="34" t="e">
        <f t="shared" si="569"/>
        <v>#N/A</v>
      </c>
      <c r="AR243" s="34" t="e">
        <f t="shared" si="569"/>
        <v>#N/A</v>
      </c>
      <c r="AS243" s="27"/>
      <c r="AT243" s="35" t="str">
        <f t="shared" si="567"/>
        <v>MICHELE COCCHIOLA</v>
      </c>
      <c r="AU243" s="36">
        <f t="shared" ref="AU243:BM243" si="570">Z243/(Z242+Z243+Z255)</f>
        <v>0.52951490356516662</v>
      </c>
      <c r="AV243" s="36">
        <f t="shared" si="570"/>
        <v>0.5</v>
      </c>
      <c r="AW243" s="36">
        <f t="shared" si="570"/>
        <v>0.84855233853006684</v>
      </c>
      <c r="AX243" s="36">
        <f t="shared" si="570"/>
        <v>0.76859504132231404</v>
      </c>
      <c r="AY243" s="36">
        <f t="shared" si="570"/>
        <v>0.62227074235807855</v>
      </c>
      <c r="AZ243" s="36">
        <f t="shared" si="570"/>
        <v>0.57471264367816088</v>
      </c>
      <c r="BA243" s="36">
        <f t="shared" si="570"/>
        <v>0.54474708171206221</v>
      </c>
      <c r="BB243" s="36">
        <f t="shared" si="570"/>
        <v>0.51475634866163344</v>
      </c>
      <c r="BC243" s="36">
        <f t="shared" si="570"/>
        <v>0.53085600530856003</v>
      </c>
      <c r="BD243" s="36">
        <f t="shared" si="570"/>
        <v>0.50251256281407031</v>
      </c>
      <c r="BE243" s="36">
        <f t="shared" si="570"/>
        <v>0.52951490356516662</v>
      </c>
      <c r="BF243" s="36" t="e">
        <f t="shared" si="570"/>
        <v>#N/A</v>
      </c>
      <c r="BG243" s="36" t="e">
        <f t="shared" si="570"/>
        <v>#N/A</v>
      </c>
      <c r="BH243" s="36" t="e">
        <f t="shared" si="570"/>
        <v>#N/A</v>
      </c>
      <c r="BI243" s="36" t="e">
        <f t="shared" si="570"/>
        <v>#N/A</v>
      </c>
      <c r="BJ243" s="36" t="e">
        <f t="shared" si="570"/>
        <v>#N/A</v>
      </c>
      <c r="BK243" s="36" t="e">
        <f t="shared" si="570"/>
        <v>#N/A</v>
      </c>
      <c r="BL243" s="36" t="e">
        <f t="shared" si="570"/>
        <v>#N/A</v>
      </c>
      <c r="BM243" s="36" t="e">
        <f t="shared" si="570"/>
        <v>#N/A</v>
      </c>
      <c r="BN243" s="30"/>
    </row>
    <row r="244" spans="1:66" ht="11.25" customHeight="1" x14ac:dyDescent="0.2">
      <c r="A244" s="37"/>
      <c r="B244" s="73"/>
      <c r="C244" s="56">
        <v>3</v>
      </c>
      <c r="D244" s="8" t="s">
        <v>220</v>
      </c>
      <c r="E244" s="16">
        <f t="shared" si="562"/>
        <v>137</v>
      </c>
      <c r="F244" s="6">
        <f>SUMIFS([0]!VOTOS2,[0]!TURNO1,F$31,[0]!CANDIDATO1,$C244,[0]!MUNICIPIO1,$B$242)</f>
        <v>0</v>
      </c>
      <c r="G244" s="6">
        <f>SUMIFS([0]!VOTOS2,[0]!TURNO1,G$31,[0]!CANDIDATO1,$C244,[0]!MUNICIPIO1,$B$242)</f>
        <v>0</v>
      </c>
      <c r="H244" s="6">
        <f>SUMIFS([0]!VOTOS2,[0]!TURNO1,H$31,[0]!CANDIDATO1,$C244,[0]!MUNICIPIO1,$B$242)</f>
        <v>17</v>
      </c>
      <c r="I244" s="6">
        <f>SUMIFS([0]!VOTOS2,[0]!TURNO1,I$31,[0]!CANDIDATO1,$C244,[0]!MUNICIPIO1,$B$242)</f>
        <v>60</v>
      </c>
      <c r="J244" s="6">
        <f>SUMIFS([0]!VOTOS2,[0]!TURNO1,J$31,[0]!CANDIDATO1,$C244,[0]!MUNICIPIO1,$B$242)</f>
        <v>60</v>
      </c>
      <c r="K244" s="6">
        <f>SUMIFS([0]!VOTOS2,[0]!TURNO1,K$31,[0]!CANDIDATO1,$C244,[0]!MUNICIPIO1,$B$242)</f>
        <v>0</v>
      </c>
      <c r="L244" s="6">
        <f>SUMIFS([0]!VOTOS2,[0]!TURNO1,L$31,[0]!CANDIDATO1,$C244,[0]!MUNICIPIO1,$B$242)</f>
        <v>0</v>
      </c>
      <c r="M244" s="6">
        <f>SUMIFS([0]!VOTOS2,[0]!TURNO1,M$31,[0]!CANDIDATO1,$C244,[0]!MUNICIPIO1,$B$242)</f>
        <v>0</v>
      </c>
      <c r="N244" s="6">
        <f>SUMIFS([0]!VOTOS2,[0]!TURNO1,N$31,[0]!CANDIDATO1,$C244,[0]!MUNICIPIO1,$B$242)</f>
        <v>0</v>
      </c>
      <c r="O244" s="6">
        <f>SUMIFS([0]!VOTOS2,[0]!TURNO1,O$31,[0]!CANDIDATO1,$C244,[0]!MUNICIPIO1,$B$242)</f>
        <v>0</v>
      </c>
      <c r="P244" s="6">
        <f>SUMIFS([0]!VOTOS2,[0]!TURNO1,P$31,[0]!CANDIDATO1,$C244,[0]!MUNICIPIO1,$B$242)</f>
        <v>0</v>
      </c>
      <c r="Q244" s="6">
        <f>SUMIFS([0]!VOTOS2,[0]!TURNO1,Q$31,[0]!CANDIDATO1,$C244,[0]!MUNICIPIO1,$B$242)</f>
        <v>0</v>
      </c>
      <c r="R244" s="6">
        <f>SUMIFS([0]!VOTOS2,[0]!TURNO1,R$31,[0]!CANDIDATO1,$C244,[0]!MUNICIPIO1,$B$242)</f>
        <v>0</v>
      </c>
      <c r="S244" s="6">
        <f>SUMIFS([0]!VOTOS2,[0]!TURNO1,S$31,[0]!CANDIDATO1,$C244,[0]!MUNICIPIO1,$B$242)</f>
        <v>0</v>
      </c>
      <c r="T244" s="6">
        <f>SUMIFS([0]!VOTOS2,[0]!TURNO1,T$31,[0]!CANDIDATO1,$C244,[0]!MUNICIPIO1,$B$242)</f>
        <v>0</v>
      </c>
      <c r="U244" s="6">
        <f>SUMIFS([0]!VOTOS2,[0]!TURNO1,U$31,[0]!CANDIDATO1,$C244,[0]!MUNICIPIO1,$B$242)</f>
        <v>0</v>
      </c>
      <c r="V244" s="6">
        <f>SUMIFS([0]!VOTOS2,[0]!TURNO1,V$31,[0]!CANDIDATO1,$C244,[0]!MUNICIPIO1,$B$242)</f>
        <v>0</v>
      </c>
      <c r="W244" s="6">
        <f>SUMIFS([0]!VOTOS2,[0]!TURNO1,W$31,[0]!CANDIDATO1,$C244,[0]!MUNICIPIO1,$B$242)</f>
        <v>0</v>
      </c>
      <c r="X244" s="24"/>
      <c r="Y244" s="18" t="str">
        <f t="shared" si="563"/>
        <v>MISAEL TINEO</v>
      </c>
      <c r="Z244" s="34">
        <f t="shared" si="564"/>
        <v>137</v>
      </c>
      <c r="AA244" s="34">
        <f t="shared" si="565"/>
        <v>0</v>
      </c>
      <c r="AB244" s="34">
        <f t="shared" ref="AB244:AR244" si="571">IF(SUM(G242:G254)=0,NA(),G244+AA244)</f>
        <v>0</v>
      </c>
      <c r="AC244" s="34">
        <f t="shared" si="571"/>
        <v>17</v>
      </c>
      <c r="AD244" s="34">
        <f t="shared" si="571"/>
        <v>77</v>
      </c>
      <c r="AE244" s="34">
        <f t="shared" si="571"/>
        <v>137</v>
      </c>
      <c r="AF244" s="34">
        <f t="shared" si="571"/>
        <v>137</v>
      </c>
      <c r="AG244" s="34">
        <f t="shared" si="571"/>
        <v>137</v>
      </c>
      <c r="AH244" s="34">
        <f t="shared" si="571"/>
        <v>137</v>
      </c>
      <c r="AI244" s="34">
        <f t="shared" si="571"/>
        <v>137</v>
      </c>
      <c r="AJ244" s="34">
        <f t="shared" si="571"/>
        <v>137</v>
      </c>
      <c r="AK244" s="34" t="e">
        <f t="shared" si="571"/>
        <v>#N/A</v>
      </c>
      <c r="AL244" s="34" t="e">
        <f t="shared" si="571"/>
        <v>#N/A</v>
      </c>
      <c r="AM244" s="34" t="e">
        <f t="shared" si="571"/>
        <v>#N/A</v>
      </c>
      <c r="AN244" s="34" t="e">
        <f t="shared" si="571"/>
        <v>#N/A</v>
      </c>
      <c r="AO244" s="34" t="e">
        <f t="shared" si="571"/>
        <v>#N/A</v>
      </c>
      <c r="AP244" s="34" t="e">
        <f t="shared" si="571"/>
        <v>#N/A</v>
      </c>
      <c r="AQ244" s="34" t="e">
        <f t="shared" si="571"/>
        <v>#N/A</v>
      </c>
      <c r="AR244" s="34" t="e">
        <f t="shared" si="571"/>
        <v>#N/A</v>
      </c>
      <c r="AS244" s="27"/>
      <c r="AT244" s="35" t="str">
        <f t="shared" ref="AT244" si="572">Y255</f>
        <v>Otros</v>
      </c>
      <c r="AU244" s="36">
        <f t="shared" ref="AU244:BM244" si="573">Z255/(Z242+Z243+Z255)</f>
        <v>8.0070134424313266E-2</v>
      </c>
      <c r="AV244" s="36">
        <f t="shared" si="573"/>
        <v>0</v>
      </c>
      <c r="AW244" s="36">
        <f t="shared" si="573"/>
        <v>0</v>
      </c>
      <c r="AX244" s="36">
        <f t="shared" si="573"/>
        <v>2.809917355371901E-2</v>
      </c>
      <c r="AY244" s="36">
        <f t="shared" si="573"/>
        <v>8.4061135371179041E-2</v>
      </c>
      <c r="AZ244" s="36">
        <f t="shared" si="573"/>
        <v>0.12113174182139699</v>
      </c>
      <c r="BA244" s="36">
        <f t="shared" si="573"/>
        <v>0.10661478599221789</v>
      </c>
      <c r="BB244" s="36">
        <f t="shared" si="573"/>
        <v>9.402882635552505E-2</v>
      </c>
      <c r="BC244" s="36">
        <f t="shared" si="573"/>
        <v>9.0909090909090912E-2</v>
      </c>
      <c r="BD244" s="36">
        <f t="shared" si="573"/>
        <v>8.6055276381909546E-2</v>
      </c>
      <c r="BE244" s="36">
        <f t="shared" si="573"/>
        <v>8.0070134424313266E-2</v>
      </c>
      <c r="BF244" s="36" t="e">
        <f t="shared" si="573"/>
        <v>#N/A</v>
      </c>
      <c r="BG244" s="36" t="e">
        <f t="shared" si="573"/>
        <v>#N/A</v>
      </c>
      <c r="BH244" s="36" t="e">
        <f t="shared" si="573"/>
        <v>#N/A</v>
      </c>
      <c r="BI244" s="36" t="e">
        <f t="shared" si="573"/>
        <v>#N/A</v>
      </c>
      <c r="BJ244" s="36" t="e">
        <f t="shared" si="573"/>
        <v>#N/A</v>
      </c>
      <c r="BK244" s="36" t="e">
        <f t="shared" si="573"/>
        <v>#N/A</v>
      </c>
      <c r="BL244" s="36" t="e">
        <f t="shared" si="573"/>
        <v>#N/A</v>
      </c>
      <c r="BM244" s="36" t="e">
        <f t="shared" si="573"/>
        <v>#N/A</v>
      </c>
      <c r="BN244" s="30"/>
    </row>
    <row r="245" spans="1:66" ht="11.25" customHeight="1" x14ac:dyDescent="0.2">
      <c r="A245" s="38" t="s">
        <v>21</v>
      </c>
      <c r="B245" s="73"/>
      <c r="C245" s="33">
        <v>4</v>
      </c>
      <c r="D245" s="8" t="s">
        <v>221</v>
      </c>
      <c r="E245" s="16">
        <f t="shared" si="562"/>
        <v>0</v>
      </c>
      <c r="F245" s="6">
        <f>SUMIFS([0]!VOTOS2,[0]!TURNO1,F$31,[0]!CANDIDATO1,$C245,[0]!MUNICIPIO1,$B$242)</f>
        <v>0</v>
      </c>
      <c r="G245" s="6">
        <f>SUMIFS([0]!VOTOS2,[0]!TURNO1,G$31,[0]!CANDIDATO1,$C245,[0]!MUNICIPIO1,$B$242)</f>
        <v>0</v>
      </c>
      <c r="H245" s="6">
        <f>SUMIFS([0]!VOTOS2,[0]!TURNO1,H$31,[0]!CANDIDATO1,$C245,[0]!MUNICIPIO1,$B$242)</f>
        <v>0</v>
      </c>
      <c r="I245" s="6">
        <f>SUMIFS([0]!VOTOS2,[0]!TURNO1,I$31,[0]!CANDIDATO1,$C245,[0]!MUNICIPIO1,$B$242)</f>
        <v>0</v>
      </c>
      <c r="J245" s="6">
        <f>SUMIFS([0]!VOTOS2,[0]!TURNO1,J$31,[0]!CANDIDATO1,$C245,[0]!MUNICIPIO1,$B$242)</f>
        <v>0</v>
      </c>
      <c r="K245" s="6">
        <f>SUMIFS([0]!VOTOS2,[0]!TURNO1,K$31,[0]!CANDIDATO1,$C245,[0]!MUNICIPIO1,$B$242)</f>
        <v>0</v>
      </c>
      <c r="L245" s="6">
        <f>SUMIFS([0]!VOTOS2,[0]!TURNO1,L$31,[0]!CANDIDATO1,$C245,[0]!MUNICIPIO1,$B$242)</f>
        <v>0</v>
      </c>
      <c r="M245" s="6">
        <f>SUMIFS([0]!VOTOS2,[0]!TURNO1,M$31,[0]!CANDIDATO1,$C245,[0]!MUNICIPIO1,$B$242)</f>
        <v>0</v>
      </c>
      <c r="N245" s="6">
        <f>SUMIFS([0]!VOTOS2,[0]!TURNO1,N$31,[0]!CANDIDATO1,$C245,[0]!MUNICIPIO1,$B$242)</f>
        <v>0</v>
      </c>
      <c r="O245" s="6">
        <f>SUMIFS([0]!VOTOS2,[0]!TURNO1,O$31,[0]!CANDIDATO1,$C245,[0]!MUNICIPIO1,$B$242)</f>
        <v>0</v>
      </c>
      <c r="P245" s="6">
        <f>SUMIFS([0]!VOTOS2,[0]!TURNO1,P$31,[0]!CANDIDATO1,$C245,[0]!MUNICIPIO1,$B$242)</f>
        <v>0</v>
      </c>
      <c r="Q245" s="6">
        <f>SUMIFS([0]!VOTOS2,[0]!TURNO1,Q$31,[0]!CANDIDATO1,$C245,[0]!MUNICIPIO1,$B$242)</f>
        <v>0</v>
      </c>
      <c r="R245" s="6">
        <f>SUMIFS([0]!VOTOS2,[0]!TURNO1,R$31,[0]!CANDIDATO1,$C245,[0]!MUNICIPIO1,$B$242)</f>
        <v>0</v>
      </c>
      <c r="S245" s="6">
        <f>SUMIFS([0]!VOTOS2,[0]!TURNO1,S$31,[0]!CANDIDATO1,$C245,[0]!MUNICIPIO1,$B$242)</f>
        <v>0</v>
      </c>
      <c r="T245" s="6">
        <f>SUMIFS([0]!VOTOS2,[0]!TURNO1,T$31,[0]!CANDIDATO1,$C245,[0]!MUNICIPIO1,$B$242)</f>
        <v>0</v>
      </c>
      <c r="U245" s="6">
        <f>SUMIFS([0]!VOTOS2,[0]!TURNO1,U$31,[0]!CANDIDATO1,$C245,[0]!MUNICIPIO1,$B$242)</f>
        <v>0</v>
      </c>
      <c r="V245" s="6">
        <f>SUMIFS([0]!VOTOS2,[0]!TURNO1,V$31,[0]!CANDIDATO1,$C245,[0]!MUNICIPIO1,$B$242)</f>
        <v>0</v>
      </c>
      <c r="W245" s="6">
        <f>SUMIFS([0]!VOTOS2,[0]!TURNO1,W$31,[0]!CANDIDATO1,$C245,[0]!MUNICIPIO1,$B$242)</f>
        <v>0</v>
      </c>
      <c r="X245" s="24"/>
      <c r="Y245" s="18" t="str">
        <f t="shared" si="563"/>
        <v>MANUEL AGUILAR</v>
      </c>
      <c r="Z245" s="34">
        <f t="shared" si="564"/>
        <v>0</v>
      </c>
      <c r="AA245" s="34">
        <f t="shared" si="565"/>
        <v>0</v>
      </c>
      <c r="AB245" s="34">
        <f t="shared" ref="AB245:AR245" si="574">IF(SUM(G242:G254)=0,NA(),G245+AA245)</f>
        <v>0</v>
      </c>
      <c r="AC245" s="34">
        <f t="shared" si="574"/>
        <v>0</v>
      </c>
      <c r="AD245" s="34">
        <f t="shared" si="574"/>
        <v>0</v>
      </c>
      <c r="AE245" s="34">
        <f t="shared" si="574"/>
        <v>0</v>
      </c>
      <c r="AF245" s="34">
        <f t="shared" si="574"/>
        <v>0</v>
      </c>
      <c r="AG245" s="34">
        <f t="shared" si="574"/>
        <v>0</v>
      </c>
      <c r="AH245" s="34">
        <f t="shared" si="574"/>
        <v>0</v>
      </c>
      <c r="AI245" s="34">
        <f t="shared" si="574"/>
        <v>0</v>
      </c>
      <c r="AJ245" s="34">
        <f t="shared" si="574"/>
        <v>0</v>
      </c>
      <c r="AK245" s="34" t="e">
        <f t="shared" si="574"/>
        <v>#N/A</v>
      </c>
      <c r="AL245" s="34" t="e">
        <f t="shared" si="574"/>
        <v>#N/A</v>
      </c>
      <c r="AM245" s="34" t="e">
        <f t="shared" si="574"/>
        <v>#N/A</v>
      </c>
      <c r="AN245" s="34" t="e">
        <f t="shared" si="574"/>
        <v>#N/A</v>
      </c>
      <c r="AO245" s="34" t="e">
        <f t="shared" si="574"/>
        <v>#N/A</v>
      </c>
      <c r="AP245" s="34" t="e">
        <f t="shared" si="574"/>
        <v>#N/A</v>
      </c>
      <c r="AQ245" s="34" t="e">
        <f t="shared" si="574"/>
        <v>#N/A</v>
      </c>
      <c r="AR245" s="34" t="e">
        <f t="shared" si="574"/>
        <v>#N/A</v>
      </c>
      <c r="AS245" s="27"/>
      <c r="AT245" s="39"/>
      <c r="AU245" s="39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30"/>
    </row>
    <row r="246" spans="1:66" ht="11.25" customHeight="1" x14ac:dyDescent="0.2">
      <c r="A246" s="38" t="s">
        <v>24</v>
      </c>
      <c r="B246" s="73"/>
      <c r="C246" s="56">
        <v>5</v>
      </c>
      <c r="D246" s="8" t="s">
        <v>222</v>
      </c>
      <c r="E246" s="16">
        <f t="shared" si="562"/>
        <v>0</v>
      </c>
      <c r="F246" s="6">
        <f>SUMIFS([0]!VOTOS2,[0]!TURNO1,F$31,[0]!CANDIDATO1,$C246,[0]!MUNICIPIO1,$B$242)</f>
        <v>0</v>
      </c>
      <c r="G246" s="6">
        <f>SUMIFS([0]!VOTOS2,[0]!TURNO1,G$31,[0]!CANDIDATO1,$C246,[0]!MUNICIPIO1,$B$242)</f>
        <v>0</v>
      </c>
      <c r="H246" s="6">
        <f>SUMIFS([0]!VOTOS2,[0]!TURNO1,H$31,[0]!CANDIDATO1,$C246,[0]!MUNICIPIO1,$B$242)</f>
        <v>0</v>
      </c>
      <c r="I246" s="6">
        <f>SUMIFS([0]!VOTOS2,[0]!TURNO1,I$31,[0]!CANDIDATO1,$C246,[0]!MUNICIPIO1,$B$242)</f>
        <v>0</v>
      </c>
      <c r="J246" s="6">
        <f>SUMIFS([0]!VOTOS2,[0]!TURNO1,J$31,[0]!CANDIDATO1,$C246,[0]!MUNICIPIO1,$B$242)</f>
        <v>0</v>
      </c>
      <c r="K246" s="6">
        <f>SUMIFS([0]!VOTOS2,[0]!TURNO1,K$31,[0]!CANDIDATO1,$C246,[0]!MUNICIPIO1,$B$242)</f>
        <v>0</v>
      </c>
      <c r="L246" s="6">
        <f>SUMIFS([0]!VOTOS2,[0]!TURNO1,L$31,[0]!CANDIDATO1,$C246,[0]!MUNICIPIO1,$B$242)</f>
        <v>0</v>
      </c>
      <c r="M246" s="6">
        <f>SUMIFS([0]!VOTOS2,[0]!TURNO1,M$31,[0]!CANDIDATO1,$C246,[0]!MUNICIPIO1,$B$242)</f>
        <v>0</v>
      </c>
      <c r="N246" s="6">
        <f>SUMIFS([0]!VOTOS2,[0]!TURNO1,N$31,[0]!CANDIDATO1,$C246,[0]!MUNICIPIO1,$B$242)</f>
        <v>0</v>
      </c>
      <c r="O246" s="6">
        <f>SUMIFS([0]!VOTOS2,[0]!TURNO1,O$31,[0]!CANDIDATO1,$C246,[0]!MUNICIPIO1,$B$242)</f>
        <v>0</v>
      </c>
      <c r="P246" s="6">
        <f>SUMIFS([0]!VOTOS2,[0]!TURNO1,P$31,[0]!CANDIDATO1,$C246,[0]!MUNICIPIO1,$B$242)</f>
        <v>0</v>
      </c>
      <c r="Q246" s="6">
        <f>SUMIFS([0]!VOTOS2,[0]!TURNO1,Q$31,[0]!CANDIDATO1,$C246,[0]!MUNICIPIO1,$B$242)</f>
        <v>0</v>
      </c>
      <c r="R246" s="6">
        <f>SUMIFS([0]!VOTOS2,[0]!TURNO1,R$31,[0]!CANDIDATO1,$C246,[0]!MUNICIPIO1,$B$242)</f>
        <v>0</v>
      </c>
      <c r="S246" s="6">
        <f>SUMIFS([0]!VOTOS2,[0]!TURNO1,S$31,[0]!CANDIDATO1,$C246,[0]!MUNICIPIO1,$B$242)</f>
        <v>0</v>
      </c>
      <c r="T246" s="6">
        <f>SUMIFS([0]!VOTOS2,[0]!TURNO1,T$31,[0]!CANDIDATO1,$C246,[0]!MUNICIPIO1,$B$242)</f>
        <v>0</v>
      </c>
      <c r="U246" s="6">
        <f>SUMIFS([0]!VOTOS2,[0]!TURNO1,U$31,[0]!CANDIDATO1,$C246,[0]!MUNICIPIO1,$B$242)</f>
        <v>0</v>
      </c>
      <c r="V246" s="6">
        <f>SUMIFS([0]!VOTOS2,[0]!TURNO1,V$31,[0]!CANDIDATO1,$C246,[0]!MUNICIPIO1,$B$242)</f>
        <v>0</v>
      </c>
      <c r="W246" s="6">
        <f>SUMIFS([0]!VOTOS2,[0]!TURNO1,W$31,[0]!CANDIDATO1,$C246,[0]!MUNICIPIO1,$B$242)</f>
        <v>0</v>
      </c>
      <c r="X246" s="24"/>
      <c r="Y246" s="18" t="str">
        <f t="shared" si="563"/>
        <v>GABRIEL REYES</v>
      </c>
      <c r="Z246" s="34">
        <f t="shared" si="564"/>
        <v>0</v>
      </c>
      <c r="AA246" s="34">
        <f t="shared" si="565"/>
        <v>0</v>
      </c>
      <c r="AB246" s="34">
        <f t="shared" ref="AB246:AR246" si="575">IF(SUM(G242:G254)=0,NA(),G246+AA246)</f>
        <v>0</v>
      </c>
      <c r="AC246" s="34">
        <f t="shared" si="575"/>
        <v>0</v>
      </c>
      <c r="AD246" s="34">
        <f t="shared" si="575"/>
        <v>0</v>
      </c>
      <c r="AE246" s="34">
        <f t="shared" si="575"/>
        <v>0</v>
      </c>
      <c r="AF246" s="34">
        <f t="shared" si="575"/>
        <v>0</v>
      </c>
      <c r="AG246" s="34">
        <f t="shared" si="575"/>
        <v>0</v>
      </c>
      <c r="AH246" s="34">
        <f t="shared" si="575"/>
        <v>0</v>
      </c>
      <c r="AI246" s="34">
        <f t="shared" si="575"/>
        <v>0</v>
      </c>
      <c r="AJ246" s="34">
        <f t="shared" si="575"/>
        <v>0</v>
      </c>
      <c r="AK246" s="34" t="e">
        <f t="shared" si="575"/>
        <v>#N/A</v>
      </c>
      <c r="AL246" s="34" t="e">
        <f t="shared" si="575"/>
        <v>#N/A</v>
      </c>
      <c r="AM246" s="34" t="e">
        <f t="shared" si="575"/>
        <v>#N/A</v>
      </c>
      <c r="AN246" s="34" t="e">
        <f t="shared" si="575"/>
        <v>#N/A</v>
      </c>
      <c r="AO246" s="34" t="e">
        <f t="shared" si="575"/>
        <v>#N/A</v>
      </c>
      <c r="AP246" s="34" t="e">
        <f t="shared" si="575"/>
        <v>#N/A</v>
      </c>
      <c r="AQ246" s="34" t="e">
        <f t="shared" si="575"/>
        <v>#N/A</v>
      </c>
      <c r="AR246" s="34" t="e">
        <f t="shared" si="575"/>
        <v>#N/A</v>
      </c>
      <c r="AS246" s="27"/>
      <c r="AT246" s="39"/>
      <c r="AU246" s="39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30"/>
    </row>
    <row r="247" spans="1:66" ht="11.25" customHeight="1" x14ac:dyDescent="0.2">
      <c r="A247" s="37"/>
      <c r="B247" s="73"/>
      <c r="C247" s="33">
        <v>6</v>
      </c>
      <c r="D247" s="8" t="s">
        <v>223</v>
      </c>
      <c r="E247" s="16">
        <f t="shared" si="562"/>
        <v>0</v>
      </c>
      <c r="F247" s="6">
        <f>SUMIFS([0]!VOTOS2,[0]!TURNO1,F$31,[0]!CANDIDATO1,$C247,[0]!MUNICIPIO1,$B$242)</f>
        <v>0</v>
      </c>
      <c r="G247" s="6">
        <f>SUMIFS([0]!VOTOS2,[0]!TURNO1,G$31,[0]!CANDIDATO1,$C247,[0]!MUNICIPIO1,$B$242)</f>
        <v>0</v>
      </c>
      <c r="H247" s="6">
        <f>SUMIFS([0]!VOTOS2,[0]!TURNO1,H$31,[0]!CANDIDATO1,$C247,[0]!MUNICIPIO1,$B$242)</f>
        <v>0</v>
      </c>
      <c r="I247" s="6">
        <f>SUMIFS([0]!VOTOS2,[0]!TURNO1,I$31,[0]!CANDIDATO1,$C247,[0]!MUNICIPIO1,$B$242)</f>
        <v>0</v>
      </c>
      <c r="J247" s="6">
        <f>SUMIFS([0]!VOTOS2,[0]!TURNO1,J$31,[0]!CANDIDATO1,$C247,[0]!MUNICIPIO1,$B$242)</f>
        <v>0</v>
      </c>
      <c r="K247" s="6">
        <f>SUMIFS([0]!VOTOS2,[0]!TURNO1,K$31,[0]!CANDIDATO1,$C247,[0]!MUNICIPIO1,$B$242)</f>
        <v>0</v>
      </c>
      <c r="L247" s="6">
        <f>SUMIFS([0]!VOTOS2,[0]!TURNO1,L$31,[0]!CANDIDATO1,$C247,[0]!MUNICIPIO1,$B$242)</f>
        <v>0</v>
      </c>
      <c r="M247" s="6">
        <f>SUMIFS([0]!VOTOS2,[0]!TURNO1,M$31,[0]!CANDIDATO1,$C247,[0]!MUNICIPIO1,$B$242)</f>
        <v>0</v>
      </c>
      <c r="N247" s="6">
        <f>SUMIFS([0]!VOTOS2,[0]!TURNO1,N$31,[0]!CANDIDATO1,$C247,[0]!MUNICIPIO1,$B$242)</f>
        <v>0</v>
      </c>
      <c r="O247" s="6">
        <f>SUMIFS([0]!VOTOS2,[0]!TURNO1,O$31,[0]!CANDIDATO1,$C247,[0]!MUNICIPIO1,$B$242)</f>
        <v>0</v>
      </c>
      <c r="P247" s="6">
        <f>SUMIFS([0]!VOTOS2,[0]!TURNO1,P$31,[0]!CANDIDATO1,$C247,[0]!MUNICIPIO1,$B$242)</f>
        <v>0</v>
      </c>
      <c r="Q247" s="6">
        <f>SUMIFS([0]!VOTOS2,[0]!TURNO1,Q$31,[0]!CANDIDATO1,$C247,[0]!MUNICIPIO1,$B$242)</f>
        <v>0</v>
      </c>
      <c r="R247" s="6">
        <f>SUMIFS([0]!VOTOS2,[0]!TURNO1,R$31,[0]!CANDIDATO1,$C247,[0]!MUNICIPIO1,$B$242)</f>
        <v>0</v>
      </c>
      <c r="S247" s="6">
        <f>SUMIFS([0]!VOTOS2,[0]!TURNO1,S$31,[0]!CANDIDATO1,$C247,[0]!MUNICIPIO1,$B$242)</f>
        <v>0</v>
      </c>
      <c r="T247" s="6">
        <f>SUMIFS([0]!VOTOS2,[0]!TURNO1,T$31,[0]!CANDIDATO1,$C247,[0]!MUNICIPIO1,$B$242)</f>
        <v>0</v>
      </c>
      <c r="U247" s="6">
        <f>SUMIFS([0]!VOTOS2,[0]!TURNO1,U$31,[0]!CANDIDATO1,$C247,[0]!MUNICIPIO1,$B$242)</f>
        <v>0</v>
      </c>
      <c r="V247" s="6">
        <f>SUMIFS([0]!VOTOS2,[0]!TURNO1,V$31,[0]!CANDIDATO1,$C247,[0]!MUNICIPIO1,$B$242)</f>
        <v>0</v>
      </c>
      <c r="W247" s="6">
        <f>SUMIFS([0]!VOTOS2,[0]!TURNO1,W$31,[0]!CANDIDATO1,$C247,[0]!MUNICIPIO1,$B$242)</f>
        <v>0</v>
      </c>
      <c r="X247" s="24"/>
      <c r="Y247" s="18" t="str">
        <f t="shared" si="563"/>
        <v>ROLANDO GAITAN</v>
      </c>
      <c r="Z247" s="34">
        <f t="shared" si="564"/>
        <v>0</v>
      </c>
      <c r="AA247" s="34">
        <f t="shared" si="565"/>
        <v>0</v>
      </c>
      <c r="AB247" s="34">
        <f t="shared" ref="AB247:AR247" si="576">IF(SUM(G242:G254)=0,NA(),G247+AA247)</f>
        <v>0</v>
      </c>
      <c r="AC247" s="34">
        <f t="shared" si="576"/>
        <v>0</v>
      </c>
      <c r="AD247" s="34">
        <f t="shared" si="576"/>
        <v>0</v>
      </c>
      <c r="AE247" s="34">
        <f t="shared" si="576"/>
        <v>0</v>
      </c>
      <c r="AF247" s="34">
        <f t="shared" si="576"/>
        <v>0</v>
      </c>
      <c r="AG247" s="34">
        <f t="shared" si="576"/>
        <v>0</v>
      </c>
      <c r="AH247" s="34">
        <f t="shared" si="576"/>
        <v>0</v>
      </c>
      <c r="AI247" s="34">
        <f t="shared" si="576"/>
        <v>0</v>
      </c>
      <c r="AJ247" s="34">
        <f t="shared" si="576"/>
        <v>0</v>
      </c>
      <c r="AK247" s="34" t="e">
        <f t="shared" si="576"/>
        <v>#N/A</v>
      </c>
      <c r="AL247" s="34" t="e">
        <f t="shared" si="576"/>
        <v>#N/A</v>
      </c>
      <c r="AM247" s="34" t="e">
        <f t="shared" si="576"/>
        <v>#N/A</v>
      </c>
      <c r="AN247" s="34" t="e">
        <f t="shared" si="576"/>
        <v>#N/A</v>
      </c>
      <c r="AO247" s="34" t="e">
        <f t="shared" si="576"/>
        <v>#N/A</v>
      </c>
      <c r="AP247" s="34" t="e">
        <f t="shared" si="576"/>
        <v>#N/A</v>
      </c>
      <c r="AQ247" s="34" t="e">
        <f t="shared" si="576"/>
        <v>#N/A</v>
      </c>
      <c r="AR247" s="34" t="e">
        <f t="shared" si="576"/>
        <v>#N/A</v>
      </c>
      <c r="AS247" s="27"/>
      <c r="AT247" s="39"/>
      <c r="AU247" s="39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30"/>
    </row>
    <row r="248" spans="1:66" ht="11.25" customHeight="1" x14ac:dyDescent="0.2">
      <c r="A248" s="37"/>
      <c r="B248" s="73"/>
      <c r="C248" s="56">
        <v>7</v>
      </c>
      <c r="D248" s="8" t="s">
        <v>224</v>
      </c>
      <c r="E248" s="16">
        <f t="shared" si="562"/>
        <v>0</v>
      </c>
      <c r="F248" s="6">
        <f>SUMIFS([0]!VOTOS2,[0]!TURNO1,F$31,[0]!CANDIDATO1,$C248,[0]!MUNICIPIO1,$B$242)</f>
        <v>0</v>
      </c>
      <c r="G248" s="6">
        <f>SUMIFS([0]!VOTOS2,[0]!TURNO1,G$31,[0]!CANDIDATO1,$C248,[0]!MUNICIPIO1,$B$242)</f>
        <v>0</v>
      </c>
      <c r="H248" s="6">
        <f>SUMIFS([0]!VOTOS2,[0]!TURNO1,H$31,[0]!CANDIDATO1,$C248,[0]!MUNICIPIO1,$B$242)</f>
        <v>0</v>
      </c>
      <c r="I248" s="6">
        <f>SUMIFS([0]!VOTOS2,[0]!TURNO1,I$31,[0]!CANDIDATO1,$C248,[0]!MUNICIPIO1,$B$242)</f>
        <v>0</v>
      </c>
      <c r="J248" s="6">
        <f>SUMIFS([0]!VOTOS2,[0]!TURNO1,J$31,[0]!CANDIDATO1,$C248,[0]!MUNICIPIO1,$B$242)</f>
        <v>0</v>
      </c>
      <c r="K248" s="6">
        <f>SUMIFS([0]!VOTOS2,[0]!TURNO1,K$31,[0]!CANDIDATO1,$C248,[0]!MUNICIPIO1,$B$242)</f>
        <v>0</v>
      </c>
      <c r="L248" s="6">
        <f>SUMIFS([0]!VOTOS2,[0]!TURNO1,L$31,[0]!CANDIDATO1,$C248,[0]!MUNICIPIO1,$B$242)</f>
        <v>0</v>
      </c>
      <c r="M248" s="6">
        <f>SUMIFS([0]!VOTOS2,[0]!TURNO1,M$31,[0]!CANDIDATO1,$C248,[0]!MUNICIPIO1,$B$242)</f>
        <v>0</v>
      </c>
      <c r="N248" s="6">
        <f>SUMIFS([0]!VOTOS2,[0]!TURNO1,N$31,[0]!CANDIDATO1,$C248,[0]!MUNICIPIO1,$B$242)</f>
        <v>0</v>
      </c>
      <c r="O248" s="6">
        <f>SUMIFS([0]!VOTOS2,[0]!TURNO1,O$31,[0]!CANDIDATO1,$C248,[0]!MUNICIPIO1,$B$242)</f>
        <v>0</v>
      </c>
      <c r="P248" s="6">
        <f>SUMIFS([0]!VOTOS2,[0]!TURNO1,P$31,[0]!CANDIDATO1,$C248,[0]!MUNICIPIO1,$B$242)</f>
        <v>0</v>
      </c>
      <c r="Q248" s="6">
        <f>SUMIFS([0]!VOTOS2,[0]!TURNO1,Q$31,[0]!CANDIDATO1,$C248,[0]!MUNICIPIO1,$B$242)</f>
        <v>0</v>
      </c>
      <c r="R248" s="6">
        <f>SUMIFS([0]!VOTOS2,[0]!TURNO1,R$31,[0]!CANDIDATO1,$C248,[0]!MUNICIPIO1,$B$242)</f>
        <v>0</v>
      </c>
      <c r="S248" s="6">
        <f>SUMIFS([0]!VOTOS2,[0]!TURNO1,S$31,[0]!CANDIDATO1,$C248,[0]!MUNICIPIO1,$B$242)</f>
        <v>0</v>
      </c>
      <c r="T248" s="6">
        <f>SUMIFS([0]!VOTOS2,[0]!TURNO1,T$31,[0]!CANDIDATO1,$C248,[0]!MUNICIPIO1,$B$242)</f>
        <v>0</v>
      </c>
      <c r="U248" s="6">
        <f>SUMIFS([0]!VOTOS2,[0]!TURNO1,U$31,[0]!CANDIDATO1,$C248,[0]!MUNICIPIO1,$B$242)</f>
        <v>0</v>
      </c>
      <c r="V248" s="6">
        <f>SUMIFS([0]!VOTOS2,[0]!TURNO1,V$31,[0]!CANDIDATO1,$C248,[0]!MUNICIPIO1,$B$242)</f>
        <v>0</v>
      </c>
      <c r="W248" s="6">
        <f>SUMIFS([0]!VOTOS2,[0]!TURNO1,W$31,[0]!CANDIDATO1,$C248,[0]!MUNICIPIO1,$B$242)</f>
        <v>0</v>
      </c>
      <c r="X248" s="24"/>
      <c r="Y248" s="18" t="str">
        <f t="shared" si="563"/>
        <v>IVONNE TELLEZ</v>
      </c>
      <c r="Z248" s="34">
        <f t="shared" si="564"/>
        <v>0</v>
      </c>
      <c r="AA248" s="34">
        <f t="shared" si="565"/>
        <v>0</v>
      </c>
      <c r="AB248" s="34">
        <f t="shared" ref="AB248:AR248" si="577">IF(SUM(G242:G254)=0,NA(),G248+AA248)</f>
        <v>0</v>
      </c>
      <c r="AC248" s="34">
        <f t="shared" si="577"/>
        <v>0</v>
      </c>
      <c r="AD248" s="34">
        <f t="shared" si="577"/>
        <v>0</v>
      </c>
      <c r="AE248" s="34">
        <f t="shared" si="577"/>
        <v>0</v>
      </c>
      <c r="AF248" s="34">
        <f t="shared" si="577"/>
        <v>0</v>
      </c>
      <c r="AG248" s="34">
        <f t="shared" si="577"/>
        <v>0</v>
      </c>
      <c r="AH248" s="34">
        <f t="shared" si="577"/>
        <v>0</v>
      </c>
      <c r="AI248" s="34">
        <f t="shared" si="577"/>
        <v>0</v>
      </c>
      <c r="AJ248" s="34">
        <f t="shared" si="577"/>
        <v>0</v>
      </c>
      <c r="AK248" s="34" t="e">
        <f t="shared" si="577"/>
        <v>#N/A</v>
      </c>
      <c r="AL248" s="34" t="e">
        <f t="shared" si="577"/>
        <v>#N/A</v>
      </c>
      <c r="AM248" s="34" t="e">
        <f t="shared" si="577"/>
        <v>#N/A</v>
      </c>
      <c r="AN248" s="34" t="e">
        <f t="shared" si="577"/>
        <v>#N/A</v>
      </c>
      <c r="AO248" s="34" t="e">
        <f t="shared" si="577"/>
        <v>#N/A</v>
      </c>
      <c r="AP248" s="34" t="e">
        <f t="shared" si="577"/>
        <v>#N/A</v>
      </c>
      <c r="AQ248" s="34" t="e">
        <f t="shared" si="577"/>
        <v>#N/A</v>
      </c>
      <c r="AR248" s="34" t="e">
        <f t="shared" si="577"/>
        <v>#N/A</v>
      </c>
      <c r="AS248" s="27"/>
      <c r="AT248" s="39"/>
      <c r="AU248" s="39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30"/>
    </row>
    <row r="249" spans="1:66" ht="11.25" customHeight="1" x14ac:dyDescent="0.2">
      <c r="A249" s="42"/>
      <c r="B249" s="74"/>
      <c r="C249" s="33">
        <v>8</v>
      </c>
      <c r="D249" s="8" t="s">
        <v>119</v>
      </c>
      <c r="E249" s="16">
        <f t="shared" si="562"/>
        <v>0</v>
      </c>
      <c r="F249" s="6">
        <f>SUMIFS([0]!VOTOS2,[0]!TURNO1,F$31,[0]!CANDIDATO1,$C249,[0]!MUNICIPIO1,$B$242)</f>
        <v>0</v>
      </c>
      <c r="G249" s="6">
        <f>SUMIFS([0]!VOTOS2,[0]!TURNO1,G$31,[0]!CANDIDATO1,$C249,[0]!MUNICIPIO1,$B$242)</f>
        <v>0</v>
      </c>
      <c r="H249" s="6">
        <f>SUMIFS([0]!VOTOS2,[0]!TURNO1,H$31,[0]!CANDIDATO1,$C249,[0]!MUNICIPIO1,$B$242)</f>
        <v>0</v>
      </c>
      <c r="I249" s="6">
        <f>SUMIFS([0]!VOTOS2,[0]!TURNO1,I$31,[0]!CANDIDATO1,$C249,[0]!MUNICIPIO1,$B$242)</f>
        <v>0</v>
      </c>
      <c r="J249" s="6">
        <f>SUMIFS([0]!VOTOS2,[0]!TURNO1,J$31,[0]!CANDIDATO1,$C249,[0]!MUNICIPIO1,$B$242)</f>
        <v>0</v>
      </c>
      <c r="K249" s="6">
        <f>SUMIFS([0]!VOTOS2,[0]!TURNO1,K$31,[0]!CANDIDATO1,$C249,[0]!MUNICIPIO1,$B$242)</f>
        <v>0</v>
      </c>
      <c r="L249" s="6">
        <f>SUMIFS([0]!VOTOS2,[0]!TURNO1,L$31,[0]!CANDIDATO1,$C249,[0]!MUNICIPIO1,$B$242)</f>
        <v>0</v>
      </c>
      <c r="M249" s="6">
        <f>SUMIFS([0]!VOTOS2,[0]!TURNO1,M$31,[0]!CANDIDATO1,$C249,[0]!MUNICIPIO1,$B$242)</f>
        <v>0</v>
      </c>
      <c r="N249" s="6">
        <f>SUMIFS([0]!VOTOS2,[0]!TURNO1,N$31,[0]!CANDIDATO1,$C249,[0]!MUNICIPIO1,$B$242)</f>
        <v>0</v>
      </c>
      <c r="O249" s="6">
        <f>SUMIFS([0]!VOTOS2,[0]!TURNO1,O$31,[0]!CANDIDATO1,$C249,[0]!MUNICIPIO1,$B$242)</f>
        <v>0</v>
      </c>
      <c r="P249" s="6">
        <f>SUMIFS([0]!VOTOS2,[0]!TURNO1,P$31,[0]!CANDIDATO1,$C249,[0]!MUNICIPIO1,$B$242)</f>
        <v>0</v>
      </c>
      <c r="Q249" s="6">
        <f>SUMIFS([0]!VOTOS2,[0]!TURNO1,Q$31,[0]!CANDIDATO1,$C249,[0]!MUNICIPIO1,$B$242)</f>
        <v>0</v>
      </c>
      <c r="R249" s="6">
        <f>SUMIFS([0]!VOTOS2,[0]!TURNO1,R$31,[0]!CANDIDATO1,$C249,[0]!MUNICIPIO1,$B$242)</f>
        <v>0</v>
      </c>
      <c r="S249" s="6">
        <f>SUMIFS([0]!VOTOS2,[0]!TURNO1,S$31,[0]!CANDIDATO1,$C249,[0]!MUNICIPIO1,$B$242)</f>
        <v>0</v>
      </c>
      <c r="T249" s="6">
        <f>SUMIFS([0]!VOTOS2,[0]!TURNO1,T$31,[0]!CANDIDATO1,$C249,[0]!MUNICIPIO1,$B$242)</f>
        <v>0</v>
      </c>
      <c r="U249" s="6">
        <f>SUMIFS([0]!VOTOS2,[0]!TURNO1,U$31,[0]!CANDIDATO1,$C249,[0]!MUNICIPIO1,$B$242)</f>
        <v>0</v>
      </c>
      <c r="V249" s="6">
        <f>SUMIFS([0]!VOTOS2,[0]!TURNO1,V$31,[0]!CANDIDATO1,$C249,[0]!MUNICIPIO1,$B$242)</f>
        <v>0</v>
      </c>
      <c r="W249" s="6">
        <f>SUMIFS([0]!VOTOS2,[0]!TURNO1,W$31,[0]!CANDIDATO1,$C249,[0]!MUNICIPIO1,$B$242)</f>
        <v>0</v>
      </c>
      <c r="X249" s="24"/>
      <c r="Y249" s="18" t="str">
        <f t="shared" si="563"/>
        <v>JUAN PEÑA</v>
      </c>
      <c r="Z249" s="34">
        <f t="shared" si="564"/>
        <v>0</v>
      </c>
      <c r="AA249" s="34">
        <f t="shared" si="565"/>
        <v>0</v>
      </c>
      <c r="AB249" s="34">
        <f t="shared" ref="AB249:AR249" si="578">IF(SUM(G242:G254)=0,NA(),G249+AA249)</f>
        <v>0</v>
      </c>
      <c r="AC249" s="34">
        <f t="shared" si="578"/>
        <v>0</v>
      </c>
      <c r="AD249" s="34">
        <f t="shared" si="578"/>
        <v>0</v>
      </c>
      <c r="AE249" s="34">
        <f t="shared" si="578"/>
        <v>0</v>
      </c>
      <c r="AF249" s="34">
        <f t="shared" si="578"/>
        <v>0</v>
      </c>
      <c r="AG249" s="34">
        <f t="shared" si="578"/>
        <v>0</v>
      </c>
      <c r="AH249" s="34">
        <f t="shared" si="578"/>
        <v>0</v>
      </c>
      <c r="AI249" s="34">
        <f t="shared" si="578"/>
        <v>0</v>
      </c>
      <c r="AJ249" s="34">
        <f t="shared" si="578"/>
        <v>0</v>
      </c>
      <c r="AK249" s="34" t="e">
        <f t="shared" si="578"/>
        <v>#N/A</v>
      </c>
      <c r="AL249" s="34" t="e">
        <f t="shared" si="578"/>
        <v>#N/A</v>
      </c>
      <c r="AM249" s="34" t="e">
        <f t="shared" si="578"/>
        <v>#N/A</v>
      </c>
      <c r="AN249" s="34" t="e">
        <f t="shared" si="578"/>
        <v>#N/A</v>
      </c>
      <c r="AO249" s="34" t="e">
        <f t="shared" si="578"/>
        <v>#N/A</v>
      </c>
      <c r="AP249" s="34" t="e">
        <f t="shared" si="578"/>
        <v>#N/A</v>
      </c>
      <c r="AQ249" s="34" t="e">
        <f t="shared" si="578"/>
        <v>#N/A</v>
      </c>
      <c r="AR249" s="34" t="e">
        <f t="shared" si="578"/>
        <v>#N/A</v>
      </c>
      <c r="AS249" s="27"/>
      <c r="AT249" s="41"/>
      <c r="AU249" s="41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30"/>
    </row>
    <row r="250" spans="1:66" ht="11.25" customHeight="1" x14ac:dyDescent="0.2">
      <c r="A250" s="44"/>
      <c r="B250" s="54"/>
      <c r="C250" s="46">
        <v>9</v>
      </c>
      <c r="D250" s="14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24"/>
      <c r="Y250" s="18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27"/>
      <c r="AT250" s="41"/>
      <c r="AU250" s="41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30"/>
    </row>
    <row r="251" spans="1:66" ht="11.25" customHeight="1" x14ac:dyDescent="0.2">
      <c r="A251" s="44"/>
      <c r="B251" s="54"/>
      <c r="C251" s="46">
        <v>10</v>
      </c>
      <c r="D251" s="14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24"/>
      <c r="Y251" s="18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27"/>
      <c r="AT251" s="41"/>
      <c r="AU251" s="41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30"/>
    </row>
    <row r="252" spans="1:66" ht="11.25" customHeight="1" x14ac:dyDescent="0.2">
      <c r="A252" s="44"/>
      <c r="B252" s="54"/>
      <c r="C252" s="46">
        <v>11</v>
      </c>
      <c r="D252" s="14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24"/>
      <c r="Y252" s="18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27"/>
      <c r="AT252" s="41"/>
      <c r="AU252" s="41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30"/>
    </row>
    <row r="253" spans="1:66" ht="11.25" customHeight="1" x14ac:dyDescent="0.2">
      <c r="A253" s="44"/>
      <c r="B253" s="54"/>
      <c r="C253" s="46">
        <v>12</v>
      </c>
      <c r="D253" s="14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24"/>
      <c r="Y253" s="18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27"/>
      <c r="AT253" s="41"/>
      <c r="AU253" s="41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30"/>
    </row>
    <row r="254" spans="1:66" ht="11.25" customHeight="1" x14ac:dyDescent="0.2">
      <c r="A254" s="44"/>
      <c r="B254" s="54"/>
      <c r="C254" s="46">
        <v>13</v>
      </c>
      <c r="D254" s="14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24"/>
      <c r="Y254" s="18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27"/>
      <c r="AT254" s="41"/>
      <c r="AU254" s="41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30"/>
    </row>
    <row r="255" spans="1:66" ht="11.25" customHeight="1" x14ac:dyDescent="0.2">
      <c r="D255" s="31" t="s">
        <v>76</v>
      </c>
      <c r="X255" s="24"/>
      <c r="Y255" s="19" t="s">
        <v>79</v>
      </c>
      <c r="Z255" s="34">
        <f t="shared" ref="Z255" si="579">SUM(Z244:Z254)</f>
        <v>137</v>
      </c>
      <c r="AA255" s="34">
        <f t="shared" ref="AA255" si="580">SUM(AA244:AA254)</f>
        <v>0</v>
      </c>
      <c r="AB255" s="34">
        <f t="shared" ref="AB255" si="581">SUM(AB244:AB254)</f>
        <v>0</v>
      </c>
      <c r="AC255" s="34">
        <f t="shared" ref="AC255" si="582">SUM(AC244:AC254)</f>
        <v>17</v>
      </c>
      <c r="AD255" s="34">
        <f t="shared" ref="AD255" si="583">SUM(AD244:AD254)</f>
        <v>77</v>
      </c>
      <c r="AE255" s="34">
        <f t="shared" ref="AE255" si="584">SUM(AE244:AE254)</f>
        <v>137</v>
      </c>
      <c r="AF255" s="34">
        <f t="shared" ref="AF255" si="585">SUM(AF244:AF254)</f>
        <v>137</v>
      </c>
      <c r="AG255" s="34">
        <f t="shared" ref="AG255" si="586">SUM(AG244:AG254)</f>
        <v>137</v>
      </c>
      <c r="AH255" s="34">
        <f t="shared" ref="AH255" si="587">SUM(AH244:AH254)</f>
        <v>137</v>
      </c>
      <c r="AI255" s="34">
        <f t="shared" ref="AI255" si="588">SUM(AI244:AI254)</f>
        <v>137</v>
      </c>
      <c r="AJ255" s="34">
        <f t="shared" ref="AJ255" si="589">SUM(AJ244:AJ254)</f>
        <v>137</v>
      </c>
      <c r="AK255" s="34" t="e">
        <f t="shared" ref="AK255" si="590">SUM(AK244:AK254)</f>
        <v>#N/A</v>
      </c>
      <c r="AL255" s="34" t="e">
        <f t="shared" ref="AL255" si="591">SUM(AL244:AL254)</f>
        <v>#N/A</v>
      </c>
      <c r="AM255" s="34" t="e">
        <f t="shared" ref="AM255" si="592">SUM(AM244:AM254)</f>
        <v>#N/A</v>
      </c>
      <c r="AN255" s="34" t="e">
        <f t="shared" ref="AN255" si="593">SUM(AN244:AN254)</f>
        <v>#N/A</v>
      </c>
      <c r="AO255" s="34" t="e">
        <f t="shared" ref="AO255" si="594">SUM(AO244:AO254)</f>
        <v>#N/A</v>
      </c>
      <c r="AP255" s="34" t="e">
        <f t="shared" ref="AP255" si="595">SUM(AP244:AP254)</f>
        <v>#N/A</v>
      </c>
      <c r="AQ255" s="34" t="e">
        <f t="shared" ref="AQ255" si="596">SUM(AQ244:AQ254)</f>
        <v>#N/A</v>
      </c>
      <c r="AR255" s="34" t="e">
        <f t="shared" ref="AR255" si="597">SUM(AR244:AR254)</f>
        <v>#N/A</v>
      </c>
      <c r="AS255" s="27"/>
      <c r="AT255" s="41"/>
      <c r="AU255" s="41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30"/>
    </row>
    <row r="256" spans="1:66" ht="11.25" customHeight="1" x14ac:dyDescent="0.2">
      <c r="A256" s="75" t="s">
        <v>63</v>
      </c>
      <c r="B256" s="76"/>
      <c r="C256" s="47"/>
      <c r="D256" s="48" t="s">
        <v>75</v>
      </c>
      <c r="E256" s="49" t="s">
        <v>70</v>
      </c>
      <c r="F256" s="49">
        <v>0</v>
      </c>
      <c r="G256" s="49">
        <v>1</v>
      </c>
      <c r="H256" s="49">
        <v>2</v>
      </c>
      <c r="I256" s="49">
        <v>3</v>
      </c>
      <c r="J256" s="49">
        <v>4</v>
      </c>
      <c r="K256" s="49">
        <v>5</v>
      </c>
      <c r="L256" s="49">
        <v>6</v>
      </c>
      <c r="M256" s="49">
        <v>7</v>
      </c>
      <c r="N256" s="49">
        <v>8</v>
      </c>
      <c r="O256" s="49">
        <v>9</v>
      </c>
      <c r="P256" s="49">
        <v>10</v>
      </c>
      <c r="Q256" s="49">
        <v>11</v>
      </c>
      <c r="R256" s="49">
        <v>12</v>
      </c>
      <c r="S256" s="49">
        <v>13</v>
      </c>
      <c r="T256" s="49">
        <v>14</v>
      </c>
      <c r="U256" s="49">
        <v>15</v>
      </c>
      <c r="V256" s="49">
        <v>16</v>
      </c>
      <c r="W256" s="23">
        <v>17</v>
      </c>
      <c r="X256" s="24"/>
      <c r="Y256" s="17"/>
      <c r="Z256" s="25" t="s">
        <v>64</v>
      </c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7"/>
      <c r="AT256" s="28"/>
      <c r="AU256" s="28" t="s">
        <v>64</v>
      </c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30"/>
    </row>
    <row r="257" spans="1:66" ht="11.25" customHeight="1" x14ac:dyDescent="0.2">
      <c r="A257" s="32"/>
      <c r="B257" s="72">
        <v>18</v>
      </c>
      <c r="C257" s="56">
        <v>1</v>
      </c>
      <c r="D257" s="7" t="s">
        <v>208</v>
      </c>
      <c r="E257" s="16">
        <f t="shared" ref="E257:E266" si="598">SUM(F257:W257)</f>
        <v>756</v>
      </c>
      <c r="F257" s="6">
        <f>SUMIFS([0]!VOTOS2,[0]!TURNO1,F$31,[0]!CANDIDATO1,$C257,[0]!MUNICIPIO1,$B$257)</f>
        <v>10</v>
      </c>
      <c r="G257" s="6">
        <f>SUMIFS([0]!VOTOS2,[0]!TURNO1,G$31,[0]!CANDIDATO1,$C257,[0]!MUNICIPIO1,$B$257)</f>
        <v>130</v>
      </c>
      <c r="H257" s="6">
        <f>SUMIFS([0]!VOTOS2,[0]!TURNO1,H$31,[0]!CANDIDATO1,$C257,[0]!MUNICIPIO1,$B$257)</f>
        <v>132</v>
      </c>
      <c r="I257" s="6">
        <f>SUMIFS([0]!VOTOS2,[0]!TURNO1,I$31,[0]!CANDIDATO1,$C257,[0]!MUNICIPIO1,$B$257)</f>
        <v>130</v>
      </c>
      <c r="J257" s="6">
        <f>SUMIFS([0]!VOTOS2,[0]!TURNO1,J$31,[0]!CANDIDATO1,$C257,[0]!MUNICIPIO1,$B$257)</f>
        <v>130</v>
      </c>
      <c r="K257" s="6">
        <f>SUMIFS([0]!VOTOS2,[0]!TURNO1,K$31,[0]!CANDIDATO1,$C257,[0]!MUNICIPIO1,$B$257)</f>
        <v>130</v>
      </c>
      <c r="L257" s="6">
        <f>SUMIFS([0]!VOTOS2,[0]!TURNO1,L$31,[0]!CANDIDATO1,$C257,[0]!MUNICIPIO1,$B$257)</f>
        <v>76</v>
      </c>
      <c r="M257" s="6">
        <f>SUMIFS([0]!VOTOS2,[0]!TURNO1,M$31,[0]!CANDIDATO1,$C257,[0]!MUNICIPIO1,$B$257)</f>
        <v>5</v>
      </c>
      <c r="N257" s="6">
        <f>SUMIFS([0]!VOTOS2,[0]!TURNO1,N$31,[0]!CANDIDATO1,$C257,[0]!MUNICIPIO1,$B$257)</f>
        <v>9</v>
      </c>
      <c r="O257" s="6">
        <f>SUMIFS([0]!VOTOS2,[0]!TURNO1,O$31,[0]!CANDIDATO1,$C257,[0]!MUNICIPIO1,$B$257)</f>
        <v>4</v>
      </c>
      <c r="P257" s="6">
        <f>SUMIFS([0]!VOTOS2,[0]!TURNO1,P$31,[0]!CANDIDATO1,$C257,[0]!MUNICIPIO1,$B$257)</f>
        <v>0</v>
      </c>
      <c r="Q257" s="6">
        <f>SUMIFS([0]!VOTOS2,[0]!TURNO1,Q$31,[0]!CANDIDATO1,$C257,[0]!MUNICIPIO1,$B$257)</f>
        <v>0</v>
      </c>
      <c r="R257" s="6">
        <f>SUMIFS([0]!VOTOS2,[0]!TURNO1,R$31,[0]!CANDIDATO1,$C257,[0]!MUNICIPIO1,$B$257)</f>
        <v>0</v>
      </c>
      <c r="S257" s="6">
        <f>SUMIFS([0]!VOTOS2,[0]!TURNO1,S$31,[0]!CANDIDATO1,$C257,[0]!MUNICIPIO1,$B$257)</f>
        <v>0</v>
      </c>
      <c r="T257" s="6">
        <f>SUMIFS([0]!VOTOS2,[0]!TURNO1,T$31,[0]!CANDIDATO1,$C257,[0]!MUNICIPIO1,$B$257)</f>
        <v>0</v>
      </c>
      <c r="U257" s="6">
        <f>SUMIFS([0]!VOTOS2,[0]!TURNO1,U$31,[0]!CANDIDATO1,$C257,[0]!MUNICIPIO1,$B$257)</f>
        <v>0</v>
      </c>
      <c r="V257" s="6">
        <f>SUMIFS([0]!VOTOS2,[0]!TURNO1,V$31,[0]!CANDIDATO1,$C257,[0]!MUNICIPIO1,$B$257)</f>
        <v>0</v>
      </c>
      <c r="W257" s="6">
        <f>SUMIFS([0]!VOTOS2,[0]!TURNO1,W$31,[0]!CANDIDATO1,$C257,[0]!MUNICIPIO1,$B$257)</f>
        <v>0</v>
      </c>
      <c r="X257" s="24"/>
      <c r="Y257" s="18" t="str">
        <f t="shared" ref="Y257:Y266" si="599">D257</f>
        <v>RAFAEL LACAVA</v>
      </c>
      <c r="Z257" s="34">
        <f t="shared" ref="Z257:Z266" si="600">E257</f>
        <v>756</v>
      </c>
      <c r="AA257" s="34">
        <f t="shared" ref="AA257:AA266" si="601">F257</f>
        <v>10</v>
      </c>
      <c r="AB257" s="34">
        <f t="shared" ref="AB257:AR257" si="602">IF(SUM(G257:G269)=0,NA(),G257+AA257)</f>
        <v>140</v>
      </c>
      <c r="AC257" s="34">
        <f t="shared" si="602"/>
        <v>272</v>
      </c>
      <c r="AD257" s="34">
        <f t="shared" si="602"/>
        <v>402</v>
      </c>
      <c r="AE257" s="34">
        <f t="shared" si="602"/>
        <v>532</v>
      </c>
      <c r="AF257" s="34">
        <f t="shared" si="602"/>
        <v>662</v>
      </c>
      <c r="AG257" s="34">
        <f t="shared" si="602"/>
        <v>738</v>
      </c>
      <c r="AH257" s="34">
        <f t="shared" si="602"/>
        <v>743</v>
      </c>
      <c r="AI257" s="34">
        <f t="shared" si="602"/>
        <v>752</v>
      </c>
      <c r="AJ257" s="34">
        <f t="shared" si="602"/>
        <v>756</v>
      </c>
      <c r="AK257" s="34" t="e">
        <f t="shared" si="602"/>
        <v>#N/A</v>
      </c>
      <c r="AL257" s="34" t="e">
        <f t="shared" si="602"/>
        <v>#N/A</v>
      </c>
      <c r="AM257" s="34" t="e">
        <f t="shared" si="602"/>
        <v>#N/A</v>
      </c>
      <c r="AN257" s="34" t="e">
        <f t="shared" si="602"/>
        <v>#N/A</v>
      </c>
      <c r="AO257" s="34" t="e">
        <f t="shared" si="602"/>
        <v>#N/A</v>
      </c>
      <c r="AP257" s="34" t="e">
        <f t="shared" si="602"/>
        <v>#N/A</v>
      </c>
      <c r="AQ257" s="34" t="e">
        <f t="shared" si="602"/>
        <v>#N/A</v>
      </c>
      <c r="AR257" s="34" t="e">
        <f t="shared" si="602"/>
        <v>#N/A</v>
      </c>
      <c r="AS257" s="27"/>
      <c r="AT257" s="35" t="str">
        <f t="shared" ref="AT257:AT258" si="603">Y257</f>
        <v>RAFAEL LACAVA</v>
      </c>
      <c r="AU257" s="36">
        <f t="shared" ref="AU257:BM257" si="604">Z257/(Z257+Z258+Z270)</f>
        <v>0.62427745664739887</v>
      </c>
      <c r="AV257" s="36">
        <f t="shared" si="604"/>
        <v>0.5</v>
      </c>
      <c r="AW257" s="36">
        <f t="shared" si="604"/>
        <v>0.60344827586206895</v>
      </c>
      <c r="AX257" s="36">
        <f t="shared" si="604"/>
        <v>0.60986547085201792</v>
      </c>
      <c r="AY257" s="36">
        <f t="shared" si="604"/>
        <v>0.61094224924012153</v>
      </c>
      <c r="AZ257" s="36">
        <f t="shared" si="604"/>
        <v>0.61149425287356318</v>
      </c>
      <c r="BA257" s="36">
        <f t="shared" si="604"/>
        <v>0.61182994454713491</v>
      </c>
      <c r="BB257" s="36">
        <f t="shared" si="604"/>
        <v>0.63347639484978546</v>
      </c>
      <c r="BC257" s="36">
        <f t="shared" si="604"/>
        <v>0.63073005093378609</v>
      </c>
      <c r="BD257" s="36">
        <f t="shared" si="604"/>
        <v>0.63140218303946261</v>
      </c>
      <c r="BE257" s="36">
        <f t="shared" si="604"/>
        <v>0.62427745664739887</v>
      </c>
      <c r="BF257" s="36" t="e">
        <f t="shared" si="604"/>
        <v>#N/A</v>
      </c>
      <c r="BG257" s="36" t="e">
        <f t="shared" si="604"/>
        <v>#N/A</v>
      </c>
      <c r="BH257" s="36" t="e">
        <f t="shared" si="604"/>
        <v>#N/A</v>
      </c>
      <c r="BI257" s="36" t="e">
        <f t="shared" si="604"/>
        <v>#N/A</v>
      </c>
      <c r="BJ257" s="36" t="e">
        <f t="shared" si="604"/>
        <v>#N/A</v>
      </c>
      <c r="BK257" s="36" t="e">
        <f t="shared" si="604"/>
        <v>#N/A</v>
      </c>
      <c r="BL257" s="36" t="e">
        <f t="shared" si="604"/>
        <v>#N/A</v>
      </c>
      <c r="BM257" s="36" t="e">
        <f t="shared" si="604"/>
        <v>#N/A</v>
      </c>
      <c r="BN257" s="30"/>
    </row>
    <row r="258" spans="1:66" ht="11.25" customHeight="1" x14ac:dyDescent="0.2">
      <c r="A258" s="37"/>
      <c r="B258" s="73"/>
      <c r="C258" s="33">
        <v>2</v>
      </c>
      <c r="D258" s="8" t="s">
        <v>209</v>
      </c>
      <c r="E258" s="16">
        <f t="shared" si="598"/>
        <v>455</v>
      </c>
      <c r="F258" s="6">
        <f>SUMIFS([0]!VOTOS2,[0]!TURNO1,F$31,[0]!CANDIDATO1,$C258,[0]!MUNICIPIO1,$B$257)</f>
        <v>10</v>
      </c>
      <c r="G258" s="6">
        <f>SUMIFS([0]!VOTOS2,[0]!TURNO1,G$31,[0]!CANDIDATO1,$C258,[0]!MUNICIPIO1,$B$257)</f>
        <v>82</v>
      </c>
      <c r="H258" s="6">
        <f>SUMIFS([0]!VOTOS2,[0]!TURNO1,H$31,[0]!CANDIDATO1,$C258,[0]!MUNICIPIO1,$B$257)</f>
        <v>82</v>
      </c>
      <c r="I258" s="6">
        <f>SUMIFS([0]!VOTOS2,[0]!TURNO1,I$31,[0]!CANDIDATO1,$C258,[0]!MUNICIPIO1,$B$257)</f>
        <v>82</v>
      </c>
      <c r="J258" s="6">
        <f>SUMIFS([0]!VOTOS2,[0]!TURNO1,J$31,[0]!CANDIDATO1,$C258,[0]!MUNICIPIO1,$B$257)</f>
        <v>82</v>
      </c>
      <c r="K258" s="6">
        <f>SUMIFS([0]!VOTOS2,[0]!TURNO1,K$31,[0]!CANDIDATO1,$C258,[0]!MUNICIPIO1,$B$257)</f>
        <v>82</v>
      </c>
      <c r="L258" s="6">
        <f>SUMIFS([0]!VOTOS2,[0]!TURNO1,L$31,[0]!CANDIDATO1,$C258,[0]!MUNICIPIO1,$B$257)</f>
        <v>7</v>
      </c>
      <c r="M258" s="6">
        <f>SUMIFS([0]!VOTOS2,[0]!TURNO1,M$31,[0]!CANDIDATO1,$C258,[0]!MUNICIPIO1,$B$257)</f>
        <v>8</v>
      </c>
      <c r="N258" s="6">
        <f>SUMIFS([0]!VOTOS2,[0]!TURNO1,N$31,[0]!CANDIDATO1,$C258,[0]!MUNICIPIO1,$B$257)</f>
        <v>4</v>
      </c>
      <c r="O258" s="6">
        <f>SUMIFS([0]!VOTOS2,[0]!TURNO1,O$31,[0]!CANDIDATO1,$C258,[0]!MUNICIPIO1,$B$257)</f>
        <v>16</v>
      </c>
      <c r="P258" s="6">
        <f>SUMIFS([0]!VOTOS2,[0]!TURNO1,P$31,[0]!CANDIDATO1,$C258,[0]!MUNICIPIO1,$B$257)</f>
        <v>0</v>
      </c>
      <c r="Q258" s="6">
        <f>SUMIFS([0]!VOTOS2,[0]!TURNO1,Q$31,[0]!CANDIDATO1,$C258,[0]!MUNICIPIO1,$B$257)</f>
        <v>0</v>
      </c>
      <c r="R258" s="6">
        <f>SUMIFS([0]!VOTOS2,[0]!TURNO1,R$31,[0]!CANDIDATO1,$C258,[0]!MUNICIPIO1,$B$257)</f>
        <v>0</v>
      </c>
      <c r="S258" s="6">
        <f>SUMIFS([0]!VOTOS2,[0]!TURNO1,S$31,[0]!CANDIDATO1,$C258,[0]!MUNICIPIO1,$B$257)</f>
        <v>0</v>
      </c>
      <c r="T258" s="6">
        <f>SUMIFS([0]!VOTOS2,[0]!TURNO1,T$31,[0]!CANDIDATO1,$C258,[0]!MUNICIPIO1,$B$257)</f>
        <v>0</v>
      </c>
      <c r="U258" s="6">
        <f>SUMIFS([0]!VOTOS2,[0]!TURNO1,U$31,[0]!CANDIDATO1,$C258,[0]!MUNICIPIO1,$B$257)</f>
        <v>0</v>
      </c>
      <c r="V258" s="6">
        <f>SUMIFS([0]!VOTOS2,[0]!TURNO1,V$31,[0]!CANDIDATO1,$C258,[0]!MUNICIPIO1,$B$257)</f>
        <v>0</v>
      </c>
      <c r="W258" s="6">
        <f>SUMIFS([0]!VOTOS2,[0]!TURNO1,W$31,[0]!CANDIDATO1,$C258,[0]!MUNICIPIO1,$B$257)</f>
        <v>0</v>
      </c>
      <c r="X258" s="24"/>
      <c r="Y258" s="18" t="str">
        <f t="shared" si="599"/>
        <v>YLIDIO DE ABREU</v>
      </c>
      <c r="Z258" s="34">
        <f t="shared" si="600"/>
        <v>455</v>
      </c>
      <c r="AA258" s="34">
        <f t="shared" si="601"/>
        <v>10</v>
      </c>
      <c r="AB258" s="34">
        <f t="shared" ref="AB258:AR258" si="605">IF(SUM(G257:G269)=0,NA(),G258+AA258)</f>
        <v>92</v>
      </c>
      <c r="AC258" s="34">
        <f t="shared" si="605"/>
        <v>174</v>
      </c>
      <c r="AD258" s="34">
        <f t="shared" si="605"/>
        <v>256</v>
      </c>
      <c r="AE258" s="34">
        <f t="shared" si="605"/>
        <v>338</v>
      </c>
      <c r="AF258" s="34">
        <f t="shared" si="605"/>
        <v>420</v>
      </c>
      <c r="AG258" s="34">
        <f t="shared" si="605"/>
        <v>427</v>
      </c>
      <c r="AH258" s="34">
        <f t="shared" si="605"/>
        <v>435</v>
      </c>
      <c r="AI258" s="34">
        <f t="shared" si="605"/>
        <v>439</v>
      </c>
      <c r="AJ258" s="34">
        <f t="shared" si="605"/>
        <v>455</v>
      </c>
      <c r="AK258" s="34" t="e">
        <f t="shared" si="605"/>
        <v>#N/A</v>
      </c>
      <c r="AL258" s="34" t="e">
        <f t="shared" si="605"/>
        <v>#N/A</v>
      </c>
      <c r="AM258" s="34" t="e">
        <f t="shared" si="605"/>
        <v>#N/A</v>
      </c>
      <c r="AN258" s="34" t="e">
        <f t="shared" si="605"/>
        <v>#N/A</v>
      </c>
      <c r="AO258" s="34" t="e">
        <f t="shared" si="605"/>
        <v>#N/A</v>
      </c>
      <c r="AP258" s="34" t="e">
        <f t="shared" si="605"/>
        <v>#N/A</v>
      </c>
      <c r="AQ258" s="34" t="e">
        <f t="shared" si="605"/>
        <v>#N/A</v>
      </c>
      <c r="AR258" s="34" t="e">
        <f t="shared" si="605"/>
        <v>#N/A</v>
      </c>
      <c r="AS258" s="27"/>
      <c r="AT258" s="35" t="str">
        <f t="shared" si="603"/>
        <v>YLIDIO DE ABREU</v>
      </c>
      <c r="AU258" s="36">
        <f t="shared" ref="AU258:BM258" si="606">Z258/(Z257+Z258+Z270)</f>
        <v>0.37572254335260113</v>
      </c>
      <c r="AV258" s="36">
        <f t="shared" si="606"/>
        <v>0.5</v>
      </c>
      <c r="AW258" s="36">
        <f t="shared" si="606"/>
        <v>0.39655172413793105</v>
      </c>
      <c r="AX258" s="36">
        <f t="shared" si="606"/>
        <v>0.39013452914798208</v>
      </c>
      <c r="AY258" s="36">
        <f t="shared" si="606"/>
        <v>0.38905775075987842</v>
      </c>
      <c r="AZ258" s="36">
        <f t="shared" si="606"/>
        <v>0.38850574712643676</v>
      </c>
      <c r="BA258" s="36">
        <f t="shared" si="606"/>
        <v>0.38817005545286504</v>
      </c>
      <c r="BB258" s="36">
        <f t="shared" si="606"/>
        <v>0.36652360515021459</v>
      </c>
      <c r="BC258" s="36">
        <f t="shared" si="606"/>
        <v>0.36926994906621391</v>
      </c>
      <c r="BD258" s="36">
        <f t="shared" si="606"/>
        <v>0.36859781696053734</v>
      </c>
      <c r="BE258" s="36">
        <f t="shared" si="606"/>
        <v>0.37572254335260113</v>
      </c>
      <c r="BF258" s="36" t="e">
        <f t="shared" si="606"/>
        <v>#N/A</v>
      </c>
      <c r="BG258" s="36" t="e">
        <f t="shared" si="606"/>
        <v>#N/A</v>
      </c>
      <c r="BH258" s="36" t="e">
        <f t="shared" si="606"/>
        <v>#N/A</v>
      </c>
      <c r="BI258" s="36" t="e">
        <f t="shared" si="606"/>
        <v>#N/A</v>
      </c>
      <c r="BJ258" s="36" t="e">
        <f t="shared" si="606"/>
        <v>#N/A</v>
      </c>
      <c r="BK258" s="36" t="e">
        <f t="shared" si="606"/>
        <v>#N/A</v>
      </c>
      <c r="BL258" s="36" t="e">
        <f t="shared" si="606"/>
        <v>#N/A</v>
      </c>
      <c r="BM258" s="36" t="e">
        <f t="shared" si="606"/>
        <v>#N/A</v>
      </c>
      <c r="BN258" s="30"/>
    </row>
    <row r="259" spans="1:66" ht="11.25" customHeight="1" x14ac:dyDescent="0.2">
      <c r="A259" s="37"/>
      <c r="B259" s="73"/>
      <c r="C259" s="56">
        <v>3</v>
      </c>
      <c r="D259" s="8" t="s">
        <v>210</v>
      </c>
      <c r="E259" s="16">
        <f t="shared" si="598"/>
        <v>0</v>
      </c>
      <c r="F259" s="6">
        <f>SUMIFS([0]!VOTOS2,[0]!TURNO1,F$31,[0]!CANDIDATO1,$C259,[0]!MUNICIPIO1,$B$257)</f>
        <v>0</v>
      </c>
      <c r="G259" s="6">
        <f>SUMIFS([0]!VOTOS2,[0]!TURNO1,G$31,[0]!CANDIDATO1,$C259,[0]!MUNICIPIO1,$B$257)</f>
        <v>0</v>
      </c>
      <c r="H259" s="6">
        <f>SUMIFS([0]!VOTOS2,[0]!TURNO1,H$31,[0]!CANDIDATO1,$C259,[0]!MUNICIPIO1,$B$257)</f>
        <v>0</v>
      </c>
      <c r="I259" s="6">
        <f>SUMIFS([0]!VOTOS2,[0]!TURNO1,I$31,[0]!CANDIDATO1,$C259,[0]!MUNICIPIO1,$B$257)</f>
        <v>0</v>
      </c>
      <c r="J259" s="6">
        <f>SUMIFS([0]!VOTOS2,[0]!TURNO1,J$31,[0]!CANDIDATO1,$C259,[0]!MUNICIPIO1,$B$257)</f>
        <v>0</v>
      </c>
      <c r="K259" s="6">
        <f>SUMIFS([0]!VOTOS2,[0]!TURNO1,K$31,[0]!CANDIDATO1,$C259,[0]!MUNICIPIO1,$B$257)</f>
        <v>0</v>
      </c>
      <c r="L259" s="6">
        <f>SUMIFS([0]!VOTOS2,[0]!TURNO1,L$31,[0]!CANDIDATO1,$C259,[0]!MUNICIPIO1,$B$257)</f>
        <v>0</v>
      </c>
      <c r="M259" s="6">
        <f>SUMIFS([0]!VOTOS2,[0]!TURNO1,M$31,[0]!CANDIDATO1,$C259,[0]!MUNICIPIO1,$B$257)</f>
        <v>0</v>
      </c>
      <c r="N259" s="6">
        <f>SUMIFS([0]!VOTOS2,[0]!TURNO1,N$31,[0]!CANDIDATO1,$C259,[0]!MUNICIPIO1,$B$257)</f>
        <v>0</v>
      </c>
      <c r="O259" s="6">
        <f>SUMIFS([0]!VOTOS2,[0]!TURNO1,O$31,[0]!CANDIDATO1,$C259,[0]!MUNICIPIO1,$B$257)</f>
        <v>0</v>
      </c>
      <c r="P259" s="6">
        <f>SUMIFS([0]!VOTOS2,[0]!TURNO1,P$31,[0]!CANDIDATO1,$C259,[0]!MUNICIPIO1,$B$257)</f>
        <v>0</v>
      </c>
      <c r="Q259" s="6">
        <f>SUMIFS([0]!VOTOS2,[0]!TURNO1,Q$31,[0]!CANDIDATO1,$C259,[0]!MUNICIPIO1,$B$257)</f>
        <v>0</v>
      </c>
      <c r="R259" s="6">
        <f>SUMIFS([0]!VOTOS2,[0]!TURNO1,R$31,[0]!CANDIDATO1,$C259,[0]!MUNICIPIO1,$B$257)</f>
        <v>0</v>
      </c>
      <c r="S259" s="6">
        <f>SUMIFS([0]!VOTOS2,[0]!TURNO1,S$31,[0]!CANDIDATO1,$C259,[0]!MUNICIPIO1,$B$257)</f>
        <v>0</v>
      </c>
      <c r="T259" s="6">
        <f>SUMIFS([0]!VOTOS2,[0]!TURNO1,T$31,[0]!CANDIDATO1,$C259,[0]!MUNICIPIO1,$B$257)</f>
        <v>0</v>
      </c>
      <c r="U259" s="6">
        <f>SUMIFS([0]!VOTOS2,[0]!TURNO1,U$31,[0]!CANDIDATO1,$C259,[0]!MUNICIPIO1,$B$257)</f>
        <v>0</v>
      </c>
      <c r="V259" s="6">
        <f>SUMIFS([0]!VOTOS2,[0]!TURNO1,V$31,[0]!CANDIDATO1,$C259,[0]!MUNICIPIO1,$B$257)</f>
        <v>0</v>
      </c>
      <c r="W259" s="6">
        <f>SUMIFS([0]!VOTOS2,[0]!TURNO1,W$31,[0]!CANDIDATO1,$C259,[0]!MUNICIPIO1,$B$257)</f>
        <v>0</v>
      </c>
      <c r="X259" s="24"/>
      <c r="Y259" s="18" t="str">
        <f t="shared" si="599"/>
        <v>NELSON SUAREZ</v>
      </c>
      <c r="Z259" s="34">
        <f t="shared" si="600"/>
        <v>0</v>
      </c>
      <c r="AA259" s="34">
        <f t="shared" si="601"/>
        <v>0</v>
      </c>
      <c r="AB259" s="34">
        <f t="shared" ref="AB259:AR259" si="607">IF(SUM(G257:G269)=0,NA(),G259+AA259)</f>
        <v>0</v>
      </c>
      <c r="AC259" s="34">
        <f t="shared" si="607"/>
        <v>0</v>
      </c>
      <c r="AD259" s="34">
        <f t="shared" si="607"/>
        <v>0</v>
      </c>
      <c r="AE259" s="34">
        <f t="shared" si="607"/>
        <v>0</v>
      </c>
      <c r="AF259" s="34">
        <f t="shared" si="607"/>
        <v>0</v>
      </c>
      <c r="AG259" s="34">
        <f t="shared" si="607"/>
        <v>0</v>
      </c>
      <c r="AH259" s="34">
        <f t="shared" si="607"/>
        <v>0</v>
      </c>
      <c r="AI259" s="34">
        <f t="shared" si="607"/>
        <v>0</v>
      </c>
      <c r="AJ259" s="34">
        <f t="shared" si="607"/>
        <v>0</v>
      </c>
      <c r="AK259" s="34" t="e">
        <f t="shared" si="607"/>
        <v>#N/A</v>
      </c>
      <c r="AL259" s="34" t="e">
        <f t="shared" si="607"/>
        <v>#N/A</v>
      </c>
      <c r="AM259" s="34" t="e">
        <f t="shared" si="607"/>
        <v>#N/A</v>
      </c>
      <c r="AN259" s="34" t="e">
        <f t="shared" si="607"/>
        <v>#N/A</v>
      </c>
      <c r="AO259" s="34" t="e">
        <f t="shared" si="607"/>
        <v>#N/A</v>
      </c>
      <c r="AP259" s="34" t="e">
        <f t="shared" si="607"/>
        <v>#N/A</v>
      </c>
      <c r="AQ259" s="34" t="e">
        <f t="shared" si="607"/>
        <v>#N/A</v>
      </c>
      <c r="AR259" s="34" t="e">
        <f t="shared" si="607"/>
        <v>#N/A</v>
      </c>
      <c r="AS259" s="27"/>
      <c r="AT259" s="35" t="str">
        <f t="shared" ref="AT259" si="608">Y270</f>
        <v>Otros</v>
      </c>
      <c r="AU259" s="36">
        <f t="shared" ref="AU259:BM259" si="609">Z270/(Z257+Z258+Z270)</f>
        <v>0</v>
      </c>
      <c r="AV259" s="36">
        <f t="shared" si="609"/>
        <v>0</v>
      </c>
      <c r="AW259" s="36">
        <f t="shared" si="609"/>
        <v>0</v>
      </c>
      <c r="AX259" s="36">
        <f t="shared" si="609"/>
        <v>0</v>
      </c>
      <c r="AY259" s="36">
        <f t="shared" si="609"/>
        <v>0</v>
      </c>
      <c r="AZ259" s="36">
        <f t="shared" si="609"/>
        <v>0</v>
      </c>
      <c r="BA259" s="36">
        <f t="shared" si="609"/>
        <v>0</v>
      </c>
      <c r="BB259" s="36">
        <f t="shared" si="609"/>
        <v>0</v>
      </c>
      <c r="BC259" s="36">
        <f t="shared" si="609"/>
        <v>0</v>
      </c>
      <c r="BD259" s="36">
        <f t="shared" si="609"/>
        <v>0</v>
      </c>
      <c r="BE259" s="36">
        <f t="shared" si="609"/>
        <v>0</v>
      </c>
      <c r="BF259" s="36" t="e">
        <f t="shared" si="609"/>
        <v>#N/A</v>
      </c>
      <c r="BG259" s="36" t="e">
        <f t="shared" si="609"/>
        <v>#N/A</v>
      </c>
      <c r="BH259" s="36" t="e">
        <f t="shared" si="609"/>
        <v>#N/A</v>
      </c>
      <c r="BI259" s="36" t="e">
        <f t="shared" si="609"/>
        <v>#N/A</v>
      </c>
      <c r="BJ259" s="36" t="e">
        <f t="shared" si="609"/>
        <v>#N/A</v>
      </c>
      <c r="BK259" s="36" t="e">
        <f t="shared" si="609"/>
        <v>#N/A</v>
      </c>
      <c r="BL259" s="36" t="e">
        <f t="shared" si="609"/>
        <v>#N/A</v>
      </c>
      <c r="BM259" s="36" t="e">
        <f t="shared" si="609"/>
        <v>#N/A</v>
      </c>
      <c r="BN259" s="30"/>
    </row>
    <row r="260" spans="1:66" ht="11.25" customHeight="1" x14ac:dyDescent="0.2">
      <c r="A260" s="38" t="s">
        <v>21</v>
      </c>
      <c r="B260" s="73"/>
      <c r="C260" s="33">
        <v>4</v>
      </c>
      <c r="D260" s="8" t="s">
        <v>211</v>
      </c>
      <c r="E260" s="16">
        <f t="shared" si="598"/>
        <v>0</v>
      </c>
      <c r="F260" s="6">
        <f>SUMIFS([0]!VOTOS2,[0]!TURNO1,F$31,[0]!CANDIDATO1,$C260,[0]!MUNICIPIO1,$B$257)</f>
        <v>0</v>
      </c>
      <c r="G260" s="6">
        <f>SUMIFS([0]!VOTOS2,[0]!TURNO1,G$31,[0]!CANDIDATO1,$C260,[0]!MUNICIPIO1,$B$257)</f>
        <v>0</v>
      </c>
      <c r="H260" s="6">
        <f>SUMIFS([0]!VOTOS2,[0]!TURNO1,H$31,[0]!CANDIDATO1,$C260,[0]!MUNICIPIO1,$B$257)</f>
        <v>0</v>
      </c>
      <c r="I260" s="6">
        <f>SUMIFS([0]!VOTOS2,[0]!TURNO1,I$31,[0]!CANDIDATO1,$C260,[0]!MUNICIPIO1,$B$257)</f>
        <v>0</v>
      </c>
      <c r="J260" s="6">
        <f>SUMIFS([0]!VOTOS2,[0]!TURNO1,J$31,[0]!CANDIDATO1,$C260,[0]!MUNICIPIO1,$B$257)</f>
        <v>0</v>
      </c>
      <c r="K260" s="6">
        <f>SUMIFS([0]!VOTOS2,[0]!TURNO1,K$31,[0]!CANDIDATO1,$C260,[0]!MUNICIPIO1,$B$257)</f>
        <v>0</v>
      </c>
      <c r="L260" s="6">
        <f>SUMIFS([0]!VOTOS2,[0]!TURNO1,L$31,[0]!CANDIDATO1,$C260,[0]!MUNICIPIO1,$B$257)</f>
        <v>0</v>
      </c>
      <c r="M260" s="6">
        <f>SUMIFS([0]!VOTOS2,[0]!TURNO1,M$31,[0]!CANDIDATO1,$C260,[0]!MUNICIPIO1,$B$257)</f>
        <v>0</v>
      </c>
      <c r="N260" s="6">
        <f>SUMIFS([0]!VOTOS2,[0]!TURNO1,N$31,[0]!CANDIDATO1,$C260,[0]!MUNICIPIO1,$B$257)</f>
        <v>0</v>
      </c>
      <c r="O260" s="6">
        <f>SUMIFS([0]!VOTOS2,[0]!TURNO1,O$31,[0]!CANDIDATO1,$C260,[0]!MUNICIPIO1,$B$257)</f>
        <v>0</v>
      </c>
      <c r="P260" s="6">
        <f>SUMIFS([0]!VOTOS2,[0]!TURNO1,P$31,[0]!CANDIDATO1,$C260,[0]!MUNICIPIO1,$B$257)</f>
        <v>0</v>
      </c>
      <c r="Q260" s="6">
        <f>SUMIFS([0]!VOTOS2,[0]!TURNO1,Q$31,[0]!CANDIDATO1,$C260,[0]!MUNICIPIO1,$B$257)</f>
        <v>0</v>
      </c>
      <c r="R260" s="6">
        <f>SUMIFS([0]!VOTOS2,[0]!TURNO1,R$31,[0]!CANDIDATO1,$C260,[0]!MUNICIPIO1,$B$257)</f>
        <v>0</v>
      </c>
      <c r="S260" s="6">
        <f>SUMIFS([0]!VOTOS2,[0]!TURNO1,S$31,[0]!CANDIDATO1,$C260,[0]!MUNICIPIO1,$B$257)</f>
        <v>0</v>
      </c>
      <c r="T260" s="6">
        <f>SUMIFS([0]!VOTOS2,[0]!TURNO1,T$31,[0]!CANDIDATO1,$C260,[0]!MUNICIPIO1,$B$257)</f>
        <v>0</v>
      </c>
      <c r="U260" s="6">
        <f>SUMIFS([0]!VOTOS2,[0]!TURNO1,U$31,[0]!CANDIDATO1,$C260,[0]!MUNICIPIO1,$B$257)</f>
        <v>0</v>
      </c>
      <c r="V260" s="6">
        <f>SUMIFS([0]!VOTOS2,[0]!TURNO1,V$31,[0]!CANDIDATO1,$C260,[0]!MUNICIPIO1,$B$257)</f>
        <v>0</v>
      </c>
      <c r="W260" s="6">
        <f>SUMIFS([0]!VOTOS2,[0]!TURNO1,W$31,[0]!CANDIDATO1,$C260,[0]!MUNICIPIO1,$B$257)</f>
        <v>0</v>
      </c>
      <c r="X260" s="24"/>
      <c r="Y260" s="18" t="str">
        <f t="shared" si="599"/>
        <v>MAURICIO DE NOBREGA</v>
      </c>
      <c r="Z260" s="34">
        <f t="shared" si="600"/>
        <v>0</v>
      </c>
      <c r="AA260" s="34">
        <f t="shared" si="601"/>
        <v>0</v>
      </c>
      <c r="AB260" s="34">
        <f t="shared" ref="AB260:AR260" si="610">IF(SUM(G257:G269)=0,NA(),G260+AA260)</f>
        <v>0</v>
      </c>
      <c r="AC260" s="34">
        <f t="shared" si="610"/>
        <v>0</v>
      </c>
      <c r="AD260" s="34">
        <f t="shared" si="610"/>
        <v>0</v>
      </c>
      <c r="AE260" s="34">
        <f t="shared" si="610"/>
        <v>0</v>
      </c>
      <c r="AF260" s="34">
        <f t="shared" si="610"/>
        <v>0</v>
      </c>
      <c r="AG260" s="34">
        <f t="shared" si="610"/>
        <v>0</v>
      </c>
      <c r="AH260" s="34">
        <f t="shared" si="610"/>
        <v>0</v>
      </c>
      <c r="AI260" s="34">
        <f t="shared" si="610"/>
        <v>0</v>
      </c>
      <c r="AJ260" s="34">
        <f t="shared" si="610"/>
        <v>0</v>
      </c>
      <c r="AK260" s="34" t="e">
        <f t="shared" si="610"/>
        <v>#N/A</v>
      </c>
      <c r="AL260" s="34" t="e">
        <f t="shared" si="610"/>
        <v>#N/A</v>
      </c>
      <c r="AM260" s="34" t="e">
        <f t="shared" si="610"/>
        <v>#N/A</v>
      </c>
      <c r="AN260" s="34" t="e">
        <f t="shared" si="610"/>
        <v>#N/A</v>
      </c>
      <c r="AO260" s="34" t="e">
        <f t="shared" si="610"/>
        <v>#N/A</v>
      </c>
      <c r="AP260" s="34" t="e">
        <f t="shared" si="610"/>
        <v>#N/A</v>
      </c>
      <c r="AQ260" s="34" t="e">
        <f t="shared" si="610"/>
        <v>#N/A</v>
      </c>
      <c r="AR260" s="34" t="e">
        <f t="shared" si="610"/>
        <v>#N/A</v>
      </c>
      <c r="AS260" s="27"/>
      <c r="AT260" s="39"/>
      <c r="AU260" s="39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30"/>
    </row>
    <row r="261" spans="1:66" ht="11.25" customHeight="1" x14ac:dyDescent="0.2">
      <c r="A261" s="38" t="s">
        <v>23</v>
      </c>
      <c r="B261" s="73"/>
      <c r="C261" s="56">
        <v>5</v>
      </c>
      <c r="D261" s="8" t="s">
        <v>212</v>
      </c>
      <c r="E261" s="16">
        <f t="shared" si="598"/>
        <v>0</v>
      </c>
      <c r="F261" s="6">
        <f>SUMIFS([0]!VOTOS2,[0]!TURNO1,F$31,[0]!CANDIDATO1,$C261,[0]!MUNICIPIO1,$B$257)</f>
        <v>0</v>
      </c>
      <c r="G261" s="6">
        <f>SUMIFS([0]!VOTOS2,[0]!TURNO1,G$31,[0]!CANDIDATO1,$C261,[0]!MUNICIPIO1,$B$257)</f>
        <v>0</v>
      </c>
      <c r="H261" s="6">
        <f>SUMIFS([0]!VOTOS2,[0]!TURNO1,H$31,[0]!CANDIDATO1,$C261,[0]!MUNICIPIO1,$B$257)</f>
        <v>0</v>
      </c>
      <c r="I261" s="6">
        <f>SUMIFS([0]!VOTOS2,[0]!TURNO1,I$31,[0]!CANDIDATO1,$C261,[0]!MUNICIPIO1,$B$257)</f>
        <v>0</v>
      </c>
      <c r="J261" s="6">
        <f>SUMIFS([0]!VOTOS2,[0]!TURNO1,J$31,[0]!CANDIDATO1,$C261,[0]!MUNICIPIO1,$B$257)</f>
        <v>0</v>
      </c>
      <c r="K261" s="6">
        <f>SUMIFS([0]!VOTOS2,[0]!TURNO1,K$31,[0]!CANDIDATO1,$C261,[0]!MUNICIPIO1,$B$257)</f>
        <v>0</v>
      </c>
      <c r="L261" s="6">
        <f>SUMIFS([0]!VOTOS2,[0]!TURNO1,L$31,[0]!CANDIDATO1,$C261,[0]!MUNICIPIO1,$B$257)</f>
        <v>0</v>
      </c>
      <c r="M261" s="6">
        <f>SUMIFS([0]!VOTOS2,[0]!TURNO1,M$31,[0]!CANDIDATO1,$C261,[0]!MUNICIPIO1,$B$257)</f>
        <v>0</v>
      </c>
      <c r="N261" s="6">
        <f>SUMIFS([0]!VOTOS2,[0]!TURNO1,N$31,[0]!CANDIDATO1,$C261,[0]!MUNICIPIO1,$B$257)</f>
        <v>0</v>
      </c>
      <c r="O261" s="6">
        <f>SUMIFS([0]!VOTOS2,[0]!TURNO1,O$31,[0]!CANDIDATO1,$C261,[0]!MUNICIPIO1,$B$257)</f>
        <v>0</v>
      </c>
      <c r="P261" s="6">
        <f>SUMIFS([0]!VOTOS2,[0]!TURNO1,P$31,[0]!CANDIDATO1,$C261,[0]!MUNICIPIO1,$B$257)</f>
        <v>0</v>
      </c>
      <c r="Q261" s="6">
        <f>SUMIFS([0]!VOTOS2,[0]!TURNO1,Q$31,[0]!CANDIDATO1,$C261,[0]!MUNICIPIO1,$B$257)</f>
        <v>0</v>
      </c>
      <c r="R261" s="6">
        <f>SUMIFS([0]!VOTOS2,[0]!TURNO1,R$31,[0]!CANDIDATO1,$C261,[0]!MUNICIPIO1,$B$257)</f>
        <v>0</v>
      </c>
      <c r="S261" s="6">
        <f>SUMIFS([0]!VOTOS2,[0]!TURNO1,S$31,[0]!CANDIDATO1,$C261,[0]!MUNICIPIO1,$B$257)</f>
        <v>0</v>
      </c>
      <c r="T261" s="6">
        <f>SUMIFS([0]!VOTOS2,[0]!TURNO1,T$31,[0]!CANDIDATO1,$C261,[0]!MUNICIPIO1,$B$257)</f>
        <v>0</v>
      </c>
      <c r="U261" s="6">
        <f>SUMIFS([0]!VOTOS2,[0]!TURNO1,U$31,[0]!CANDIDATO1,$C261,[0]!MUNICIPIO1,$B$257)</f>
        <v>0</v>
      </c>
      <c r="V261" s="6">
        <f>SUMIFS([0]!VOTOS2,[0]!TURNO1,V$31,[0]!CANDIDATO1,$C261,[0]!MUNICIPIO1,$B$257)</f>
        <v>0</v>
      </c>
      <c r="W261" s="6">
        <f>SUMIFS([0]!VOTOS2,[0]!TURNO1,W$31,[0]!CANDIDATO1,$C261,[0]!MUNICIPIO1,$B$257)</f>
        <v>0</v>
      </c>
      <c r="X261" s="24"/>
      <c r="Y261" s="18" t="str">
        <f t="shared" si="599"/>
        <v>MAICAMAR BOLIVAR</v>
      </c>
      <c r="Z261" s="34">
        <f t="shared" si="600"/>
        <v>0</v>
      </c>
      <c r="AA261" s="34">
        <f t="shared" si="601"/>
        <v>0</v>
      </c>
      <c r="AB261" s="34">
        <f t="shared" ref="AB261:AR261" si="611">IF(SUM(G257:G269)=0,NA(),G261+AA261)</f>
        <v>0</v>
      </c>
      <c r="AC261" s="34">
        <f t="shared" si="611"/>
        <v>0</v>
      </c>
      <c r="AD261" s="34">
        <f t="shared" si="611"/>
        <v>0</v>
      </c>
      <c r="AE261" s="34">
        <f t="shared" si="611"/>
        <v>0</v>
      </c>
      <c r="AF261" s="34">
        <f t="shared" si="611"/>
        <v>0</v>
      </c>
      <c r="AG261" s="34">
        <f t="shared" si="611"/>
        <v>0</v>
      </c>
      <c r="AH261" s="34">
        <f t="shared" si="611"/>
        <v>0</v>
      </c>
      <c r="AI261" s="34">
        <f t="shared" si="611"/>
        <v>0</v>
      </c>
      <c r="AJ261" s="34">
        <f t="shared" si="611"/>
        <v>0</v>
      </c>
      <c r="AK261" s="34" t="e">
        <f t="shared" si="611"/>
        <v>#N/A</v>
      </c>
      <c r="AL261" s="34" t="e">
        <f t="shared" si="611"/>
        <v>#N/A</v>
      </c>
      <c r="AM261" s="34" t="e">
        <f t="shared" si="611"/>
        <v>#N/A</v>
      </c>
      <c r="AN261" s="34" t="e">
        <f t="shared" si="611"/>
        <v>#N/A</v>
      </c>
      <c r="AO261" s="34" t="e">
        <f t="shared" si="611"/>
        <v>#N/A</v>
      </c>
      <c r="AP261" s="34" t="e">
        <f t="shared" si="611"/>
        <v>#N/A</v>
      </c>
      <c r="AQ261" s="34" t="e">
        <f t="shared" si="611"/>
        <v>#N/A</v>
      </c>
      <c r="AR261" s="34" t="e">
        <f t="shared" si="611"/>
        <v>#N/A</v>
      </c>
      <c r="AS261" s="27"/>
      <c r="AT261" s="39"/>
      <c r="AU261" s="39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30"/>
    </row>
    <row r="262" spans="1:66" ht="11.25" customHeight="1" x14ac:dyDescent="0.2">
      <c r="A262" s="37"/>
      <c r="B262" s="73"/>
      <c r="C262" s="33">
        <v>6</v>
      </c>
      <c r="D262" s="8" t="s">
        <v>213</v>
      </c>
      <c r="E262" s="16">
        <f t="shared" si="598"/>
        <v>0</v>
      </c>
      <c r="F262" s="6">
        <f>SUMIFS([0]!VOTOS2,[0]!TURNO1,F$31,[0]!CANDIDATO1,$C262,[0]!MUNICIPIO1,$B$257)</f>
        <v>0</v>
      </c>
      <c r="G262" s="6">
        <f>SUMIFS([0]!VOTOS2,[0]!TURNO1,G$31,[0]!CANDIDATO1,$C262,[0]!MUNICIPIO1,$B$257)</f>
        <v>0</v>
      </c>
      <c r="H262" s="6">
        <f>SUMIFS([0]!VOTOS2,[0]!TURNO1,H$31,[0]!CANDIDATO1,$C262,[0]!MUNICIPIO1,$B$257)</f>
        <v>0</v>
      </c>
      <c r="I262" s="6">
        <f>SUMIFS([0]!VOTOS2,[0]!TURNO1,I$31,[0]!CANDIDATO1,$C262,[0]!MUNICIPIO1,$B$257)</f>
        <v>0</v>
      </c>
      <c r="J262" s="6">
        <f>SUMIFS([0]!VOTOS2,[0]!TURNO1,J$31,[0]!CANDIDATO1,$C262,[0]!MUNICIPIO1,$B$257)</f>
        <v>0</v>
      </c>
      <c r="K262" s="6">
        <f>SUMIFS([0]!VOTOS2,[0]!TURNO1,K$31,[0]!CANDIDATO1,$C262,[0]!MUNICIPIO1,$B$257)</f>
        <v>0</v>
      </c>
      <c r="L262" s="6">
        <f>SUMIFS([0]!VOTOS2,[0]!TURNO1,L$31,[0]!CANDIDATO1,$C262,[0]!MUNICIPIO1,$B$257)</f>
        <v>0</v>
      </c>
      <c r="M262" s="6">
        <f>SUMIFS([0]!VOTOS2,[0]!TURNO1,M$31,[0]!CANDIDATO1,$C262,[0]!MUNICIPIO1,$B$257)</f>
        <v>0</v>
      </c>
      <c r="N262" s="6">
        <f>SUMIFS([0]!VOTOS2,[0]!TURNO1,N$31,[0]!CANDIDATO1,$C262,[0]!MUNICIPIO1,$B$257)</f>
        <v>0</v>
      </c>
      <c r="O262" s="6">
        <f>SUMIFS([0]!VOTOS2,[0]!TURNO1,O$31,[0]!CANDIDATO1,$C262,[0]!MUNICIPIO1,$B$257)</f>
        <v>0</v>
      </c>
      <c r="P262" s="6">
        <f>SUMIFS([0]!VOTOS2,[0]!TURNO1,P$31,[0]!CANDIDATO1,$C262,[0]!MUNICIPIO1,$B$257)</f>
        <v>0</v>
      </c>
      <c r="Q262" s="6">
        <f>SUMIFS([0]!VOTOS2,[0]!TURNO1,Q$31,[0]!CANDIDATO1,$C262,[0]!MUNICIPIO1,$B$257)</f>
        <v>0</v>
      </c>
      <c r="R262" s="6">
        <f>SUMIFS([0]!VOTOS2,[0]!TURNO1,R$31,[0]!CANDIDATO1,$C262,[0]!MUNICIPIO1,$B$257)</f>
        <v>0</v>
      </c>
      <c r="S262" s="6">
        <f>SUMIFS([0]!VOTOS2,[0]!TURNO1,S$31,[0]!CANDIDATO1,$C262,[0]!MUNICIPIO1,$B$257)</f>
        <v>0</v>
      </c>
      <c r="T262" s="6">
        <f>SUMIFS([0]!VOTOS2,[0]!TURNO1,T$31,[0]!CANDIDATO1,$C262,[0]!MUNICIPIO1,$B$257)</f>
        <v>0</v>
      </c>
      <c r="U262" s="6">
        <f>SUMIFS([0]!VOTOS2,[0]!TURNO1,U$31,[0]!CANDIDATO1,$C262,[0]!MUNICIPIO1,$B$257)</f>
        <v>0</v>
      </c>
      <c r="V262" s="6">
        <f>SUMIFS([0]!VOTOS2,[0]!TURNO1,V$31,[0]!CANDIDATO1,$C262,[0]!MUNICIPIO1,$B$257)</f>
        <v>0</v>
      </c>
      <c r="W262" s="6">
        <f>SUMIFS([0]!VOTOS2,[0]!TURNO1,W$31,[0]!CANDIDATO1,$C262,[0]!MUNICIPIO1,$B$257)</f>
        <v>0</v>
      </c>
      <c r="X262" s="24"/>
      <c r="Y262" s="18" t="str">
        <f t="shared" si="599"/>
        <v>EUDIO GONZALEZ</v>
      </c>
      <c r="Z262" s="34">
        <f t="shared" si="600"/>
        <v>0</v>
      </c>
      <c r="AA262" s="34">
        <f t="shared" si="601"/>
        <v>0</v>
      </c>
      <c r="AB262" s="34">
        <f t="shared" ref="AB262:AR262" si="612">IF(SUM(G257:G269)=0,NA(),G262+AA262)</f>
        <v>0</v>
      </c>
      <c r="AC262" s="34">
        <f t="shared" si="612"/>
        <v>0</v>
      </c>
      <c r="AD262" s="34">
        <f t="shared" si="612"/>
        <v>0</v>
      </c>
      <c r="AE262" s="34">
        <f t="shared" si="612"/>
        <v>0</v>
      </c>
      <c r="AF262" s="34">
        <f t="shared" si="612"/>
        <v>0</v>
      </c>
      <c r="AG262" s="34">
        <f t="shared" si="612"/>
        <v>0</v>
      </c>
      <c r="AH262" s="34">
        <f t="shared" si="612"/>
        <v>0</v>
      </c>
      <c r="AI262" s="34">
        <f t="shared" si="612"/>
        <v>0</v>
      </c>
      <c r="AJ262" s="34">
        <f t="shared" si="612"/>
        <v>0</v>
      </c>
      <c r="AK262" s="34" t="e">
        <f t="shared" si="612"/>
        <v>#N/A</v>
      </c>
      <c r="AL262" s="34" t="e">
        <f t="shared" si="612"/>
        <v>#N/A</v>
      </c>
      <c r="AM262" s="34" t="e">
        <f t="shared" si="612"/>
        <v>#N/A</v>
      </c>
      <c r="AN262" s="34" t="e">
        <f t="shared" si="612"/>
        <v>#N/A</v>
      </c>
      <c r="AO262" s="34" t="e">
        <f t="shared" si="612"/>
        <v>#N/A</v>
      </c>
      <c r="AP262" s="34" t="e">
        <f t="shared" si="612"/>
        <v>#N/A</v>
      </c>
      <c r="AQ262" s="34" t="e">
        <f t="shared" si="612"/>
        <v>#N/A</v>
      </c>
      <c r="AR262" s="34" t="e">
        <f t="shared" si="612"/>
        <v>#N/A</v>
      </c>
      <c r="AS262" s="27"/>
      <c r="AT262" s="39"/>
      <c r="AU262" s="39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30"/>
    </row>
    <row r="263" spans="1:66" ht="11.25" customHeight="1" x14ac:dyDescent="0.2">
      <c r="A263" s="37"/>
      <c r="B263" s="73"/>
      <c r="C263" s="56">
        <v>7</v>
      </c>
      <c r="D263" s="8" t="s">
        <v>214</v>
      </c>
      <c r="E263" s="16">
        <f t="shared" si="598"/>
        <v>0</v>
      </c>
      <c r="F263" s="6">
        <f>SUMIFS([0]!VOTOS2,[0]!TURNO1,F$31,[0]!CANDIDATO1,$C263,[0]!MUNICIPIO1,$B$257)</f>
        <v>0</v>
      </c>
      <c r="G263" s="6">
        <f>SUMIFS([0]!VOTOS2,[0]!TURNO1,G$31,[0]!CANDIDATO1,$C263,[0]!MUNICIPIO1,$B$257)</f>
        <v>0</v>
      </c>
      <c r="H263" s="6">
        <f>SUMIFS([0]!VOTOS2,[0]!TURNO1,H$31,[0]!CANDIDATO1,$C263,[0]!MUNICIPIO1,$B$257)</f>
        <v>0</v>
      </c>
      <c r="I263" s="6">
        <f>SUMIFS([0]!VOTOS2,[0]!TURNO1,I$31,[0]!CANDIDATO1,$C263,[0]!MUNICIPIO1,$B$257)</f>
        <v>0</v>
      </c>
      <c r="J263" s="6">
        <f>SUMIFS([0]!VOTOS2,[0]!TURNO1,J$31,[0]!CANDIDATO1,$C263,[0]!MUNICIPIO1,$B$257)</f>
        <v>0</v>
      </c>
      <c r="K263" s="6">
        <f>SUMIFS([0]!VOTOS2,[0]!TURNO1,K$31,[0]!CANDIDATO1,$C263,[0]!MUNICIPIO1,$B$257)</f>
        <v>0</v>
      </c>
      <c r="L263" s="6">
        <f>SUMIFS([0]!VOTOS2,[0]!TURNO1,L$31,[0]!CANDIDATO1,$C263,[0]!MUNICIPIO1,$B$257)</f>
        <v>0</v>
      </c>
      <c r="M263" s="6">
        <f>SUMIFS([0]!VOTOS2,[0]!TURNO1,M$31,[0]!CANDIDATO1,$C263,[0]!MUNICIPIO1,$B$257)</f>
        <v>0</v>
      </c>
      <c r="N263" s="6">
        <f>SUMIFS([0]!VOTOS2,[0]!TURNO1,N$31,[0]!CANDIDATO1,$C263,[0]!MUNICIPIO1,$B$257)</f>
        <v>0</v>
      </c>
      <c r="O263" s="6">
        <f>SUMIFS([0]!VOTOS2,[0]!TURNO1,O$31,[0]!CANDIDATO1,$C263,[0]!MUNICIPIO1,$B$257)</f>
        <v>0</v>
      </c>
      <c r="P263" s="6">
        <f>SUMIFS([0]!VOTOS2,[0]!TURNO1,P$31,[0]!CANDIDATO1,$C263,[0]!MUNICIPIO1,$B$257)</f>
        <v>0</v>
      </c>
      <c r="Q263" s="6">
        <f>SUMIFS([0]!VOTOS2,[0]!TURNO1,Q$31,[0]!CANDIDATO1,$C263,[0]!MUNICIPIO1,$B$257)</f>
        <v>0</v>
      </c>
      <c r="R263" s="6">
        <f>SUMIFS([0]!VOTOS2,[0]!TURNO1,R$31,[0]!CANDIDATO1,$C263,[0]!MUNICIPIO1,$B$257)</f>
        <v>0</v>
      </c>
      <c r="S263" s="6">
        <f>SUMIFS([0]!VOTOS2,[0]!TURNO1,S$31,[0]!CANDIDATO1,$C263,[0]!MUNICIPIO1,$B$257)</f>
        <v>0</v>
      </c>
      <c r="T263" s="6">
        <f>SUMIFS([0]!VOTOS2,[0]!TURNO1,T$31,[0]!CANDIDATO1,$C263,[0]!MUNICIPIO1,$B$257)</f>
        <v>0</v>
      </c>
      <c r="U263" s="6">
        <f>SUMIFS([0]!VOTOS2,[0]!TURNO1,U$31,[0]!CANDIDATO1,$C263,[0]!MUNICIPIO1,$B$257)</f>
        <v>0</v>
      </c>
      <c r="V263" s="6">
        <f>SUMIFS([0]!VOTOS2,[0]!TURNO1,V$31,[0]!CANDIDATO1,$C263,[0]!MUNICIPIO1,$B$257)</f>
        <v>0</v>
      </c>
      <c r="W263" s="6">
        <f>SUMIFS([0]!VOTOS2,[0]!TURNO1,W$31,[0]!CANDIDATO1,$C263,[0]!MUNICIPIO1,$B$257)</f>
        <v>0</v>
      </c>
      <c r="X263" s="24"/>
      <c r="Y263" s="18" t="str">
        <f t="shared" si="599"/>
        <v>EGLEE LAMAS</v>
      </c>
      <c r="Z263" s="34">
        <f t="shared" si="600"/>
        <v>0</v>
      </c>
      <c r="AA263" s="34">
        <f t="shared" si="601"/>
        <v>0</v>
      </c>
      <c r="AB263" s="34">
        <f t="shared" ref="AB263:AR263" si="613">IF(SUM(G257:G269)=0,NA(),G263+AA263)</f>
        <v>0</v>
      </c>
      <c r="AC263" s="34">
        <f t="shared" si="613"/>
        <v>0</v>
      </c>
      <c r="AD263" s="34">
        <f t="shared" si="613"/>
        <v>0</v>
      </c>
      <c r="AE263" s="34">
        <f t="shared" si="613"/>
        <v>0</v>
      </c>
      <c r="AF263" s="34">
        <f t="shared" si="613"/>
        <v>0</v>
      </c>
      <c r="AG263" s="34">
        <f t="shared" si="613"/>
        <v>0</v>
      </c>
      <c r="AH263" s="34">
        <f t="shared" si="613"/>
        <v>0</v>
      </c>
      <c r="AI263" s="34">
        <f t="shared" si="613"/>
        <v>0</v>
      </c>
      <c r="AJ263" s="34">
        <f t="shared" si="613"/>
        <v>0</v>
      </c>
      <c r="AK263" s="34" t="e">
        <f t="shared" si="613"/>
        <v>#N/A</v>
      </c>
      <c r="AL263" s="34" t="e">
        <f t="shared" si="613"/>
        <v>#N/A</v>
      </c>
      <c r="AM263" s="34" t="e">
        <f t="shared" si="613"/>
        <v>#N/A</v>
      </c>
      <c r="AN263" s="34" t="e">
        <f t="shared" si="613"/>
        <v>#N/A</v>
      </c>
      <c r="AO263" s="34" t="e">
        <f t="shared" si="613"/>
        <v>#N/A</v>
      </c>
      <c r="AP263" s="34" t="e">
        <f t="shared" si="613"/>
        <v>#N/A</v>
      </c>
      <c r="AQ263" s="34" t="e">
        <f t="shared" si="613"/>
        <v>#N/A</v>
      </c>
      <c r="AR263" s="34" t="e">
        <f t="shared" si="613"/>
        <v>#N/A</v>
      </c>
      <c r="AS263" s="27"/>
      <c r="AT263" s="39"/>
      <c r="AU263" s="39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30"/>
    </row>
    <row r="264" spans="1:66" ht="11.25" customHeight="1" x14ac:dyDescent="0.2">
      <c r="A264" s="37"/>
      <c r="B264" s="73"/>
      <c r="C264" s="33">
        <v>8</v>
      </c>
      <c r="D264" s="8" t="s">
        <v>215</v>
      </c>
      <c r="E264" s="16">
        <f t="shared" si="598"/>
        <v>0</v>
      </c>
      <c r="F264" s="6">
        <f>SUMIFS([0]!VOTOS2,[0]!TURNO1,F$31,[0]!CANDIDATO1,$C264,[0]!MUNICIPIO1,$B$257)</f>
        <v>0</v>
      </c>
      <c r="G264" s="6">
        <f>SUMIFS([0]!VOTOS2,[0]!TURNO1,G$31,[0]!CANDIDATO1,$C264,[0]!MUNICIPIO1,$B$257)</f>
        <v>0</v>
      </c>
      <c r="H264" s="6">
        <f>SUMIFS([0]!VOTOS2,[0]!TURNO1,H$31,[0]!CANDIDATO1,$C264,[0]!MUNICIPIO1,$B$257)</f>
        <v>0</v>
      </c>
      <c r="I264" s="6">
        <f>SUMIFS([0]!VOTOS2,[0]!TURNO1,I$31,[0]!CANDIDATO1,$C264,[0]!MUNICIPIO1,$B$257)</f>
        <v>0</v>
      </c>
      <c r="J264" s="6">
        <f>SUMIFS([0]!VOTOS2,[0]!TURNO1,J$31,[0]!CANDIDATO1,$C264,[0]!MUNICIPIO1,$B$257)</f>
        <v>0</v>
      </c>
      <c r="K264" s="6">
        <f>SUMIFS([0]!VOTOS2,[0]!TURNO1,K$31,[0]!CANDIDATO1,$C264,[0]!MUNICIPIO1,$B$257)</f>
        <v>0</v>
      </c>
      <c r="L264" s="6">
        <f>SUMIFS([0]!VOTOS2,[0]!TURNO1,L$31,[0]!CANDIDATO1,$C264,[0]!MUNICIPIO1,$B$257)</f>
        <v>0</v>
      </c>
      <c r="M264" s="6">
        <f>SUMIFS([0]!VOTOS2,[0]!TURNO1,M$31,[0]!CANDIDATO1,$C264,[0]!MUNICIPIO1,$B$257)</f>
        <v>0</v>
      </c>
      <c r="N264" s="6">
        <f>SUMIFS([0]!VOTOS2,[0]!TURNO1,N$31,[0]!CANDIDATO1,$C264,[0]!MUNICIPIO1,$B$257)</f>
        <v>0</v>
      </c>
      <c r="O264" s="6">
        <f>SUMIFS([0]!VOTOS2,[0]!TURNO1,O$31,[0]!CANDIDATO1,$C264,[0]!MUNICIPIO1,$B$257)</f>
        <v>0</v>
      </c>
      <c r="P264" s="6">
        <f>SUMIFS([0]!VOTOS2,[0]!TURNO1,P$31,[0]!CANDIDATO1,$C264,[0]!MUNICIPIO1,$B$257)</f>
        <v>0</v>
      </c>
      <c r="Q264" s="6">
        <f>SUMIFS([0]!VOTOS2,[0]!TURNO1,Q$31,[0]!CANDIDATO1,$C264,[0]!MUNICIPIO1,$B$257)</f>
        <v>0</v>
      </c>
      <c r="R264" s="6">
        <f>SUMIFS([0]!VOTOS2,[0]!TURNO1,R$31,[0]!CANDIDATO1,$C264,[0]!MUNICIPIO1,$B$257)</f>
        <v>0</v>
      </c>
      <c r="S264" s="6">
        <f>SUMIFS([0]!VOTOS2,[0]!TURNO1,S$31,[0]!CANDIDATO1,$C264,[0]!MUNICIPIO1,$B$257)</f>
        <v>0</v>
      </c>
      <c r="T264" s="6">
        <f>SUMIFS([0]!VOTOS2,[0]!TURNO1,T$31,[0]!CANDIDATO1,$C264,[0]!MUNICIPIO1,$B$257)</f>
        <v>0</v>
      </c>
      <c r="U264" s="6">
        <f>SUMIFS([0]!VOTOS2,[0]!TURNO1,U$31,[0]!CANDIDATO1,$C264,[0]!MUNICIPIO1,$B$257)</f>
        <v>0</v>
      </c>
      <c r="V264" s="6">
        <f>SUMIFS([0]!VOTOS2,[0]!TURNO1,V$31,[0]!CANDIDATO1,$C264,[0]!MUNICIPIO1,$B$257)</f>
        <v>0</v>
      </c>
      <c r="W264" s="6">
        <f>SUMIFS([0]!VOTOS2,[0]!TURNO1,W$31,[0]!CANDIDATO1,$C264,[0]!MUNICIPIO1,$B$257)</f>
        <v>0</v>
      </c>
      <c r="X264" s="24"/>
      <c r="Y264" s="18" t="str">
        <f t="shared" si="599"/>
        <v>SANCHEZ OMAR</v>
      </c>
      <c r="Z264" s="34">
        <f t="shared" si="600"/>
        <v>0</v>
      </c>
      <c r="AA264" s="34">
        <f t="shared" si="601"/>
        <v>0</v>
      </c>
      <c r="AB264" s="34">
        <f t="shared" ref="AB264:AR264" si="614">IF(SUM(G257:G269)=0,NA(),G264+AA264)</f>
        <v>0</v>
      </c>
      <c r="AC264" s="34">
        <f t="shared" si="614"/>
        <v>0</v>
      </c>
      <c r="AD264" s="34">
        <f t="shared" si="614"/>
        <v>0</v>
      </c>
      <c r="AE264" s="34">
        <f t="shared" si="614"/>
        <v>0</v>
      </c>
      <c r="AF264" s="34">
        <f t="shared" si="614"/>
        <v>0</v>
      </c>
      <c r="AG264" s="34">
        <f t="shared" si="614"/>
        <v>0</v>
      </c>
      <c r="AH264" s="34">
        <f t="shared" si="614"/>
        <v>0</v>
      </c>
      <c r="AI264" s="34">
        <f t="shared" si="614"/>
        <v>0</v>
      </c>
      <c r="AJ264" s="34">
        <f t="shared" si="614"/>
        <v>0</v>
      </c>
      <c r="AK264" s="34" t="e">
        <f t="shared" si="614"/>
        <v>#N/A</v>
      </c>
      <c r="AL264" s="34" t="e">
        <f t="shared" si="614"/>
        <v>#N/A</v>
      </c>
      <c r="AM264" s="34" t="e">
        <f t="shared" si="614"/>
        <v>#N/A</v>
      </c>
      <c r="AN264" s="34" t="e">
        <f t="shared" si="614"/>
        <v>#N/A</v>
      </c>
      <c r="AO264" s="34" t="e">
        <f t="shared" si="614"/>
        <v>#N/A</v>
      </c>
      <c r="AP264" s="34" t="e">
        <f t="shared" si="614"/>
        <v>#N/A</v>
      </c>
      <c r="AQ264" s="34" t="e">
        <f t="shared" si="614"/>
        <v>#N/A</v>
      </c>
      <c r="AR264" s="34" t="e">
        <f t="shared" si="614"/>
        <v>#N/A</v>
      </c>
      <c r="AS264" s="27"/>
      <c r="AT264" s="41"/>
      <c r="AU264" s="41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30"/>
    </row>
    <row r="265" spans="1:66" ht="11.25" customHeight="1" x14ac:dyDescent="0.2">
      <c r="A265" s="37"/>
      <c r="B265" s="73"/>
      <c r="C265" s="56">
        <v>9</v>
      </c>
      <c r="D265" s="8" t="s">
        <v>216</v>
      </c>
      <c r="E265" s="16">
        <f t="shared" si="598"/>
        <v>0</v>
      </c>
      <c r="F265" s="6">
        <f>SUMIFS([0]!VOTOS2,[0]!TURNO1,F$31,[0]!CANDIDATO1,$C265,[0]!MUNICIPIO1,$B$257)</f>
        <v>0</v>
      </c>
      <c r="G265" s="6">
        <f>SUMIFS([0]!VOTOS2,[0]!TURNO1,G$31,[0]!CANDIDATO1,$C265,[0]!MUNICIPIO1,$B$257)</f>
        <v>0</v>
      </c>
      <c r="H265" s="6">
        <f>SUMIFS([0]!VOTOS2,[0]!TURNO1,H$31,[0]!CANDIDATO1,$C265,[0]!MUNICIPIO1,$B$257)</f>
        <v>0</v>
      </c>
      <c r="I265" s="6">
        <f>SUMIFS([0]!VOTOS2,[0]!TURNO1,I$31,[0]!CANDIDATO1,$C265,[0]!MUNICIPIO1,$B$257)</f>
        <v>0</v>
      </c>
      <c r="J265" s="6">
        <f>SUMIFS([0]!VOTOS2,[0]!TURNO1,J$31,[0]!CANDIDATO1,$C265,[0]!MUNICIPIO1,$B$257)</f>
        <v>0</v>
      </c>
      <c r="K265" s="6">
        <f>SUMIFS([0]!VOTOS2,[0]!TURNO1,K$31,[0]!CANDIDATO1,$C265,[0]!MUNICIPIO1,$B$257)</f>
        <v>0</v>
      </c>
      <c r="L265" s="6">
        <f>SUMIFS([0]!VOTOS2,[0]!TURNO1,L$31,[0]!CANDIDATO1,$C265,[0]!MUNICIPIO1,$B$257)</f>
        <v>0</v>
      </c>
      <c r="M265" s="6">
        <f>SUMIFS([0]!VOTOS2,[0]!TURNO1,M$31,[0]!CANDIDATO1,$C265,[0]!MUNICIPIO1,$B$257)</f>
        <v>0</v>
      </c>
      <c r="N265" s="6">
        <f>SUMIFS([0]!VOTOS2,[0]!TURNO1,N$31,[0]!CANDIDATO1,$C265,[0]!MUNICIPIO1,$B$257)</f>
        <v>0</v>
      </c>
      <c r="O265" s="6">
        <f>SUMIFS([0]!VOTOS2,[0]!TURNO1,O$31,[0]!CANDIDATO1,$C265,[0]!MUNICIPIO1,$B$257)</f>
        <v>0</v>
      </c>
      <c r="P265" s="6">
        <f>SUMIFS([0]!VOTOS2,[0]!TURNO1,P$31,[0]!CANDIDATO1,$C265,[0]!MUNICIPIO1,$B$257)</f>
        <v>0</v>
      </c>
      <c r="Q265" s="6">
        <f>SUMIFS([0]!VOTOS2,[0]!TURNO1,Q$31,[0]!CANDIDATO1,$C265,[0]!MUNICIPIO1,$B$257)</f>
        <v>0</v>
      </c>
      <c r="R265" s="6">
        <f>SUMIFS([0]!VOTOS2,[0]!TURNO1,R$31,[0]!CANDIDATO1,$C265,[0]!MUNICIPIO1,$B$257)</f>
        <v>0</v>
      </c>
      <c r="S265" s="6">
        <f>SUMIFS([0]!VOTOS2,[0]!TURNO1,S$31,[0]!CANDIDATO1,$C265,[0]!MUNICIPIO1,$B$257)</f>
        <v>0</v>
      </c>
      <c r="T265" s="6">
        <f>SUMIFS([0]!VOTOS2,[0]!TURNO1,T$31,[0]!CANDIDATO1,$C265,[0]!MUNICIPIO1,$B$257)</f>
        <v>0</v>
      </c>
      <c r="U265" s="6">
        <f>SUMIFS([0]!VOTOS2,[0]!TURNO1,U$31,[0]!CANDIDATO1,$C265,[0]!MUNICIPIO1,$B$257)</f>
        <v>0</v>
      </c>
      <c r="V265" s="6">
        <f>SUMIFS([0]!VOTOS2,[0]!TURNO1,V$31,[0]!CANDIDATO1,$C265,[0]!MUNICIPIO1,$B$257)</f>
        <v>0</v>
      </c>
      <c r="W265" s="6">
        <f>SUMIFS([0]!VOTOS2,[0]!TURNO1,W$31,[0]!CANDIDATO1,$C265,[0]!MUNICIPIO1,$B$257)</f>
        <v>0</v>
      </c>
      <c r="X265" s="24"/>
      <c r="Y265" s="18" t="str">
        <f t="shared" si="599"/>
        <v>ROBERTO SALAZAR</v>
      </c>
      <c r="Z265" s="34">
        <f t="shared" si="600"/>
        <v>0</v>
      </c>
      <c r="AA265" s="34">
        <f t="shared" si="601"/>
        <v>0</v>
      </c>
      <c r="AB265" s="34">
        <f t="shared" ref="AB265:AR265" si="615">IF(SUM(G257:G269)=0,NA(),G265+AA265)</f>
        <v>0</v>
      </c>
      <c r="AC265" s="34">
        <f t="shared" si="615"/>
        <v>0</v>
      </c>
      <c r="AD265" s="34">
        <f t="shared" si="615"/>
        <v>0</v>
      </c>
      <c r="AE265" s="34">
        <f t="shared" si="615"/>
        <v>0</v>
      </c>
      <c r="AF265" s="34">
        <f t="shared" si="615"/>
        <v>0</v>
      </c>
      <c r="AG265" s="34">
        <f t="shared" si="615"/>
        <v>0</v>
      </c>
      <c r="AH265" s="34">
        <f t="shared" si="615"/>
        <v>0</v>
      </c>
      <c r="AI265" s="34">
        <f t="shared" si="615"/>
        <v>0</v>
      </c>
      <c r="AJ265" s="34">
        <f t="shared" si="615"/>
        <v>0</v>
      </c>
      <c r="AK265" s="34" t="e">
        <f t="shared" si="615"/>
        <v>#N/A</v>
      </c>
      <c r="AL265" s="34" t="e">
        <f t="shared" si="615"/>
        <v>#N/A</v>
      </c>
      <c r="AM265" s="34" t="e">
        <f t="shared" si="615"/>
        <v>#N/A</v>
      </c>
      <c r="AN265" s="34" t="e">
        <f t="shared" si="615"/>
        <v>#N/A</v>
      </c>
      <c r="AO265" s="34" t="e">
        <f t="shared" si="615"/>
        <v>#N/A</v>
      </c>
      <c r="AP265" s="34" t="e">
        <f t="shared" si="615"/>
        <v>#N/A</v>
      </c>
      <c r="AQ265" s="34" t="e">
        <f t="shared" si="615"/>
        <v>#N/A</v>
      </c>
      <c r="AR265" s="34" t="e">
        <f t="shared" si="615"/>
        <v>#N/A</v>
      </c>
      <c r="AS265" s="27"/>
      <c r="AT265" s="41"/>
      <c r="AU265" s="41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30"/>
    </row>
    <row r="266" spans="1:66" ht="11.25" customHeight="1" x14ac:dyDescent="0.2">
      <c r="A266" s="42"/>
      <c r="B266" s="74"/>
      <c r="C266" s="33">
        <v>10</v>
      </c>
      <c r="D266" s="8" t="s">
        <v>217</v>
      </c>
      <c r="E266" s="16">
        <f t="shared" si="598"/>
        <v>0</v>
      </c>
      <c r="F266" s="6">
        <f>SUMIFS([0]!VOTOS2,[0]!TURNO1,F$31,[0]!CANDIDATO1,$C266,[0]!MUNICIPIO1,$B$257)</f>
        <v>0</v>
      </c>
      <c r="G266" s="6">
        <f>SUMIFS([0]!VOTOS2,[0]!TURNO1,G$31,[0]!CANDIDATO1,$C266,[0]!MUNICIPIO1,$B$257)</f>
        <v>0</v>
      </c>
      <c r="H266" s="6">
        <f>SUMIFS([0]!VOTOS2,[0]!TURNO1,H$31,[0]!CANDIDATO1,$C266,[0]!MUNICIPIO1,$B$257)</f>
        <v>0</v>
      </c>
      <c r="I266" s="6">
        <f>SUMIFS([0]!VOTOS2,[0]!TURNO1,I$31,[0]!CANDIDATO1,$C266,[0]!MUNICIPIO1,$B$257)</f>
        <v>0</v>
      </c>
      <c r="J266" s="6">
        <f>SUMIFS([0]!VOTOS2,[0]!TURNO1,J$31,[0]!CANDIDATO1,$C266,[0]!MUNICIPIO1,$B$257)</f>
        <v>0</v>
      </c>
      <c r="K266" s="6">
        <f>SUMIFS([0]!VOTOS2,[0]!TURNO1,K$31,[0]!CANDIDATO1,$C266,[0]!MUNICIPIO1,$B$257)</f>
        <v>0</v>
      </c>
      <c r="L266" s="6">
        <f>SUMIFS([0]!VOTOS2,[0]!TURNO1,L$31,[0]!CANDIDATO1,$C266,[0]!MUNICIPIO1,$B$257)</f>
        <v>0</v>
      </c>
      <c r="M266" s="6">
        <f>SUMIFS([0]!VOTOS2,[0]!TURNO1,M$31,[0]!CANDIDATO1,$C266,[0]!MUNICIPIO1,$B$257)</f>
        <v>0</v>
      </c>
      <c r="N266" s="6">
        <f>SUMIFS([0]!VOTOS2,[0]!TURNO1,N$31,[0]!CANDIDATO1,$C266,[0]!MUNICIPIO1,$B$257)</f>
        <v>0</v>
      </c>
      <c r="O266" s="6">
        <f>SUMIFS([0]!VOTOS2,[0]!TURNO1,O$31,[0]!CANDIDATO1,$C266,[0]!MUNICIPIO1,$B$257)</f>
        <v>0</v>
      </c>
      <c r="P266" s="6">
        <f>SUMIFS([0]!VOTOS2,[0]!TURNO1,P$31,[0]!CANDIDATO1,$C266,[0]!MUNICIPIO1,$B$257)</f>
        <v>0</v>
      </c>
      <c r="Q266" s="6">
        <f>SUMIFS([0]!VOTOS2,[0]!TURNO1,Q$31,[0]!CANDIDATO1,$C266,[0]!MUNICIPIO1,$B$257)</f>
        <v>0</v>
      </c>
      <c r="R266" s="6">
        <f>SUMIFS([0]!VOTOS2,[0]!TURNO1,R$31,[0]!CANDIDATO1,$C266,[0]!MUNICIPIO1,$B$257)</f>
        <v>0</v>
      </c>
      <c r="S266" s="6">
        <f>SUMIFS([0]!VOTOS2,[0]!TURNO1,S$31,[0]!CANDIDATO1,$C266,[0]!MUNICIPIO1,$B$257)</f>
        <v>0</v>
      </c>
      <c r="T266" s="6">
        <f>SUMIFS([0]!VOTOS2,[0]!TURNO1,T$31,[0]!CANDIDATO1,$C266,[0]!MUNICIPIO1,$B$257)</f>
        <v>0</v>
      </c>
      <c r="U266" s="6">
        <f>SUMIFS([0]!VOTOS2,[0]!TURNO1,U$31,[0]!CANDIDATO1,$C266,[0]!MUNICIPIO1,$B$257)</f>
        <v>0</v>
      </c>
      <c r="V266" s="6">
        <f>SUMIFS([0]!VOTOS2,[0]!TURNO1,V$31,[0]!CANDIDATO1,$C266,[0]!MUNICIPIO1,$B$257)</f>
        <v>0</v>
      </c>
      <c r="W266" s="6">
        <f>SUMIFS([0]!VOTOS2,[0]!TURNO1,W$31,[0]!CANDIDATO1,$C266,[0]!MUNICIPIO1,$B$257)</f>
        <v>0</v>
      </c>
      <c r="X266" s="24"/>
      <c r="Y266" s="18" t="str">
        <f t="shared" si="599"/>
        <v>CESAR OJEDA</v>
      </c>
      <c r="Z266" s="34">
        <f t="shared" si="600"/>
        <v>0</v>
      </c>
      <c r="AA266" s="34">
        <f t="shared" si="601"/>
        <v>0</v>
      </c>
      <c r="AB266" s="34">
        <f t="shared" ref="AB266:AR266" si="616">IF(SUM(G257:G269)=0,NA(),G266+AA266)</f>
        <v>0</v>
      </c>
      <c r="AC266" s="34">
        <f t="shared" si="616"/>
        <v>0</v>
      </c>
      <c r="AD266" s="34">
        <f t="shared" si="616"/>
        <v>0</v>
      </c>
      <c r="AE266" s="34">
        <f t="shared" si="616"/>
        <v>0</v>
      </c>
      <c r="AF266" s="34">
        <f t="shared" si="616"/>
        <v>0</v>
      </c>
      <c r="AG266" s="34">
        <f t="shared" si="616"/>
        <v>0</v>
      </c>
      <c r="AH266" s="34">
        <f t="shared" si="616"/>
        <v>0</v>
      </c>
      <c r="AI266" s="34">
        <f t="shared" si="616"/>
        <v>0</v>
      </c>
      <c r="AJ266" s="34">
        <f t="shared" si="616"/>
        <v>0</v>
      </c>
      <c r="AK266" s="34" t="e">
        <f t="shared" si="616"/>
        <v>#N/A</v>
      </c>
      <c r="AL266" s="34" t="e">
        <f t="shared" si="616"/>
        <v>#N/A</v>
      </c>
      <c r="AM266" s="34" t="e">
        <f t="shared" si="616"/>
        <v>#N/A</v>
      </c>
      <c r="AN266" s="34" t="e">
        <f t="shared" si="616"/>
        <v>#N/A</v>
      </c>
      <c r="AO266" s="34" t="e">
        <f t="shared" si="616"/>
        <v>#N/A</v>
      </c>
      <c r="AP266" s="34" t="e">
        <f t="shared" si="616"/>
        <v>#N/A</v>
      </c>
      <c r="AQ266" s="34" t="e">
        <f t="shared" si="616"/>
        <v>#N/A</v>
      </c>
      <c r="AR266" s="34" t="e">
        <f t="shared" si="616"/>
        <v>#N/A</v>
      </c>
      <c r="AS266" s="27"/>
      <c r="AT266" s="41"/>
      <c r="AU266" s="41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30"/>
    </row>
    <row r="267" spans="1:66" ht="11.25" customHeight="1" x14ac:dyDescent="0.2">
      <c r="A267" s="44"/>
      <c r="B267" s="54"/>
      <c r="C267" s="46">
        <v>11</v>
      </c>
      <c r="D267" s="14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24"/>
      <c r="Y267" s="18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27"/>
      <c r="AT267" s="41"/>
      <c r="AU267" s="41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30"/>
    </row>
    <row r="268" spans="1:66" ht="11.25" customHeight="1" x14ac:dyDescent="0.2">
      <c r="A268" s="44"/>
      <c r="B268" s="54"/>
      <c r="C268" s="46">
        <v>12</v>
      </c>
      <c r="D268" s="14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24"/>
      <c r="Y268" s="18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27"/>
      <c r="AT268" s="41"/>
      <c r="AU268" s="41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30"/>
    </row>
    <row r="269" spans="1:66" ht="11.25" customHeight="1" x14ac:dyDescent="0.2">
      <c r="A269" s="44"/>
      <c r="B269" s="54"/>
      <c r="C269" s="46">
        <v>13</v>
      </c>
      <c r="D269" s="14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24"/>
      <c r="Y269" s="18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27"/>
      <c r="AT269" s="41"/>
      <c r="AU269" s="41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30"/>
    </row>
    <row r="270" spans="1:66" ht="11.25" customHeight="1" x14ac:dyDescent="0.2">
      <c r="D270" s="31" t="s">
        <v>76</v>
      </c>
      <c r="X270" s="24"/>
      <c r="Y270" s="19" t="s">
        <v>79</v>
      </c>
      <c r="Z270" s="34">
        <f t="shared" ref="Z270" si="617">SUM(Z259:Z269)</f>
        <v>0</v>
      </c>
      <c r="AA270" s="34">
        <f t="shared" ref="AA270" si="618">SUM(AA259:AA269)</f>
        <v>0</v>
      </c>
      <c r="AB270" s="34">
        <f t="shared" ref="AB270" si="619">SUM(AB259:AB269)</f>
        <v>0</v>
      </c>
      <c r="AC270" s="34">
        <f t="shared" ref="AC270" si="620">SUM(AC259:AC269)</f>
        <v>0</v>
      </c>
      <c r="AD270" s="34">
        <f t="shared" ref="AD270" si="621">SUM(AD259:AD269)</f>
        <v>0</v>
      </c>
      <c r="AE270" s="34">
        <f t="shared" ref="AE270" si="622">SUM(AE259:AE269)</f>
        <v>0</v>
      </c>
      <c r="AF270" s="34">
        <f t="shared" ref="AF270" si="623">SUM(AF259:AF269)</f>
        <v>0</v>
      </c>
      <c r="AG270" s="34">
        <f t="shared" ref="AG270" si="624">SUM(AG259:AG269)</f>
        <v>0</v>
      </c>
      <c r="AH270" s="34">
        <f t="shared" ref="AH270" si="625">SUM(AH259:AH269)</f>
        <v>0</v>
      </c>
      <c r="AI270" s="34">
        <f t="shared" ref="AI270" si="626">SUM(AI259:AI269)</f>
        <v>0</v>
      </c>
      <c r="AJ270" s="34">
        <f t="shared" ref="AJ270" si="627">SUM(AJ259:AJ269)</f>
        <v>0</v>
      </c>
      <c r="AK270" s="34" t="e">
        <f t="shared" ref="AK270" si="628">SUM(AK259:AK269)</f>
        <v>#N/A</v>
      </c>
      <c r="AL270" s="34" t="e">
        <f t="shared" ref="AL270" si="629">SUM(AL259:AL269)</f>
        <v>#N/A</v>
      </c>
      <c r="AM270" s="34" t="e">
        <f t="shared" ref="AM270" si="630">SUM(AM259:AM269)</f>
        <v>#N/A</v>
      </c>
      <c r="AN270" s="34" t="e">
        <f t="shared" ref="AN270" si="631">SUM(AN259:AN269)</f>
        <v>#N/A</v>
      </c>
      <c r="AO270" s="34" t="e">
        <f t="shared" ref="AO270" si="632">SUM(AO259:AO269)</f>
        <v>#N/A</v>
      </c>
      <c r="AP270" s="34" t="e">
        <f t="shared" ref="AP270" si="633">SUM(AP259:AP269)</f>
        <v>#N/A</v>
      </c>
      <c r="AQ270" s="34" t="e">
        <f t="shared" ref="AQ270" si="634">SUM(AQ259:AQ269)</f>
        <v>#N/A</v>
      </c>
      <c r="AR270" s="34" t="e">
        <f t="shared" ref="AR270" si="635">SUM(AR259:AR269)</f>
        <v>#N/A</v>
      </c>
      <c r="AS270" s="27"/>
      <c r="AT270" s="41"/>
      <c r="AU270" s="41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30"/>
    </row>
    <row r="271" spans="1:66" ht="11.25" customHeight="1" x14ac:dyDescent="0.2">
      <c r="A271" s="75" t="s">
        <v>63</v>
      </c>
      <c r="B271" s="76"/>
      <c r="C271" s="47"/>
      <c r="D271" s="48" t="s">
        <v>75</v>
      </c>
      <c r="E271" s="49" t="s">
        <v>70</v>
      </c>
      <c r="F271" s="49">
        <v>0</v>
      </c>
      <c r="G271" s="49">
        <v>1</v>
      </c>
      <c r="H271" s="49">
        <v>2</v>
      </c>
      <c r="I271" s="49">
        <v>3</v>
      </c>
      <c r="J271" s="49">
        <v>4</v>
      </c>
      <c r="K271" s="49">
        <v>5</v>
      </c>
      <c r="L271" s="49">
        <v>6</v>
      </c>
      <c r="M271" s="49">
        <v>7</v>
      </c>
      <c r="N271" s="49">
        <v>8</v>
      </c>
      <c r="O271" s="49">
        <v>9</v>
      </c>
      <c r="P271" s="49">
        <v>10</v>
      </c>
      <c r="Q271" s="49">
        <v>11</v>
      </c>
      <c r="R271" s="49">
        <v>12</v>
      </c>
      <c r="S271" s="49">
        <v>13</v>
      </c>
      <c r="T271" s="49">
        <v>14</v>
      </c>
      <c r="U271" s="49">
        <v>15</v>
      </c>
      <c r="V271" s="49">
        <v>16</v>
      </c>
      <c r="W271" s="23">
        <v>17</v>
      </c>
      <c r="X271" s="24"/>
      <c r="Y271" s="17"/>
      <c r="Z271" s="25" t="s">
        <v>64</v>
      </c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7"/>
      <c r="AT271" s="28"/>
      <c r="AU271" s="28" t="s">
        <v>64</v>
      </c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30"/>
    </row>
    <row r="272" spans="1:66" ht="11.25" customHeight="1" x14ac:dyDescent="0.2">
      <c r="A272" s="32"/>
      <c r="B272" s="72">
        <v>16</v>
      </c>
      <c r="C272" s="56">
        <v>1</v>
      </c>
      <c r="D272" s="12" t="s">
        <v>189</v>
      </c>
      <c r="E272" s="16">
        <f t="shared" ref="E272:E282" si="636">SUM(F272:W272)</f>
        <v>53</v>
      </c>
      <c r="F272" s="6">
        <f>SUMIFS([0]!VOTOS2,[0]!TURNO1,F$31,[0]!CANDIDATO1,$C272,[0]!MUNICIPIO1,$B$272)</f>
        <v>10</v>
      </c>
      <c r="G272" s="6">
        <f>SUMIFS([0]!VOTOS2,[0]!TURNO1,G$31,[0]!CANDIDATO1,$C272,[0]!MUNICIPIO1,$B$272)</f>
        <v>20</v>
      </c>
      <c r="H272" s="6">
        <f>SUMIFS([0]!VOTOS2,[0]!TURNO1,H$31,[0]!CANDIDATO1,$C272,[0]!MUNICIPIO1,$B$272)</f>
        <v>0</v>
      </c>
      <c r="I272" s="6">
        <f>SUMIFS([0]!VOTOS2,[0]!TURNO1,I$31,[0]!CANDIDATO1,$C272,[0]!MUNICIPIO1,$B$272)</f>
        <v>3</v>
      </c>
      <c r="J272" s="6">
        <f>SUMIFS([0]!VOTOS2,[0]!TURNO1,J$31,[0]!CANDIDATO1,$C272,[0]!MUNICIPIO1,$B$272)</f>
        <v>0</v>
      </c>
      <c r="K272" s="6">
        <f>SUMIFS([0]!VOTOS2,[0]!TURNO1,K$31,[0]!CANDIDATO1,$C272,[0]!MUNICIPIO1,$B$272)</f>
        <v>5</v>
      </c>
      <c r="L272" s="6">
        <f>SUMIFS([0]!VOTOS2,[0]!TURNO1,L$31,[0]!CANDIDATO1,$C272,[0]!MUNICIPIO1,$B$272)</f>
        <v>5</v>
      </c>
      <c r="M272" s="6">
        <f>SUMIFS([0]!VOTOS2,[0]!TURNO1,M$31,[0]!CANDIDATO1,$C272,[0]!MUNICIPIO1,$B$272)</f>
        <v>7</v>
      </c>
      <c r="N272" s="6">
        <f>SUMIFS([0]!VOTOS2,[0]!TURNO1,N$31,[0]!CANDIDATO1,$C272,[0]!MUNICIPIO1,$B$272)</f>
        <v>0</v>
      </c>
      <c r="O272" s="6">
        <f>SUMIFS([0]!VOTOS2,[0]!TURNO1,O$31,[0]!CANDIDATO1,$C272,[0]!MUNICIPIO1,$B$272)</f>
        <v>3</v>
      </c>
      <c r="P272" s="6">
        <f>SUMIFS([0]!VOTOS2,[0]!TURNO1,P$31,[0]!CANDIDATO1,$C272,[0]!MUNICIPIO1,$B$272)</f>
        <v>0</v>
      </c>
      <c r="Q272" s="6">
        <f>SUMIFS([0]!VOTOS2,[0]!TURNO1,Q$31,[0]!CANDIDATO1,$C272,[0]!MUNICIPIO1,$B$272)</f>
        <v>0</v>
      </c>
      <c r="R272" s="6">
        <f>SUMIFS([0]!VOTOS2,[0]!TURNO1,R$31,[0]!CANDIDATO1,$C272,[0]!MUNICIPIO1,$B$272)</f>
        <v>0</v>
      </c>
      <c r="S272" s="6">
        <f>SUMIFS([0]!VOTOS2,[0]!TURNO1,S$31,[0]!CANDIDATO1,$C272,[0]!MUNICIPIO1,$B$272)</f>
        <v>0</v>
      </c>
      <c r="T272" s="6">
        <f>SUMIFS([0]!VOTOS2,[0]!TURNO1,T$31,[0]!CANDIDATO1,$C272,[0]!MUNICIPIO1,$B$272)</f>
        <v>0</v>
      </c>
      <c r="U272" s="6">
        <f>SUMIFS([0]!VOTOS2,[0]!TURNO1,U$31,[0]!CANDIDATO1,$C272,[0]!MUNICIPIO1,$B$272)</f>
        <v>0</v>
      </c>
      <c r="V272" s="6">
        <f>SUMIFS([0]!VOTOS2,[0]!TURNO1,V$31,[0]!CANDIDATO1,$C272,[0]!MUNICIPIO1,$B$272)</f>
        <v>0</v>
      </c>
      <c r="W272" s="6">
        <f>SUMIFS([0]!VOTOS2,[0]!TURNO1,W$31,[0]!CANDIDATO1,$C272,[0]!MUNICIPIO1,$B$272)</f>
        <v>0</v>
      </c>
      <c r="X272" s="24"/>
      <c r="Y272" s="18" t="str">
        <f t="shared" ref="Y272:Y282" si="637">D272</f>
        <v>GERARDO SANCHEZ</v>
      </c>
      <c r="Z272" s="34">
        <f t="shared" ref="Z272:Z282" si="638">E272</f>
        <v>53</v>
      </c>
      <c r="AA272" s="34">
        <f t="shared" ref="AA272:AA282" si="639">F272</f>
        <v>10</v>
      </c>
      <c r="AB272" s="34">
        <f t="shared" ref="AB272:AR272" si="640">IF(SUM(G272:G284)=0,NA(),G272+AA272)</f>
        <v>30</v>
      </c>
      <c r="AC272" s="34" t="e">
        <f t="shared" si="640"/>
        <v>#N/A</v>
      </c>
      <c r="AD272" s="34" t="e">
        <f t="shared" si="640"/>
        <v>#N/A</v>
      </c>
      <c r="AE272" s="34" t="e">
        <f t="shared" si="640"/>
        <v>#N/A</v>
      </c>
      <c r="AF272" s="34" t="e">
        <f t="shared" si="640"/>
        <v>#N/A</v>
      </c>
      <c r="AG272" s="34" t="e">
        <f t="shared" si="640"/>
        <v>#N/A</v>
      </c>
      <c r="AH272" s="34" t="e">
        <f t="shared" si="640"/>
        <v>#N/A</v>
      </c>
      <c r="AI272" s="34" t="e">
        <f t="shared" si="640"/>
        <v>#N/A</v>
      </c>
      <c r="AJ272" s="34" t="e">
        <f t="shared" si="640"/>
        <v>#N/A</v>
      </c>
      <c r="AK272" s="34" t="e">
        <f t="shared" si="640"/>
        <v>#N/A</v>
      </c>
      <c r="AL272" s="34" t="e">
        <f t="shared" si="640"/>
        <v>#N/A</v>
      </c>
      <c r="AM272" s="34" t="e">
        <f t="shared" si="640"/>
        <v>#N/A</v>
      </c>
      <c r="AN272" s="34" t="e">
        <f t="shared" si="640"/>
        <v>#N/A</v>
      </c>
      <c r="AO272" s="34" t="e">
        <f t="shared" si="640"/>
        <v>#N/A</v>
      </c>
      <c r="AP272" s="34" t="e">
        <f t="shared" si="640"/>
        <v>#N/A</v>
      </c>
      <c r="AQ272" s="34" t="e">
        <f t="shared" si="640"/>
        <v>#N/A</v>
      </c>
      <c r="AR272" s="34" t="e">
        <f t="shared" si="640"/>
        <v>#N/A</v>
      </c>
      <c r="AS272" s="27"/>
      <c r="AT272" s="35" t="str">
        <f t="shared" ref="AT272:AT273" si="641">Y272</f>
        <v>GERARDO SANCHEZ</v>
      </c>
      <c r="AU272" s="36">
        <f t="shared" ref="AU272:BM272" si="642">Z272/(Z272+Z273+Z285)</f>
        <v>0.42063492063492064</v>
      </c>
      <c r="AV272" s="36">
        <f t="shared" si="642"/>
        <v>0.5</v>
      </c>
      <c r="AW272" s="36">
        <f t="shared" si="642"/>
        <v>0.42857142857142855</v>
      </c>
      <c r="AX272" s="36" t="e">
        <f t="shared" si="642"/>
        <v>#N/A</v>
      </c>
      <c r="AY272" s="36" t="e">
        <f t="shared" si="642"/>
        <v>#N/A</v>
      </c>
      <c r="AZ272" s="36" t="e">
        <f t="shared" si="642"/>
        <v>#N/A</v>
      </c>
      <c r="BA272" s="36" t="e">
        <f t="shared" si="642"/>
        <v>#N/A</v>
      </c>
      <c r="BB272" s="36" t="e">
        <f t="shared" si="642"/>
        <v>#N/A</v>
      </c>
      <c r="BC272" s="36" t="e">
        <f t="shared" si="642"/>
        <v>#N/A</v>
      </c>
      <c r="BD272" s="36" t="e">
        <f t="shared" si="642"/>
        <v>#N/A</v>
      </c>
      <c r="BE272" s="36" t="e">
        <f t="shared" si="642"/>
        <v>#N/A</v>
      </c>
      <c r="BF272" s="36" t="e">
        <f t="shared" si="642"/>
        <v>#N/A</v>
      </c>
      <c r="BG272" s="36" t="e">
        <f t="shared" si="642"/>
        <v>#N/A</v>
      </c>
      <c r="BH272" s="36" t="e">
        <f t="shared" si="642"/>
        <v>#N/A</v>
      </c>
      <c r="BI272" s="36" t="e">
        <f t="shared" si="642"/>
        <v>#N/A</v>
      </c>
      <c r="BJ272" s="36" t="e">
        <f t="shared" si="642"/>
        <v>#N/A</v>
      </c>
      <c r="BK272" s="36" t="e">
        <f t="shared" si="642"/>
        <v>#N/A</v>
      </c>
      <c r="BL272" s="36" t="e">
        <f t="shared" si="642"/>
        <v>#N/A</v>
      </c>
      <c r="BM272" s="36" t="e">
        <f t="shared" si="642"/>
        <v>#N/A</v>
      </c>
      <c r="BN272" s="30"/>
    </row>
    <row r="273" spans="1:66" ht="11.25" customHeight="1" x14ac:dyDescent="0.2">
      <c r="A273" s="37"/>
      <c r="B273" s="73"/>
      <c r="C273" s="33">
        <v>2</v>
      </c>
      <c r="D273" s="13" t="s">
        <v>190</v>
      </c>
      <c r="E273" s="16">
        <f t="shared" si="636"/>
        <v>35</v>
      </c>
      <c r="F273" s="6">
        <f>SUMIFS([0]!VOTOS2,[0]!TURNO1,F$31,[0]!CANDIDATO1,$C273,[0]!MUNICIPIO1,$B$272)</f>
        <v>10</v>
      </c>
      <c r="G273" s="6">
        <f>SUMIFS([0]!VOTOS2,[0]!TURNO1,G$31,[0]!CANDIDATO1,$C273,[0]!MUNICIPIO1,$B$272)</f>
        <v>13</v>
      </c>
      <c r="H273" s="6">
        <f>SUMIFS([0]!VOTOS2,[0]!TURNO1,H$31,[0]!CANDIDATO1,$C273,[0]!MUNICIPIO1,$B$272)</f>
        <v>0</v>
      </c>
      <c r="I273" s="6">
        <f>SUMIFS([0]!VOTOS2,[0]!TURNO1,I$31,[0]!CANDIDATO1,$C273,[0]!MUNICIPIO1,$B$272)</f>
        <v>4</v>
      </c>
      <c r="J273" s="6">
        <f>SUMIFS([0]!VOTOS2,[0]!TURNO1,J$31,[0]!CANDIDATO1,$C273,[0]!MUNICIPIO1,$B$272)</f>
        <v>0</v>
      </c>
      <c r="K273" s="6">
        <f>SUMIFS([0]!VOTOS2,[0]!TURNO1,K$31,[0]!CANDIDATO1,$C273,[0]!MUNICIPIO1,$B$272)</f>
        <v>2</v>
      </c>
      <c r="L273" s="6">
        <f>SUMIFS([0]!VOTOS2,[0]!TURNO1,L$31,[0]!CANDIDATO1,$C273,[0]!MUNICIPIO1,$B$272)</f>
        <v>1</v>
      </c>
      <c r="M273" s="6">
        <f>SUMIFS([0]!VOTOS2,[0]!TURNO1,M$31,[0]!CANDIDATO1,$C273,[0]!MUNICIPIO1,$B$272)</f>
        <v>4</v>
      </c>
      <c r="N273" s="6">
        <f>SUMIFS([0]!VOTOS2,[0]!TURNO1,N$31,[0]!CANDIDATO1,$C273,[0]!MUNICIPIO1,$B$272)</f>
        <v>0</v>
      </c>
      <c r="O273" s="6">
        <f>SUMIFS([0]!VOTOS2,[0]!TURNO1,O$31,[0]!CANDIDATO1,$C273,[0]!MUNICIPIO1,$B$272)</f>
        <v>1</v>
      </c>
      <c r="P273" s="6">
        <f>SUMIFS([0]!VOTOS2,[0]!TURNO1,P$31,[0]!CANDIDATO1,$C273,[0]!MUNICIPIO1,$B$272)</f>
        <v>0</v>
      </c>
      <c r="Q273" s="6">
        <f>SUMIFS([0]!VOTOS2,[0]!TURNO1,Q$31,[0]!CANDIDATO1,$C273,[0]!MUNICIPIO1,$B$272)</f>
        <v>0</v>
      </c>
      <c r="R273" s="6">
        <f>SUMIFS([0]!VOTOS2,[0]!TURNO1,R$31,[0]!CANDIDATO1,$C273,[0]!MUNICIPIO1,$B$272)</f>
        <v>0</v>
      </c>
      <c r="S273" s="6">
        <f>SUMIFS([0]!VOTOS2,[0]!TURNO1,S$31,[0]!CANDIDATO1,$C273,[0]!MUNICIPIO1,$B$272)</f>
        <v>0</v>
      </c>
      <c r="T273" s="6">
        <f>SUMIFS([0]!VOTOS2,[0]!TURNO1,T$31,[0]!CANDIDATO1,$C273,[0]!MUNICIPIO1,$B$272)</f>
        <v>0</v>
      </c>
      <c r="U273" s="6">
        <f>SUMIFS([0]!VOTOS2,[0]!TURNO1,U$31,[0]!CANDIDATO1,$C273,[0]!MUNICIPIO1,$B$272)</f>
        <v>0</v>
      </c>
      <c r="V273" s="6">
        <f>SUMIFS([0]!VOTOS2,[0]!TURNO1,V$31,[0]!CANDIDATO1,$C273,[0]!MUNICIPIO1,$B$272)</f>
        <v>0</v>
      </c>
      <c r="W273" s="6">
        <f>SUMIFS([0]!VOTOS2,[0]!TURNO1,W$31,[0]!CANDIDATO1,$C273,[0]!MUNICIPIO1,$B$272)</f>
        <v>0</v>
      </c>
      <c r="X273" s="24"/>
      <c r="Y273" s="18" t="str">
        <f t="shared" si="637"/>
        <v>ELIAS ALDANA</v>
      </c>
      <c r="Z273" s="34">
        <f t="shared" si="638"/>
        <v>35</v>
      </c>
      <c r="AA273" s="34">
        <f t="shared" si="639"/>
        <v>10</v>
      </c>
      <c r="AB273" s="34">
        <f t="shared" ref="AB273:AR273" si="643">IF(SUM(G272:G284)=0,NA(),G273+AA273)</f>
        <v>23</v>
      </c>
      <c r="AC273" s="34" t="e">
        <f t="shared" si="643"/>
        <v>#N/A</v>
      </c>
      <c r="AD273" s="34" t="e">
        <f t="shared" si="643"/>
        <v>#N/A</v>
      </c>
      <c r="AE273" s="34" t="e">
        <f t="shared" si="643"/>
        <v>#N/A</v>
      </c>
      <c r="AF273" s="34" t="e">
        <f t="shared" si="643"/>
        <v>#N/A</v>
      </c>
      <c r="AG273" s="34" t="e">
        <f t="shared" si="643"/>
        <v>#N/A</v>
      </c>
      <c r="AH273" s="34" t="e">
        <f t="shared" si="643"/>
        <v>#N/A</v>
      </c>
      <c r="AI273" s="34" t="e">
        <f t="shared" si="643"/>
        <v>#N/A</v>
      </c>
      <c r="AJ273" s="34" t="e">
        <f t="shared" si="643"/>
        <v>#N/A</v>
      </c>
      <c r="AK273" s="34" t="e">
        <f t="shared" si="643"/>
        <v>#N/A</v>
      </c>
      <c r="AL273" s="34" t="e">
        <f t="shared" si="643"/>
        <v>#N/A</v>
      </c>
      <c r="AM273" s="34" t="e">
        <f t="shared" si="643"/>
        <v>#N/A</v>
      </c>
      <c r="AN273" s="34" t="e">
        <f t="shared" si="643"/>
        <v>#N/A</v>
      </c>
      <c r="AO273" s="34" t="e">
        <f t="shared" si="643"/>
        <v>#N/A</v>
      </c>
      <c r="AP273" s="34" t="e">
        <f t="shared" si="643"/>
        <v>#N/A</v>
      </c>
      <c r="AQ273" s="34" t="e">
        <f t="shared" si="643"/>
        <v>#N/A</v>
      </c>
      <c r="AR273" s="34" t="e">
        <f t="shared" si="643"/>
        <v>#N/A</v>
      </c>
      <c r="AS273" s="27"/>
      <c r="AT273" s="35" t="str">
        <f t="shared" si="641"/>
        <v>ELIAS ALDANA</v>
      </c>
      <c r="AU273" s="36">
        <f t="shared" ref="AU273:BM273" si="644">Z273/(Z272+Z273+Z285)</f>
        <v>0.27777777777777779</v>
      </c>
      <c r="AV273" s="36">
        <f t="shared" si="644"/>
        <v>0.5</v>
      </c>
      <c r="AW273" s="36">
        <f t="shared" si="644"/>
        <v>0.32857142857142857</v>
      </c>
      <c r="AX273" s="36" t="e">
        <f t="shared" si="644"/>
        <v>#N/A</v>
      </c>
      <c r="AY273" s="36" t="e">
        <f t="shared" si="644"/>
        <v>#N/A</v>
      </c>
      <c r="AZ273" s="36" t="e">
        <f t="shared" si="644"/>
        <v>#N/A</v>
      </c>
      <c r="BA273" s="36" t="e">
        <f t="shared" si="644"/>
        <v>#N/A</v>
      </c>
      <c r="BB273" s="36" t="e">
        <f t="shared" si="644"/>
        <v>#N/A</v>
      </c>
      <c r="BC273" s="36" t="e">
        <f t="shared" si="644"/>
        <v>#N/A</v>
      </c>
      <c r="BD273" s="36" t="e">
        <f t="shared" si="644"/>
        <v>#N/A</v>
      </c>
      <c r="BE273" s="36" t="e">
        <f t="shared" si="644"/>
        <v>#N/A</v>
      </c>
      <c r="BF273" s="36" t="e">
        <f t="shared" si="644"/>
        <v>#N/A</v>
      </c>
      <c r="BG273" s="36" t="e">
        <f t="shared" si="644"/>
        <v>#N/A</v>
      </c>
      <c r="BH273" s="36" t="e">
        <f t="shared" si="644"/>
        <v>#N/A</v>
      </c>
      <c r="BI273" s="36" t="e">
        <f t="shared" si="644"/>
        <v>#N/A</v>
      </c>
      <c r="BJ273" s="36" t="e">
        <f t="shared" si="644"/>
        <v>#N/A</v>
      </c>
      <c r="BK273" s="36" t="e">
        <f t="shared" si="644"/>
        <v>#N/A</v>
      </c>
      <c r="BL273" s="36" t="e">
        <f t="shared" si="644"/>
        <v>#N/A</v>
      </c>
      <c r="BM273" s="36" t="e">
        <f t="shared" si="644"/>
        <v>#N/A</v>
      </c>
      <c r="BN273" s="30"/>
    </row>
    <row r="274" spans="1:66" ht="11.25" customHeight="1" x14ac:dyDescent="0.2">
      <c r="A274" s="37"/>
      <c r="B274" s="73"/>
      <c r="C274" s="56">
        <v>3</v>
      </c>
      <c r="D274" s="13" t="s">
        <v>191</v>
      </c>
      <c r="E274" s="16">
        <f t="shared" si="636"/>
        <v>5</v>
      </c>
      <c r="F274" s="6">
        <f>SUMIFS([0]!VOTOS2,[0]!TURNO1,F$31,[0]!CANDIDATO1,$C274,[0]!MUNICIPIO1,$B$272)</f>
        <v>0</v>
      </c>
      <c r="G274" s="6">
        <f>SUMIFS([0]!VOTOS2,[0]!TURNO1,G$31,[0]!CANDIDATO1,$C274,[0]!MUNICIPIO1,$B$272)</f>
        <v>4</v>
      </c>
      <c r="H274" s="6">
        <f>SUMIFS([0]!VOTOS2,[0]!TURNO1,H$31,[0]!CANDIDATO1,$C274,[0]!MUNICIPIO1,$B$272)</f>
        <v>0</v>
      </c>
      <c r="I274" s="6">
        <f>SUMIFS([0]!VOTOS2,[0]!TURNO1,I$31,[0]!CANDIDATO1,$C274,[0]!MUNICIPIO1,$B$272)</f>
        <v>0</v>
      </c>
      <c r="J274" s="6">
        <f>SUMIFS([0]!VOTOS2,[0]!TURNO1,J$31,[0]!CANDIDATO1,$C274,[0]!MUNICIPIO1,$B$272)</f>
        <v>0</v>
      </c>
      <c r="K274" s="6">
        <f>SUMIFS([0]!VOTOS2,[0]!TURNO1,K$31,[0]!CANDIDATO1,$C274,[0]!MUNICIPIO1,$B$272)</f>
        <v>0</v>
      </c>
      <c r="L274" s="6">
        <f>SUMIFS([0]!VOTOS2,[0]!TURNO1,L$31,[0]!CANDIDATO1,$C274,[0]!MUNICIPIO1,$B$272)</f>
        <v>0</v>
      </c>
      <c r="M274" s="6">
        <f>SUMIFS([0]!VOTOS2,[0]!TURNO1,M$31,[0]!CANDIDATO1,$C274,[0]!MUNICIPIO1,$B$272)</f>
        <v>1</v>
      </c>
      <c r="N274" s="6">
        <f>SUMIFS([0]!VOTOS2,[0]!TURNO1,N$31,[0]!CANDIDATO1,$C274,[0]!MUNICIPIO1,$B$272)</f>
        <v>0</v>
      </c>
      <c r="O274" s="6">
        <f>SUMIFS([0]!VOTOS2,[0]!TURNO1,O$31,[0]!CANDIDATO1,$C274,[0]!MUNICIPIO1,$B$272)</f>
        <v>0</v>
      </c>
      <c r="P274" s="6">
        <f>SUMIFS([0]!VOTOS2,[0]!TURNO1,P$31,[0]!CANDIDATO1,$C274,[0]!MUNICIPIO1,$B$272)</f>
        <v>0</v>
      </c>
      <c r="Q274" s="6">
        <f>SUMIFS([0]!VOTOS2,[0]!TURNO1,Q$31,[0]!CANDIDATO1,$C274,[0]!MUNICIPIO1,$B$272)</f>
        <v>0</v>
      </c>
      <c r="R274" s="6">
        <f>SUMIFS([0]!VOTOS2,[0]!TURNO1,R$31,[0]!CANDIDATO1,$C274,[0]!MUNICIPIO1,$B$272)</f>
        <v>0</v>
      </c>
      <c r="S274" s="6">
        <f>SUMIFS([0]!VOTOS2,[0]!TURNO1,S$31,[0]!CANDIDATO1,$C274,[0]!MUNICIPIO1,$B$272)</f>
        <v>0</v>
      </c>
      <c r="T274" s="6">
        <f>SUMIFS([0]!VOTOS2,[0]!TURNO1,T$31,[0]!CANDIDATO1,$C274,[0]!MUNICIPIO1,$B$272)</f>
        <v>0</v>
      </c>
      <c r="U274" s="6">
        <f>SUMIFS([0]!VOTOS2,[0]!TURNO1,U$31,[0]!CANDIDATO1,$C274,[0]!MUNICIPIO1,$B$272)</f>
        <v>0</v>
      </c>
      <c r="V274" s="6">
        <f>SUMIFS([0]!VOTOS2,[0]!TURNO1,V$31,[0]!CANDIDATO1,$C274,[0]!MUNICIPIO1,$B$272)</f>
        <v>0</v>
      </c>
      <c r="W274" s="6">
        <f>SUMIFS([0]!VOTOS2,[0]!TURNO1,W$31,[0]!CANDIDATO1,$C274,[0]!MUNICIPIO1,$B$272)</f>
        <v>0</v>
      </c>
      <c r="X274" s="24"/>
      <c r="Y274" s="18" t="str">
        <f t="shared" si="637"/>
        <v>LINO OJEDA</v>
      </c>
      <c r="Z274" s="34">
        <f t="shared" si="638"/>
        <v>5</v>
      </c>
      <c r="AA274" s="34">
        <f t="shared" si="639"/>
        <v>0</v>
      </c>
      <c r="AB274" s="34">
        <f t="shared" ref="AB274:AR274" si="645">IF(SUM(G272:G284)=0,NA(),G274+AA274)</f>
        <v>4</v>
      </c>
      <c r="AC274" s="34" t="e">
        <f t="shared" si="645"/>
        <v>#N/A</v>
      </c>
      <c r="AD274" s="34" t="e">
        <f t="shared" si="645"/>
        <v>#N/A</v>
      </c>
      <c r="AE274" s="34" t="e">
        <f t="shared" si="645"/>
        <v>#N/A</v>
      </c>
      <c r="AF274" s="34" t="e">
        <f t="shared" si="645"/>
        <v>#N/A</v>
      </c>
      <c r="AG274" s="34" t="e">
        <f t="shared" si="645"/>
        <v>#N/A</v>
      </c>
      <c r="AH274" s="34" t="e">
        <f t="shared" si="645"/>
        <v>#N/A</v>
      </c>
      <c r="AI274" s="34" t="e">
        <f t="shared" si="645"/>
        <v>#N/A</v>
      </c>
      <c r="AJ274" s="34" t="e">
        <f t="shared" si="645"/>
        <v>#N/A</v>
      </c>
      <c r="AK274" s="34" t="e">
        <f t="shared" si="645"/>
        <v>#N/A</v>
      </c>
      <c r="AL274" s="34" t="e">
        <f t="shared" si="645"/>
        <v>#N/A</v>
      </c>
      <c r="AM274" s="34" t="e">
        <f t="shared" si="645"/>
        <v>#N/A</v>
      </c>
      <c r="AN274" s="34" t="e">
        <f t="shared" si="645"/>
        <v>#N/A</v>
      </c>
      <c r="AO274" s="34" t="e">
        <f t="shared" si="645"/>
        <v>#N/A</v>
      </c>
      <c r="AP274" s="34" t="e">
        <f t="shared" si="645"/>
        <v>#N/A</v>
      </c>
      <c r="AQ274" s="34" t="e">
        <f t="shared" si="645"/>
        <v>#N/A</v>
      </c>
      <c r="AR274" s="34" t="e">
        <f t="shared" si="645"/>
        <v>#N/A</v>
      </c>
      <c r="AS274" s="27"/>
      <c r="AT274" s="35" t="str">
        <f t="shared" ref="AT274" si="646">Y285</f>
        <v>Otros</v>
      </c>
      <c r="AU274" s="36">
        <f t="shared" ref="AU274:BM274" si="647">Z285/(Z272+Z273+Z285)</f>
        <v>0.30158730158730157</v>
      </c>
      <c r="AV274" s="36">
        <f t="shared" si="647"/>
        <v>0</v>
      </c>
      <c r="AW274" s="36">
        <f t="shared" si="647"/>
        <v>0.24285714285714285</v>
      </c>
      <c r="AX274" s="36" t="e">
        <f t="shared" si="647"/>
        <v>#N/A</v>
      </c>
      <c r="AY274" s="36" t="e">
        <f t="shared" si="647"/>
        <v>#N/A</v>
      </c>
      <c r="AZ274" s="36" t="e">
        <f t="shared" si="647"/>
        <v>#N/A</v>
      </c>
      <c r="BA274" s="36" t="e">
        <f t="shared" si="647"/>
        <v>#N/A</v>
      </c>
      <c r="BB274" s="36" t="e">
        <f t="shared" si="647"/>
        <v>#N/A</v>
      </c>
      <c r="BC274" s="36" t="e">
        <f t="shared" si="647"/>
        <v>#N/A</v>
      </c>
      <c r="BD274" s="36" t="e">
        <f t="shared" si="647"/>
        <v>#N/A</v>
      </c>
      <c r="BE274" s="36" t="e">
        <f t="shared" si="647"/>
        <v>#N/A</v>
      </c>
      <c r="BF274" s="36" t="e">
        <f t="shared" si="647"/>
        <v>#N/A</v>
      </c>
      <c r="BG274" s="36" t="e">
        <f t="shared" si="647"/>
        <v>#N/A</v>
      </c>
      <c r="BH274" s="36" t="e">
        <f t="shared" si="647"/>
        <v>#N/A</v>
      </c>
      <c r="BI274" s="36" t="e">
        <f t="shared" si="647"/>
        <v>#N/A</v>
      </c>
      <c r="BJ274" s="36" t="e">
        <f t="shared" si="647"/>
        <v>#N/A</v>
      </c>
      <c r="BK274" s="36" t="e">
        <f t="shared" si="647"/>
        <v>#N/A</v>
      </c>
      <c r="BL274" s="36" t="e">
        <f t="shared" si="647"/>
        <v>#N/A</v>
      </c>
      <c r="BM274" s="36" t="e">
        <f t="shared" si="647"/>
        <v>#N/A</v>
      </c>
      <c r="BN274" s="30"/>
    </row>
    <row r="275" spans="1:66" ht="11.25" customHeight="1" x14ac:dyDescent="0.2">
      <c r="A275" s="38" t="s">
        <v>21</v>
      </c>
      <c r="B275" s="73"/>
      <c r="C275" s="33">
        <v>4</v>
      </c>
      <c r="D275" s="13" t="s">
        <v>192</v>
      </c>
      <c r="E275" s="16">
        <f t="shared" si="636"/>
        <v>9</v>
      </c>
      <c r="F275" s="6">
        <f>SUMIFS([0]!VOTOS2,[0]!TURNO1,F$31,[0]!CANDIDATO1,$C275,[0]!MUNICIPIO1,$B$272)</f>
        <v>0</v>
      </c>
      <c r="G275" s="6">
        <f>SUMIFS([0]!VOTOS2,[0]!TURNO1,G$31,[0]!CANDIDATO1,$C275,[0]!MUNICIPIO1,$B$272)</f>
        <v>7</v>
      </c>
      <c r="H275" s="6">
        <f>SUMIFS([0]!VOTOS2,[0]!TURNO1,H$31,[0]!CANDIDATO1,$C275,[0]!MUNICIPIO1,$B$272)</f>
        <v>0</v>
      </c>
      <c r="I275" s="6">
        <f>SUMIFS([0]!VOTOS2,[0]!TURNO1,I$31,[0]!CANDIDATO1,$C275,[0]!MUNICIPIO1,$B$272)</f>
        <v>0</v>
      </c>
      <c r="J275" s="6">
        <f>SUMIFS([0]!VOTOS2,[0]!TURNO1,J$31,[0]!CANDIDATO1,$C275,[0]!MUNICIPIO1,$B$272)</f>
        <v>0</v>
      </c>
      <c r="K275" s="6">
        <f>SUMIFS([0]!VOTOS2,[0]!TURNO1,K$31,[0]!CANDIDATO1,$C275,[0]!MUNICIPIO1,$B$272)</f>
        <v>0</v>
      </c>
      <c r="L275" s="6">
        <f>SUMIFS([0]!VOTOS2,[0]!TURNO1,L$31,[0]!CANDIDATO1,$C275,[0]!MUNICIPIO1,$B$272)</f>
        <v>1</v>
      </c>
      <c r="M275" s="6">
        <f>SUMIFS([0]!VOTOS2,[0]!TURNO1,M$31,[0]!CANDIDATO1,$C275,[0]!MUNICIPIO1,$B$272)</f>
        <v>0</v>
      </c>
      <c r="N275" s="6">
        <f>SUMIFS([0]!VOTOS2,[0]!TURNO1,N$31,[0]!CANDIDATO1,$C275,[0]!MUNICIPIO1,$B$272)</f>
        <v>0</v>
      </c>
      <c r="O275" s="6">
        <f>SUMIFS([0]!VOTOS2,[0]!TURNO1,O$31,[0]!CANDIDATO1,$C275,[0]!MUNICIPIO1,$B$272)</f>
        <v>1</v>
      </c>
      <c r="P275" s="6">
        <f>SUMIFS([0]!VOTOS2,[0]!TURNO1,P$31,[0]!CANDIDATO1,$C275,[0]!MUNICIPIO1,$B$272)</f>
        <v>0</v>
      </c>
      <c r="Q275" s="6">
        <f>SUMIFS([0]!VOTOS2,[0]!TURNO1,Q$31,[0]!CANDIDATO1,$C275,[0]!MUNICIPIO1,$B$272)</f>
        <v>0</v>
      </c>
      <c r="R275" s="6">
        <f>SUMIFS([0]!VOTOS2,[0]!TURNO1,R$31,[0]!CANDIDATO1,$C275,[0]!MUNICIPIO1,$B$272)</f>
        <v>0</v>
      </c>
      <c r="S275" s="6">
        <f>SUMIFS([0]!VOTOS2,[0]!TURNO1,S$31,[0]!CANDIDATO1,$C275,[0]!MUNICIPIO1,$B$272)</f>
        <v>0</v>
      </c>
      <c r="T275" s="6">
        <f>SUMIFS([0]!VOTOS2,[0]!TURNO1,T$31,[0]!CANDIDATO1,$C275,[0]!MUNICIPIO1,$B$272)</f>
        <v>0</v>
      </c>
      <c r="U275" s="6">
        <f>SUMIFS([0]!VOTOS2,[0]!TURNO1,U$31,[0]!CANDIDATO1,$C275,[0]!MUNICIPIO1,$B$272)</f>
        <v>0</v>
      </c>
      <c r="V275" s="6">
        <f>SUMIFS([0]!VOTOS2,[0]!TURNO1,V$31,[0]!CANDIDATO1,$C275,[0]!MUNICIPIO1,$B$272)</f>
        <v>0</v>
      </c>
      <c r="W275" s="6">
        <f>SUMIFS([0]!VOTOS2,[0]!TURNO1,W$31,[0]!CANDIDATO1,$C275,[0]!MUNICIPIO1,$B$272)</f>
        <v>0</v>
      </c>
      <c r="X275" s="24"/>
      <c r="Y275" s="18" t="str">
        <f t="shared" si="637"/>
        <v>FERNANDO JIMENEZ</v>
      </c>
      <c r="Z275" s="34">
        <f t="shared" si="638"/>
        <v>9</v>
      </c>
      <c r="AA275" s="34">
        <f t="shared" si="639"/>
        <v>0</v>
      </c>
      <c r="AB275" s="34">
        <f t="shared" ref="AB275:AR275" si="648">IF(SUM(G272:G284)=0,NA(),G275+AA275)</f>
        <v>7</v>
      </c>
      <c r="AC275" s="34" t="e">
        <f t="shared" si="648"/>
        <v>#N/A</v>
      </c>
      <c r="AD275" s="34" t="e">
        <f t="shared" si="648"/>
        <v>#N/A</v>
      </c>
      <c r="AE275" s="34" t="e">
        <f t="shared" si="648"/>
        <v>#N/A</v>
      </c>
      <c r="AF275" s="34" t="e">
        <f t="shared" si="648"/>
        <v>#N/A</v>
      </c>
      <c r="AG275" s="34" t="e">
        <f t="shared" si="648"/>
        <v>#N/A</v>
      </c>
      <c r="AH275" s="34" t="e">
        <f t="shared" si="648"/>
        <v>#N/A</v>
      </c>
      <c r="AI275" s="34" t="e">
        <f t="shared" si="648"/>
        <v>#N/A</v>
      </c>
      <c r="AJ275" s="34" t="e">
        <f t="shared" si="648"/>
        <v>#N/A</v>
      </c>
      <c r="AK275" s="34" t="e">
        <f t="shared" si="648"/>
        <v>#N/A</v>
      </c>
      <c r="AL275" s="34" t="e">
        <f t="shared" si="648"/>
        <v>#N/A</v>
      </c>
      <c r="AM275" s="34" t="e">
        <f t="shared" si="648"/>
        <v>#N/A</v>
      </c>
      <c r="AN275" s="34" t="e">
        <f t="shared" si="648"/>
        <v>#N/A</v>
      </c>
      <c r="AO275" s="34" t="e">
        <f t="shared" si="648"/>
        <v>#N/A</v>
      </c>
      <c r="AP275" s="34" t="e">
        <f t="shared" si="648"/>
        <v>#N/A</v>
      </c>
      <c r="AQ275" s="34" t="e">
        <f t="shared" si="648"/>
        <v>#N/A</v>
      </c>
      <c r="AR275" s="34" t="e">
        <f t="shared" si="648"/>
        <v>#N/A</v>
      </c>
      <c r="AS275" s="27"/>
      <c r="AT275" s="39"/>
      <c r="AU275" s="39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30"/>
    </row>
    <row r="276" spans="1:66" ht="11.25" customHeight="1" x14ac:dyDescent="0.2">
      <c r="A276" s="38" t="s">
        <v>22</v>
      </c>
      <c r="B276" s="73"/>
      <c r="C276" s="56">
        <v>5</v>
      </c>
      <c r="D276" s="13" t="s">
        <v>193</v>
      </c>
      <c r="E276" s="16">
        <f t="shared" si="636"/>
        <v>9</v>
      </c>
      <c r="F276" s="6">
        <f>SUMIFS([0]!VOTOS2,[0]!TURNO1,F$31,[0]!CANDIDATO1,$C276,[0]!MUNICIPIO1,$B$272)</f>
        <v>0</v>
      </c>
      <c r="G276" s="6">
        <f>SUMIFS([0]!VOTOS2,[0]!TURNO1,G$31,[0]!CANDIDATO1,$C276,[0]!MUNICIPIO1,$B$272)</f>
        <v>6</v>
      </c>
      <c r="H276" s="6">
        <f>SUMIFS([0]!VOTOS2,[0]!TURNO1,H$31,[0]!CANDIDATO1,$C276,[0]!MUNICIPIO1,$B$272)</f>
        <v>0</v>
      </c>
      <c r="I276" s="6">
        <f>SUMIFS([0]!VOTOS2,[0]!TURNO1,I$31,[0]!CANDIDATO1,$C276,[0]!MUNICIPIO1,$B$272)</f>
        <v>2</v>
      </c>
      <c r="J276" s="6">
        <f>SUMIFS([0]!VOTOS2,[0]!TURNO1,J$31,[0]!CANDIDATO1,$C276,[0]!MUNICIPIO1,$B$272)</f>
        <v>1</v>
      </c>
      <c r="K276" s="6">
        <f>SUMIFS([0]!VOTOS2,[0]!TURNO1,K$31,[0]!CANDIDATO1,$C276,[0]!MUNICIPIO1,$B$272)</f>
        <v>0</v>
      </c>
      <c r="L276" s="6">
        <f>SUMIFS([0]!VOTOS2,[0]!TURNO1,L$31,[0]!CANDIDATO1,$C276,[0]!MUNICIPIO1,$B$272)</f>
        <v>0</v>
      </c>
      <c r="M276" s="6">
        <f>SUMIFS([0]!VOTOS2,[0]!TURNO1,M$31,[0]!CANDIDATO1,$C276,[0]!MUNICIPIO1,$B$272)</f>
        <v>0</v>
      </c>
      <c r="N276" s="6">
        <f>SUMIFS([0]!VOTOS2,[0]!TURNO1,N$31,[0]!CANDIDATO1,$C276,[0]!MUNICIPIO1,$B$272)</f>
        <v>0</v>
      </c>
      <c r="O276" s="6">
        <f>SUMIFS([0]!VOTOS2,[0]!TURNO1,O$31,[0]!CANDIDATO1,$C276,[0]!MUNICIPIO1,$B$272)</f>
        <v>0</v>
      </c>
      <c r="P276" s="6">
        <f>SUMIFS([0]!VOTOS2,[0]!TURNO1,P$31,[0]!CANDIDATO1,$C276,[0]!MUNICIPIO1,$B$272)</f>
        <v>0</v>
      </c>
      <c r="Q276" s="6">
        <f>SUMIFS([0]!VOTOS2,[0]!TURNO1,Q$31,[0]!CANDIDATO1,$C276,[0]!MUNICIPIO1,$B$272)</f>
        <v>0</v>
      </c>
      <c r="R276" s="6">
        <f>SUMIFS([0]!VOTOS2,[0]!TURNO1,R$31,[0]!CANDIDATO1,$C276,[0]!MUNICIPIO1,$B$272)</f>
        <v>0</v>
      </c>
      <c r="S276" s="6">
        <f>SUMIFS([0]!VOTOS2,[0]!TURNO1,S$31,[0]!CANDIDATO1,$C276,[0]!MUNICIPIO1,$B$272)</f>
        <v>0</v>
      </c>
      <c r="T276" s="6">
        <f>SUMIFS([0]!VOTOS2,[0]!TURNO1,T$31,[0]!CANDIDATO1,$C276,[0]!MUNICIPIO1,$B$272)</f>
        <v>0</v>
      </c>
      <c r="U276" s="6">
        <f>SUMIFS([0]!VOTOS2,[0]!TURNO1,U$31,[0]!CANDIDATO1,$C276,[0]!MUNICIPIO1,$B$272)</f>
        <v>0</v>
      </c>
      <c r="V276" s="6">
        <f>SUMIFS([0]!VOTOS2,[0]!TURNO1,V$31,[0]!CANDIDATO1,$C276,[0]!MUNICIPIO1,$B$272)</f>
        <v>0</v>
      </c>
      <c r="W276" s="6">
        <f>SUMIFS([0]!VOTOS2,[0]!TURNO1,W$31,[0]!CANDIDATO1,$C276,[0]!MUNICIPIO1,$B$272)</f>
        <v>0</v>
      </c>
      <c r="X276" s="24"/>
      <c r="Y276" s="18" t="str">
        <f t="shared" si="637"/>
        <v>REINALDO RONDON</v>
      </c>
      <c r="Z276" s="34">
        <f t="shared" si="638"/>
        <v>9</v>
      </c>
      <c r="AA276" s="34">
        <f t="shared" si="639"/>
        <v>0</v>
      </c>
      <c r="AB276" s="34">
        <f t="shared" ref="AB276:AR276" si="649">IF(SUM(G272:G284)=0,NA(),G276+AA276)</f>
        <v>6</v>
      </c>
      <c r="AC276" s="34" t="e">
        <f t="shared" si="649"/>
        <v>#N/A</v>
      </c>
      <c r="AD276" s="34" t="e">
        <f t="shared" si="649"/>
        <v>#N/A</v>
      </c>
      <c r="AE276" s="34" t="e">
        <f t="shared" si="649"/>
        <v>#N/A</v>
      </c>
      <c r="AF276" s="34" t="e">
        <f t="shared" si="649"/>
        <v>#N/A</v>
      </c>
      <c r="AG276" s="34" t="e">
        <f t="shared" si="649"/>
        <v>#N/A</v>
      </c>
      <c r="AH276" s="34" t="e">
        <f t="shared" si="649"/>
        <v>#N/A</v>
      </c>
      <c r="AI276" s="34" t="e">
        <f t="shared" si="649"/>
        <v>#N/A</v>
      </c>
      <c r="AJ276" s="34" t="e">
        <f t="shared" si="649"/>
        <v>#N/A</v>
      </c>
      <c r="AK276" s="34" t="e">
        <f t="shared" si="649"/>
        <v>#N/A</v>
      </c>
      <c r="AL276" s="34" t="e">
        <f t="shared" si="649"/>
        <v>#N/A</v>
      </c>
      <c r="AM276" s="34" t="e">
        <f t="shared" si="649"/>
        <v>#N/A</v>
      </c>
      <c r="AN276" s="34" t="e">
        <f t="shared" si="649"/>
        <v>#N/A</v>
      </c>
      <c r="AO276" s="34" t="e">
        <f t="shared" si="649"/>
        <v>#N/A</v>
      </c>
      <c r="AP276" s="34" t="e">
        <f t="shared" si="649"/>
        <v>#N/A</v>
      </c>
      <c r="AQ276" s="34" t="e">
        <f t="shared" si="649"/>
        <v>#N/A</v>
      </c>
      <c r="AR276" s="34" t="e">
        <f t="shared" si="649"/>
        <v>#N/A</v>
      </c>
      <c r="AS276" s="27"/>
      <c r="AT276" s="39"/>
      <c r="AU276" s="39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30"/>
    </row>
    <row r="277" spans="1:66" ht="11.25" customHeight="1" x14ac:dyDescent="0.2">
      <c r="A277" s="37"/>
      <c r="B277" s="73"/>
      <c r="C277" s="33">
        <v>6</v>
      </c>
      <c r="D277" s="13" t="s">
        <v>194</v>
      </c>
      <c r="E277" s="16">
        <f t="shared" si="636"/>
        <v>2</v>
      </c>
      <c r="F277" s="6">
        <f>SUMIFS([0]!VOTOS2,[0]!TURNO1,F$31,[0]!CANDIDATO1,$C277,[0]!MUNICIPIO1,$B$272)</f>
        <v>0</v>
      </c>
      <c r="G277" s="6">
        <f>SUMIFS([0]!VOTOS2,[0]!TURNO1,G$31,[0]!CANDIDATO1,$C277,[0]!MUNICIPIO1,$B$272)</f>
        <v>0</v>
      </c>
      <c r="H277" s="6">
        <f>SUMIFS([0]!VOTOS2,[0]!TURNO1,H$31,[0]!CANDIDATO1,$C277,[0]!MUNICIPIO1,$B$272)</f>
        <v>0</v>
      </c>
      <c r="I277" s="6">
        <f>SUMIFS([0]!VOTOS2,[0]!TURNO1,I$31,[0]!CANDIDATO1,$C277,[0]!MUNICIPIO1,$B$272)</f>
        <v>1</v>
      </c>
      <c r="J277" s="6">
        <f>SUMIFS([0]!VOTOS2,[0]!TURNO1,J$31,[0]!CANDIDATO1,$C277,[0]!MUNICIPIO1,$B$272)</f>
        <v>1</v>
      </c>
      <c r="K277" s="6">
        <f>SUMIFS([0]!VOTOS2,[0]!TURNO1,K$31,[0]!CANDIDATO1,$C277,[0]!MUNICIPIO1,$B$272)</f>
        <v>0</v>
      </c>
      <c r="L277" s="6">
        <f>SUMIFS([0]!VOTOS2,[0]!TURNO1,L$31,[0]!CANDIDATO1,$C277,[0]!MUNICIPIO1,$B$272)</f>
        <v>0</v>
      </c>
      <c r="M277" s="6">
        <f>SUMIFS([0]!VOTOS2,[0]!TURNO1,M$31,[0]!CANDIDATO1,$C277,[0]!MUNICIPIO1,$B$272)</f>
        <v>0</v>
      </c>
      <c r="N277" s="6">
        <f>SUMIFS([0]!VOTOS2,[0]!TURNO1,N$31,[0]!CANDIDATO1,$C277,[0]!MUNICIPIO1,$B$272)</f>
        <v>0</v>
      </c>
      <c r="O277" s="6">
        <f>SUMIFS([0]!VOTOS2,[0]!TURNO1,O$31,[0]!CANDIDATO1,$C277,[0]!MUNICIPIO1,$B$272)</f>
        <v>0</v>
      </c>
      <c r="P277" s="6">
        <f>SUMIFS([0]!VOTOS2,[0]!TURNO1,P$31,[0]!CANDIDATO1,$C277,[0]!MUNICIPIO1,$B$272)</f>
        <v>0</v>
      </c>
      <c r="Q277" s="6">
        <f>SUMIFS([0]!VOTOS2,[0]!TURNO1,Q$31,[0]!CANDIDATO1,$C277,[0]!MUNICIPIO1,$B$272)</f>
        <v>0</v>
      </c>
      <c r="R277" s="6">
        <f>SUMIFS([0]!VOTOS2,[0]!TURNO1,R$31,[0]!CANDIDATO1,$C277,[0]!MUNICIPIO1,$B$272)</f>
        <v>0</v>
      </c>
      <c r="S277" s="6">
        <f>SUMIFS([0]!VOTOS2,[0]!TURNO1,S$31,[0]!CANDIDATO1,$C277,[0]!MUNICIPIO1,$B$272)</f>
        <v>0</v>
      </c>
      <c r="T277" s="6">
        <f>SUMIFS([0]!VOTOS2,[0]!TURNO1,T$31,[0]!CANDIDATO1,$C277,[0]!MUNICIPIO1,$B$272)</f>
        <v>0</v>
      </c>
      <c r="U277" s="6">
        <f>SUMIFS([0]!VOTOS2,[0]!TURNO1,U$31,[0]!CANDIDATO1,$C277,[0]!MUNICIPIO1,$B$272)</f>
        <v>0</v>
      </c>
      <c r="V277" s="6">
        <f>SUMIFS([0]!VOTOS2,[0]!TURNO1,V$31,[0]!CANDIDATO1,$C277,[0]!MUNICIPIO1,$B$272)</f>
        <v>0</v>
      </c>
      <c r="W277" s="6">
        <f>SUMIFS([0]!VOTOS2,[0]!TURNO1,W$31,[0]!CANDIDATO1,$C277,[0]!MUNICIPIO1,$B$272)</f>
        <v>0</v>
      </c>
      <c r="X277" s="24"/>
      <c r="Y277" s="18" t="str">
        <f t="shared" si="637"/>
        <v>MISAEL LINARES</v>
      </c>
      <c r="Z277" s="34">
        <f t="shared" si="638"/>
        <v>2</v>
      </c>
      <c r="AA277" s="34">
        <f t="shared" si="639"/>
        <v>0</v>
      </c>
      <c r="AB277" s="34">
        <f t="shared" ref="AB277:AR277" si="650">IF(SUM(G272:G284)=0,NA(),G277+AA277)</f>
        <v>0</v>
      </c>
      <c r="AC277" s="34" t="e">
        <f t="shared" si="650"/>
        <v>#N/A</v>
      </c>
      <c r="AD277" s="34" t="e">
        <f t="shared" si="650"/>
        <v>#N/A</v>
      </c>
      <c r="AE277" s="34" t="e">
        <f t="shared" si="650"/>
        <v>#N/A</v>
      </c>
      <c r="AF277" s="34" t="e">
        <f t="shared" si="650"/>
        <v>#N/A</v>
      </c>
      <c r="AG277" s="34" t="e">
        <f t="shared" si="650"/>
        <v>#N/A</v>
      </c>
      <c r="AH277" s="34" t="e">
        <f t="shared" si="650"/>
        <v>#N/A</v>
      </c>
      <c r="AI277" s="34" t="e">
        <f t="shared" si="650"/>
        <v>#N/A</v>
      </c>
      <c r="AJ277" s="34" t="e">
        <f t="shared" si="650"/>
        <v>#N/A</v>
      </c>
      <c r="AK277" s="34" t="e">
        <f t="shared" si="650"/>
        <v>#N/A</v>
      </c>
      <c r="AL277" s="34" t="e">
        <f t="shared" si="650"/>
        <v>#N/A</v>
      </c>
      <c r="AM277" s="34" t="e">
        <f t="shared" si="650"/>
        <v>#N/A</v>
      </c>
      <c r="AN277" s="34" t="e">
        <f t="shared" si="650"/>
        <v>#N/A</v>
      </c>
      <c r="AO277" s="34" t="e">
        <f t="shared" si="650"/>
        <v>#N/A</v>
      </c>
      <c r="AP277" s="34" t="e">
        <f t="shared" si="650"/>
        <v>#N/A</v>
      </c>
      <c r="AQ277" s="34" t="e">
        <f t="shared" si="650"/>
        <v>#N/A</v>
      </c>
      <c r="AR277" s="34" t="e">
        <f t="shared" si="650"/>
        <v>#N/A</v>
      </c>
      <c r="AS277" s="27"/>
      <c r="AT277" s="39"/>
      <c r="AU277" s="39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30"/>
    </row>
    <row r="278" spans="1:66" ht="11.25" customHeight="1" x14ac:dyDescent="0.2">
      <c r="A278" s="37"/>
      <c r="B278" s="73"/>
      <c r="C278" s="56">
        <v>7</v>
      </c>
      <c r="D278" s="13" t="s">
        <v>195</v>
      </c>
      <c r="E278" s="16">
        <f t="shared" si="636"/>
        <v>6</v>
      </c>
      <c r="F278" s="6">
        <f>SUMIFS([0]!VOTOS2,[0]!TURNO1,F$31,[0]!CANDIDATO1,$C278,[0]!MUNICIPIO1,$B$272)</f>
        <v>0</v>
      </c>
      <c r="G278" s="6">
        <f>SUMIFS([0]!VOTOS2,[0]!TURNO1,G$31,[0]!CANDIDATO1,$C278,[0]!MUNICIPIO1,$B$272)</f>
        <v>0</v>
      </c>
      <c r="H278" s="6">
        <f>SUMIFS([0]!VOTOS2,[0]!TURNO1,H$31,[0]!CANDIDATO1,$C278,[0]!MUNICIPIO1,$B$272)</f>
        <v>0</v>
      </c>
      <c r="I278" s="6">
        <f>SUMIFS([0]!VOTOS2,[0]!TURNO1,I$31,[0]!CANDIDATO1,$C278,[0]!MUNICIPIO1,$B$272)</f>
        <v>5</v>
      </c>
      <c r="J278" s="6">
        <f>SUMIFS([0]!VOTOS2,[0]!TURNO1,J$31,[0]!CANDIDATO1,$C278,[0]!MUNICIPIO1,$B$272)</f>
        <v>1</v>
      </c>
      <c r="K278" s="6">
        <f>SUMIFS([0]!VOTOS2,[0]!TURNO1,K$31,[0]!CANDIDATO1,$C278,[0]!MUNICIPIO1,$B$272)</f>
        <v>0</v>
      </c>
      <c r="L278" s="6">
        <f>SUMIFS([0]!VOTOS2,[0]!TURNO1,L$31,[0]!CANDIDATO1,$C278,[0]!MUNICIPIO1,$B$272)</f>
        <v>0</v>
      </c>
      <c r="M278" s="6">
        <f>SUMIFS([0]!VOTOS2,[0]!TURNO1,M$31,[0]!CANDIDATO1,$C278,[0]!MUNICIPIO1,$B$272)</f>
        <v>0</v>
      </c>
      <c r="N278" s="6">
        <f>SUMIFS([0]!VOTOS2,[0]!TURNO1,N$31,[0]!CANDIDATO1,$C278,[0]!MUNICIPIO1,$B$272)</f>
        <v>0</v>
      </c>
      <c r="O278" s="6">
        <f>SUMIFS([0]!VOTOS2,[0]!TURNO1,O$31,[0]!CANDIDATO1,$C278,[0]!MUNICIPIO1,$B$272)</f>
        <v>0</v>
      </c>
      <c r="P278" s="6">
        <f>SUMIFS([0]!VOTOS2,[0]!TURNO1,P$31,[0]!CANDIDATO1,$C278,[0]!MUNICIPIO1,$B$272)</f>
        <v>0</v>
      </c>
      <c r="Q278" s="6">
        <f>SUMIFS([0]!VOTOS2,[0]!TURNO1,Q$31,[0]!CANDIDATO1,$C278,[0]!MUNICIPIO1,$B$272)</f>
        <v>0</v>
      </c>
      <c r="R278" s="6">
        <f>SUMIFS([0]!VOTOS2,[0]!TURNO1,R$31,[0]!CANDIDATO1,$C278,[0]!MUNICIPIO1,$B$272)</f>
        <v>0</v>
      </c>
      <c r="S278" s="6">
        <f>SUMIFS([0]!VOTOS2,[0]!TURNO1,S$31,[0]!CANDIDATO1,$C278,[0]!MUNICIPIO1,$B$272)</f>
        <v>0</v>
      </c>
      <c r="T278" s="6">
        <f>SUMIFS([0]!VOTOS2,[0]!TURNO1,T$31,[0]!CANDIDATO1,$C278,[0]!MUNICIPIO1,$B$272)</f>
        <v>0</v>
      </c>
      <c r="U278" s="6">
        <f>SUMIFS([0]!VOTOS2,[0]!TURNO1,U$31,[0]!CANDIDATO1,$C278,[0]!MUNICIPIO1,$B$272)</f>
        <v>0</v>
      </c>
      <c r="V278" s="6">
        <f>SUMIFS([0]!VOTOS2,[0]!TURNO1,V$31,[0]!CANDIDATO1,$C278,[0]!MUNICIPIO1,$B$272)</f>
        <v>0</v>
      </c>
      <c r="W278" s="6">
        <f>SUMIFS([0]!VOTOS2,[0]!TURNO1,W$31,[0]!CANDIDATO1,$C278,[0]!MUNICIPIO1,$B$272)</f>
        <v>0</v>
      </c>
      <c r="X278" s="24"/>
      <c r="Y278" s="18" t="str">
        <f t="shared" si="637"/>
        <v>FELIPE VILLALONGA</v>
      </c>
      <c r="Z278" s="34">
        <f t="shared" si="638"/>
        <v>6</v>
      </c>
      <c r="AA278" s="34">
        <f t="shared" si="639"/>
        <v>0</v>
      </c>
      <c r="AB278" s="34">
        <f t="shared" ref="AB278:AR278" si="651">IF(SUM(G272:G284)=0,NA(),G278+AA278)</f>
        <v>0</v>
      </c>
      <c r="AC278" s="34" t="e">
        <f t="shared" si="651"/>
        <v>#N/A</v>
      </c>
      <c r="AD278" s="34" t="e">
        <f t="shared" si="651"/>
        <v>#N/A</v>
      </c>
      <c r="AE278" s="34" t="e">
        <f t="shared" si="651"/>
        <v>#N/A</v>
      </c>
      <c r="AF278" s="34" t="e">
        <f t="shared" si="651"/>
        <v>#N/A</v>
      </c>
      <c r="AG278" s="34" t="e">
        <f t="shared" si="651"/>
        <v>#N/A</v>
      </c>
      <c r="AH278" s="34" t="e">
        <f t="shared" si="651"/>
        <v>#N/A</v>
      </c>
      <c r="AI278" s="34" t="e">
        <f t="shared" si="651"/>
        <v>#N/A</v>
      </c>
      <c r="AJ278" s="34" t="e">
        <f t="shared" si="651"/>
        <v>#N/A</v>
      </c>
      <c r="AK278" s="34" t="e">
        <f t="shared" si="651"/>
        <v>#N/A</v>
      </c>
      <c r="AL278" s="34" t="e">
        <f t="shared" si="651"/>
        <v>#N/A</v>
      </c>
      <c r="AM278" s="34" t="e">
        <f t="shared" si="651"/>
        <v>#N/A</v>
      </c>
      <c r="AN278" s="34" t="e">
        <f t="shared" si="651"/>
        <v>#N/A</v>
      </c>
      <c r="AO278" s="34" t="e">
        <f t="shared" si="651"/>
        <v>#N/A</v>
      </c>
      <c r="AP278" s="34" t="e">
        <f t="shared" si="651"/>
        <v>#N/A</v>
      </c>
      <c r="AQ278" s="34" t="e">
        <f t="shared" si="651"/>
        <v>#N/A</v>
      </c>
      <c r="AR278" s="34" t="e">
        <f t="shared" si="651"/>
        <v>#N/A</v>
      </c>
      <c r="AS278" s="27"/>
      <c r="AT278" s="39"/>
      <c r="AU278" s="39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30"/>
    </row>
    <row r="279" spans="1:66" ht="11.25" customHeight="1" x14ac:dyDescent="0.2">
      <c r="A279" s="37"/>
      <c r="B279" s="73"/>
      <c r="C279" s="33">
        <v>8</v>
      </c>
      <c r="D279" s="13" t="s">
        <v>196</v>
      </c>
      <c r="E279" s="16">
        <f t="shared" si="636"/>
        <v>3</v>
      </c>
      <c r="F279" s="6">
        <f>SUMIFS([0]!VOTOS2,[0]!TURNO1,F$31,[0]!CANDIDATO1,$C279,[0]!MUNICIPIO1,$B$272)</f>
        <v>0</v>
      </c>
      <c r="G279" s="6">
        <f>SUMIFS([0]!VOTOS2,[0]!TURNO1,G$31,[0]!CANDIDATO1,$C279,[0]!MUNICIPIO1,$B$272)</f>
        <v>0</v>
      </c>
      <c r="H279" s="6">
        <f>SUMIFS([0]!VOTOS2,[0]!TURNO1,H$31,[0]!CANDIDATO1,$C279,[0]!MUNICIPIO1,$B$272)</f>
        <v>0</v>
      </c>
      <c r="I279" s="6">
        <f>SUMIFS([0]!VOTOS2,[0]!TURNO1,I$31,[0]!CANDIDATO1,$C279,[0]!MUNICIPIO1,$B$272)</f>
        <v>0</v>
      </c>
      <c r="J279" s="6">
        <f>SUMIFS([0]!VOTOS2,[0]!TURNO1,J$31,[0]!CANDIDATO1,$C279,[0]!MUNICIPIO1,$B$272)</f>
        <v>1</v>
      </c>
      <c r="K279" s="6">
        <f>SUMIFS([0]!VOTOS2,[0]!TURNO1,K$31,[0]!CANDIDATO1,$C279,[0]!MUNICIPIO1,$B$272)</f>
        <v>0</v>
      </c>
      <c r="L279" s="6">
        <f>SUMIFS([0]!VOTOS2,[0]!TURNO1,L$31,[0]!CANDIDATO1,$C279,[0]!MUNICIPIO1,$B$272)</f>
        <v>0</v>
      </c>
      <c r="M279" s="6">
        <f>SUMIFS([0]!VOTOS2,[0]!TURNO1,M$31,[0]!CANDIDATO1,$C279,[0]!MUNICIPIO1,$B$272)</f>
        <v>1</v>
      </c>
      <c r="N279" s="6">
        <f>SUMIFS([0]!VOTOS2,[0]!TURNO1,N$31,[0]!CANDIDATO1,$C279,[0]!MUNICIPIO1,$B$272)</f>
        <v>0</v>
      </c>
      <c r="O279" s="6">
        <f>SUMIFS([0]!VOTOS2,[0]!TURNO1,O$31,[0]!CANDIDATO1,$C279,[0]!MUNICIPIO1,$B$272)</f>
        <v>1</v>
      </c>
      <c r="P279" s="6">
        <f>SUMIFS([0]!VOTOS2,[0]!TURNO1,P$31,[0]!CANDIDATO1,$C279,[0]!MUNICIPIO1,$B$272)</f>
        <v>0</v>
      </c>
      <c r="Q279" s="6">
        <f>SUMIFS([0]!VOTOS2,[0]!TURNO1,Q$31,[0]!CANDIDATO1,$C279,[0]!MUNICIPIO1,$B$272)</f>
        <v>0</v>
      </c>
      <c r="R279" s="6">
        <f>SUMIFS([0]!VOTOS2,[0]!TURNO1,R$31,[0]!CANDIDATO1,$C279,[0]!MUNICIPIO1,$B$272)</f>
        <v>0</v>
      </c>
      <c r="S279" s="6">
        <f>SUMIFS([0]!VOTOS2,[0]!TURNO1,S$31,[0]!CANDIDATO1,$C279,[0]!MUNICIPIO1,$B$272)</f>
        <v>0</v>
      </c>
      <c r="T279" s="6">
        <f>SUMIFS([0]!VOTOS2,[0]!TURNO1,T$31,[0]!CANDIDATO1,$C279,[0]!MUNICIPIO1,$B$272)</f>
        <v>0</v>
      </c>
      <c r="U279" s="6">
        <f>SUMIFS([0]!VOTOS2,[0]!TURNO1,U$31,[0]!CANDIDATO1,$C279,[0]!MUNICIPIO1,$B$272)</f>
        <v>0</v>
      </c>
      <c r="V279" s="6">
        <f>SUMIFS([0]!VOTOS2,[0]!TURNO1,V$31,[0]!CANDIDATO1,$C279,[0]!MUNICIPIO1,$B$272)</f>
        <v>0</v>
      </c>
      <c r="W279" s="6">
        <f>SUMIFS([0]!VOTOS2,[0]!TURNO1,W$31,[0]!CANDIDATO1,$C279,[0]!MUNICIPIO1,$B$272)</f>
        <v>0</v>
      </c>
      <c r="X279" s="24"/>
      <c r="Y279" s="18" t="str">
        <f t="shared" si="637"/>
        <v>SILVIA GUERRA</v>
      </c>
      <c r="Z279" s="34">
        <f t="shared" si="638"/>
        <v>3</v>
      </c>
      <c r="AA279" s="34">
        <f t="shared" si="639"/>
        <v>0</v>
      </c>
      <c r="AB279" s="34">
        <f t="shared" ref="AB279:AR279" si="652">IF(SUM(G272:G284)=0,NA(),G279+AA279)</f>
        <v>0</v>
      </c>
      <c r="AC279" s="34" t="e">
        <f t="shared" si="652"/>
        <v>#N/A</v>
      </c>
      <c r="AD279" s="34" t="e">
        <f t="shared" si="652"/>
        <v>#N/A</v>
      </c>
      <c r="AE279" s="34" t="e">
        <f t="shared" si="652"/>
        <v>#N/A</v>
      </c>
      <c r="AF279" s="34" t="e">
        <f t="shared" si="652"/>
        <v>#N/A</v>
      </c>
      <c r="AG279" s="34" t="e">
        <f t="shared" si="652"/>
        <v>#N/A</v>
      </c>
      <c r="AH279" s="34" t="e">
        <f t="shared" si="652"/>
        <v>#N/A</v>
      </c>
      <c r="AI279" s="34" t="e">
        <f t="shared" si="652"/>
        <v>#N/A</v>
      </c>
      <c r="AJ279" s="34" t="e">
        <f t="shared" si="652"/>
        <v>#N/A</v>
      </c>
      <c r="AK279" s="34" t="e">
        <f t="shared" si="652"/>
        <v>#N/A</v>
      </c>
      <c r="AL279" s="34" t="e">
        <f t="shared" si="652"/>
        <v>#N/A</v>
      </c>
      <c r="AM279" s="34" t="e">
        <f t="shared" si="652"/>
        <v>#N/A</v>
      </c>
      <c r="AN279" s="34" t="e">
        <f t="shared" si="652"/>
        <v>#N/A</v>
      </c>
      <c r="AO279" s="34" t="e">
        <f t="shared" si="652"/>
        <v>#N/A</v>
      </c>
      <c r="AP279" s="34" t="e">
        <f t="shared" si="652"/>
        <v>#N/A</v>
      </c>
      <c r="AQ279" s="34" t="e">
        <f t="shared" si="652"/>
        <v>#N/A</v>
      </c>
      <c r="AR279" s="34" t="e">
        <f t="shared" si="652"/>
        <v>#N/A</v>
      </c>
      <c r="AS279" s="27"/>
      <c r="AT279" s="41"/>
      <c r="AU279" s="41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30"/>
    </row>
    <row r="280" spans="1:66" ht="11.25" customHeight="1" x14ac:dyDescent="0.2">
      <c r="A280" s="37"/>
      <c r="B280" s="73"/>
      <c r="C280" s="56">
        <v>9</v>
      </c>
      <c r="D280" s="13" t="s">
        <v>197</v>
      </c>
      <c r="E280" s="16">
        <f t="shared" si="636"/>
        <v>3</v>
      </c>
      <c r="F280" s="6">
        <f>SUMIFS([0]!VOTOS2,[0]!TURNO1,F$31,[0]!CANDIDATO1,$C280,[0]!MUNICIPIO1,$B$272)</f>
        <v>0</v>
      </c>
      <c r="G280" s="6">
        <f>SUMIFS([0]!VOTOS2,[0]!TURNO1,G$31,[0]!CANDIDATO1,$C280,[0]!MUNICIPIO1,$B$272)</f>
        <v>0</v>
      </c>
      <c r="H280" s="6">
        <f>SUMIFS([0]!VOTOS2,[0]!TURNO1,H$31,[0]!CANDIDATO1,$C280,[0]!MUNICIPIO1,$B$272)</f>
        <v>0</v>
      </c>
      <c r="I280" s="6">
        <f>SUMIFS([0]!VOTOS2,[0]!TURNO1,I$31,[0]!CANDIDATO1,$C280,[0]!MUNICIPIO1,$B$272)</f>
        <v>0</v>
      </c>
      <c r="J280" s="6">
        <f>SUMIFS([0]!VOTOS2,[0]!TURNO1,J$31,[0]!CANDIDATO1,$C280,[0]!MUNICIPIO1,$B$272)</f>
        <v>0</v>
      </c>
      <c r="K280" s="6">
        <f>SUMIFS([0]!VOTOS2,[0]!TURNO1,K$31,[0]!CANDIDATO1,$C280,[0]!MUNICIPIO1,$B$272)</f>
        <v>0</v>
      </c>
      <c r="L280" s="6">
        <f>SUMIFS([0]!VOTOS2,[0]!TURNO1,L$31,[0]!CANDIDATO1,$C280,[0]!MUNICIPIO1,$B$272)</f>
        <v>2</v>
      </c>
      <c r="M280" s="6">
        <f>SUMIFS([0]!VOTOS2,[0]!TURNO1,M$31,[0]!CANDIDATO1,$C280,[0]!MUNICIPIO1,$B$272)</f>
        <v>1</v>
      </c>
      <c r="N280" s="6">
        <f>SUMIFS([0]!VOTOS2,[0]!TURNO1,N$31,[0]!CANDIDATO1,$C280,[0]!MUNICIPIO1,$B$272)</f>
        <v>0</v>
      </c>
      <c r="O280" s="6">
        <f>SUMIFS([0]!VOTOS2,[0]!TURNO1,O$31,[0]!CANDIDATO1,$C280,[0]!MUNICIPIO1,$B$272)</f>
        <v>0</v>
      </c>
      <c r="P280" s="6">
        <f>SUMIFS([0]!VOTOS2,[0]!TURNO1,P$31,[0]!CANDIDATO1,$C280,[0]!MUNICIPIO1,$B$272)</f>
        <v>0</v>
      </c>
      <c r="Q280" s="6">
        <f>SUMIFS([0]!VOTOS2,[0]!TURNO1,Q$31,[0]!CANDIDATO1,$C280,[0]!MUNICIPIO1,$B$272)</f>
        <v>0</v>
      </c>
      <c r="R280" s="6">
        <f>SUMIFS([0]!VOTOS2,[0]!TURNO1,R$31,[0]!CANDIDATO1,$C280,[0]!MUNICIPIO1,$B$272)</f>
        <v>0</v>
      </c>
      <c r="S280" s="6">
        <f>SUMIFS([0]!VOTOS2,[0]!TURNO1,S$31,[0]!CANDIDATO1,$C280,[0]!MUNICIPIO1,$B$272)</f>
        <v>0</v>
      </c>
      <c r="T280" s="6">
        <f>SUMIFS([0]!VOTOS2,[0]!TURNO1,T$31,[0]!CANDIDATO1,$C280,[0]!MUNICIPIO1,$B$272)</f>
        <v>0</v>
      </c>
      <c r="U280" s="6">
        <f>SUMIFS([0]!VOTOS2,[0]!TURNO1,U$31,[0]!CANDIDATO1,$C280,[0]!MUNICIPIO1,$B$272)</f>
        <v>0</v>
      </c>
      <c r="V280" s="6">
        <f>SUMIFS([0]!VOTOS2,[0]!TURNO1,V$31,[0]!CANDIDATO1,$C280,[0]!MUNICIPIO1,$B$272)</f>
        <v>0</v>
      </c>
      <c r="W280" s="6">
        <f>SUMIFS([0]!VOTOS2,[0]!TURNO1,W$31,[0]!CANDIDATO1,$C280,[0]!MUNICIPIO1,$B$272)</f>
        <v>0</v>
      </c>
      <c r="X280" s="24"/>
      <c r="Y280" s="18" t="str">
        <f t="shared" si="637"/>
        <v>CARLOS PARTIDAS</v>
      </c>
      <c r="Z280" s="34">
        <f t="shared" si="638"/>
        <v>3</v>
      </c>
      <c r="AA280" s="34">
        <f t="shared" si="639"/>
        <v>0</v>
      </c>
      <c r="AB280" s="34">
        <f t="shared" ref="AB280:AR280" si="653">IF(SUM(G272:G284)=0,NA(),G280+AA280)</f>
        <v>0</v>
      </c>
      <c r="AC280" s="34" t="e">
        <f t="shared" si="653"/>
        <v>#N/A</v>
      </c>
      <c r="AD280" s="34" t="e">
        <f t="shared" si="653"/>
        <v>#N/A</v>
      </c>
      <c r="AE280" s="34" t="e">
        <f t="shared" si="653"/>
        <v>#N/A</v>
      </c>
      <c r="AF280" s="34" t="e">
        <f t="shared" si="653"/>
        <v>#N/A</v>
      </c>
      <c r="AG280" s="34" t="e">
        <f t="shared" si="653"/>
        <v>#N/A</v>
      </c>
      <c r="AH280" s="34" t="e">
        <f t="shared" si="653"/>
        <v>#N/A</v>
      </c>
      <c r="AI280" s="34" t="e">
        <f t="shared" si="653"/>
        <v>#N/A</v>
      </c>
      <c r="AJ280" s="34" t="e">
        <f t="shared" si="653"/>
        <v>#N/A</v>
      </c>
      <c r="AK280" s="34" t="e">
        <f t="shared" si="653"/>
        <v>#N/A</v>
      </c>
      <c r="AL280" s="34" t="e">
        <f t="shared" si="653"/>
        <v>#N/A</v>
      </c>
      <c r="AM280" s="34" t="e">
        <f t="shared" si="653"/>
        <v>#N/A</v>
      </c>
      <c r="AN280" s="34" t="e">
        <f t="shared" si="653"/>
        <v>#N/A</v>
      </c>
      <c r="AO280" s="34" t="e">
        <f t="shared" si="653"/>
        <v>#N/A</v>
      </c>
      <c r="AP280" s="34" t="e">
        <f t="shared" si="653"/>
        <v>#N/A</v>
      </c>
      <c r="AQ280" s="34" t="e">
        <f t="shared" si="653"/>
        <v>#N/A</v>
      </c>
      <c r="AR280" s="34" t="e">
        <f t="shared" si="653"/>
        <v>#N/A</v>
      </c>
      <c r="AS280" s="27"/>
      <c r="AT280" s="41"/>
      <c r="AU280" s="41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30"/>
    </row>
    <row r="281" spans="1:66" ht="11.25" customHeight="1" x14ac:dyDescent="0.2">
      <c r="A281" s="37"/>
      <c r="B281" s="73"/>
      <c r="C281" s="33">
        <v>10</v>
      </c>
      <c r="D281" s="13" t="s">
        <v>198</v>
      </c>
      <c r="E281" s="16">
        <f t="shared" si="636"/>
        <v>1</v>
      </c>
      <c r="F281" s="6">
        <f>SUMIFS([0]!VOTOS2,[0]!TURNO1,F$31,[0]!CANDIDATO1,$C281,[0]!MUNICIPIO1,$B$272)</f>
        <v>0</v>
      </c>
      <c r="G281" s="6">
        <f>SUMIFS([0]!VOTOS2,[0]!TURNO1,G$31,[0]!CANDIDATO1,$C281,[0]!MUNICIPIO1,$B$272)</f>
        <v>0</v>
      </c>
      <c r="H281" s="6">
        <f>SUMIFS([0]!VOTOS2,[0]!TURNO1,H$31,[0]!CANDIDATO1,$C281,[0]!MUNICIPIO1,$B$272)</f>
        <v>0</v>
      </c>
      <c r="I281" s="6">
        <f>SUMIFS([0]!VOTOS2,[0]!TURNO1,I$31,[0]!CANDIDATO1,$C281,[0]!MUNICIPIO1,$B$272)</f>
        <v>1</v>
      </c>
      <c r="J281" s="6">
        <f>SUMIFS([0]!VOTOS2,[0]!TURNO1,J$31,[0]!CANDIDATO1,$C281,[0]!MUNICIPIO1,$B$272)</f>
        <v>0</v>
      </c>
      <c r="K281" s="6">
        <f>SUMIFS([0]!VOTOS2,[0]!TURNO1,K$31,[0]!CANDIDATO1,$C281,[0]!MUNICIPIO1,$B$272)</f>
        <v>0</v>
      </c>
      <c r="L281" s="6">
        <f>SUMIFS([0]!VOTOS2,[0]!TURNO1,L$31,[0]!CANDIDATO1,$C281,[0]!MUNICIPIO1,$B$272)</f>
        <v>0</v>
      </c>
      <c r="M281" s="6">
        <f>SUMIFS([0]!VOTOS2,[0]!TURNO1,M$31,[0]!CANDIDATO1,$C281,[0]!MUNICIPIO1,$B$272)</f>
        <v>0</v>
      </c>
      <c r="N281" s="6">
        <f>SUMIFS([0]!VOTOS2,[0]!TURNO1,N$31,[0]!CANDIDATO1,$C281,[0]!MUNICIPIO1,$B$272)</f>
        <v>0</v>
      </c>
      <c r="O281" s="6">
        <f>SUMIFS([0]!VOTOS2,[0]!TURNO1,O$31,[0]!CANDIDATO1,$C281,[0]!MUNICIPIO1,$B$272)</f>
        <v>0</v>
      </c>
      <c r="P281" s="6">
        <f>SUMIFS([0]!VOTOS2,[0]!TURNO1,P$31,[0]!CANDIDATO1,$C281,[0]!MUNICIPIO1,$B$272)</f>
        <v>0</v>
      </c>
      <c r="Q281" s="6">
        <f>SUMIFS([0]!VOTOS2,[0]!TURNO1,Q$31,[0]!CANDIDATO1,$C281,[0]!MUNICIPIO1,$B$272)</f>
        <v>0</v>
      </c>
      <c r="R281" s="6">
        <f>SUMIFS([0]!VOTOS2,[0]!TURNO1,R$31,[0]!CANDIDATO1,$C281,[0]!MUNICIPIO1,$B$272)</f>
        <v>0</v>
      </c>
      <c r="S281" s="6">
        <f>SUMIFS([0]!VOTOS2,[0]!TURNO1,S$31,[0]!CANDIDATO1,$C281,[0]!MUNICIPIO1,$B$272)</f>
        <v>0</v>
      </c>
      <c r="T281" s="6">
        <f>SUMIFS([0]!VOTOS2,[0]!TURNO1,T$31,[0]!CANDIDATO1,$C281,[0]!MUNICIPIO1,$B$272)</f>
        <v>0</v>
      </c>
      <c r="U281" s="6">
        <f>SUMIFS([0]!VOTOS2,[0]!TURNO1,U$31,[0]!CANDIDATO1,$C281,[0]!MUNICIPIO1,$B$272)</f>
        <v>0</v>
      </c>
      <c r="V281" s="6">
        <f>SUMIFS([0]!VOTOS2,[0]!TURNO1,V$31,[0]!CANDIDATO1,$C281,[0]!MUNICIPIO1,$B$272)</f>
        <v>0</v>
      </c>
      <c r="W281" s="6">
        <f>SUMIFS([0]!VOTOS2,[0]!TURNO1,W$31,[0]!CANDIDATO1,$C281,[0]!MUNICIPIO1,$B$272)</f>
        <v>0</v>
      </c>
      <c r="X281" s="24"/>
      <c r="Y281" s="18" t="str">
        <f t="shared" si="637"/>
        <v>GONZALO PEREZ</v>
      </c>
      <c r="Z281" s="34">
        <f t="shared" si="638"/>
        <v>1</v>
      </c>
      <c r="AA281" s="34">
        <f t="shared" si="639"/>
        <v>0</v>
      </c>
      <c r="AB281" s="34">
        <f t="shared" ref="AB281:AR281" si="654">IF(SUM(G272:G284)=0,NA(),G281+AA281)</f>
        <v>0</v>
      </c>
      <c r="AC281" s="34" t="e">
        <f t="shared" si="654"/>
        <v>#N/A</v>
      </c>
      <c r="AD281" s="34" t="e">
        <f t="shared" si="654"/>
        <v>#N/A</v>
      </c>
      <c r="AE281" s="34" t="e">
        <f t="shared" si="654"/>
        <v>#N/A</v>
      </c>
      <c r="AF281" s="34" t="e">
        <f t="shared" si="654"/>
        <v>#N/A</v>
      </c>
      <c r="AG281" s="34" t="e">
        <f t="shared" si="654"/>
        <v>#N/A</v>
      </c>
      <c r="AH281" s="34" t="e">
        <f t="shared" si="654"/>
        <v>#N/A</v>
      </c>
      <c r="AI281" s="34" t="e">
        <f t="shared" si="654"/>
        <v>#N/A</v>
      </c>
      <c r="AJ281" s="34" t="e">
        <f t="shared" si="654"/>
        <v>#N/A</v>
      </c>
      <c r="AK281" s="34" t="e">
        <f t="shared" si="654"/>
        <v>#N/A</v>
      </c>
      <c r="AL281" s="34" t="e">
        <f t="shared" si="654"/>
        <v>#N/A</v>
      </c>
      <c r="AM281" s="34" t="e">
        <f t="shared" si="654"/>
        <v>#N/A</v>
      </c>
      <c r="AN281" s="34" t="e">
        <f t="shared" si="654"/>
        <v>#N/A</v>
      </c>
      <c r="AO281" s="34" t="e">
        <f t="shared" si="654"/>
        <v>#N/A</v>
      </c>
      <c r="AP281" s="34" t="e">
        <f t="shared" si="654"/>
        <v>#N/A</v>
      </c>
      <c r="AQ281" s="34" t="e">
        <f t="shared" si="654"/>
        <v>#N/A</v>
      </c>
      <c r="AR281" s="34" t="e">
        <f t="shared" si="654"/>
        <v>#N/A</v>
      </c>
      <c r="AS281" s="27"/>
      <c r="AT281" s="41"/>
      <c r="AU281" s="41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30"/>
    </row>
    <row r="282" spans="1:66" ht="11.25" customHeight="1" x14ac:dyDescent="0.2">
      <c r="A282" s="42"/>
      <c r="B282" s="74"/>
      <c r="C282" s="33">
        <v>11</v>
      </c>
      <c r="D282" s="13" t="s">
        <v>199</v>
      </c>
      <c r="E282" s="16">
        <f t="shared" si="636"/>
        <v>0</v>
      </c>
      <c r="F282" s="6">
        <f>SUMIFS([0]!VOTOS2,[0]!TURNO1,F$31,[0]!CANDIDATO1,$C282,[0]!MUNICIPIO1,$B$272)</f>
        <v>0</v>
      </c>
      <c r="G282" s="6">
        <f>SUMIFS([0]!VOTOS2,[0]!TURNO1,G$31,[0]!CANDIDATO1,$C282,[0]!MUNICIPIO1,$B$272)</f>
        <v>0</v>
      </c>
      <c r="H282" s="6">
        <f>SUMIFS([0]!VOTOS2,[0]!TURNO1,H$31,[0]!CANDIDATO1,$C282,[0]!MUNICIPIO1,$B$272)</f>
        <v>0</v>
      </c>
      <c r="I282" s="6">
        <f>SUMIFS([0]!VOTOS2,[0]!TURNO1,I$31,[0]!CANDIDATO1,$C282,[0]!MUNICIPIO1,$B$272)</f>
        <v>0</v>
      </c>
      <c r="J282" s="6">
        <f>SUMIFS([0]!VOTOS2,[0]!TURNO1,J$31,[0]!CANDIDATO1,$C282,[0]!MUNICIPIO1,$B$272)</f>
        <v>0</v>
      </c>
      <c r="K282" s="6">
        <f>SUMIFS([0]!VOTOS2,[0]!TURNO1,K$31,[0]!CANDIDATO1,$C282,[0]!MUNICIPIO1,$B$272)</f>
        <v>0</v>
      </c>
      <c r="L282" s="6">
        <f>SUMIFS([0]!VOTOS2,[0]!TURNO1,L$31,[0]!CANDIDATO1,$C282,[0]!MUNICIPIO1,$B$272)</f>
        <v>0</v>
      </c>
      <c r="M282" s="6">
        <f>SUMIFS([0]!VOTOS2,[0]!TURNO1,M$31,[0]!CANDIDATO1,$C282,[0]!MUNICIPIO1,$B$272)</f>
        <v>0</v>
      </c>
      <c r="N282" s="6">
        <f>SUMIFS([0]!VOTOS2,[0]!TURNO1,N$31,[0]!CANDIDATO1,$C282,[0]!MUNICIPIO1,$B$272)</f>
        <v>0</v>
      </c>
      <c r="O282" s="6">
        <f>SUMIFS([0]!VOTOS2,[0]!TURNO1,O$31,[0]!CANDIDATO1,$C282,[0]!MUNICIPIO1,$B$272)</f>
        <v>0</v>
      </c>
      <c r="P282" s="6">
        <f>SUMIFS([0]!VOTOS2,[0]!TURNO1,P$31,[0]!CANDIDATO1,$C282,[0]!MUNICIPIO1,$B$272)</f>
        <v>0</v>
      </c>
      <c r="Q282" s="6">
        <f>SUMIFS([0]!VOTOS2,[0]!TURNO1,Q$31,[0]!CANDIDATO1,$C282,[0]!MUNICIPIO1,$B$272)</f>
        <v>0</v>
      </c>
      <c r="R282" s="6">
        <f>SUMIFS([0]!VOTOS2,[0]!TURNO1,R$31,[0]!CANDIDATO1,$C282,[0]!MUNICIPIO1,$B$272)</f>
        <v>0</v>
      </c>
      <c r="S282" s="6">
        <f>SUMIFS([0]!VOTOS2,[0]!TURNO1,S$31,[0]!CANDIDATO1,$C282,[0]!MUNICIPIO1,$B$272)</f>
        <v>0</v>
      </c>
      <c r="T282" s="6">
        <f>SUMIFS([0]!VOTOS2,[0]!TURNO1,T$31,[0]!CANDIDATO1,$C282,[0]!MUNICIPIO1,$B$272)</f>
        <v>0</v>
      </c>
      <c r="U282" s="6">
        <f>SUMIFS([0]!VOTOS2,[0]!TURNO1,U$31,[0]!CANDIDATO1,$C282,[0]!MUNICIPIO1,$B$272)</f>
        <v>0</v>
      </c>
      <c r="V282" s="6">
        <f>SUMIFS([0]!VOTOS2,[0]!TURNO1,V$31,[0]!CANDIDATO1,$C282,[0]!MUNICIPIO1,$B$272)</f>
        <v>0</v>
      </c>
      <c r="W282" s="6">
        <f>SUMIFS([0]!VOTOS2,[0]!TURNO1,W$31,[0]!CANDIDATO1,$C282,[0]!MUNICIPIO1,$B$272)</f>
        <v>0</v>
      </c>
      <c r="X282" s="24"/>
      <c r="Y282" s="18" t="str">
        <f t="shared" si="637"/>
        <v>GIOVANNY ROJAS</v>
      </c>
      <c r="Z282" s="34">
        <f t="shared" si="638"/>
        <v>0</v>
      </c>
      <c r="AA282" s="34">
        <f t="shared" si="639"/>
        <v>0</v>
      </c>
      <c r="AB282" s="34">
        <f t="shared" ref="AB282:AR282" si="655">IF(SUM(G272:G284)=0,NA(),G282+AA282)</f>
        <v>0</v>
      </c>
      <c r="AC282" s="34" t="e">
        <f t="shared" si="655"/>
        <v>#N/A</v>
      </c>
      <c r="AD282" s="34" t="e">
        <f t="shared" si="655"/>
        <v>#N/A</v>
      </c>
      <c r="AE282" s="34" t="e">
        <f t="shared" si="655"/>
        <v>#N/A</v>
      </c>
      <c r="AF282" s="34" t="e">
        <f t="shared" si="655"/>
        <v>#N/A</v>
      </c>
      <c r="AG282" s="34" t="e">
        <f t="shared" si="655"/>
        <v>#N/A</v>
      </c>
      <c r="AH282" s="34" t="e">
        <f t="shared" si="655"/>
        <v>#N/A</v>
      </c>
      <c r="AI282" s="34" t="e">
        <f t="shared" si="655"/>
        <v>#N/A</v>
      </c>
      <c r="AJ282" s="34" t="e">
        <f t="shared" si="655"/>
        <v>#N/A</v>
      </c>
      <c r="AK282" s="34" t="e">
        <f t="shared" si="655"/>
        <v>#N/A</v>
      </c>
      <c r="AL282" s="34" t="e">
        <f t="shared" si="655"/>
        <v>#N/A</v>
      </c>
      <c r="AM282" s="34" t="e">
        <f t="shared" si="655"/>
        <v>#N/A</v>
      </c>
      <c r="AN282" s="34" t="e">
        <f t="shared" si="655"/>
        <v>#N/A</v>
      </c>
      <c r="AO282" s="34" t="e">
        <f t="shared" si="655"/>
        <v>#N/A</v>
      </c>
      <c r="AP282" s="34" t="e">
        <f t="shared" si="655"/>
        <v>#N/A</v>
      </c>
      <c r="AQ282" s="34" t="e">
        <f t="shared" si="655"/>
        <v>#N/A</v>
      </c>
      <c r="AR282" s="34" t="e">
        <f t="shared" si="655"/>
        <v>#N/A</v>
      </c>
      <c r="AS282" s="27"/>
      <c r="AT282" s="41"/>
      <c r="AU282" s="41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30"/>
    </row>
    <row r="283" spans="1:66" ht="11.25" customHeight="1" x14ac:dyDescent="0.2">
      <c r="A283" s="44"/>
      <c r="B283" s="54"/>
      <c r="C283" s="46">
        <v>12</v>
      </c>
      <c r="D283" s="14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24"/>
      <c r="Y283" s="18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27"/>
      <c r="AT283" s="41"/>
      <c r="AU283" s="41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30"/>
    </row>
    <row r="284" spans="1:66" ht="11.25" customHeight="1" x14ac:dyDescent="0.2">
      <c r="A284" s="44"/>
      <c r="B284" s="54"/>
      <c r="C284" s="46">
        <v>13</v>
      </c>
      <c r="D284" s="14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24"/>
      <c r="Y284" s="18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27"/>
      <c r="AT284" s="41"/>
      <c r="AU284" s="41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30"/>
    </row>
    <row r="285" spans="1:66" ht="11.25" customHeight="1" x14ac:dyDescent="0.2">
      <c r="D285" s="31" t="s">
        <v>76</v>
      </c>
      <c r="N285" s="57"/>
      <c r="X285" s="24"/>
      <c r="Y285" s="19" t="s">
        <v>79</v>
      </c>
      <c r="Z285" s="34">
        <f t="shared" ref="Z285" si="656">SUM(Z274:Z284)</f>
        <v>38</v>
      </c>
      <c r="AA285" s="34">
        <f t="shared" ref="AA285" si="657">SUM(AA274:AA284)</f>
        <v>0</v>
      </c>
      <c r="AB285" s="34">
        <f t="shared" ref="AB285" si="658">SUM(AB274:AB284)</f>
        <v>17</v>
      </c>
      <c r="AC285" s="34" t="e">
        <f t="shared" ref="AC285" si="659">SUM(AC274:AC284)</f>
        <v>#N/A</v>
      </c>
      <c r="AD285" s="34" t="e">
        <f t="shared" ref="AD285" si="660">SUM(AD274:AD284)</f>
        <v>#N/A</v>
      </c>
      <c r="AE285" s="34" t="e">
        <f t="shared" ref="AE285" si="661">SUM(AE274:AE284)</f>
        <v>#N/A</v>
      </c>
      <c r="AF285" s="34" t="e">
        <f t="shared" ref="AF285" si="662">SUM(AF274:AF284)</f>
        <v>#N/A</v>
      </c>
      <c r="AG285" s="34" t="e">
        <f t="shared" ref="AG285" si="663">SUM(AG274:AG284)</f>
        <v>#N/A</v>
      </c>
      <c r="AH285" s="34" t="e">
        <f t="shared" ref="AH285" si="664">SUM(AH274:AH284)</f>
        <v>#N/A</v>
      </c>
      <c r="AI285" s="34" t="e">
        <f t="shared" ref="AI285" si="665">SUM(AI274:AI284)</f>
        <v>#N/A</v>
      </c>
      <c r="AJ285" s="34" t="e">
        <f t="shared" ref="AJ285" si="666">SUM(AJ274:AJ284)</f>
        <v>#N/A</v>
      </c>
      <c r="AK285" s="34" t="e">
        <f t="shared" ref="AK285" si="667">SUM(AK274:AK284)</f>
        <v>#N/A</v>
      </c>
      <c r="AL285" s="34" t="e">
        <f t="shared" ref="AL285" si="668">SUM(AL274:AL284)</f>
        <v>#N/A</v>
      </c>
      <c r="AM285" s="34" t="e">
        <f t="shared" ref="AM285" si="669">SUM(AM274:AM284)</f>
        <v>#N/A</v>
      </c>
      <c r="AN285" s="34" t="e">
        <f t="shared" ref="AN285" si="670">SUM(AN274:AN284)</f>
        <v>#N/A</v>
      </c>
      <c r="AO285" s="34" t="e">
        <f t="shared" ref="AO285" si="671">SUM(AO274:AO284)</f>
        <v>#N/A</v>
      </c>
      <c r="AP285" s="34" t="e">
        <f t="shared" ref="AP285" si="672">SUM(AP274:AP284)</f>
        <v>#N/A</v>
      </c>
      <c r="AQ285" s="34" t="e">
        <f t="shared" ref="AQ285" si="673">SUM(AQ274:AQ284)</f>
        <v>#N/A</v>
      </c>
      <c r="AR285" s="34" t="e">
        <f t="shared" ref="AR285" si="674">SUM(AR274:AR284)</f>
        <v>#N/A</v>
      </c>
      <c r="AS285" s="27"/>
      <c r="AT285" s="41"/>
      <c r="AU285" s="41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30"/>
    </row>
    <row r="286" spans="1:66" ht="11.25" customHeight="1" x14ac:dyDescent="0.2">
      <c r="A286" s="75" t="s">
        <v>63</v>
      </c>
      <c r="B286" s="76"/>
      <c r="C286" s="47"/>
      <c r="D286" s="48" t="s">
        <v>75</v>
      </c>
      <c r="E286" s="49" t="s">
        <v>70</v>
      </c>
      <c r="F286" s="49">
        <v>0</v>
      </c>
      <c r="G286" s="49">
        <v>1</v>
      </c>
      <c r="H286" s="49">
        <v>2</v>
      </c>
      <c r="I286" s="49">
        <v>3</v>
      </c>
      <c r="J286" s="49">
        <v>4</v>
      </c>
      <c r="K286" s="49">
        <v>5</v>
      </c>
      <c r="L286" s="49">
        <v>6</v>
      </c>
      <c r="M286" s="49">
        <v>7</v>
      </c>
      <c r="N286" s="49">
        <v>8</v>
      </c>
      <c r="O286" s="49">
        <v>9</v>
      </c>
      <c r="P286" s="49">
        <v>10</v>
      </c>
      <c r="Q286" s="49">
        <v>11</v>
      </c>
      <c r="R286" s="49">
        <v>12</v>
      </c>
      <c r="S286" s="49">
        <v>13</v>
      </c>
      <c r="T286" s="49">
        <v>14</v>
      </c>
      <c r="U286" s="49">
        <v>15</v>
      </c>
      <c r="V286" s="49">
        <v>16</v>
      </c>
      <c r="W286" s="23">
        <v>17</v>
      </c>
      <c r="X286" s="24"/>
      <c r="Y286" s="17"/>
      <c r="Z286" s="25" t="s">
        <v>64</v>
      </c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7"/>
      <c r="AT286" s="28"/>
      <c r="AU286" s="28" t="s">
        <v>64</v>
      </c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30"/>
    </row>
    <row r="287" spans="1:66" ht="11.25" customHeight="1" x14ac:dyDescent="0.2">
      <c r="A287" s="32"/>
      <c r="B287" s="72">
        <v>20</v>
      </c>
      <c r="C287" s="50">
        <v>1</v>
      </c>
      <c r="D287" s="7" t="s">
        <v>225</v>
      </c>
      <c r="E287" s="16">
        <f t="shared" ref="E287:E295" si="675">SUM(F287:W287)</f>
        <v>29</v>
      </c>
      <c r="F287" s="6">
        <f>SUMIFS([0]!VOTOS2,[0]!TURNO1,F$31,[0]!CANDIDATO1,$C287,[0]!MUNICIPIO1,$B$287)</f>
        <v>8</v>
      </c>
      <c r="G287" s="6">
        <f>SUMIFS([0]!VOTOS2,[0]!TURNO1,G$31,[0]!CANDIDATO1,$C287,[0]!MUNICIPIO1,$B$287)</f>
        <v>3</v>
      </c>
      <c r="H287" s="6">
        <f>SUMIFS([0]!VOTOS2,[0]!TURNO1,H$31,[0]!CANDIDATO1,$C287,[0]!MUNICIPIO1,$B$287)</f>
        <v>4</v>
      </c>
      <c r="I287" s="6">
        <f>SUMIFS([0]!VOTOS2,[0]!TURNO1,I$31,[0]!CANDIDATO1,$C287,[0]!MUNICIPIO1,$B$287)</f>
        <v>12</v>
      </c>
      <c r="J287" s="6">
        <f>SUMIFS([0]!VOTOS2,[0]!TURNO1,J$31,[0]!CANDIDATO1,$C287,[0]!MUNICIPIO1,$B$287)</f>
        <v>2</v>
      </c>
      <c r="K287" s="6">
        <f>SUMIFS([0]!VOTOS2,[0]!TURNO1,K$31,[0]!CANDIDATO1,$C287,[0]!MUNICIPIO1,$B$287)</f>
        <v>0</v>
      </c>
      <c r="L287" s="6">
        <f>SUMIFS([0]!VOTOS2,[0]!TURNO1,L$31,[0]!CANDIDATO1,$C287,[0]!MUNICIPIO1,$B$287)</f>
        <v>0</v>
      </c>
      <c r="M287" s="6">
        <f>SUMIFS([0]!VOTOS2,[0]!TURNO1,M$31,[0]!CANDIDATO1,$C287,[0]!MUNICIPIO1,$B$287)</f>
        <v>0</v>
      </c>
      <c r="N287" s="6">
        <f>SUMIFS([0]!VOTOS2,[0]!TURNO1,N$31,[0]!CANDIDATO1,$C287,[0]!MUNICIPIO1,$B$287)</f>
        <v>0</v>
      </c>
      <c r="O287" s="6">
        <f>SUMIFS([0]!VOTOS2,[0]!TURNO1,O$31,[0]!CANDIDATO1,$C287,[0]!MUNICIPIO1,$B$287)</f>
        <v>0</v>
      </c>
      <c r="P287" s="6">
        <f>SUMIFS([0]!VOTOS2,[0]!TURNO1,P$31,[0]!CANDIDATO1,$C287,[0]!MUNICIPIO1,$B$287)</f>
        <v>0</v>
      </c>
      <c r="Q287" s="6">
        <f>SUMIFS([0]!VOTOS2,[0]!TURNO1,Q$31,[0]!CANDIDATO1,$C287,[0]!MUNICIPIO1,$B$287)</f>
        <v>0</v>
      </c>
      <c r="R287" s="6">
        <f>SUMIFS([0]!VOTOS2,[0]!TURNO1,R$31,[0]!CANDIDATO1,$C287,[0]!MUNICIPIO1,$B$287)</f>
        <v>0</v>
      </c>
      <c r="S287" s="6">
        <f>SUMIFS([0]!VOTOS2,[0]!TURNO1,S$31,[0]!CANDIDATO1,$C287,[0]!MUNICIPIO1,$B$287)</f>
        <v>0</v>
      </c>
      <c r="T287" s="6">
        <f>SUMIFS([0]!VOTOS2,[0]!TURNO1,T$31,[0]!CANDIDATO1,$C287,[0]!MUNICIPIO1,$B$287)</f>
        <v>0</v>
      </c>
      <c r="U287" s="6">
        <f>SUMIFS([0]!VOTOS2,[0]!TURNO1,U$31,[0]!CANDIDATO1,$C287,[0]!MUNICIPIO1,$B$287)</f>
        <v>0</v>
      </c>
      <c r="V287" s="6">
        <f>SUMIFS([0]!VOTOS2,[0]!TURNO1,V$31,[0]!CANDIDATO1,$C287,[0]!MUNICIPIO1,$B$287)</f>
        <v>0</v>
      </c>
      <c r="W287" s="6">
        <f>SUMIFS([0]!VOTOS2,[0]!TURNO1,W$31,[0]!CANDIDATO1,$C287,[0]!MUNICIPIO1,$B$287)</f>
        <v>0</v>
      </c>
      <c r="X287" s="24"/>
      <c r="Y287" s="18" t="str">
        <f t="shared" ref="Y287:Y295" si="676">D287</f>
        <v>PABLO RODRIGUEZ</v>
      </c>
      <c r="Z287" s="34">
        <f t="shared" ref="Z287:Z295" si="677">E287</f>
        <v>29</v>
      </c>
      <c r="AA287" s="34">
        <f t="shared" ref="AA287:AA295" si="678">F287</f>
        <v>8</v>
      </c>
      <c r="AB287" s="34">
        <f t="shared" ref="AB287:AR287" si="679">IF(SUM(G287:G299)=0,NA(),G287+AA287)</f>
        <v>11</v>
      </c>
      <c r="AC287" s="34">
        <f t="shared" si="679"/>
        <v>15</v>
      </c>
      <c r="AD287" s="34">
        <f t="shared" si="679"/>
        <v>27</v>
      </c>
      <c r="AE287" s="34">
        <f t="shared" si="679"/>
        <v>29</v>
      </c>
      <c r="AF287" s="34" t="e">
        <f t="shared" si="679"/>
        <v>#N/A</v>
      </c>
      <c r="AG287" s="34" t="e">
        <f t="shared" si="679"/>
        <v>#N/A</v>
      </c>
      <c r="AH287" s="34" t="e">
        <f t="shared" si="679"/>
        <v>#N/A</v>
      </c>
      <c r="AI287" s="34" t="e">
        <f t="shared" si="679"/>
        <v>#N/A</v>
      </c>
      <c r="AJ287" s="34" t="e">
        <f t="shared" si="679"/>
        <v>#N/A</v>
      </c>
      <c r="AK287" s="34" t="e">
        <f t="shared" si="679"/>
        <v>#N/A</v>
      </c>
      <c r="AL287" s="34" t="e">
        <f t="shared" si="679"/>
        <v>#N/A</v>
      </c>
      <c r="AM287" s="34" t="e">
        <f t="shared" si="679"/>
        <v>#N/A</v>
      </c>
      <c r="AN287" s="34" t="e">
        <f t="shared" si="679"/>
        <v>#N/A</v>
      </c>
      <c r="AO287" s="34" t="e">
        <f t="shared" si="679"/>
        <v>#N/A</v>
      </c>
      <c r="AP287" s="34" t="e">
        <f t="shared" si="679"/>
        <v>#N/A</v>
      </c>
      <c r="AQ287" s="34" t="e">
        <f t="shared" si="679"/>
        <v>#N/A</v>
      </c>
      <c r="AR287" s="34" t="e">
        <f t="shared" si="679"/>
        <v>#N/A</v>
      </c>
      <c r="AS287" s="27"/>
      <c r="AT287" s="35" t="str">
        <f t="shared" ref="AT287:AT288" si="680">Y287</f>
        <v>PABLO RODRIGUEZ</v>
      </c>
      <c r="AU287" s="36">
        <f t="shared" ref="AU287:BM287" si="681">Z287/(Z287+Z288+Z300)</f>
        <v>0.48333333333333334</v>
      </c>
      <c r="AV287" s="36">
        <f t="shared" si="681"/>
        <v>0.5</v>
      </c>
      <c r="AW287" s="36">
        <f t="shared" si="681"/>
        <v>0.47826086956521741</v>
      </c>
      <c r="AX287" s="36">
        <f t="shared" si="681"/>
        <v>0.44117647058823528</v>
      </c>
      <c r="AY287" s="36">
        <f t="shared" si="681"/>
        <v>0.5</v>
      </c>
      <c r="AZ287" s="36">
        <f t="shared" si="681"/>
        <v>0.48333333333333334</v>
      </c>
      <c r="BA287" s="36" t="e">
        <f t="shared" si="681"/>
        <v>#N/A</v>
      </c>
      <c r="BB287" s="36" t="e">
        <f t="shared" si="681"/>
        <v>#N/A</v>
      </c>
      <c r="BC287" s="36" t="e">
        <f t="shared" si="681"/>
        <v>#N/A</v>
      </c>
      <c r="BD287" s="36" t="e">
        <f t="shared" si="681"/>
        <v>#N/A</v>
      </c>
      <c r="BE287" s="36" t="e">
        <f t="shared" si="681"/>
        <v>#N/A</v>
      </c>
      <c r="BF287" s="36" t="e">
        <f t="shared" si="681"/>
        <v>#N/A</v>
      </c>
      <c r="BG287" s="36" t="e">
        <f t="shared" si="681"/>
        <v>#N/A</v>
      </c>
      <c r="BH287" s="36" t="e">
        <f t="shared" si="681"/>
        <v>#N/A</v>
      </c>
      <c r="BI287" s="36" t="e">
        <f t="shared" si="681"/>
        <v>#N/A</v>
      </c>
      <c r="BJ287" s="36" t="e">
        <f t="shared" si="681"/>
        <v>#N/A</v>
      </c>
      <c r="BK287" s="36" t="e">
        <f t="shared" si="681"/>
        <v>#N/A</v>
      </c>
      <c r="BL287" s="36" t="e">
        <f t="shared" si="681"/>
        <v>#N/A</v>
      </c>
      <c r="BM287" s="36" t="e">
        <f t="shared" si="681"/>
        <v>#N/A</v>
      </c>
      <c r="BN287" s="30"/>
    </row>
    <row r="288" spans="1:66" ht="11.25" customHeight="1" x14ac:dyDescent="0.2">
      <c r="A288" s="37"/>
      <c r="B288" s="73"/>
      <c r="C288" s="51">
        <v>2</v>
      </c>
      <c r="D288" s="8" t="s">
        <v>226</v>
      </c>
      <c r="E288" s="16">
        <f t="shared" si="675"/>
        <v>31</v>
      </c>
      <c r="F288" s="6">
        <f>SUMIFS([0]!VOTOS2,[0]!TURNO1,F$31,[0]!CANDIDATO1,$C288,[0]!MUNICIPIO1,$B$287)</f>
        <v>8</v>
      </c>
      <c r="G288" s="6">
        <f>SUMIFS([0]!VOTOS2,[0]!TURNO1,G$31,[0]!CANDIDATO1,$C288,[0]!MUNICIPIO1,$B$287)</f>
        <v>4</v>
      </c>
      <c r="H288" s="6">
        <f>SUMIFS([0]!VOTOS2,[0]!TURNO1,H$31,[0]!CANDIDATO1,$C288,[0]!MUNICIPIO1,$B$287)</f>
        <v>7</v>
      </c>
      <c r="I288" s="6">
        <f>SUMIFS([0]!VOTOS2,[0]!TURNO1,I$31,[0]!CANDIDATO1,$C288,[0]!MUNICIPIO1,$B$287)</f>
        <v>8</v>
      </c>
      <c r="J288" s="6">
        <f>SUMIFS([0]!VOTOS2,[0]!TURNO1,J$31,[0]!CANDIDATO1,$C288,[0]!MUNICIPIO1,$B$287)</f>
        <v>4</v>
      </c>
      <c r="K288" s="6">
        <f>SUMIFS([0]!VOTOS2,[0]!TURNO1,K$31,[0]!CANDIDATO1,$C288,[0]!MUNICIPIO1,$B$287)</f>
        <v>0</v>
      </c>
      <c r="L288" s="6">
        <f>SUMIFS([0]!VOTOS2,[0]!TURNO1,L$31,[0]!CANDIDATO1,$C288,[0]!MUNICIPIO1,$B$287)</f>
        <v>0</v>
      </c>
      <c r="M288" s="6">
        <f>SUMIFS([0]!VOTOS2,[0]!TURNO1,M$31,[0]!CANDIDATO1,$C288,[0]!MUNICIPIO1,$B$287)</f>
        <v>0</v>
      </c>
      <c r="N288" s="6">
        <f>SUMIFS([0]!VOTOS2,[0]!TURNO1,N$31,[0]!CANDIDATO1,$C288,[0]!MUNICIPIO1,$B$287)</f>
        <v>0</v>
      </c>
      <c r="O288" s="6">
        <f>SUMIFS([0]!VOTOS2,[0]!TURNO1,O$31,[0]!CANDIDATO1,$C288,[0]!MUNICIPIO1,$B$287)</f>
        <v>0</v>
      </c>
      <c r="P288" s="6">
        <f>SUMIFS([0]!VOTOS2,[0]!TURNO1,P$31,[0]!CANDIDATO1,$C288,[0]!MUNICIPIO1,$B$287)</f>
        <v>0</v>
      </c>
      <c r="Q288" s="6">
        <f>SUMIFS([0]!VOTOS2,[0]!TURNO1,Q$31,[0]!CANDIDATO1,$C288,[0]!MUNICIPIO1,$B$287)</f>
        <v>0</v>
      </c>
      <c r="R288" s="6">
        <f>SUMIFS([0]!VOTOS2,[0]!TURNO1,R$31,[0]!CANDIDATO1,$C288,[0]!MUNICIPIO1,$B$287)</f>
        <v>0</v>
      </c>
      <c r="S288" s="6">
        <f>SUMIFS([0]!VOTOS2,[0]!TURNO1,S$31,[0]!CANDIDATO1,$C288,[0]!MUNICIPIO1,$B$287)</f>
        <v>0</v>
      </c>
      <c r="T288" s="6">
        <f>SUMIFS([0]!VOTOS2,[0]!TURNO1,T$31,[0]!CANDIDATO1,$C288,[0]!MUNICIPIO1,$B$287)</f>
        <v>0</v>
      </c>
      <c r="U288" s="6">
        <f>SUMIFS([0]!VOTOS2,[0]!TURNO1,U$31,[0]!CANDIDATO1,$C288,[0]!MUNICIPIO1,$B$287)</f>
        <v>0</v>
      </c>
      <c r="V288" s="6">
        <f>SUMIFS([0]!VOTOS2,[0]!TURNO1,V$31,[0]!CANDIDATO1,$C288,[0]!MUNICIPIO1,$B$287)</f>
        <v>0</v>
      </c>
      <c r="W288" s="6">
        <f>SUMIFS([0]!VOTOS2,[0]!TURNO1,W$31,[0]!CANDIDATO1,$C288,[0]!MUNICIPIO1,$B$287)</f>
        <v>0</v>
      </c>
      <c r="X288" s="24"/>
      <c r="Y288" s="18" t="str">
        <f t="shared" si="676"/>
        <v>RAMON MONCADA</v>
      </c>
      <c r="Z288" s="34">
        <f t="shared" si="677"/>
        <v>31</v>
      </c>
      <c r="AA288" s="34">
        <f t="shared" si="678"/>
        <v>8</v>
      </c>
      <c r="AB288" s="34">
        <f t="shared" ref="AB288:AR288" si="682">IF(SUM(G287:G299)=0,NA(),G288+AA288)</f>
        <v>12</v>
      </c>
      <c r="AC288" s="34">
        <f t="shared" si="682"/>
        <v>19</v>
      </c>
      <c r="AD288" s="34">
        <f t="shared" si="682"/>
        <v>27</v>
      </c>
      <c r="AE288" s="34">
        <f t="shared" si="682"/>
        <v>31</v>
      </c>
      <c r="AF288" s="34" t="e">
        <f t="shared" si="682"/>
        <v>#N/A</v>
      </c>
      <c r="AG288" s="34" t="e">
        <f t="shared" si="682"/>
        <v>#N/A</v>
      </c>
      <c r="AH288" s="34" t="e">
        <f t="shared" si="682"/>
        <v>#N/A</v>
      </c>
      <c r="AI288" s="34" t="e">
        <f t="shared" si="682"/>
        <v>#N/A</v>
      </c>
      <c r="AJ288" s="34" t="e">
        <f t="shared" si="682"/>
        <v>#N/A</v>
      </c>
      <c r="AK288" s="34" t="e">
        <f t="shared" si="682"/>
        <v>#N/A</v>
      </c>
      <c r="AL288" s="34" t="e">
        <f t="shared" si="682"/>
        <v>#N/A</v>
      </c>
      <c r="AM288" s="34" t="e">
        <f t="shared" si="682"/>
        <v>#N/A</v>
      </c>
      <c r="AN288" s="34" t="e">
        <f t="shared" si="682"/>
        <v>#N/A</v>
      </c>
      <c r="AO288" s="34" t="e">
        <f t="shared" si="682"/>
        <v>#N/A</v>
      </c>
      <c r="AP288" s="34" t="e">
        <f t="shared" si="682"/>
        <v>#N/A</v>
      </c>
      <c r="AQ288" s="34" t="e">
        <f t="shared" si="682"/>
        <v>#N/A</v>
      </c>
      <c r="AR288" s="34" t="e">
        <f t="shared" si="682"/>
        <v>#N/A</v>
      </c>
      <c r="AS288" s="27"/>
      <c r="AT288" s="35" t="str">
        <f t="shared" si="680"/>
        <v>RAMON MONCADA</v>
      </c>
      <c r="AU288" s="36">
        <f t="shared" ref="AU288:BM288" si="683">Z288/(Z287+Z288+Z300)</f>
        <v>0.51666666666666672</v>
      </c>
      <c r="AV288" s="36">
        <f t="shared" si="683"/>
        <v>0.5</v>
      </c>
      <c r="AW288" s="36">
        <f t="shared" si="683"/>
        <v>0.52173913043478259</v>
      </c>
      <c r="AX288" s="36">
        <f t="shared" si="683"/>
        <v>0.55882352941176472</v>
      </c>
      <c r="AY288" s="36">
        <f t="shared" si="683"/>
        <v>0.5</v>
      </c>
      <c r="AZ288" s="36">
        <f t="shared" si="683"/>
        <v>0.51666666666666672</v>
      </c>
      <c r="BA288" s="36" t="e">
        <f t="shared" si="683"/>
        <v>#N/A</v>
      </c>
      <c r="BB288" s="36" t="e">
        <f t="shared" si="683"/>
        <v>#N/A</v>
      </c>
      <c r="BC288" s="36" t="e">
        <f t="shared" si="683"/>
        <v>#N/A</v>
      </c>
      <c r="BD288" s="36" t="e">
        <f t="shared" si="683"/>
        <v>#N/A</v>
      </c>
      <c r="BE288" s="36" t="e">
        <f t="shared" si="683"/>
        <v>#N/A</v>
      </c>
      <c r="BF288" s="36" t="e">
        <f t="shared" si="683"/>
        <v>#N/A</v>
      </c>
      <c r="BG288" s="36" t="e">
        <f t="shared" si="683"/>
        <v>#N/A</v>
      </c>
      <c r="BH288" s="36" t="e">
        <f t="shared" si="683"/>
        <v>#N/A</v>
      </c>
      <c r="BI288" s="36" t="e">
        <f t="shared" si="683"/>
        <v>#N/A</v>
      </c>
      <c r="BJ288" s="36" t="e">
        <f t="shared" si="683"/>
        <v>#N/A</v>
      </c>
      <c r="BK288" s="36" t="e">
        <f t="shared" si="683"/>
        <v>#N/A</v>
      </c>
      <c r="BL288" s="36" t="e">
        <f t="shared" si="683"/>
        <v>#N/A</v>
      </c>
      <c r="BM288" s="36" t="e">
        <f t="shared" si="683"/>
        <v>#N/A</v>
      </c>
      <c r="BN288" s="30"/>
    </row>
    <row r="289" spans="1:66" ht="11.25" customHeight="1" x14ac:dyDescent="0.2">
      <c r="A289" s="37"/>
      <c r="B289" s="73"/>
      <c r="C289" s="50">
        <v>3</v>
      </c>
      <c r="D289" s="8" t="s">
        <v>227</v>
      </c>
      <c r="E289" s="16">
        <f t="shared" si="675"/>
        <v>0</v>
      </c>
      <c r="F289" s="6">
        <f>SUMIFS([0]!VOTOS2,[0]!TURNO1,F$31,[0]!CANDIDATO1,$C289,[0]!MUNICIPIO1,$B$287)</f>
        <v>0</v>
      </c>
      <c r="G289" s="6">
        <f>SUMIFS([0]!VOTOS2,[0]!TURNO1,G$31,[0]!CANDIDATO1,$C289,[0]!MUNICIPIO1,$B$287)</f>
        <v>0</v>
      </c>
      <c r="H289" s="6">
        <f>SUMIFS([0]!VOTOS2,[0]!TURNO1,H$31,[0]!CANDIDATO1,$C289,[0]!MUNICIPIO1,$B$287)</f>
        <v>0</v>
      </c>
      <c r="I289" s="6">
        <f>SUMIFS([0]!VOTOS2,[0]!TURNO1,I$31,[0]!CANDIDATO1,$C289,[0]!MUNICIPIO1,$B$287)</f>
        <v>0</v>
      </c>
      <c r="J289" s="6">
        <f>SUMIFS([0]!VOTOS2,[0]!TURNO1,J$31,[0]!CANDIDATO1,$C289,[0]!MUNICIPIO1,$B$287)</f>
        <v>0</v>
      </c>
      <c r="K289" s="6">
        <f>SUMIFS([0]!VOTOS2,[0]!TURNO1,K$31,[0]!CANDIDATO1,$C289,[0]!MUNICIPIO1,$B$287)</f>
        <v>0</v>
      </c>
      <c r="L289" s="6">
        <f>SUMIFS([0]!VOTOS2,[0]!TURNO1,L$31,[0]!CANDIDATO1,$C289,[0]!MUNICIPIO1,$B$287)</f>
        <v>0</v>
      </c>
      <c r="M289" s="6">
        <f>SUMIFS([0]!VOTOS2,[0]!TURNO1,M$31,[0]!CANDIDATO1,$C289,[0]!MUNICIPIO1,$B$287)</f>
        <v>0</v>
      </c>
      <c r="N289" s="6">
        <f>SUMIFS([0]!VOTOS2,[0]!TURNO1,N$31,[0]!CANDIDATO1,$C289,[0]!MUNICIPIO1,$B$287)</f>
        <v>0</v>
      </c>
      <c r="O289" s="6">
        <f>SUMIFS([0]!VOTOS2,[0]!TURNO1,O$31,[0]!CANDIDATO1,$C289,[0]!MUNICIPIO1,$B$287)</f>
        <v>0</v>
      </c>
      <c r="P289" s="6">
        <f>SUMIFS([0]!VOTOS2,[0]!TURNO1,P$31,[0]!CANDIDATO1,$C289,[0]!MUNICIPIO1,$B$287)</f>
        <v>0</v>
      </c>
      <c r="Q289" s="6">
        <f>SUMIFS([0]!VOTOS2,[0]!TURNO1,Q$31,[0]!CANDIDATO1,$C289,[0]!MUNICIPIO1,$B$287)</f>
        <v>0</v>
      </c>
      <c r="R289" s="6">
        <f>SUMIFS([0]!VOTOS2,[0]!TURNO1,R$31,[0]!CANDIDATO1,$C289,[0]!MUNICIPIO1,$B$287)</f>
        <v>0</v>
      </c>
      <c r="S289" s="6">
        <f>SUMIFS([0]!VOTOS2,[0]!TURNO1,S$31,[0]!CANDIDATO1,$C289,[0]!MUNICIPIO1,$B$287)</f>
        <v>0</v>
      </c>
      <c r="T289" s="6">
        <f>SUMIFS([0]!VOTOS2,[0]!TURNO1,T$31,[0]!CANDIDATO1,$C289,[0]!MUNICIPIO1,$B$287)</f>
        <v>0</v>
      </c>
      <c r="U289" s="6">
        <f>SUMIFS([0]!VOTOS2,[0]!TURNO1,U$31,[0]!CANDIDATO1,$C289,[0]!MUNICIPIO1,$B$287)</f>
        <v>0</v>
      </c>
      <c r="V289" s="6">
        <f>SUMIFS([0]!VOTOS2,[0]!TURNO1,V$31,[0]!CANDIDATO1,$C289,[0]!MUNICIPIO1,$B$287)</f>
        <v>0</v>
      </c>
      <c r="W289" s="6">
        <f>SUMIFS([0]!VOTOS2,[0]!TURNO1,W$31,[0]!CANDIDATO1,$C289,[0]!MUNICIPIO1,$B$287)</f>
        <v>0</v>
      </c>
      <c r="X289" s="24"/>
      <c r="Y289" s="18" t="str">
        <f t="shared" si="676"/>
        <v>SAUL DIAZ</v>
      </c>
      <c r="Z289" s="34">
        <f t="shared" si="677"/>
        <v>0</v>
      </c>
      <c r="AA289" s="34">
        <f t="shared" si="678"/>
        <v>0</v>
      </c>
      <c r="AB289" s="34">
        <f t="shared" ref="AB289:AR289" si="684">IF(SUM(G287:G299)=0,NA(),G289+AA289)</f>
        <v>0</v>
      </c>
      <c r="AC289" s="34">
        <f t="shared" si="684"/>
        <v>0</v>
      </c>
      <c r="AD289" s="34">
        <f t="shared" si="684"/>
        <v>0</v>
      </c>
      <c r="AE289" s="34">
        <f t="shared" si="684"/>
        <v>0</v>
      </c>
      <c r="AF289" s="34" t="e">
        <f t="shared" si="684"/>
        <v>#N/A</v>
      </c>
      <c r="AG289" s="34" t="e">
        <f t="shared" si="684"/>
        <v>#N/A</v>
      </c>
      <c r="AH289" s="34" t="e">
        <f t="shared" si="684"/>
        <v>#N/A</v>
      </c>
      <c r="AI289" s="34" t="e">
        <f t="shared" si="684"/>
        <v>#N/A</v>
      </c>
      <c r="AJ289" s="34" t="e">
        <f t="shared" si="684"/>
        <v>#N/A</v>
      </c>
      <c r="AK289" s="34" t="e">
        <f t="shared" si="684"/>
        <v>#N/A</v>
      </c>
      <c r="AL289" s="34" t="e">
        <f t="shared" si="684"/>
        <v>#N/A</v>
      </c>
      <c r="AM289" s="34" t="e">
        <f t="shared" si="684"/>
        <v>#N/A</v>
      </c>
      <c r="AN289" s="34" t="e">
        <f t="shared" si="684"/>
        <v>#N/A</v>
      </c>
      <c r="AO289" s="34" t="e">
        <f t="shared" si="684"/>
        <v>#N/A</v>
      </c>
      <c r="AP289" s="34" t="e">
        <f t="shared" si="684"/>
        <v>#N/A</v>
      </c>
      <c r="AQ289" s="34" t="e">
        <f t="shared" si="684"/>
        <v>#N/A</v>
      </c>
      <c r="AR289" s="34" t="e">
        <f t="shared" si="684"/>
        <v>#N/A</v>
      </c>
      <c r="AS289" s="27"/>
      <c r="AT289" s="35" t="str">
        <f t="shared" ref="AT289" si="685">Y300</f>
        <v>Otros</v>
      </c>
      <c r="AU289" s="36">
        <f t="shared" ref="AU289:BM289" si="686">Z300/(Z287+Z288+Z300)</f>
        <v>0</v>
      </c>
      <c r="AV289" s="36">
        <f t="shared" si="686"/>
        <v>0</v>
      </c>
      <c r="AW289" s="36">
        <f t="shared" si="686"/>
        <v>0</v>
      </c>
      <c r="AX289" s="36">
        <f t="shared" si="686"/>
        <v>0</v>
      </c>
      <c r="AY289" s="36">
        <f t="shared" si="686"/>
        <v>0</v>
      </c>
      <c r="AZ289" s="36">
        <f t="shared" si="686"/>
        <v>0</v>
      </c>
      <c r="BA289" s="36" t="e">
        <f t="shared" si="686"/>
        <v>#N/A</v>
      </c>
      <c r="BB289" s="36" t="e">
        <f t="shared" si="686"/>
        <v>#N/A</v>
      </c>
      <c r="BC289" s="36" t="e">
        <f t="shared" si="686"/>
        <v>#N/A</v>
      </c>
      <c r="BD289" s="36" t="e">
        <f t="shared" si="686"/>
        <v>#N/A</v>
      </c>
      <c r="BE289" s="36" t="e">
        <f t="shared" si="686"/>
        <v>#N/A</v>
      </c>
      <c r="BF289" s="36" t="e">
        <f t="shared" si="686"/>
        <v>#N/A</v>
      </c>
      <c r="BG289" s="36" t="e">
        <f t="shared" si="686"/>
        <v>#N/A</v>
      </c>
      <c r="BH289" s="36" t="e">
        <f t="shared" si="686"/>
        <v>#N/A</v>
      </c>
      <c r="BI289" s="36" t="e">
        <f t="shared" si="686"/>
        <v>#N/A</v>
      </c>
      <c r="BJ289" s="36" t="e">
        <f t="shared" si="686"/>
        <v>#N/A</v>
      </c>
      <c r="BK289" s="36" t="e">
        <f t="shared" si="686"/>
        <v>#N/A</v>
      </c>
      <c r="BL289" s="36" t="e">
        <f t="shared" si="686"/>
        <v>#N/A</v>
      </c>
      <c r="BM289" s="36" t="e">
        <f t="shared" si="686"/>
        <v>#N/A</v>
      </c>
      <c r="BN289" s="30"/>
    </row>
    <row r="290" spans="1:66" ht="11.25" customHeight="1" x14ac:dyDescent="0.2">
      <c r="A290" s="38" t="s">
        <v>25</v>
      </c>
      <c r="B290" s="73"/>
      <c r="C290" s="51">
        <v>4</v>
      </c>
      <c r="D290" s="8" t="s">
        <v>228</v>
      </c>
      <c r="E290" s="16">
        <f t="shared" si="675"/>
        <v>0</v>
      </c>
      <c r="F290" s="6">
        <f>SUMIFS([0]!VOTOS2,[0]!TURNO1,F$31,[0]!CANDIDATO1,$C290,[0]!MUNICIPIO1,$B$287)</f>
        <v>0</v>
      </c>
      <c r="G290" s="6">
        <f>SUMIFS([0]!VOTOS2,[0]!TURNO1,G$31,[0]!CANDIDATO1,$C290,[0]!MUNICIPIO1,$B$287)</f>
        <v>0</v>
      </c>
      <c r="H290" s="6">
        <f>SUMIFS([0]!VOTOS2,[0]!TURNO1,H$31,[0]!CANDIDATO1,$C290,[0]!MUNICIPIO1,$B$287)</f>
        <v>0</v>
      </c>
      <c r="I290" s="6">
        <f>SUMIFS([0]!VOTOS2,[0]!TURNO1,I$31,[0]!CANDIDATO1,$C290,[0]!MUNICIPIO1,$B$287)</f>
        <v>0</v>
      </c>
      <c r="J290" s="6">
        <f>SUMIFS([0]!VOTOS2,[0]!TURNO1,J$31,[0]!CANDIDATO1,$C290,[0]!MUNICIPIO1,$B$287)</f>
        <v>0</v>
      </c>
      <c r="K290" s="6">
        <f>SUMIFS([0]!VOTOS2,[0]!TURNO1,K$31,[0]!CANDIDATO1,$C290,[0]!MUNICIPIO1,$B$287)</f>
        <v>0</v>
      </c>
      <c r="L290" s="6">
        <f>SUMIFS([0]!VOTOS2,[0]!TURNO1,L$31,[0]!CANDIDATO1,$C290,[0]!MUNICIPIO1,$B$287)</f>
        <v>0</v>
      </c>
      <c r="M290" s="6">
        <f>SUMIFS([0]!VOTOS2,[0]!TURNO1,M$31,[0]!CANDIDATO1,$C290,[0]!MUNICIPIO1,$B$287)</f>
        <v>0</v>
      </c>
      <c r="N290" s="6">
        <f>SUMIFS([0]!VOTOS2,[0]!TURNO1,N$31,[0]!CANDIDATO1,$C290,[0]!MUNICIPIO1,$B$287)</f>
        <v>0</v>
      </c>
      <c r="O290" s="6">
        <f>SUMIFS([0]!VOTOS2,[0]!TURNO1,O$31,[0]!CANDIDATO1,$C290,[0]!MUNICIPIO1,$B$287)</f>
        <v>0</v>
      </c>
      <c r="P290" s="6">
        <f>SUMIFS([0]!VOTOS2,[0]!TURNO1,P$31,[0]!CANDIDATO1,$C290,[0]!MUNICIPIO1,$B$287)</f>
        <v>0</v>
      </c>
      <c r="Q290" s="6">
        <f>SUMIFS([0]!VOTOS2,[0]!TURNO1,Q$31,[0]!CANDIDATO1,$C290,[0]!MUNICIPIO1,$B$287)</f>
        <v>0</v>
      </c>
      <c r="R290" s="6">
        <f>SUMIFS([0]!VOTOS2,[0]!TURNO1,R$31,[0]!CANDIDATO1,$C290,[0]!MUNICIPIO1,$B$287)</f>
        <v>0</v>
      </c>
      <c r="S290" s="6">
        <f>SUMIFS([0]!VOTOS2,[0]!TURNO1,S$31,[0]!CANDIDATO1,$C290,[0]!MUNICIPIO1,$B$287)</f>
        <v>0</v>
      </c>
      <c r="T290" s="6">
        <f>SUMIFS([0]!VOTOS2,[0]!TURNO1,T$31,[0]!CANDIDATO1,$C290,[0]!MUNICIPIO1,$B$287)</f>
        <v>0</v>
      </c>
      <c r="U290" s="6">
        <f>SUMIFS([0]!VOTOS2,[0]!TURNO1,U$31,[0]!CANDIDATO1,$C290,[0]!MUNICIPIO1,$B$287)</f>
        <v>0</v>
      </c>
      <c r="V290" s="6">
        <f>SUMIFS([0]!VOTOS2,[0]!TURNO1,V$31,[0]!CANDIDATO1,$C290,[0]!MUNICIPIO1,$B$287)</f>
        <v>0</v>
      </c>
      <c r="W290" s="6">
        <f>SUMIFS([0]!VOTOS2,[0]!TURNO1,W$31,[0]!CANDIDATO1,$C290,[0]!MUNICIPIO1,$B$287)</f>
        <v>0</v>
      </c>
      <c r="X290" s="24"/>
      <c r="Y290" s="18" t="str">
        <f t="shared" si="676"/>
        <v>GIAMPIERO BOTARELLI</v>
      </c>
      <c r="Z290" s="34">
        <f t="shared" si="677"/>
        <v>0</v>
      </c>
      <c r="AA290" s="34">
        <f t="shared" si="678"/>
        <v>0</v>
      </c>
      <c r="AB290" s="34">
        <f t="shared" ref="AB290:AR290" si="687">IF(SUM(G287:G299)=0,NA(),G290+AA290)</f>
        <v>0</v>
      </c>
      <c r="AC290" s="34">
        <f t="shared" si="687"/>
        <v>0</v>
      </c>
      <c r="AD290" s="34">
        <f t="shared" si="687"/>
        <v>0</v>
      </c>
      <c r="AE290" s="34">
        <f t="shared" si="687"/>
        <v>0</v>
      </c>
      <c r="AF290" s="34" t="e">
        <f t="shared" si="687"/>
        <v>#N/A</v>
      </c>
      <c r="AG290" s="34" t="e">
        <f t="shared" si="687"/>
        <v>#N/A</v>
      </c>
      <c r="AH290" s="34" t="e">
        <f t="shared" si="687"/>
        <v>#N/A</v>
      </c>
      <c r="AI290" s="34" t="e">
        <f t="shared" si="687"/>
        <v>#N/A</v>
      </c>
      <c r="AJ290" s="34" t="e">
        <f t="shared" si="687"/>
        <v>#N/A</v>
      </c>
      <c r="AK290" s="34" t="e">
        <f t="shared" si="687"/>
        <v>#N/A</v>
      </c>
      <c r="AL290" s="34" t="e">
        <f t="shared" si="687"/>
        <v>#N/A</v>
      </c>
      <c r="AM290" s="34" t="e">
        <f t="shared" si="687"/>
        <v>#N/A</v>
      </c>
      <c r="AN290" s="34" t="e">
        <f t="shared" si="687"/>
        <v>#N/A</v>
      </c>
      <c r="AO290" s="34" t="e">
        <f t="shared" si="687"/>
        <v>#N/A</v>
      </c>
      <c r="AP290" s="34" t="e">
        <f t="shared" si="687"/>
        <v>#N/A</v>
      </c>
      <c r="AQ290" s="34" t="e">
        <f t="shared" si="687"/>
        <v>#N/A</v>
      </c>
      <c r="AR290" s="34" t="e">
        <f t="shared" si="687"/>
        <v>#N/A</v>
      </c>
      <c r="AS290" s="27"/>
      <c r="AT290" s="39"/>
      <c r="AU290" s="39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30"/>
    </row>
    <row r="291" spans="1:66" ht="11.25" customHeight="1" x14ac:dyDescent="0.2">
      <c r="A291" s="38" t="s">
        <v>17</v>
      </c>
      <c r="B291" s="73"/>
      <c r="C291" s="50">
        <v>5</v>
      </c>
      <c r="D291" s="8" t="s">
        <v>229</v>
      </c>
      <c r="E291" s="16">
        <f t="shared" si="675"/>
        <v>0</v>
      </c>
      <c r="F291" s="6">
        <f>SUMIFS([0]!VOTOS2,[0]!TURNO1,F$31,[0]!CANDIDATO1,$C291,[0]!MUNICIPIO1,$B$287)</f>
        <v>0</v>
      </c>
      <c r="G291" s="6">
        <f>SUMIFS([0]!VOTOS2,[0]!TURNO1,G$31,[0]!CANDIDATO1,$C291,[0]!MUNICIPIO1,$B$287)</f>
        <v>0</v>
      </c>
      <c r="H291" s="6">
        <f>SUMIFS([0]!VOTOS2,[0]!TURNO1,H$31,[0]!CANDIDATO1,$C291,[0]!MUNICIPIO1,$B$287)</f>
        <v>0</v>
      </c>
      <c r="I291" s="6">
        <f>SUMIFS([0]!VOTOS2,[0]!TURNO1,I$31,[0]!CANDIDATO1,$C291,[0]!MUNICIPIO1,$B$287)</f>
        <v>0</v>
      </c>
      <c r="J291" s="6">
        <f>SUMIFS([0]!VOTOS2,[0]!TURNO1,J$31,[0]!CANDIDATO1,$C291,[0]!MUNICIPIO1,$B$287)</f>
        <v>0</v>
      </c>
      <c r="K291" s="6">
        <f>SUMIFS([0]!VOTOS2,[0]!TURNO1,K$31,[0]!CANDIDATO1,$C291,[0]!MUNICIPIO1,$B$287)</f>
        <v>0</v>
      </c>
      <c r="L291" s="6">
        <f>SUMIFS([0]!VOTOS2,[0]!TURNO1,L$31,[0]!CANDIDATO1,$C291,[0]!MUNICIPIO1,$B$287)</f>
        <v>0</v>
      </c>
      <c r="M291" s="6">
        <f>SUMIFS([0]!VOTOS2,[0]!TURNO1,M$31,[0]!CANDIDATO1,$C291,[0]!MUNICIPIO1,$B$287)</f>
        <v>0</v>
      </c>
      <c r="N291" s="6">
        <f>SUMIFS([0]!VOTOS2,[0]!TURNO1,N$31,[0]!CANDIDATO1,$C291,[0]!MUNICIPIO1,$B$287)</f>
        <v>0</v>
      </c>
      <c r="O291" s="6">
        <f>SUMIFS([0]!VOTOS2,[0]!TURNO1,O$31,[0]!CANDIDATO1,$C291,[0]!MUNICIPIO1,$B$287)</f>
        <v>0</v>
      </c>
      <c r="P291" s="6">
        <f>SUMIFS([0]!VOTOS2,[0]!TURNO1,P$31,[0]!CANDIDATO1,$C291,[0]!MUNICIPIO1,$B$287)</f>
        <v>0</v>
      </c>
      <c r="Q291" s="6">
        <f>SUMIFS([0]!VOTOS2,[0]!TURNO1,Q$31,[0]!CANDIDATO1,$C291,[0]!MUNICIPIO1,$B$287)</f>
        <v>0</v>
      </c>
      <c r="R291" s="6">
        <f>SUMIFS([0]!VOTOS2,[0]!TURNO1,R$31,[0]!CANDIDATO1,$C291,[0]!MUNICIPIO1,$B$287)</f>
        <v>0</v>
      </c>
      <c r="S291" s="6">
        <f>SUMIFS([0]!VOTOS2,[0]!TURNO1,S$31,[0]!CANDIDATO1,$C291,[0]!MUNICIPIO1,$B$287)</f>
        <v>0</v>
      </c>
      <c r="T291" s="6">
        <f>SUMIFS([0]!VOTOS2,[0]!TURNO1,T$31,[0]!CANDIDATO1,$C291,[0]!MUNICIPIO1,$B$287)</f>
        <v>0</v>
      </c>
      <c r="U291" s="6">
        <f>SUMIFS([0]!VOTOS2,[0]!TURNO1,U$31,[0]!CANDIDATO1,$C291,[0]!MUNICIPIO1,$B$287)</f>
        <v>0</v>
      </c>
      <c r="V291" s="6">
        <f>SUMIFS([0]!VOTOS2,[0]!TURNO1,V$31,[0]!CANDIDATO1,$C291,[0]!MUNICIPIO1,$B$287)</f>
        <v>0</v>
      </c>
      <c r="W291" s="6">
        <f>SUMIFS([0]!VOTOS2,[0]!TURNO1,W$31,[0]!CANDIDATO1,$C291,[0]!MUNICIPIO1,$B$287)</f>
        <v>0</v>
      </c>
      <c r="X291" s="24"/>
      <c r="Y291" s="18" t="str">
        <f t="shared" si="676"/>
        <v>JOSE RODRIGUEZ</v>
      </c>
      <c r="Z291" s="34">
        <f t="shared" si="677"/>
        <v>0</v>
      </c>
      <c r="AA291" s="34">
        <f t="shared" si="678"/>
        <v>0</v>
      </c>
      <c r="AB291" s="34">
        <f t="shared" ref="AB291:AR291" si="688">IF(SUM(G287:G299)=0,NA(),G291+AA291)</f>
        <v>0</v>
      </c>
      <c r="AC291" s="34">
        <f t="shared" si="688"/>
        <v>0</v>
      </c>
      <c r="AD291" s="34">
        <f t="shared" si="688"/>
        <v>0</v>
      </c>
      <c r="AE291" s="34">
        <f t="shared" si="688"/>
        <v>0</v>
      </c>
      <c r="AF291" s="34" t="e">
        <f t="shared" si="688"/>
        <v>#N/A</v>
      </c>
      <c r="AG291" s="34" t="e">
        <f t="shared" si="688"/>
        <v>#N/A</v>
      </c>
      <c r="AH291" s="34" t="e">
        <f t="shared" si="688"/>
        <v>#N/A</v>
      </c>
      <c r="AI291" s="34" t="e">
        <f t="shared" si="688"/>
        <v>#N/A</v>
      </c>
      <c r="AJ291" s="34" t="e">
        <f t="shared" si="688"/>
        <v>#N/A</v>
      </c>
      <c r="AK291" s="34" t="e">
        <f t="shared" si="688"/>
        <v>#N/A</v>
      </c>
      <c r="AL291" s="34" t="e">
        <f t="shared" si="688"/>
        <v>#N/A</v>
      </c>
      <c r="AM291" s="34" t="e">
        <f t="shared" si="688"/>
        <v>#N/A</v>
      </c>
      <c r="AN291" s="34" t="e">
        <f t="shared" si="688"/>
        <v>#N/A</v>
      </c>
      <c r="AO291" s="34" t="e">
        <f t="shared" si="688"/>
        <v>#N/A</v>
      </c>
      <c r="AP291" s="34" t="e">
        <f t="shared" si="688"/>
        <v>#N/A</v>
      </c>
      <c r="AQ291" s="34" t="e">
        <f t="shared" si="688"/>
        <v>#N/A</v>
      </c>
      <c r="AR291" s="34" t="e">
        <f t="shared" si="688"/>
        <v>#N/A</v>
      </c>
      <c r="AS291" s="27"/>
      <c r="AT291" s="39"/>
      <c r="AU291" s="39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30"/>
    </row>
    <row r="292" spans="1:66" ht="11.25" customHeight="1" x14ac:dyDescent="0.2">
      <c r="A292" s="37"/>
      <c r="B292" s="73"/>
      <c r="C292" s="51">
        <v>6</v>
      </c>
      <c r="D292" s="8" t="s">
        <v>230</v>
      </c>
      <c r="E292" s="16">
        <f t="shared" si="675"/>
        <v>0</v>
      </c>
      <c r="F292" s="6">
        <f>SUMIFS([0]!VOTOS2,[0]!TURNO1,F$31,[0]!CANDIDATO1,$C292,[0]!MUNICIPIO1,$B$287)</f>
        <v>0</v>
      </c>
      <c r="G292" s="6">
        <f>SUMIFS([0]!VOTOS2,[0]!TURNO1,G$31,[0]!CANDIDATO1,$C292,[0]!MUNICIPIO1,$B$287)</f>
        <v>0</v>
      </c>
      <c r="H292" s="6">
        <f>SUMIFS([0]!VOTOS2,[0]!TURNO1,H$31,[0]!CANDIDATO1,$C292,[0]!MUNICIPIO1,$B$287)</f>
        <v>0</v>
      </c>
      <c r="I292" s="6">
        <f>SUMIFS([0]!VOTOS2,[0]!TURNO1,I$31,[0]!CANDIDATO1,$C292,[0]!MUNICIPIO1,$B$287)</f>
        <v>0</v>
      </c>
      <c r="J292" s="6">
        <f>SUMIFS([0]!VOTOS2,[0]!TURNO1,J$31,[0]!CANDIDATO1,$C292,[0]!MUNICIPIO1,$B$287)</f>
        <v>0</v>
      </c>
      <c r="K292" s="6">
        <f>SUMIFS([0]!VOTOS2,[0]!TURNO1,K$31,[0]!CANDIDATO1,$C292,[0]!MUNICIPIO1,$B$287)</f>
        <v>0</v>
      </c>
      <c r="L292" s="6">
        <f>SUMIFS([0]!VOTOS2,[0]!TURNO1,L$31,[0]!CANDIDATO1,$C292,[0]!MUNICIPIO1,$B$287)</f>
        <v>0</v>
      </c>
      <c r="M292" s="6">
        <f>SUMIFS([0]!VOTOS2,[0]!TURNO1,M$31,[0]!CANDIDATO1,$C292,[0]!MUNICIPIO1,$B$287)</f>
        <v>0</v>
      </c>
      <c r="N292" s="6">
        <f>SUMIFS([0]!VOTOS2,[0]!TURNO1,N$31,[0]!CANDIDATO1,$C292,[0]!MUNICIPIO1,$B$287)</f>
        <v>0</v>
      </c>
      <c r="O292" s="6">
        <f>SUMIFS([0]!VOTOS2,[0]!TURNO1,O$31,[0]!CANDIDATO1,$C292,[0]!MUNICIPIO1,$B$287)</f>
        <v>0</v>
      </c>
      <c r="P292" s="6">
        <f>SUMIFS([0]!VOTOS2,[0]!TURNO1,P$31,[0]!CANDIDATO1,$C292,[0]!MUNICIPIO1,$B$287)</f>
        <v>0</v>
      </c>
      <c r="Q292" s="6">
        <f>SUMIFS([0]!VOTOS2,[0]!TURNO1,Q$31,[0]!CANDIDATO1,$C292,[0]!MUNICIPIO1,$B$287)</f>
        <v>0</v>
      </c>
      <c r="R292" s="6">
        <f>SUMIFS([0]!VOTOS2,[0]!TURNO1,R$31,[0]!CANDIDATO1,$C292,[0]!MUNICIPIO1,$B$287)</f>
        <v>0</v>
      </c>
      <c r="S292" s="6">
        <f>SUMIFS([0]!VOTOS2,[0]!TURNO1,S$31,[0]!CANDIDATO1,$C292,[0]!MUNICIPIO1,$B$287)</f>
        <v>0</v>
      </c>
      <c r="T292" s="6">
        <f>SUMIFS([0]!VOTOS2,[0]!TURNO1,T$31,[0]!CANDIDATO1,$C292,[0]!MUNICIPIO1,$B$287)</f>
        <v>0</v>
      </c>
      <c r="U292" s="6">
        <f>SUMIFS([0]!VOTOS2,[0]!TURNO1,U$31,[0]!CANDIDATO1,$C292,[0]!MUNICIPIO1,$B$287)</f>
        <v>0</v>
      </c>
      <c r="V292" s="6">
        <f>SUMIFS([0]!VOTOS2,[0]!TURNO1,V$31,[0]!CANDIDATO1,$C292,[0]!MUNICIPIO1,$B$287)</f>
        <v>0</v>
      </c>
      <c r="W292" s="6">
        <f>SUMIFS([0]!VOTOS2,[0]!TURNO1,W$31,[0]!CANDIDATO1,$C292,[0]!MUNICIPIO1,$B$287)</f>
        <v>0</v>
      </c>
      <c r="X292" s="24"/>
      <c r="Y292" s="18" t="str">
        <f t="shared" si="676"/>
        <v>JESUS NAVARRO</v>
      </c>
      <c r="Z292" s="34">
        <f t="shared" si="677"/>
        <v>0</v>
      </c>
      <c r="AA292" s="34">
        <f t="shared" si="678"/>
        <v>0</v>
      </c>
      <c r="AB292" s="34">
        <f t="shared" ref="AB292:AR292" si="689">IF(SUM(G287:G299)=0,NA(),G292+AA292)</f>
        <v>0</v>
      </c>
      <c r="AC292" s="34">
        <f t="shared" si="689"/>
        <v>0</v>
      </c>
      <c r="AD292" s="34">
        <f t="shared" si="689"/>
        <v>0</v>
      </c>
      <c r="AE292" s="34">
        <f t="shared" si="689"/>
        <v>0</v>
      </c>
      <c r="AF292" s="34" t="e">
        <f t="shared" si="689"/>
        <v>#N/A</v>
      </c>
      <c r="AG292" s="34" t="e">
        <f t="shared" si="689"/>
        <v>#N/A</v>
      </c>
      <c r="AH292" s="34" t="e">
        <f t="shared" si="689"/>
        <v>#N/A</v>
      </c>
      <c r="AI292" s="34" t="e">
        <f t="shared" si="689"/>
        <v>#N/A</v>
      </c>
      <c r="AJ292" s="34" t="e">
        <f t="shared" si="689"/>
        <v>#N/A</v>
      </c>
      <c r="AK292" s="34" t="e">
        <f t="shared" si="689"/>
        <v>#N/A</v>
      </c>
      <c r="AL292" s="34" t="e">
        <f t="shared" si="689"/>
        <v>#N/A</v>
      </c>
      <c r="AM292" s="34" t="e">
        <f t="shared" si="689"/>
        <v>#N/A</v>
      </c>
      <c r="AN292" s="34" t="e">
        <f t="shared" si="689"/>
        <v>#N/A</v>
      </c>
      <c r="AO292" s="34" t="e">
        <f t="shared" si="689"/>
        <v>#N/A</v>
      </c>
      <c r="AP292" s="34" t="e">
        <f t="shared" si="689"/>
        <v>#N/A</v>
      </c>
      <c r="AQ292" s="34" t="e">
        <f t="shared" si="689"/>
        <v>#N/A</v>
      </c>
      <c r="AR292" s="34" t="e">
        <f t="shared" si="689"/>
        <v>#N/A</v>
      </c>
      <c r="AS292" s="27"/>
      <c r="AT292" s="39"/>
      <c r="AU292" s="39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30"/>
    </row>
    <row r="293" spans="1:66" ht="11.25" customHeight="1" x14ac:dyDescent="0.2">
      <c r="A293" s="37"/>
      <c r="B293" s="73"/>
      <c r="C293" s="50">
        <v>7</v>
      </c>
      <c r="D293" s="8" t="s">
        <v>231</v>
      </c>
      <c r="E293" s="16">
        <f t="shared" si="675"/>
        <v>0</v>
      </c>
      <c r="F293" s="6">
        <f>SUMIFS([0]!VOTOS2,[0]!TURNO1,F$31,[0]!CANDIDATO1,$C293,[0]!MUNICIPIO1,$B$287)</f>
        <v>0</v>
      </c>
      <c r="G293" s="6">
        <f>SUMIFS([0]!VOTOS2,[0]!TURNO1,G$31,[0]!CANDIDATO1,$C293,[0]!MUNICIPIO1,$B$287)</f>
        <v>0</v>
      </c>
      <c r="H293" s="6">
        <f>SUMIFS([0]!VOTOS2,[0]!TURNO1,H$31,[0]!CANDIDATO1,$C293,[0]!MUNICIPIO1,$B$287)</f>
        <v>0</v>
      </c>
      <c r="I293" s="6">
        <f>SUMIFS([0]!VOTOS2,[0]!TURNO1,I$31,[0]!CANDIDATO1,$C293,[0]!MUNICIPIO1,$B$287)</f>
        <v>0</v>
      </c>
      <c r="J293" s="6">
        <f>SUMIFS([0]!VOTOS2,[0]!TURNO1,J$31,[0]!CANDIDATO1,$C293,[0]!MUNICIPIO1,$B$287)</f>
        <v>0</v>
      </c>
      <c r="K293" s="6">
        <f>SUMIFS([0]!VOTOS2,[0]!TURNO1,K$31,[0]!CANDIDATO1,$C293,[0]!MUNICIPIO1,$B$287)</f>
        <v>0</v>
      </c>
      <c r="L293" s="6">
        <f>SUMIFS([0]!VOTOS2,[0]!TURNO1,L$31,[0]!CANDIDATO1,$C293,[0]!MUNICIPIO1,$B$287)</f>
        <v>0</v>
      </c>
      <c r="M293" s="6">
        <f>SUMIFS([0]!VOTOS2,[0]!TURNO1,M$31,[0]!CANDIDATO1,$C293,[0]!MUNICIPIO1,$B$287)</f>
        <v>0</v>
      </c>
      <c r="N293" s="6">
        <f>SUMIFS([0]!VOTOS2,[0]!TURNO1,N$31,[0]!CANDIDATO1,$C293,[0]!MUNICIPIO1,$B$287)</f>
        <v>0</v>
      </c>
      <c r="O293" s="6">
        <f>SUMIFS([0]!VOTOS2,[0]!TURNO1,O$31,[0]!CANDIDATO1,$C293,[0]!MUNICIPIO1,$B$287)</f>
        <v>0</v>
      </c>
      <c r="P293" s="6">
        <f>SUMIFS([0]!VOTOS2,[0]!TURNO1,P$31,[0]!CANDIDATO1,$C293,[0]!MUNICIPIO1,$B$287)</f>
        <v>0</v>
      </c>
      <c r="Q293" s="6">
        <f>SUMIFS([0]!VOTOS2,[0]!TURNO1,Q$31,[0]!CANDIDATO1,$C293,[0]!MUNICIPIO1,$B$287)</f>
        <v>0</v>
      </c>
      <c r="R293" s="6">
        <f>SUMIFS([0]!VOTOS2,[0]!TURNO1,R$31,[0]!CANDIDATO1,$C293,[0]!MUNICIPIO1,$B$287)</f>
        <v>0</v>
      </c>
      <c r="S293" s="6">
        <f>SUMIFS([0]!VOTOS2,[0]!TURNO1,S$31,[0]!CANDIDATO1,$C293,[0]!MUNICIPIO1,$B$287)</f>
        <v>0</v>
      </c>
      <c r="T293" s="6">
        <f>SUMIFS([0]!VOTOS2,[0]!TURNO1,T$31,[0]!CANDIDATO1,$C293,[0]!MUNICIPIO1,$B$287)</f>
        <v>0</v>
      </c>
      <c r="U293" s="6">
        <f>SUMIFS([0]!VOTOS2,[0]!TURNO1,U$31,[0]!CANDIDATO1,$C293,[0]!MUNICIPIO1,$B$287)</f>
        <v>0</v>
      </c>
      <c r="V293" s="6">
        <f>SUMIFS([0]!VOTOS2,[0]!TURNO1,V$31,[0]!CANDIDATO1,$C293,[0]!MUNICIPIO1,$B$287)</f>
        <v>0</v>
      </c>
      <c r="W293" s="6">
        <f>SUMIFS([0]!VOTOS2,[0]!TURNO1,W$31,[0]!CANDIDATO1,$C293,[0]!MUNICIPIO1,$B$287)</f>
        <v>0</v>
      </c>
      <c r="X293" s="24"/>
      <c r="Y293" s="18" t="str">
        <f t="shared" si="676"/>
        <v>JOSE BETANCOURT</v>
      </c>
      <c r="Z293" s="34">
        <f t="shared" si="677"/>
        <v>0</v>
      </c>
      <c r="AA293" s="34">
        <f t="shared" si="678"/>
        <v>0</v>
      </c>
      <c r="AB293" s="34">
        <f t="shared" ref="AB293:AR293" si="690">IF(SUM(G287:G299)=0,NA(),G293+AA293)</f>
        <v>0</v>
      </c>
      <c r="AC293" s="34">
        <f t="shared" si="690"/>
        <v>0</v>
      </c>
      <c r="AD293" s="34">
        <f t="shared" si="690"/>
        <v>0</v>
      </c>
      <c r="AE293" s="34">
        <f t="shared" si="690"/>
        <v>0</v>
      </c>
      <c r="AF293" s="34" t="e">
        <f t="shared" si="690"/>
        <v>#N/A</v>
      </c>
      <c r="AG293" s="34" t="e">
        <f t="shared" si="690"/>
        <v>#N/A</v>
      </c>
      <c r="AH293" s="34" t="e">
        <f t="shared" si="690"/>
        <v>#N/A</v>
      </c>
      <c r="AI293" s="34" t="e">
        <f t="shared" si="690"/>
        <v>#N/A</v>
      </c>
      <c r="AJ293" s="34" t="e">
        <f t="shared" si="690"/>
        <v>#N/A</v>
      </c>
      <c r="AK293" s="34" t="e">
        <f t="shared" si="690"/>
        <v>#N/A</v>
      </c>
      <c r="AL293" s="34" t="e">
        <f t="shared" si="690"/>
        <v>#N/A</v>
      </c>
      <c r="AM293" s="34" t="e">
        <f t="shared" si="690"/>
        <v>#N/A</v>
      </c>
      <c r="AN293" s="34" t="e">
        <f t="shared" si="690"/>
        <v>#N/A</v>
      </c>
      <c r="AO293" s="34" t="e">
        <f t="shared" si="690"/>
        <v>#N/A</v>
      </c>
      <c r="AP293" s="34" t="e">
        <f t="shared" si="690"/>
        <v>#N/A</v>
      </c>
      <c r="AQ293" s="34" t="e">
        <f t="shared" si="690"/>
        <v>#N/A</v>
      </c>
      <c r="AR293" s="34" t="e">
        <f t="shared" si="690"/>
        <v>#N/A</v>
      </c>
      <c r="AS293" s="27"/>
      <c r="AT293" s="39"/>
      <c r="AU293" s="39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30"/>
    </row>
    <row r="294" spans="1:66" ht="11.25" customHeight="1" x14ac:dyDescent="0.2">
      <c r="A294" s="37"/>
      <c r="B294" s="73"/>
      <c r="C294" s="51">
        <v>8</v>
      </c>
      <c r="D294" s="8" t="s">
        <v>232</v>
      </c>
      <c r="E294" s="16">
        <f t="shared" si="675"/>
        <v>0</v>
      </c>
      <c r="F294" s="6">
        <f>SUMIFS([0]!VOTOS2,[0]!TURNO1,F$31,[0]!CANDIDATO1,$C294,[0]!MUNICIPIO1,$B$287)</f>
        <v>0</v>
      </c>
      <c r="G294" s="6">
        <f>SUMIFS([0]!VOTOS2,[0]!TURNO1,G$31,[0]!CANDIDATO1,$C294,[0]!MUNICIPIO1,$B$287)</f>
        <v>0</v>
      </c>
      <c r="H294" s="6">
        <f>SUMIFS([0]!VOTOS2,[0]!TURNO1,H$31,[0]!CANDIDATO1,$C294,[0]!MUNICIPIO1,$B$287)</f>
        <v>0</v>
      </c>
      <c r="I294" s="6">
        <f>SUMIFS([0]!VOTOS2,[0]!TURNO1,I$31,[0]!CANDIDATO1,$C294,[0]!MUNICIPIO1,$B$287)</f>
        <v>0</v>
      </c>
      <c r="J294" s="6">
        <f>SUMIFS([0]!VOTOS2,[0]!TURNO1,J$31,[0]!CANDIDATO1,$C294,[0]!MUNICIPIO1,$B$287)</f>
        <v>0</v>
      </c>
      <c r="K294" s="6">
        <f>SUMIFS([0]!VOTOS2,[0]!TURNO1,K$31,[0]!CANDIDATO1,$C294,[0]!MUNICIPIO1,$B$287)</f>
        <v>0</v>
      </c>
      <c r="L294" s="6">
        <f>SUMIFS([0]!VOTOS2,[0]!TURNO1,L$31,[0]!CANDIDATO1,$C294,[0]!MUNICIPIO1,$B$287)</f>
        <v>0</v>
      </c>
      <c r="M294" s="6">
        <f>SUMIFS([0]!VOTOS2,[0]!TURNO1,M$31,[0]!CANDIDATO1,$C294,[0]!MUNICIPIO1,$B$287)</f>
        <v>0</v>
      </c>
      <c r="N294" s="6">
        <f>SUMIFS([0]!VOTOS2,[0]!TURNO1,N$31,[0]!CANDIDATO1,$C294,[0]!MUNICIPIO1,$B$287)</f>
        <v>0</v>
      </c>
      <c r="O294" s="6">
        <f>SUMIFS([0]!VOTOS2,[0]!TURNO1,O$31,[0]!CANDIDATO1,$C294,[0]!MUNICIPIO1,$B$287)</f>
        <v>0</v>
      </c>
      <c r="P294" s="6">
        <f>SUMIFS([0]!VOTOS2,[0]!TURNO1,P$31,[0]!CANDIDATO1,$C294,[0]!MUNICIPIO1,$B$287)</f>
        <v>0</v>
      </c>
      <c r="Q294" s="6">
        <f>SUMIFS([0]!VOTOS2,[0]!TURNO1,Q$31,[0]!CANDIDATO1,$C294,[0]!MUNICIPIO1,$B$287)</f>
        <v>0</v>
      </c>
      <c r="R294" s="6">
        <f>SUMIFS([0]!VOTOS2,[0]!TURNO1,R$31,[0]!CANDIDATO1,$C294,[0]!MUNICIPIO1,$B$287)</f>
        <v>0</v>
      </c>
      <c r="S294" s="6">
        <f>SUMIFS([0]!VOTOS2,[0]!TURNO1,S$31,[0]!CANDIDATO1,$C294,[0]!MUNICIPIO1,$B$287)</f>
        <v>0</v>
      </c>
      <c r="T294" s="6">
        <f>SUMIFS([0]!VOTOS2,[0]!TURNO1,T$31,[0]!CANDIDATO1,$C294,[0]!MUNICIPIO1,$B$287)</f>
        <v>0</v>
      </c>
      <c r="U294" s="6">
        <f>SUMIFS([0]!VOTOS2,[0]!TURNO1,U$31,[0]!CANDIDATO1,$C294,[0]!MUNICIPIO1,$B$287)</f>
        <v>0</v>
      </c>
      <c r="V294" s="6">
        <f>SUMIFS([0]!VOTOS2,[0]!TURNO1,V$31,[0]!CANDIDATO1,$C294,[0]!MUNICIPIO1,$B$287)</f>
        <v>0</v>
      </c>
      <c r="W294" s="6">
        <f>SUMIFS([0]!VOTOS2,[0]!TURNO1,W$31,[0]!CANDIDATO1,$C294,[0]!MUNICIPIO1,$B$287)</f>
        <v>0</v>
      </c>
      <c r="X294" s="24"/>
      <c r="Y294" s="18" t="str">
        <f t="shared" si="676"/>
        <v>DANNY MURILLO</v>
      </c>
      <c r="Z294" s="34">
        <f t="shared" si="677"/>
        <v>0</v>
      </c>
      <c r="AA294" s="34">
        <f t="shared" si="678"/>
        <v>0</v>
      </c>
      <c r="AB294" s="34">
        <f t="shared" ref="AB294:AR294" si="691">IF(SUM(G287:G299)=0,NA(),G294+AA294)</f>
        <v>0</v>
      </c>
      <c r="AC294" s="34">
        <f t="shared" si="691"/>
        <v>0</v>
      </c>
      <c r="AD294" s="34">
        <f t="shared" si="691"/>
        <v>0</v>
      </c>
      <c r="AE294" s="34">
        <f t="shared" si="691"/>
        <v>0</v>
      </c>
      <c r="AF294" s="34" t="e">
        <f t="shared" si="691"/>
        <v>#N/A</v>
      </c>
      <c r="AG294" s="34" t="e">
        <f t="shared" si="691"/>
        <v>#N/A</v>
      </c>
      <c r="AH294" s="34" t="e">
        <f t="shared" si="691"/>
        <v>#N/A</v>
      </c>
      <c r="AI294" s="34" t="e">
        <f t="shared" si="691"/>
        <v>#N/A</v>
      </c>
      <c r="AJ294" s="34" t="e">
        <f t="shared" si="691"/>
        <v>#N/A</v>
      </c>
      <c r="AK294" s="34" t="e">
        <f t="shared" si="691"/>
        <v>#N/A</v>
      </c>
      <c r="AL294" s="34" t="e">
        <f t="shared" si="691"/>
        <v>#N/A</v>
      </c>
      <c r="AM294" s="34" t="e">
        <f t="shared" si="691"/>
        <v>#N/A</v>
      </c>
      <c r="AN294" s="34" t="e">
        <f t="shared" si="691"/>
        <v>#N/A</v>
      </c>
      <c r="AO294" s="34" t="e">
        <f t="shared" si="691"/>
        <v>#N/A</v>
      </c>
      <c r="AP294" s="34" t="e">
        <f t="shared" si="691"/>
        <v>#N/A</v>
      </c>
      <c r="AQ294" s="34" t="e">
        <f t="shared" si="691"/>
        <v>#N/A</v>
      </c>
      <c r="AR294" s="34" t="e">
        <f t="shared" si="691"/>
        <v>#N/A</v>
      </c>
      <c r="AS294" s="27"/>
      <c r="AT294" s="41"/>
      <c r="AU294" s="41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30"/>
    </row>
    <row r="295" spans="1:66" ht="11.25" customHeight="1" x14ac:dyDescent="0.2">
      <c r="A295" s="42"/>
      <c r="B295" s="74"/>
      <c r="C295" s="51">
        <v>9</v>
      </c>
      <c r="D295" s="13" t="s">
        <v>233</v>
      </c>
      <c r="E295" s="16">
        <f t="shared" si="675"/>
        <v>0</v>
      </c>
      <c r="F295" s="16">
        <f>SUMIFS([0]!VOTOS2,[0]!TURNO1,F$31,[0]!CANDIDATO1,$C295,[0]!MUNICIPIO1,$B$287)</f>
        <v>0</v>
      </c>
      <c r="G295" s="16">
        <f>SUMIFS([0]!VOTOS2,[0]!TURNO1,G$31,[0]!CANDIDATO1,$C295,[0]!MUNICIPIO1,$B$287)</f>
        <v>0</v>
      </c>
      <c r="H295" s="16">
        <f>SUMIFS([0]!VOTOS2,[0]!TURNO1,H$31,[0]!CANDIDATO1,$C295,[0]!MUNICIPIO1,$B$287)</f>
        <v>0</v>
      </c>
      <c r="I295" s="16">
        <f>SUMIFS([0]!VOTOS2,[0]!TURNO1,I$31,[0]!CANDIDATO1,$C295,[0]!MUNICIPIO1,$B$287)</f>
        <v>0</v>
      </c>
      <c r="J295" s="16">
        <f>SUMIFS([0]!VOTOS2,[0]!TURNO1,J$31,[0]!CANDIDATO1,$C295,[0]!MUNICIPIO1,$B$287)</f>
        <v>0</v>
      </c>
      <c r="K295" s="16">
        <f>SUMIFS([0]!VOTOS2,[0]!TURNO1,K$31,[0]!CANDIDATO1,$C295,[0]!MUNICIPIO1,$B$287)</f>
        <v>0</v>
      </c>
      <c r="L295" s="16">
        <f>SUMIFS([0]!VOTOS2,[0]!TURNO1,L$31,[0]!CANDIDATO1,$C295,[0]!MUNICIPIO1,$B$287)</f>
        <v>0</v>
      </c>
      <c r="M295" s="16">
        <f>SUMIFS([0]!VOTOS2,[0]!TURNO1,M$31,[0]!CANDIDATO1,$C295,[0]!MUNICIPIO1,$B$287)</f>
        <v>0</v>
      </c>
      <c r="N295" s="16">
        <f>SUMIFS([0]!VOTOS2,[0]!TURNO1,N$31,[0]!CANDIDATO1,$C295,[0]!MUNICIPIO1,$B$287)</f>
        <v>0</v>
      </c>
      <c r="O295" s="16">
        <f>SUMIFS([0]!VOTOS2,[0]!TURNO1,O$31,[0]!CANDIDATO1,$C295,[0]!MUNICIPIO1,$B$287)</f>
        <v>0</v>
      </c>
      <c r="P295" s="16">
        <f>SUMIFS([0]!VOTOS2,[0]!TURNO1,P$31,[0]!CANDIDATO1,$C295,[0]!MUNICIPIO1,$B$287)</f>
        <v>0</v>
      </c>
      <c r="Q295" s="16">
        <f>SUMIFS([0]!VOTOS2,[0]!TURNO1,Q$31,[0]!CANDIDATO1,$C295,[0]!MUNICIPIO1,$B$287)</f>
        <v>0</v>
      </c>
      <c r="R295" s="16">
        <f>SUMIFS([0]!VOTOS2,[0]!TURNO1,R$31,[0]!CANDIDATO1,$C295,[0]!MUNICIPIO1,$B$287)</f>
        <v>0</v>
      </c>
      <c r="S295" s="16">
        <f>SUMIFS([0]!VOTOS2,[0]!TURNO1,S$31,[0]!CANDIDATO1,$C295,[0]!MUNICIPIO1,$B$287)</f>
        <v>0</v>
      </c>
      <c r="T295" s="16">
        <f>SUMIFS([0]!VOTOS2,[0]!TURNO1,T$31,[0]!CANDIDATO1,$C295,[0]!MUNICIPIO1,$B$287)</f>
        <v>0</v>
      </c>
      <c r="U295" s="16">
        <f>SUMIFS([0]!VOTOS2,[0]!TURNO1,U$31,[0]!CANDIDATO1,$C295,[0]!MUNICIPIO1,$B$287)</f>
        <v>0</v>
      </c>
      <c r="V295" s="16">
        <f>SUMIFS([0]!VOTOS2,[0]!TURNO1,V$31,[0]!CANDIDATO1,$C295,[0]!MUNICIPIO1,$B$287)</f>
        <v>0</v>
      </c>
      <c r="W295" s="16">
        <f>SUMIFS([0]!VOTOS2,[0]!TURNO1,W$31,[0]!CANDIDATO1,$C295,[0]!MUNICIPIO1,$B$287)</f>
        <v>0</v>
      </c>
      <c r="X295" s="24"/>
      <c r="Y295" s="18" t="str">
        <f t="shared" si="676"/>
        <v>MARTIN GARZA</v>
      </c>
      <c r="Z295" s="34">
        <f t="shared" si="677"/>
        <v>0</v>
      </c>
      <c r="AA295" s="34">
        <f t="shared" si="678"/>
        <v>0</v>
      </c>
      <c r="AB295" s="34">
        <f t="shared" ref="AB295:AR295" si="692">IF(SUM(G287:G299)=0,NA(),G295+AA295)</f>
        <v>0</v>
      </c>
      <c r="AC295" s="34">
        <f t="shared" si="692"/>
        <v>0</v>
      </c>
      <c r="AD295" s="34">
        <f t="shared" si="692"/>
        <v>0</v>
      </c>
      <c r="AE295" s="34">
        <f t="shared" si="692"/>
        <v>0</v>
      </c>
      <c r="AF295" s="34" t="e">
        <f t="shared" si="692"/>
        <v>#N/A</v>
      </c>
      <c r="AG295" s="34" t="e">
        <f t="shared" si="692"/>
        <v>#N/A</v>
      </c>
      <c r="AH295" s="34" t="e">
        <f t="shared" si="692"/>
        <v>#N/A</v>
      </c>
      <c r="AI295" s="34" t="e">
        <f t="shared" si="692"/>
        <v>#N/A</v>
      </c>
      <c r="AJ295" s="34" t="e">
        <f t="shared" si="692"/>
        <v>#N/A</v>
      </c>
      <c r="AK295" s="34" t="e">
        <f t="shared" si="692"/>
        <v>#N/A</v>
      </c>
      <c r="AL295" s="34" t="e">
        <f t="shared" si="692"/>
        <v>#N/A</v>
      </c>
      <c r="AM295" s="34" t="e">
        <f t="shared" si="692"/>
        <v>#N/A</v>
      </c>
      <c r="AN295" s="34" t="e">
        <f t="shared" si="692"/>
        <v>#N/A</v>
      </c>
      <c r="AO295" s="34" t="e">
        <f t="shared" si="692"/>
        <v>#N/A</v>
      </c>
      <c r="AP295" s="34" t="e">
        <f t="shared" si="692"/>
        <v>#N/A</v>
      </c>
      <c r="AQ295" s="34" t="e">
        <f t="shared" si="692"/>
        <v>#N/A</v>
      </c>
      <c r="AR295" s="34" t="e">
        <f t="shared" si="692"/>
        <v>#N/A</v>
      </c>
      <c r="AS295" s="27"/>
      <c r="AT295" s="41"/>
      <c r="AU295" s="41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30"/>
    </row>
    <row r="296" spans="1:66" ht="11.25" customHeight="1" x14ac:dyDescent="0.2">
      <c r="A296" s="44"/>
      <c r="B296" s="45"/>
      <c r="C296" s="46">
        <v>10</v>
      </c>
      <c r="D296" s="14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24"/>
      <c r="Y296" s="18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27"/>
      <c r="AT296" s="41"/>
      <c r="AU296" s="41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30"/>
    </row>
    <row r="297" spans="1:66" ht="11.25" customHeight="1" x14ac:dyDescent="0.2">
      <c r="A297" s="44"/>
      <c r="B297" s="45"/>
      <c r="C297" s="46">
        <v>11</v>
      </c>
      <c r="D297" s="14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24"/>
      <c r="Y297" s="18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27"/>
      <c r="AT297" s="41"/>
      <c r="AU297" s="41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30"/>
    </row>
    <row r="298" spans="1:66" ht="11.25" customHeight="1" x14ac:dyDescent="0.2">
      <c r="A298" s="44"/>
      <c r="B298" s="45"/>
      <c r="C298" s="46">
        <v>12</v>
      </c>
      <c r="D298" s="14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24"/>
      <c r="Y298" s="18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27"/>
      <c r="AT298" s="41"/>
      <c r="AU298" s="41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30"/>
    </row>
    <row r="299" spans="1:66" ht="11.25" customHeight="1" x14ac:dyDescent="0.2">
      <c r="A299" s="44"/>
      <c r="B299" s="45"/>
      <c r="C299" s="46">
        <v>13</v>
      </c>
      <c r="D299" s="14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24"/>
      <c r="Y299" s="18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27"/>
      <c r="AT299" s="41"/>
      <c r="AU299" s="41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30"/>
    </row>
    <row r="300" spans="1:66" ht="11.25" customHeight="1" x14ac:dyDescent="0.2">
      <c r="D300" s="31" t="s">
        <v>76</v>
      </c>
      <c r="X300" s="24"/>
      <c r="Y300" s="19" t="s">
        <v>79</v>
      </c>
      <c r="Z300" s="34">
        <f t="shared" ref="Z300" si="693">SUM(Z289:Z299)</f>
        <v>0</v>
      </c>
      <c r="AA300" s="34">
        <f t="shared" ref="AA300" si="694">SUM(AA289:AA299)</f>
        <v>0</v>
      </c>
      <c r="AB300" s="34">
        <f t="shared" ref="AB300" si="695">SUM(AB289:AB299)</f>
        <v>0</v>
      </c>
      <c r="AC300" s="34">
        <f t="shared" ref="AC300" si="696">SUM(AC289:AC299)</f>
        <v>0</v>
      </c>
      <c r="AD300" s="34">
        <f t="shared" ref="AD300" si="697">SUM(AD289:AD299)</f>
        <v>0</v>
      </c>
      <c r="AE300" s="34">
        <f t="shared" ref="AE300" si="698">SUM(AE289:AE299)</f>
        <v>0</v>
      </c>
      <c r="AF300" s="34" t="e">
        <f t="shared" ref="AF300" si="699">SUM(AF289:AF299)</f>
        <v>#N/A</v>
      </c>
      <c r="AG300" s="34" t="e">
        <f t="shared" ref="AG300" si="700">SUM(AG289:AG299)</f>
        <v>#N/A</v>
      </c>
      <c r="AH300" s="34" t="e">
        <f t="shared" ref="AH300" si="701">SUM(AH289:AH299)</f>
        <v>#N/A</v>
      </c>
      <c r="AI300" s="34" t="e">
        <f t="shared" ref="AI300" si="702">SUM(AI289:AI299)</f>
        <v>#N/A</v>
      </c>
      <c r="AJ300" s="34" t="e">
        <f t="shared" ref="AJ300" si="703">SUM(AJ289:AJ299)</f>
        <v>#N/A</v>
      </c>
      <c r="AK300" s="34" t="e">
        <f t="shared" ref="AK300" si="704">SUM(AK289:AK299)</f>
        <v>#N/A</v>
      </c>
      <c r="AL300" s="34" t="e">
        <f t="shared" ref="AL300" si="705">SUM(AL289:AL299)</f>
        <v>#N/A</v>
      </c>
      <c r="AM300" s="34" t="e">
        <f t="shared" ref="AM300" si="706">SUM(AM289:AM299)</f>
        <v>#N/A</v>
      </c>
      <c r="AN300" s="34" t="e">
        <f t="shared" ref="AN300" si="707">SUM(AN289:AN299)</f>
        <v>#N/A</v>
      </c>
      <c r="AO300" s="34" t="e">
        <f t="shared" ref="AO300" si="708">SUM(AO289:AO299)</f>
        <v>#N/A</v>
      </c>
      <c r="AP300" s="34" t="e">
        <f t="shared" ref="AP300" si="709">SUM(AP289:AP299)</f>
        <v>#N/A</v>
      </c>
      <c r="AQ300" s="34" t="e">
        <f t="shared" ref="AQ300" si="710">SUM(AQ289:AQ299)</f>
        <v>#N/A</v>
      </c>
      <c r="AR300" s="34" t="e">
        <f t="shared" ref="AR300" si="711">SUM(AR289:AR299)</f>
        <v>#N/A</v>
      </c>
      <c r="AS300" s="27"/>
      <c r="AT300" s="41"/>
      <c r="AU300" s="41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30"/>
    </row>
    <row r="301" spans="1:66" ht="11.25" customHeight="1" x14ac:dyDescent="0.2">
      <c r="A301" s="75" t="s">
        <v>63</v>
      </c>
      <c r="B301" s="76"/>
      <c r="C301" s="47"/>
      <c r="D301" s="48" t="s">
        <v>75</v>
      </c>
      <c r="E301" s="49" t="s">
        <v>70</v>
      </c>
      <c r="F301" s="49">
        <v>0</v>
      </c>
      <c r="G301" s="49">
        <v>1</v>
      </c>
      <c r="H301" s="49">
        <v>2</v>
      </c>
      <c r="I301" s="49">
        <v>3</v>
      </c>
      <c r="J301" s="49">
        <v>4</v>
      </c>
      <c r="K301" s="49">
        <v>5</v>
      </c>
      <c r="L301" s="49">
        <v>6</v>
      </c>
      <c r="M301" s="49">
        <v>7</v>
      </c>
      <c r="N301" s="49">
        <v>8</v>
      </c>
      <c r="O301" s="49">
        <v>9</v>
      </c>
      <c r="P301" s="49">
        <v>10</v>
      </c>
      <c r="Q301" s="49">
        <v>11</v>
      </c>
      <c r="R301" s="49">
        <v>12</v>
      </c>
      <c r="S301" s="49">
        <v>13</v>
      </c>
      <c r="T301" s="49">
        <v>14</v>
      </c>
      <c r="U301" s="49">
        <v>15</v>
      </c>
      <c r="V301" s="49">
        <v>16</v>
      </c>
      <c r="W301" s="23">
        <v>17</v>
      </c>
      <c r="X301" s="24"/>
      <c r="Y301" s="17"/>
      <c r="Z301" s="25" t="s">
        <v>64</v>
      </c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7"/>
      <c r="AT301" s="28"/>
      <c r="AU301" s="28" t="s">
        <v>64</v>
      </c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30"/>
    </row>
    <row r="302" spans="1:66" ht="11.25" customHeight="1" x14ac:dyDescent="0.2">
      <c r="A302" s="32"/>
      <c r="B302" s="72">
        <v>21</v>
      </c>
      <c r="C302" s="33">
        <v>1</v>
      </c>
      <c r="D302" s="13" t="s">
        <v>234</v>
      </c>
      <c r="E302" s="16">
        <f t="shared" ref="E302:E310" si="712">SUM(F302:W302)</f>
        <v>8</v>
      </c>
      <c r="F302" s="16">
        <f>SUMIFS([0]!VOTOS2,[0]!TURNO1,F$31,[0]!CANDIDATO1,$C302,[0]!MUNICIPIO1,$B$302)</f>
        <v>8</v>
      </c>
      <c r="G302" s="16">
        <f>SUMIFS([0]!VOTOS2,[0]!TURNO1,G$31,[0]!CANDIDATO1,$C302,[0]!MUNICIPIO1,$B$302)</f>
        <v>0</v>
      </c>
      <c r="H302" s="16">
        <f>SUMIFS([0]!VOTOS2,[0]!TURNO1,H$31,[0]!CANDIDATO1,$C302,[0]!MUNICIPIO1,$B$302)</f>
        <v>0</v>
      </c>
      <c r="I302" s="16">
        <f>SUMIFS([0]!VOTOS2,[0]!TURNO1,I$31,[0]!CANDIDATO1,$C302,[0]!MUNICIPIO1,$B$302)</f>
        <v>0</v>
      </c>
      <c r="J302" s="16">
        <f>SUMIFS([0]!VOTOS2,[0]!TURNO1,J$31,[0]!CANDIDATO1,$C302,[0]!MUNICIPIO1,$B$302)</f>
        <v>0</v>
      </c>
      <c r="K302" s="16">
        <f>SUMIFS([0]!VOTOS2,[0]!TURNO1,K$31,[0]!CANDIDATO1,$C302,[0]!MUNICIPIO1,$B$302)</f>
        <v>0</v>
      </c>
      <c r="L302" s="16">
        <f>SUMIFS([0]!VOTOS2,[0]!TURNO1,L$31,[0]!CANDIDATO1,$C302,[0]!MUNICIPIO1,$B$302)</f>
        <v>0</v>
      </c>
      <c r="M302" s="16">
        <f>SUMIFS([0]!VOTOS2,[0]!TURNO1,M$31,[0]!CANDIDATO1,$C302,[0]!MUNICIPIO1,$B$302)</f>
        <v>0</v>
      </c>
      <c r="N302" s="16">
        <f>SUMIFS([0]!VOTOS2,[0]!TURNO1,N$31,[0]!CANDIDATO1,$C302,[0]!MUNICIPIO1,$B$302)</f>
        <v>0</v>
      </c>
      <c r="O302" s="16">
        <f>SUMIFS([0]!VOTOS2,[0]!TURNO1,O$31,[0]!CANDIDATO1,$C302,[0]!MUNICIPIO1,$B$302)</f>
        <v>0</v>
      </c>
      <c r="P302" s="16">
        <f>SUMIFS([0]!VOTOS2,[0]!TURNO1,P$31,[0]!CANDIDATO1,$C302,[0]!MUNICIPIO1,$B$302)</f>
        <v>0</v>
      </c>
      <c r="Q302" s="16">
        <f>SUMIFS([0]!VOTOS2,[0]!TURNO1,Q$31,[0]!CANDIDATO1,$C302,[0]!MUNICIPIO1,$B$302)</f>
        <v>0</v>
      </c>
      <c r="R302" s="16">
        <f>SUMIFS([0]!VOTOS2,[0]!TURNO1,R$31,[0]!CANDIDATO1,$C302,[0]!MUNICIPIO1,$B$302)</f>
        <v>0</v>
      </c>
      <c r="S302" s="16">
        <f>SUMIFS([0]!VOTOS2,[0]!TURNO1,S$31,[0]!CANDIDATO1,$C302,[0]!MUNICIPIO1,$B$302)</f>
        <v>0</v>
      </c>
      <c r="T302" s="16">
        <f>SUMIFS([0]!VOTOS2,[0]!TURNO1,T$31,[0]!CANDIDATO1,$C302,[0]!MUNICIPIO1,$B$302)</f>
        <v>0</v>
      </c>
      <c r="U302" s="16">
        <f>SUMIFS([0]!VOTOS2,[0]!TURNO1,U$31,[0]!CANDIDATO1,$C302,[0]!MUNICIPIO1,$B$302)</f>
        <v>0</v>
      </c>
      <c r="V302" s="16">
        <f>SUMIFS([0]!VOTOS2,[0]!TURNO1,V$31,[0]!CANDIDATO1,$C302,[0]!MUNICIPIO1,$B$302)</f>
        <v>0</v>
      </c>
      <c r="W302" s="16">
        <f>SUMIFS([0]!VOTOS2,[0]!TURNO1,W$31,[0]!CANDIDATO1,$C302,[0]!MUNICIPIO1,$B$302)</f>
        <v>0</v>
      </c>
      <c r="X302" s="24"/>
      <c r="Y302" s="18" t="str">
        <f t="shared" ref="Y302:Y310" si="713">D302</f>
        <v>ALEXIS GONZALEZ</v>
      </c>
      <c r="Z302" s="34">
        <f t="shared" ref="Z302:Z310" si="714">E302</f>
        <v>8</v>
      </c>
      <c r="AA302" s="34">
        <f t="shared" ref="AA302:AA310" si="715">F302</f>
        <v>8</v>
      </c>
      <c r="AB302" s="34" t="e">
        <f t="shared" ref="AB302:AR302" si="716">IF(SUM(G302:G314)=0,NA(),G302+AA302)</f>
        <v>#N/A</v>
      </c>
      <c r="AC302" s="34" t="e">
        <f t="shared" si="716"/>
        <v>#N/A</v>
      </c>
      <c r="AD302" s="34" t="e">
        <f t="shared" si="716"/>
        <v>#N/A</v>
      </c>
      <c r="AE302" s="34" t="e">
        <f t="shared" si="716"/>
        <v>#N/A</v>
      </c>
      <c r="AF302" s="34" t="e">
        <f t="shared" si="716"/>
        <v>#N/A</v>
      </c>
      <c r="AG302" s="34" t="e">
        <f t="shared" si="716"/>
        <v>#N/A</v>
      </c>
      <c r="AH302" s="34" t="e">
        <f t="shared" si="716"/>
        <v>#N/A</v>
      </c>
      <c r="AI302" s="34" t="e">
        <f t="shared" si="716"/>
        <v>#N/A</v>
      </c>
      <c r="AJ302" s="34" t="e">
        <f t="shared" si="716"/>
        <v>#N/A</v>
      </c>
      <c r="AK302" s="34" t="e">
        <f t="shared" si="716"/>
        <v>#N/A</v>
      </c>
      <c r="AL302" s="34" t="e">
        <f t="shared" si="716"/>
        <v>#N/A</v>
      </c>
      <c r="AM302" s="34" t="e">
        <f t="shared" si="716"/>
        <v>#N/A</v>
      </c>
      <c r="AN302" s="34" t="e">
        <f t="shared" si="716"/>
        <v>#N/A</v>
      </c>
      <c r="AO302" s="34" t="e">
        <f t="shared" si="716"/>
        <v>#N/A</v>
      </c>
      <c r="AP302" s="34" t="e">
        <f t="shared" si="716"/>
        <v>#N/A</v>
      </c>
      <c r="AQ302" s="34" t="e">
        <f t="shared" si="716"/>
        <v>#N/A</v>
      </c>
      <c r="AR302" s="34" t="e">
        <f t="shared" si="716"/>
        <v>#N/A</v>
      </c>
      <c r="AS302" s="27"/>
      <c r="AT302" s="35" t="str">
        <f t="shared" ref="AT302:AT303" si="717">Y302</f>
        <v>ALEXIS GONZALEZ</v>
      </c>
      <c r="AU302" s="36">
        <f t="shared" ref="AU302:BM302" si="718">Z302/(Z302+Z303+Z315)</f>
        <v>0.5</v>
      </c>
      <c r="AV302" s="36">
        <f t="shared" si="718"/>
        <v>0.5</v>
      </c>
      <c r="AW302" s="36" t="e">
        <f t="shared" si="718"/>
        <v>#N/A</v>
      </c>
      <c r="AX302" s="36" t="e">
        <f t="shared" si="718"/>
        <v>#N/A</v>
      </c>
      <c r="AY302" s="36" t="e">
        <f t="shared" si="718"/>
        <v>#N/A</v>
      </c>
      <c r="AZ302" s="36" t="e">
        <f t="shared" si="718"/>
        <v>#N/A</v>
      </c>
      <c r="BA302" s="36" t="e">
        <f t="shared" si="718"/>
        <v>#N/A</v>
      </c>
      <c r="BB302" s="36" t="e">
        <f t="shared" si="718"/>
        <v>#N/A</v>
      </c>
      <c r="BC302" s="36" t="e">
        <f t="shared" si="718"/>
        <v>#N/A</v>
      </c>
      <c r="BD302" s="36" t="e">
        <f t="shared" si="718"/>
        <v>#N/A</v>
      </c>
      <c r="BE302" s="36" t="e">
        <f t="shared" si="718"/>
        <v>#N/A</v>
      </c>
      <c r="BF302" s="36" t="e">
        <f t="shared" si="718"/>
        <v>#N/A</v>
      </c>
      <c r="BG302" s="36" t="e">
        <f t="shared" si="718"/>
        <v>#N/A</v>
      </c>
      <c r="BH302" s="36" t="e">
        <f t="shared" si="718"/>
        <v>#N/A</v>
      </c>
      <c r="BI302" s="36" t="e">
        <f t="shared" si="718"/>
        <v>#N/A</v>
      </c>
      <c r="BJ302" s="36" t="e">
        <f t="shared" si="718"/>
        <v>#N/A</v>
      </c>
      <c r="BK302" s="36" t="e">
        <f t="shared" si="718"/>
        <v>#N/A</v>
      </c>
      <c r="BL302" s="36" t="e">
        <f t="shared" si="718"/>
        <v>#N/A</v>
      </c>
      <c r="BM302" s="36" t="e">
        <f t="shared" si="718"/>
        <v>#N/A</v>
      </c>
      <c r="BN302" s="30"/>
    </row>
    <row r="303" spans="1:66" ht="11.25" customHeight="1" x14ac:dyDescent="0.2">
      <c r="A303" s="37"/>
      <c r="B303" s="73"/>
      <c r="C303" s="33">
        <v>2</v>
      </c>
      <c r="D303" s="13" t="s">
        <v>235</v>
      </c>
      <c r="E303" s="16">
        <f t="shared" si="712"/>
        <v>8</v>
      </c>
      <c r="F303" s="16">
        <f>SUMIFS([0]!VOTOS2,[0]!TURNO1,F$31,[0]!CANDIDATO1,$C303,[0]!MUNICIPIO1,$B$302)</f>
        <v>8</v>
      </c>
      <c r="G303" s="16">
        <f>SUMIFS([0]!VOTOS2,[0]!TURNO1,G$31,[0]!CANDIDATO1,$C303,[0]!MUNICIPIO1,$B$302)</f>
        <v>0</v>
      </c>
      <c r="H303" s="16">
        <f>SUMIFS([0]!VOTOS2,[0]!TURNO1,H$31,[0]!CANDIDATO1,$C303,[0]!MUNICIPIO1,$B$302)</f>
        <v>0</v>
      </c>
      <c r="I303" s="16">
        <f>SUMIFS([0]!VOTOS2,[0]!TURNO1,I$31,[0]!CANDIDATO1,$C303,[0]!MUNICIPIO1,$B$302)</f>
        <v>0</v>
      </c>
      <c r="J303" s="16">
        <f>SUMIFS([0]!VOTOS2,[0]!TURNO1,J$31,[0]!CANDIDATO1,$C303,[0]!MUNICIPIO1,$B$302)</f>
        <v>0</v>
      </c>
      <c r="K303" s="16">
        <f>SUMIFS([0]!VOTOS2,[0]!TURNO1,K$31,[0]!CANDIDATO1,$C303,[0]!MUNICIPIO1,$B$302)</f>
        <v>0</v>
      </c>
      <c r="L303" s="16">
        <f>SUMIFS([0]!VOTOS2,[0]!TURNO1,L$31,[0]!CANDIDATO1,$C303,[0]!MUNICIPIO1,$B$302)</f>
        <v>0</v>
      </c>
      <c r="M303" s="16">
        <f>SUMIFS([0]!VOTOS2,[0]!TURNO1,M$31,[0]!CANDIDATO1,$C303,[0]!MUNICIPIO1,$B$302)</f>
        <v>0</v>
      </c>
      <c r="N303" s="16">
        <f>SUMIFS([0]!VOTOS2,[0]!TURNO1,N$31,[0]!CANDIDATO1,$C303,[0]!MUNICIPIO1,$B$302)</f>
        <v>0</v>
      </c>
      <c r="O303" s="16">
        <f>SUMIFS([0]!VOTOS2,[0]!TURNO1,O$31,[0]!CANDIDATO1,$C303,[0]!MUNICIPIO1,$B$302)</f>
        <v>0</v>
      </c>
      <c r="P303" s="16">
        <f>SUMIFS([0]!VOTOS2,[0]!TURNO1,P$31,[0]!CANDIDATO1,$C303,[0]!MUNICIPIO1,$B$302)</f>
        <v>0</v>
      </c>
      <c r="Q303" s="16">
        <f>SUMIFS([0]!VOTOS2,[0]!TURNO1,Q$31,[0]!CANDIDATO1,$C303,[0]!MUNICIPIO1,$B$302)</f>
        <v>0</v>
      </c>
      <c r="R303" s="16">
        <f>SUMIFS([0]!VOTOS2,[0]!TURNO1,R$31,[0]!CANDIDATO1,$C303,[0]!MUNICIPIO1,$B$302)</f>
        <v>0</v>
      </c>
      <c r="S303" s="16">
        <f>SUMIFS([0]!VOTOS2,[0]!TURNO1,S$31,[0]!CANDIDATO1,$C303,[0]!MUNICIPIO1,$B$302)</f>
        <v>0</v>
      </c>
      <c r="T303" s="16">
        <f>SUMIFS([0]!VOTOS2,[0]!TURNO1,T$31,[0]!CANDIDATO1,$C303,[0]!MUNICIPIO1,$B$302)</f>
        <v>0</v>
      </c>
      <c r="U303" s="16">
        <f>SUMIFS([0]!VOTOS2,[0]!TURNO1,U$31,[0]!CANDIDATO1,$C303,[0]!MUNICIPIO1,$B$302)</f>
        <v>0</v>
      </c>
      <c r="V303" s="16">
        <f>SUMIFS([0]!VOTOS2,[0]!TURNO1,V$31,[0]!CANDIDATO1,$C303,[0]!MUNICIPIO1,$B$302)</f>
        <v>0</v>
      </c>
      <c r="W303" s="16">
        <f>SUMIFS([0]!VOTOS2,[0]!TURNO1,W$31,[0]!CANDIDATO1,$C303,[0]!MUNICIPIO1,$B$302)</f>
        <v>0</v>
      </c>
      <c r="X303" s="24"/>
      <c r="Y303" s="18" t="str">
        <f t="shared" si="713"/>
        <v>OMER FIGUEREDO</v>
      </c>
      <c r="Z303" s="34">
        <f t="shared" si="714"/>
        <v>8</v>
      </c>
      <c r="AA303" s="34">
        <f t="shared" si="715"/>
        <v>8</v>
      </c>
      <c r="AB303" s="34" t="e">
        <f t="shared" ref="AB303:AR303" si="719">IF(SUM(G302:G314)=0,NA(),G303+AA303)</f>
        <v>#N/A</v>
      </c>
      <c r="AC303" s="34" t="e">
        <f t="shared" si="719"/>
        <v>#N/A</v>
      </c>
      <c r="AD303" s="34" t="e">
        <f t="shared" si="719"/>
        <v>#N/A</v>
      </c>
      <c r="AE303" s="34" t="e">
        <f t="shared" si="719"/>
        <v>#N/A</v>
      </c>
      <c r="AF303" s="34" t="e">
        <f t="shared" si="719"/>
        <v>#N/A</v>
      </c>
      <c r="AG303" s="34" t="e">
        <f t="shared" si="719"/>
        <v>#N/A</v>
      </c>
      <c r="AH303" s="34" t="e">
        <f t="shared" si="719"/>
        <v>#N/A</v>
      </c>
      <c r="AI303" s="34" t="e">
        <f t="shared" si="719"/>
        <v>#N/A</v>
      </c>
      <c r="AJ303" s="34" t="e">
        <f t="shared" si="719"/>
        <v>#N/A</v>
      </c>
      <c r="AK303" s="34" t="e">
        <f t="shared" si="719"/>
        <v>#N/A</v>
      </c>
      <c r="AL303" s="34" t="e">
        <f t="shared" si="719"/>
        <v>#N/A</v>
      </c>
      <c r="AM303" s="34" t="e">
        <f t="shared" si="719"/>
        <v>#N/A</v>
      </c>
      <c r="AN303" s="34" t="e">
        <f t="shared" si="719"/>
        <v>#N/A</v>
      </c>
      <c r="AO303" s="34" t="e">
        <f t="shared" si="719"/>
        <v>#N/A</v>
      </c>
      <c r="AP303" s="34" t="e">
        <f t="shared" si="719"/>
        <v>#N/A</v>
      </c>
      <c r="AQ303" s="34" t="e">
        <f t="shared" si="719"/>
        <v>#N/A</v>
      </c>
      <c r="AR303" s="34" t="e">
        <f t="shared" si="719"/>
        <v>#N/A</v>
      </c>
      <c r="AS303" s="27"/>
      <c r="AT303" s="35" t="str">
        <f t="shared" si="717"/>
        <v>OMER FIGUEREDO</v>
      </c>
      <c r="AU303" s="36">
        <f t="shared" ref="AU303:BM303" si="720">Z303/(Z302+Z303+Z315)</f>
        <v>0.5</v>
      </c>
      <c r="AV303" s="36">
        <f t="shared" si="720"/>
        <v>0.5</v>
      </c>
      <c r="AW303" s="36" t="e">
        <f t="shared" si="720"/>
        <v>#N/A</v>
      </c>
      <c r="AX303" s="36" t="e">
        <f t="shared" si="720"/>
        <v>#N/A</v>
      </c>
      <c r="AY303" s="36" t="e">
        <f t="shared" si="720"/>
        <v>#N/A</v>
      </c>
      <c r="AZ303" s="36" t="e">
        <f t="shared" si="720"/>
        <v>#N/A</v>
      </c>
      <c r="BA303" s="36" t="e">
        <f t="shared" si="720"/>
        <v>#N/A</v>
      </c>
      <c r="BB303" s="36" t="e">
        <f t="shared" si="720"/>
        <v>#N/A</v>
      </c>
      <c r="BC303" s="36" t="e">
        <f t="shared" si="720"/>
        <v>#N/A</v>
      </c>
      <c r="BD303" s="36" t="e">
        <f t="shared" si="720"/>
        <v>#N/A</v>
      </c>
      <c r="BE303" s="36" t="e">
        <f t="shared" si="720"/>
        <v>#N/A</v>
      </c>
      <c r="BF303" s="36" t="e">
        <f t="shared" si="720"/>
        <v>#N/A</v>
      </c>
      <c r="BG303" s="36" t="e">
        <f t="shared" si="720"/>
        <v>#N/A</v>
      </c>
      <c r="BH303" s="36" t="e">
        <f t="shared" si="720"/>
        <v>#N/A</v>
      </c>
      <c r="BI303" s="36" t="e">
        <f t="shared" si="720"/>
        <v>#N/A</v>
      </c>
      <c r="BJ303" s="36" t="e">
        <f t="shared" si="720"/>
        <v>#N/A</v>
      </c>
      <c r="BK303" s="36" t="e">
        <f t="shared" si="720"/>
        <v>#N/A</v>
      </c>
      <c r="BL303" s="36" t="e">
        <f t="shared" si="720"/>
        <v>#N/A</v>
      </c>
      <c r="BM303" s="36" t="e">
        <f t="shared" si="720"/>
        <v>#N/A</v>
      </c>
      <c r="BN303" s="30"/>
    </row>
    <row r="304" spans="1:66" ht="11.25" customHeight="1" x14ac:dyDescent="0.2">
      <c r="A304" s="37"/>
      <c r="B304" s="73"/>
      <c r="C304" s="33">
        <v>3</v>
      </c>
      <c r="D304" s="13" t="s">
        <v>236</v>
      </c>
      <c r="E304" s="16">
        <f t="shared" si="712"/>
        <v>0</v>
      </c>
      <c r="F304" s="16">
        <f>SUMIFS([0]!VOTOS2,[0]!TURNO1,F$31,[0]!CANDIDATO1,$C304,[0]!MUNICIPIO1,$B$302)</f>
        <v>0</v>
      </c>
      <c r="G304" s="16">
        <f>SUMIFS([0]!VOTOS2,[0]!TURNO1,G$31,[0]!CANDIDATO1,$C304,[0]!MUNICIPIO1,$B$302)</f>
        <v>0</v>
      </c>
      <c r="H304" s="16">
        <f>SUMIFS([0]!VOTOS2,[0]!TURNO1,H$31,[0]!CANDIDATO1,$C304,[0]!MUNICIPIO1,$B$302)</f>
        <v>0</v>
      </c>
      <c r="I304" s="16">
        <f>SUMIFS([0]!VOTOS2,[0]!TURNO1,I$31,[0]!CANDIDATO1,$C304,[0]!MUNICIPIO1,$B$302)</f>
        <v>0</v>
      </c>
      <c r="J304" s="16">
        <f>SUMIFS([0]!VOTOS2,[0]!TURNO1,J$31,[0]!CANDIDATO1,$C304,[0]!MUNICIPIO1,$B$302)</f>
        <v>0</v>
      </c>
      <c r="K304" s="16">
        <f>SUMIFS([0]!VOTOS2,[0]!TURNO1,K$31,[0]!CANDIDATO1,$C304,[0]!MUNICIPIO1,$B$302)</f>
        <v>0</v>
      </c>
      <c r="L304" s="16">
        <f>SUMIFS([0]!VOTOS2,[0]!TURNO1,L$31,[0]!CANDIDATO1,$C304,[0]!MUNICIPIO1,$B$302)</f>
        <v>0</v>
      </c>
      <c r="M304" s="16">
        <f>SUMIFS([0]!VOTOS2,[0]!TURNO1,M$31,[0]!CANDIDATO1,$C304,[0]!MUNICIPIO1,$B$302)</f>
        <v>0</v>
      </c>
      <c r="N304" s="16">
        <f>SUMIFS([0]!VOTOS2,[0]!TURNO1,N$31,[0]!CANDIDATO1,$C304,[0]!MUNICIPIO1,$B$302)</f>
        <v>0</v>
      </c>
      <c r="O304" s="16">
        <f>SUMIFS([0]!VOTOS2,[0]!TURNO1,O$31,[0]!CANDIDATO1,$C304,[0]!MUNICIPIO1,$B$302)</f>
        <v>0</v>
      </c>
      <c r="P304" s="16">
        <f>SUMIFS([0]!VOTOS2,[0]!TURNO1,P$31,[0]!CANDIDATO1,$C304,[0]!MUNICIPIO1,$B$302)</f>
        <v>0</v>
      </c>
      <c r="Q304" s="16">
        <f>SUMIFS([0]!VOTOS2,[0]!TURNO1,Q$31,[0]!CANDIDATO1,$C304,[0]!MUNICIPIO1,$B$302)</f>
        <v>0</v>
      </c>
      <c r="R304" s="16">
        <f>SUMIFS([0]!VOTOS2,[0]!TURNO1,R$31,[0]!CANDIDATO1,$C304,[0]!MUNICIPIO1,$B$302)</f>
        <v>0</v>
      </c>
      <c r="S304" s="16">
        <f>SUMIFS([0]!VOTOS2,[0]!TURNO1,S$31,[0]!CANDIDATO1,$C304,[0]!MUNICIPIO1,$B$302)</f>
        <v>0</v>
      </c>
      <c r="T304" s="16">
        <f>SUMIFS([0]!VOTOS2,[0]!TURNO1,T$31,[0]!CANDIDATO1,$C304,[0]!MUNICIPIO1,$B$302)</f>
        <v>0</v>
      </c>
      <c r="U304" s="16">
        <f>SUMIFS([0]!VOTOS2,[0]!TURNO1,U$31,[0]!CANDIDATO1,$C304,[0]!MUNICIPIO1,$B$302)</f>
        <v>0</v>
      </c>
      <c r="V304" s="16">
        <f>SUMIFS([0]!VOTOS2,[0]!TURNO1,V$31,[0]!CANDIDATO1,$C304,[0]!MUNICIPIO1,$B$302)</f>
        <v>0</v>
      </c>
      <c r="W304" s="16">
        <f>SUMIFS([0]!VOTOS2,[0]!TURNO1,W$31,[0]!CANDIDATO1,$C304,[0]!MUNICIPIO1,$B$302)</f>
        <v>0</v>
      </c>
      <c r="X304" s="24"/>
      <c r="Y304" s="18" t="str">
        <f t="shared" si="713"/>
        <v>LUIS RINCONES</v>
      </c>
      <c r="Z304" s="34">
        <f t="shared" si="714"/>
        <v>0</v>
      </c>
      <c r="AA304" s="34">
        <f t="shared" si="715"/>
        <v>0</v>
      </c>
      <c r="AB304" s="34" t="e">
        <f t="shared" ref="AB304:AR304" si="721">IF(SUM(G302:G314)=0,NA(),G304+AA304)</f>
        <v>#N/A</v>
      </c>
      <c r="AC304" s="34" t="e">
        <f t="shared" si="721"/>
        <v>#N/A</v>
      </c>
      <c r="AD304" s="34" t="e">
        <f t="shared" si="721"/>
        <v>#N/A</v>
      </c>
      <c r="AE304" s="34" t="e">
        <f t="shared" si="721"/>
        <v>#N/A</v>
      </c>
      <c r="AF304" s="34" t="e">
        <f t="shared" si="721"/>
        <v>#N/A</v>
      </c>
      <c r="AG304" s="34" t="e">
        <f t="shared" si="721"/>
        <v>#N/A</v>
      </c>
      <c r="AH304" s="34" t="e">
        <f t="shared" si="721"/>
        <v>#N/A</v>
      </c>
      <c r="AI304" s="34" t="e">
        <f t="shared" si="721"/>
        <v>#N/A</v>
      </c>
      <c r="AJ304" s="34" t="e">
        <f t="shared" si="721"/>
        <v>#N/A</v>
      </c>
      <c r="AK304" s="34" t="e">
        <f t="shared" si="721"/>
        <v>#N/A</v>
      </c>
      <c r="AL304" s="34" t="e">
        <f t="shared" si="721"/>
        <v>#N/A</v>
      </c>
      <c r="AM304" s="34" t="e">
        <f t="shared" si="721"/>
        <v>#N/A</v>
      </c>
      <c r="AN304" s="34" t="e">
        <f t="shared" si="721"/>
        <v>#N/A</v>
      </c>
      <c r="AO304" s="34" t="e">
        <f t="shared" si="721"/>
        <v>#N/A</v>
      </c>
      <c r="AP304" s="34" t="e">
        <f t="shared" si="721"/>
        <v>#N/A</v>
      </c>
      <c r="AQ304" s="34" t="e">
        <f t="shared" si="721"/>
        <v>#N/A</v>
      </c>
      <c r="AR304" s="34" t="e">
        <f t="shared" si="721"/>
        <v>#N/A</v>
      </c>
      <c r="AS304" s="27"/>
      <c r="AT304" s="35" t="str">
        <f t="shared" ref="AT304" si="722">Y315</f>
        <v>Otros</v>
      </c>
      <c r="AU304" s="36">
        <f t="shared" ref="AU304:BM304" si="723">Z315/(Z302+Z303+Z315)</f>
        <v>0</v>
      </c>
      <c r="AV304" s="36">
        <f t="shared" si="723"/>
        <v>0</v>
      </c>
      <c r="AW304" s="36" t="e">
        <f t="shared" si="723"/>
        <v>#N/A</v>
      </c>
      <c r="AX304" s="36" t="e">
        <f t="shared" si="723"/>
        <v>#N/A</v>
      </c>
      <c r="AY304" s="36" t="e">
        <f t="shared" si="723"/>
        <v>#N/A</v>
      </c>
      <c r="AZ304" s="36" t="e">
        <f t="shared" si="723"/>
        <v>#N/A</v>
      </c>
      <c r="BA304" s="36" t="e">
        <f t="shared" si="723"/>
        <v>#N/A</v>
      </c>
      <c r="BB304" s="36" t="e">
        <f t="shared" si="723"/>
        <v>#N/A</v>
      </c>
      <c r="BC304" s="36" t="e">
        <f t="shared" si="723"/>
        <v>#N/A</v>
      </c>
      <c r="BD304" s="36" t="e">
        <f t="shared" si="723"/>
        <v>#N/A</v>
      </c>
      <c r="BE304" s="36" t="e">
        <f t="shared" si="723"/>
        <v>#N/A</v>
      </c>
      <c r="BF304" s="36" t="e">
        <f t="shared" si="723"/>
        <v>#N/A</v>
      </c>
      <c r="BG304" s="36" t="e">
        <f t="shared" si="723"/>
        <v>#N/A</v>
      </c>
      <c r="BH304" s="36" t="e">
        <f t="shared" si="723"/>
        <v>#N/A</v>
      </c>
      <c r="BI304" s="36" t="e">
        <f t="shared" si="723"/>
        <v>#N/A</v>
      </c>
      <c r="BJ304" s="36" t="e">
        <f t="shared" si="723"/>
        <v>#N/A</v>
      </c>
      <c r="BK304" s="36" t="e">
        <f t="shared" si="723"/>
        <v>#N/A</v>
      </c>
      <c r="BL304" s="36" t="e">
        <f t="shared" si="723"/>
        <v>#N/A</v>
      </c>
      <c r="BM304" s="36" t="e">
        <f t="shared" si="723"/>
        <v>#N/A</v>
      </c>
      <c r="BN304" s="30"/>
    </row>
    <row r="305" spans="1:66" ht="11.25" customHeight="1" x14ac:dyDescent="0.2">
      <c r="A305" s="38" t="s">
        <v>27</v>
      </c>
      <c r="B305" s="73"/>
      <c r="C305" s="33">
        <v>4</v>
      </c>
      <c r="D305" s="13" t="s">
        <v>235</v>
      </c>
      <c r="E305" s="16">
        <f t="shared" si="712"/>
        <v>0</v>
      </c>
      <c r="F305" s="16">
        <f>SUMIFS([0]!VOTOS2,[0]!TURNO1,F$31,[0]!CANDIDATO1,$C305,[0]!MUNICIPIO1,$B$302)</f>
        <v>0</v>
      </c>
      <c r="G305" s="16">
        <f>SUMIFS([0]!VOTOS2,[0]!TURNO1,G$31,[0]!CANDIDATO1,$C305,[0]!MUNICIPIO1,$B$302)</f>
        <v>0</v>
      </c>
      <c r="H305" s="16">
        <f>SUMIFS([0]!VOTOS2,[0]!TURNO1,H$31,[0]!CANDIDATO1,$C305,[0]!MUNICIPIO1,$B$302)</f>
        <v>0</v>
      </c>
      <c r="I305" s="16">
        <f>SUMIFS([0]!VOTOS2,[0]!TURNO1,I$31,[0]!CANDIDATO1,$C305,[0]!MUNICIPIO1,$B$302)</f>
        <v>0</v>
      </c>
      <c r="J305" s="16">
        <f>SUMIFS([0]!VOTOS2,[0]!TURNO1,J$31,[0]!CANDIDATO1,$C305,[0]!MUNICIPIO1,$B$302)</f>
        <v>0</v>
      </c>
      <c r="K305" s="16">
        <f>SUMIFS([0]!VOTOS2,[0]!TURNO1,K$31,[0]!CANDIDATO1,$C305,[0]!MUNICIPIO1,$B$302)</f>
        <v>0</v>
      </c>
      <c r="L305" s="16">
        <f>SUMIFS([0]!VOTOS2,[0]!TURNO1,L$31,[0]!CANDIDATO1,$C305,[0]!MUNICIPIO1,$B$302)</f>
        <v>0</v>
      </c>
      <c r="M305" s="16">
        <f>SUMIFS([0]!VOTOS2,[0]!TURNO1,M$31,[0]!CANDIDATO1,$C305,[0]!MUNICIPIO1,$B$302)</f>
        <v>0</v>
      </c>
      <c r="N305" s="16">
        <f>SUMIFS([0]!VOTOS2,[0]!TURNO1,N$31,[0]!CANDIDATO1,$C305,[0]!MUNICIPIO1,$B$302)</f>
        <v>0</v>
      </c>
      <c r="O305" s="16">
        <f>SUMIFS([0]!VOTOS2,[0]!TURNO1,O$31,[0]!CANDIDATO1,$C305,[0]!MUNICIPIO1,$B$302)</f>
        <v>0</v>
      </c>
      <c r="P305" s="16">
        <f>SUMIFS([0]!VOTOS2,[0]!TURNO1,P$31,[0]!CANDIDATO1,$C305,[0]!MUNICIPIO1,$B$302)</f>
        <v>0</v>
      </c>
      <c r="Q305" s="16">
        <f>SUMIFS([0]!VOTOS2,[0]!TURNO1,Q$31,[0]!CANDIDATO1,$C305,[0]!MUNICIPIO1,$B$302)</f>
        <v>0</v>
      </c>
      <c r="R305" s="16">
        <f>SUMIFS([0]!VOTOS2,[0]!TURNO1,R$31,[0]!CANDIDATO1,$C305,[0]!MUNICIPIO1,$B$302)</f>
        <v>0</v>
      </c>
      <c r="S305" s="16">
        <f>SUMIFS([0]!VOTOS2,[0]!TURNO1,S$31,[0]!CANDIDATO1,$C305,[0]!MUNICIPIO1,$B$302)</f>
        <v>0</v>
      </c>
      <c r="T305" s="16">
        <f>SUMIFS([0]!VOTOS2,[0]!TURNO1,T$31,[0]!CANDIDATO1,$C305,[0]!MUNICIPIO1,$B$302)</f>
        <v>0</v>
      </c>
      <c r="U305" s="16">
        <f>SUMIFS([0]!VOTOS2,[0]!TURNO1,U$31,[0]!CANDIDATO1,$C305,[0]!MUNICIPIO1,$B$302)</f>
        <v>0</v>
      </c>
      <c r="V305" s="16">
        <f>SUMIFS([0]!VOTOS2,[0]!TURNO1,V$31,[0]!CANDIDATO1,$C305,[0]!MUNICIPIO1,$B$302)</f>
        <v>0</v>
      </c>
      <c r="W305" s="16">
        <f>SUMIFS([0]!VOTOS2,[0]!TURNO1,W$31,[0]!CANDIDATO1,$C305,[0]!MUNICIPIO1,$B$302)</f>
        <v>0</v>
      </c>
      <c r="X305" s="24"/>
      <c r="Y305" s="18" t="str">
        <f t="shared" si="713"/>
        <v>OMER FIGUEREDO</v>
      </c>
      <c r="Z305" s="34">
        <f t="shared" si="714"/>
        <v>0</v>
      </c>
      <c r="AA305" s="34">
        <f t="shared" si="715"/>
        <v>0</v>
      </c>
      <c r="AB305" s="34" t="e">
        <f t="shared" ref="AB305:AR305" si="724">IF(SUM(G302:G314)=0,NA(),G305+AA305)</f>
        <v>#N/A</v>
      </c>
      <c r="AC305" s="34" t="e">
        <f t="shared" si="724"/>
        <v>#N/A</v>
      </c>
      <c r="AD305" s="34" t="e">
        <f t="shared" si="724"/>
        <v>#N/A</v>
      </c>
      <c r="AE305" s="34" t="e">
        <f t="shared" si="724"/>
        <v>#N/A</v>
      </c>
      <c r="AF305" s="34" t="e">
        <f t="shared" si="724"/>
        <v>#N/A</v>
      </c>
      <c r="AG305" s="34" t="e">
        <f t="shared" si="724"/>
        <v>#N/A</v>
      </c>
      <c r="AH305" s="34" t="e">
        <f t="shared" si="724"/>
        <v>#N/A</v>
      </c>
      <c r="AI305" s="34" t="e">
        <f t="shared" si="724"/>
        <v>#N/A</v>
      </c>
      <c r="AJ305" s="34" t="e">
        <f t="shared" si="724"/>
        <v>#N/A</v>
      </c>
      <c r="AK305" s="34" t="e">
        <f t="shared" si="724"/>
        <v>#N/A</v>
      </c>
      <c r="AL305" s="34" t="e">
        <f t="shared" si="724"/>
        <v>#N/A</v>
      </c>
      <c r="AM305" s="34" t="e">
        <f t="shared" si="724"/>
        <v>#N/A</v>
      </c>
      <c r="AN305" s="34" t="e">
        <f t="shared" si="724"/>
        <v>#N/A</v>
      </c>
      <c r="AO305" s="34" t="e">
        <f t="shared" si="724"/>
        <v>#N/A</v>
      </c>
      <c r="AP305" s="34" t="e">
        <f t="shared" si="724"/>
        <v>#N/A</v>
      </c>
      <c r="AQ305" s="34" t="e">
        <f t="shared" si="724"/>
        <v>#N/A</v>
      </c>
      <c r="AR305" s="34" t="e">
        <f t="shared" si="724"/>
        <v>#N/A</v>
      </c>
      <c r="AS305" s="27"/>
      <c r="AT305" s="39"/>
      <c r="AU305" s="39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30"/>
    </row>
    <row r="306" spans="1:66" ht="11.25" customHeight="1" x14ac:dyDescent="0.2">
      <c r="A306" s="38" t="s">
        <v>61</v>
      </c>
      <c r="B306" s="73"/>
      <c r="C306" s="33">
        <v>5</v>
      </c>
      <c r="D306" s="13" t="s">
        <v>237</v>
      </c>
      <c r="E306" s="16">
        <f t="shared" si="712"/>
        <v>0</v>
      </c>
      <c r="F306" s="16">
        <f>SUMIFS([0]!VOTOS2,[0]!TURNO1,F$31,[0]!CANDIDATO1,$C306,[0]!MUNICIPIO1,$B$302)</f>
        <v>0</v>
      </c>
      <c r="G306" s="16">
        <f>SUMIFS([0]!VOTOS2,[0]!TURNO1,G$31,[0]!CANDIDATO1,$C306,[0]!MUNICIPIO1,$B$302)</f>
        <v>0</v>
      </c>
      <c r="H306" s="16">
        <f>SUMIFS([0]!VOTOS2,[0]!TURNO1,H$31,[0]!CANDIDATO1,$C306,[0]!MUNICIPIO1,$B$302)</f>
        <v>0</v>
      </c>
      <c r="I306" s="16">
        <f>SUMIFS([0]!VOTOS2,[0]!TURNO1,I$31,[0]!CANDIDATO1,$C306,[0]!MUNICIPIO1,$B$302)</f>
        <v>0</v>
      </c>
      <c r="J306" s="16">
        <f>SUMIFS([0]!VOTOS2,[0]!TURNO1,J$31,[0]!CANDIDATO1,$C306,[0]!MUNICIPIO1,$B$302)</f>
        <v>0</v>
      </c>
      <c r="K306" s="16">
        <f>SUMIFS([0]!VOTOS2,[0]!TURNO1,K$31,[0]!CANDIDATO1,$C306,[0]!MUNICIPIO1,$B$302)</f>
        <v>0</v>
      </c>
      <c r="L306" s="16">
        <f>SUMIFS([0]!VOTOS2,[0]!TURNO1,L$31,[0]!CANDIDATO1,$C306,[0]!MUNICIPIO1,$B$302)</f>
        <v>0</v>
      </c>
      <c r="M306" s="16">
        <f>SUMIFS([0]!VOTOS2,[0]!TURNO1,M$31,[0]!CANDIDATO1,$C306,[0]!MUNICIPIO1,$B$302)</f>
        <v>0</v>
      </c>
      <c r="N306" s="16">
        <f>SUMIFS([0]!VOTOS2,[0]!TURNO1,N$31,[0]!CANDIDATO1,$C306,[0]!MUNICIPIO1,$B$302)</f>
        <v>0</v>
      </c>
      <c r="O306" s="16">
        <f>SUMIFS([0]!VOTOS2,[0]!TURNO1,O$31,[0]!CANDIDATO1,$C306,[0]!MUNICIPIO1,$B$302)</f>
        <v>0</v>
      </c>
      <c r="P306" s="16">
        <f>SUMIFS([0]!VOTOS2,[0]!TURNO1,P$31,[0]!CANDIDATO1,$C306,[0]!MUNICIPIO1,$B$302)</f>
        <v>0</v>
      </c>
      <c r="Q306" s="16">
        <f>SUMIFS([0]!VOTOS2,[0]!TURNO1,Q$31,[0]!CANDIDATO1,$C306,[0]!MUNICIPIO1,$B$302)</f>
        <v>0</v>
      </c>
      <c r="R306" s="16">
        <f>SUMIFS([0]!VOTOS2,[0]!TURNO1,R$31,[0]!CANDIDATO1,$C306,[0]!MUNICIPIO1,$B$302)</f>
        <v>0</v>
      </c>
      <c r="S306" s="16">
        <f>SUMIFS([0]!VOTOS2,[0]!TURNO1,S$31,[0]!CANDIDATO1,$C306,[0]!MUNICIPIO1,$B$302)</f>
        <v>0</v>
      </c>
      <c r="T306" s="16">
        <f>SUMIFS([0]!VOTOS2,[0]!TURNO1,T$31,[0]!CANDIDATO1,$C306,[0]!MUNICIPIO1,$B$302)</f>
        <v>0</v>
      </c>
      <c r="U306" s="16">
        <f>SUMIFS([0]!VOTOS2,[0]!TURNO1,U$31,[0]!CANDIDATO1,$C306,[0]!MUNICIPIO1,$B$302)</f>
        <v>0</v>
      </c>
      <c r="V306" s="16">
        <f>SUMIFS([0]!VOTOS2,[0]!TURNO1,V$31,[0]!CANDIDATO1,$C306,[0]!MUNICIPIO1,$B$302)</f>
        <v>0</v>
      </c>
      <c r="W306" s="16">
        <f>SUMIFS([0]!VOTOS2,[0]!TURNO1,W$31,[0]!CANDIDATO1,$C306,[0]!MUNICIPIO1,$B$302)</f>
        <v>0</v>
      </c>
      <c r="X306" s="24"/>
      <c r="Y306" s="18" t="str">
        <f t="shared" si="713"/>
        <v>JHONNY MENDOZA</v>
      </c>
      <c r="Z306" s="34">
        <f t="shared" si="714"/>
        <v>0</v>
      </c>
      <c r="AA306" s="34">
        <f t="shared" si="715"/>
        <v>0</v>
      </c>
      <c r="AB306" s="34" t="e">
        <f t="shared" ref="AB306:AR306" si="725">IF(SUM(G302:G314)=0,NA(),G306+AA306)</f>
        <v>#N/A</v>
      </c>
      <c r="AC306" s="34" t="e">
        <f t="shared" si="725"/>
        <v>#N/A</v>
      </c>
      <c r="AD306" s="34" t="e">
        <f t="shared" si="725"/>
        <v>#N/A</v>
      </c>
      <c r="AE306" s="34" t="e">
        <f t="shared" si="725"/>
        <v>#N/A</v>
      </c>
      <c r="AF306" s="34" t="e">
        <f t="shared" si="725"/>
        <v>#N/A</v>
      </c>
      <c r="AG306" s="34" t="e">
        <f t="shared" si="725"/>
        <v>#N/A</v>
      </c>
      <c r="AH306" s="34" t="e">
        <f t="shared" si="725"/>
        <v>#N/A</v>
      </c>
      <c r="AI306" s="34" t="e">
        <f t="shared" si="725"/>
        <v>#N/A</v>
      </c>
      <c r="AJ306" s="34" t="e">
        <f t="shared" si="725"/>
        <v>#N/A</v>
      </c>
      <c r="AK306" s="34" t="e">
        <f t="shared" si="725"/>
        <v>#N/A</v>
      </c>
      <c r="AL306" s="34" t="e">
        <f t="shared" si="725"/>
        <v>#N/A</v>
      </c>
      <c r="AM306" s="34" t="e">
        <f t="shared" si="725"/>
        <v>#N/A</v>
      </c>
      <c r="AN306" s="34" t="e">
        <f t="shared" si="725"/>
        <v>#N/A</v>
      </c>
      <c r="AO306" s="34" t="e">
        <f t="shared" si="725"/>
        <v>#N/A</v>
      </c>
      <c r="AP306" s="34" t="e">
        <f t="shared" si="725"/>
        <v>#N/A</v>
      </c>
      <c r="AQ306" s="34" t="e">
        <f t="shared" si="725"/>
        <v>#N/A</v>
      </c>
      <c r="AR306" s="34" t="e">
        <f t="shared" si="725"/>
        <v>#N/A</v>
      </c>
      <c r="AS306" s="27"/>
      <c r="AT306" s="39"/>
      <c r="AU306" s="39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30"/>
    </row>
    <row r="307" spans="1:66" ht="11.25" customHeight="1" x14ac:dyDescent="0.2">
      <c r="A307" s="37"/>
      <c r="B307" s="73"/>
      <c r="C307" s="33">
        <v>6</v>
      </c>
      <c r="D307" s="13" t="s">
        <v>238</v>
      </c>
      <c r="E307" s="16">
        <f t="shared" si="712"/>
        <v>0</v>
      </c>
      <c r="F307" s="16">
        <f>SUMIFS([0]!VOTOS2,[0]!TURNO1,F$31,[0]!CANDIDATO1,$C307,[0]!MUNICIPIO1,$B$302)</f>
        <v>0</v>
      </c>
      <c r="G307" s="16">
        <f>SUMIFS([0]!VOTOS2,[0]!TURNO1,G$31,[0]!CANDIDATO1,$C307,[0]!MUNICIPIO1,$B$302)</f>
        <v>0</v>
      </c>
      <c r="H307" s="16">
        <f>SUMIFS([0]!VOTOS2,[0]!TURNO1,H$31,[0]!CANDIDATO1,$C307,[0]!MUNICIPIO1,$B$302)</f>
        <v>0</v>
      </c>
      <c r="I307" s="16">
        <f>SUMIFS([0]!VOTOS2,[0]!TURNO1,I$31,[0]!CANDIDATO1,$C307,[0]!MUNICIPIO1,$B$302)</f>
        <v>0</v>
      </c>
      <c r="J307" s="16">
        <f>SUMIFS([0]!VOTOS2,[0]!TURNO1,J$31,[0]!CANDIDATO1,$C307,[0]!MUNICIPIO1,$B$302)</f>
        <v>0</v>
      </c>
      <c r="K307" s="16">
        <f>SUMIFS([0]!VOTOS2,[0]!TURNO1,K$31,[0]!CANDIDATO1,$C307,[0]!MUNICIPIO1,$B$302)</f>
        <v>0</v>
      </c>
      <c r="L307" s="16">
        <f>SUMIFS([0]!VOTOS2,[0]!TURNO1,L$31,[0]!CANDIDATO1,$C307,[0]!MUNICIPIO1,$B$302)</f>
        <v>0</v>
      </c>
      <c r="M307" s="16">
        <f>SUMIFS([0]!VOTOS2,[0]!TURNO1,M$31,[0]!CANDIDATO1,$C307,[0]!MUNICIPIO1,$B$302)</f>
        <v>0</v>
      </c>
      <c r="N307" s="16">
        <f>SUMIFS([0]!VOTOS2,[0]!TURNO1,N$31,[0]!CANDIDATO1,$C307,[0]!MUNICIPIO1,$B$302)</f>
        <v>0</v>
      </c>
      <c r="O307" s="16">
        <f>SUMIFS([0]!VOTOS2,[0]!TURNO1,O$31,[0]!CANDIDATO1,$C307,[0]!MUNICIPIO1,$B$302)</f>
        <v>0</v>
      </c>
      <c r="P307" s="16">
        <f>SUMIFS([0]!VOTOS2,[0]!TURNO1,P$31,[0]!CANDIDATO1,$C307,[0]!MUNICIPIO1,$B$302)</f>
        <v>0</v>
      </c>
      <c r="Q307" s="16">
        <f>SUMIFS([0]!VOTOS2,[0]!TURNO1,Q$31,[0]!CANDIDATO1,$C307,[0]!MUNICIPIO1,$B$302)</f>
        <v>0</v>
      </c>
      <c r="R307" s="16">
        <f>SUMIFS([0]!VOTOS2,[0]!TURNO1,R$31,[0]!CANDIDATO1,$C307,[0]!MUNICIPIO1,$B$302)</f>
        <v>0</v>
      </c>
      <c r="S307" s="16">
        <f>SUMIFS([0]!VOTOS2,[0]!TURNO1,S$31,[0]!CANDIDATO1,$C307,[0]!MUNICIPIO1,$B$302)</f>
        <v>0</v>
      </c>
      <c r="T307" s="16">
        <f>SUMIFS([0]!VOTOS2,[0]!TURNO1,T$31,[0]!CANDIDATO1,$C307,[0]!MUNICIPIO1,$B$302)</f>
        <v>0</v>
      </c>
      <c r="U307" s="16">
        <f>SUMIFS([0]!VOTOS2,[0]!TURNO1,U$31,[0]!CANDIDATO1,$C307,[0]!MUNICIPIO1,$B$302)</f>
        <v>0</v>
      </c>
      <c r="V307" s="16">
        <f>SUMIFS([0]!VOTOS2,[0]!TURNO1,V$31,[0]!CANDIDATO1,$C307,[0]!MUNICIPIO1,$B$302)</f>
        <v>0</v>
      </c>
      <c r="W307" s="16">
        <f>SUMIFS([0]!VOTOS2,[0]!TURNO1,W$31,[0]!CANDIDATO1,$C307,[0]!MUNICIPIO1,$B$302)</f>
        <v>0</v>
      </c>
      <c r="X307" s="24"/>
      <c r="Y307" s="18" t="str">
        <f t="shared" si="713"/>
        <v>HUMBERTO COVA</v>
      </c>
      <c r="Z307" s="34">
        <f t="shared" si="714"/>
        <v>0</v>
      </c>
      <c r="AA307" s="34">
        <f t="shared" si="715"/>
        <v>0</v>
      </c>
      <c r="AB307" s="34" t="e">
        <f t="shared" ref="AB307:AR307" si="726">IF(SUM(G302:G314)=0,NA(),G307+AA307)</f>
        <v>#N/A</v>
      </c>
      <c r="AC307" s="34" t="e">
        <f t="shared" si="726"/>
        <v>#N/A</v>
      </c>
      <c r="AD307" s="34" t="e">
        <f t="shared" si="726"/>
        <v>#N/A</v>
      </c>
      <c r="AE307" s="34" t="e">
        <f t="shared" si="726"/>
        <v>#N/A</v>
      </c>
      <c r="AF307" s="34" t="e">
        <f t="shared" si="726"/>
        <v>#N/A</v>
      </c>
      <c r="AG307" s="34" t="e">
        <f t="shared" si="726"/>
        <v>#N/A</v>
      </c>
      <c r="AH307" s="34" t="e">
        <f t="shared" si="726"/>
        <v>#N/A</v>
      </c>
      <c r="AI307" s="34" t="e">
        <f t="shared" si="726"/>
        <v>#N/A</v>
      </c>
      <c r="AJ307" s="34" t="e">
        <f t="shared" si="726"/>
        <v>#N/A</v>
      </c>
      <c r="AK307" s="34" t="e">
        <f t="shared" si="726"/>
        <v>#N/A</v>
      </c>
      <c r="AL307" s="34" t="e">
        <f t="shared" si="726"/>
        <v>#N/A</v>
      </c>
      <c r="AM307" s="34" t="e">
        <f t="shared" si="726"/>
        <v>#N/A</v>
      </c>
      <c r="AN307" s="34" t="e">
        <f t="shared" si="726"/>
        <v>#N/A</v>
      </c>
      <c r="AO307" s="34" t="e">
        <f t="shared" si="726"/>
        <v>#N/A</v>
      </c>
      <c r="AP307" s="34" t="e">
        <f t="shared" si="726"/>
        <v>#N/A</v>
      </c>
      <c r="AQ307" s="34" t="e">
        <f t="shared" si="726"/>
        <v>#N/A</v>
      </c>
      <c r="AR307" s="34" t="e">
        <f t="shared" si="726"/>
        <v>#N/A</v>
      </c>
      <c r="AS307" s="27"/>
      <c r="AT307" s="39"/>
      <c r="AU307" s="39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30"/>
    </row>
    <row r="308" spans="1:66" ht="11.25" customHeight="1" x14ac:dyDescent="0.2">
      <c r="A308" s="37"/>
      <c r="B308" s="73"/>
      <c r="C308" s="33">
        <v>7</v>
      </c>
      <c r="D308" s="13" t="s">
        <v>239</v>
      </c>
      <c r="E308" s="16">
        <f t="shared" si="712"/>
        <v>0</v>
      </c>
      <c r="F308" s="16">
        <f>SUMIFS([0]!VOTOS2,[0]!TURNO1,F$31,[0]!CANDIDATO1,$C308,[0]!MUNICIPIO1,$B$302)</f>
        <v>0</v>
      </c>
      <c r="G308" s="16">
        <f>SUMIFS([0]!VOTOS2,[0]!TURNO1,G$31,[0]!CANDIDATO1,$C308,[0]!MUNICIPIO1,$B$302)</f>
        <v>0</v>
      </c>
      <c r="H308" s="16">
        <f>SUMIFS([0]!VOTOS2,[0]!TURNO1,H$31,[0]!CANDIDATO1,$C308,[0]!MUNICIPIO1,$B$302)</f>
        <v>0</v>
      </c>
      <c r="I308" s="16">
        <f>SUMIFS([0]!VOTOS2,[0]!TURNO1,I$31,[0]!CANDIDATO1,$C308,[0]!MUNICIPIO1,$B$302)</f>
        <v>0</v>
      </c>
      <c r="J308" s="16">
        <f>SUMIFS([0]!VOTOS2,[0]!TURNO1,J$31,[0]!CANDIDATO1,$C308,[0]!MUNICIPIO1,$B$302)</f>
        <v>0</v>
      </c>
      <c r="K308" s="16">
        <f>SUMIFS([0]!VOTOS2,[0]!TURNO1,K$31,[0]!CANDIDATO1,$C308,[0]!MUNICIPIO1,$B$302)</f>
        <v>0</v>
      </c>
      <c r="L308" s="16">
        <f>SUMIFS([0]!VOTOS2,[0]!TURNO1,L$31,[0]!CANDIDATO1,$C308,[0]!MUNICIPIO1,$B$302)</f>
        <v>0</v>
      </c>
      <c r="M308" s="16">
        <f>SUMIFS([0]!VOTOS2,[0]!TURNO1,M$31,[0]!CANDIDATO1,$C308,[0]!MUNICIPIO1,$B$302)</f>
        <v>0</v>
      </c>
      <c r="N308" s="16">
        <f>SUMIFS([0]!VOTOS2,[0]!TURNO1,N$31,[0]!CANDIDATO1,$C308,[0]!MUNICIPIO1,$B$302)</f>
        <v>0</v>
      </c>
      <c r="O308" s="16">
        <f>SUMIFS([0]!VOTOS2,[0]!TURNO1,O$31,[0]!CANDIDATO1,$C308,[0]!MUNICIPIO1,$B$302)</f>
        <v>0</v>
      </c>
      <c r="P308" s="16">
        <f>SUMIFS([0]!VOTOS2,[0]!TURNO1,P$31,[0]!CANDIDATO1,$C308,[0]!MUNICIPIO1,$B$302)</f>
        <v>0</v>
      </c>
      <c r="Q308" s="16">
        <f>SUMIFS([0]!VOTOS2,[0]!TURNO1,Q$31,[0]!CANDIDATO1,$C308,[0]!MUNICIPIO1,$B$302)</f>
        <v>0</v>
      </c>
      <c r="R308" s="16">
        <f>SUMIFS([0]!VOTOS2,[0]!TURNO1,R$31,[0]!CANDIDATO1,$C308,[0]!MUNICIPIO1,$B$302)</f>
        <v>0</v>
      </c>
      <c r="S308" s="16">
        <f>SUMIFS([0]!VOTOS2,[0]!TURNO1,S$31,[0]!CANDIDATO1,$C308,[0]!MUNICIPIO1,$B$302)</f>
        <v>0</v>
      </c>
      <c r="T308" s="16">
        <f>SUMIFS([0]!VOTOS2,[0]!TURNO1,T$31,[0]!CANDIDATO1,$C308,[0]!MUNICIPIO1,$B$302)</f>
        <v>0</v>
      </c>
      <c r="U308" s="16">
        <f>SUMIFS([0]!VOTOS2,[0]!TURNO1,U$31,[0]!CANDIDATO1,$C308,[0]!MUNICIPIO1,$B$302)</f>
        <v>0</v>
      </c>
      <c r="V308" s="16">
        <f>SUMIFS([0]!VOTOS2,[0]!TURNO1,V$31,[0]!CANDIDATO1,$C308,[0]!MUNICIPIO1,$B$302)</f>
        <v>0</v>
      </c>
      <c r="W308" s="16">
        <f>SUMIFS([0]!VOTOS2,[0]!TURNO1,W$31,[0]!CANDIDATO1,$C308,[0]!MUNICIPIO1,$B$302)</f>
        <v>0</v>
      </c>
      <c r="X308" s="24"/>
      <c r="Y308" s="18" t="str">
        <f t="shared" si="713"/>
        <v>JOSE ANGEL GASCON</v>
      </c>
      <c r="Z308" s="34">
        <f t="shared" si="714"/>
        <v>0</v>
      </c>
      <c r="AA308" s="34">
        <f t="shared" si="715"/>
        <v>0</v>
      </c>
      <c r="AB308" s="34" t="e">
        <f t="shared" ref="AB308:AR308" si="727">IF(SUM(G302:G314)=0,NA(),G308+AA308)</f>
        <v>#N/A</v>
      </c>
      <c r="AC308" s="34" t="e">
        <f t="shared" si="727"/>
        <v>#N/A</v>
      </c>
      <c r="AD308" s="34" t="e">
        <f t="shared" si="727"/>
        <v>#N/A</v>
      </c>
      <c r="AE308" s="34" t="e">
        <f t="shared" si="727"/>
        <v>#N/A</v>
      </c>
      <c r="AF308" s="34" t="e">
        <f t="shared" si="727"/>
        <v>#N/A</v>
      </c>
      <c r="AG308" s="34" t="e">
        <f t="shared" si="727"/>
        <v>#N/A</v>
      </c>
      <c r="AH308" s="34" t="e">
        <f t="shared" si="727"/>
        <v>#N/A</v>
      </c>
      <c r="AI308" s="34" t="e">
        <f t="shared" si="727"/>
        <v>#N/A</v>
      </c>
      <c r="AJ308" s="34" t="e">
        <f t="shared" si="727"/>
        <v>#N/A</v>
      </c>
      <c r="AK308" s="34" t="e">
        <f t="shared" si="727"/>
        <v>#N/A</v>
      </c>
      <c r="AL308" s="34" t="e">
        <f t="shared" si="727"/>
        <v>#N/A</v>
      </c>
      <c r="AM308" s="34" t="e">
        <f t="shared" si="727"/>
        <v>#N/A</v>
      </c>
      <c r="AN308" s="34" t="e">
        <f t="shared" si="727"/>
        <v>#N/A</v>
      </c>
      <c r="AO308" s="34" t="e">
        <f t="shared" si="727"/>
        <v>#N/A</v>
      </c>
      <c r="AP308" s="34" t="e">
        <f t="shared" si="727"/>
        <v>#N/A</v>
      </c>
      <c r="AQ308" s="34" t="e">
        <f t="shared" si="727"/>
        <v>#N/A</v>
      </c>
      <c r="AR308" s="34" t="e">
        <f t="shared" si="727"/>
        <v>#N/A</v>
      </c>
      <c r="AS308" s="27"/>
      <c r="AT308" s="39"/>
      <c r="AU308" s="39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30"/>
    </row>
    <row r="309" spans="1:66" ht="11.25" customHeight="1" x14ac:dyDescent="0.2">
      <c r="A309" s="37"/>
      <c r="B309" s="73"/>
      <c r="C309" s="33">
        <v>8</v>
      </c>
      <c r="D309" s="13" t="s">
        <v>240</v>
      </c>
      <c r="E309" s="16">
        <f t="shared" si="712"/>
        <v>0</v>
      </c>
      <c r="F309" s="16">
        <f>SUMIFS([0]!VOTOS2,[0]!TURNO1,F$31,[0]!CANDIDATO1,$C309,[0]!MUNICIPIO1,$B$302)</f>
        <v>0</v>
      </c>
      <c r="G309" s="16">
        <f>SUMIFS([0]!VOTOS2,[0]!TURNO1,G$31,[0]!CANDIDATO1,$C309,[0]!MUNICIPIO1,$B$302)</f>
        <v>0</v>
      </c>
      <c r="H309" s="16">
        <f>SUMIFS([0]!VOTOS2,[0]!TURNO1,H$31,[0]!CANDIDATO1,$C309,[0]!MUNICIPIO1,$B$302)</f>
        <v>0</v>
      </c>
      <c r="I309" s="16">
        <f>SUMIFS([0]!VOTOS2,[0]!TURNO1,I$31,[0]!CANDIDATO1,$C309,[0]!MUNICIPIO1,$B$302)</f>
        <v>0</v>
      </c>
      <c r="J309" s="16">
        <f>SUMIFS([0]!VOTOS2,[0]!TURNO1,J$31,[0]!CANDIDATO1,$C309,[0]!MUNICIPIO1,$B$302)</f>
        <v>0</v>
      </c>
      <c r="K309" s="16">
        <f>SUMIFS([0]!VOTOS2,[0]!TURNO1,K$31,[0]!CANDIDATO1,$C309,[0]!MUNICIPIO1,$B$302)</f>
        <v>0</v>
      </c>
      <c r="L309" s="16">
        <f>SUMIFS([0]!VOTOS2,[0]!TURNO1,L$31,[0]!CANDIDATO1,$C309,[0]!MUNICIPIO1,$B$302)</f>
        <v>0</v>
      </c>
      <c r="M309" s="16">
        <f>SUMIFS([0]!VOTOS2,[0]!TURNO1,M$31,[0]!CANDIDATO1,$C309,[0]!MUNICIPIO1,$B$302)</f>
        <v>0</v>
      </c>
      <c r="N309" s="16">
        <f>SUMIFS([0]!VOTOS2,[0]!TURNO1,N$31,[0]!CANDIDATO1,$C309,[0]!MUNICIPIO1,$B$302)</f>
        <v>0</v>
      </c>
      <c r="O309" s="16">
        <f>SUMIFS([0]!VOTOS2,[0]!TURNO1,O$31,[0]!CANDIDATO1,$C309,[0]!MUNICIPIO1,$B$302)</f>
        <v>0</v>
      </c>
      <c r="P309" s="16">
        <f>SUMIFS([0]!VOTOS2,[0]!TURNO1,P$31,[0]!CANDIDATO1,$C309,[0]!MUNICIPIO1,$B$302)</f>
        <v>0</v>
      </c>
      <c r="Q309" s="16">
        <f>SUMIFS([0]!VOTOS2,[0]!TURNO1,Q$31,[0]!CANDIDATO1,$C309,[0]!MUNICIPIO1,$B$302)</f>
        <v>0</v>
      </c>
      <c r="R309" s="16">
        <f>SUMIFS([0]!VOTOS2,[0]!TURNO1,R$31,[0]!CANDIDATO1,$C309,[0]!MUNICIPIO1,$B$302)</f>
        <v>0</v>
      </c>
      <c r="S309" s="16">
        <f>SUMIFS([0]!VOTOS2,[0]!TURNO1,S$31,[0]!CANDIDATO1,$C309,[0]!MUNICIPIO1,$B$302)</f>
        <v>0</v>
      </c>
      <c r="T309" s="16">
        <f>SUMIFS([0]!VOTOS2,[0]!TURNO1,T$31,[0]!CANDIDATO1,$C309,[0]!MUNICIPIO1,$B$302)</f>
        <v>0</v>
      </c>
      <c r="U309" s="16">
        <f>SUMIFS([0]!VOTOS2,[0]!TURNO1,U$31,[0]!CANDIDATO1,$C309,[0]!MUNICIPIO1,$B$302)</f>
        <v>0</v>
      </c>
      <c r="V309" s="16">
        <f>SUMIFS([0]!VOTOS2,[0]!TURNO1,V$31,[0]!CANDIDATO1,$C309,[0]!MUNICIPIO1,$B$302)</f>
        <v>0</v>
      </c>
      <c r="W309" s="16">
        <f>SUMIFS([0]!VOTOS2,[0]!TURNO1,W$31,[0]!CANDIDATO1,$C309,[0]!MUNICIPIO1,$B$302)</f>
        <v>0</v>
      </c>
      <c r="X309" s="24"/>
      <c r="Y309" s="18" t="str">
        <f t="shared" si="713"/>
        <v>MARIA MARCANO</v>
      </c>
      <c r="Z309" s="34">
        <f t="shared" si="714"/>
        <v>0</v>
      </c>
      <c r="AA309" s="34">
        <f t="shared" si="715"/>
        <v>0</v>
      </c>
      <c r="AB309" s="34" t="e">
        <f t="shared" ref="AB309:AR309" si="728">IF(SUM(G302:G314)=0,NA(),G309+AA309)</f>
        <v>#N/A</v>
      </c>
      <c r="AC309" s="34" t="e">
        <f t="shared" si="728"/>
        <v>#N/A</v>
      </c>
      <c r="AD309" s="34" t="e">
        <f t="shared" si="728"/>
        <v>#N/A</v>
      </c>
      <c r="AE309" s="34" t="e">
        <f t="shared" si="728"/>
        <v>#N/A</v>
      </c>
      <c r="AF309" s="34" t="e">
        <f t="shared" si="728"/>
        <v>#N/A</v>
      </c>
      <c r="AG309" s="34" t="e">
        <f t="shared" si="728"/>
        <v>#N/A</v>
      </c>
      <c r="AH309" s="34" t="e">
        <f t="shared" si="728"/>
        <v>#N/A</v>
      </c>
      <c r="AI309" s="34" t="e">
        <f t="shared" si="728"/>
        <v>#N/A</v>
      </c>
      <c r="AJ309" s="34" t="e">
        <f t="shared" si="728"/>
        <v>#N/A</v>
      </c>
      <c r="AK309" s="34" t="e">
        <f t="shared" si="728"/>
        <v>#N/A</v>
      </c>
      <c r="AL309" s="34" t="e">
        <f t="shared" si="728"/>
        <v>#N/A</v>
      </c>
      <c r="AM309" s="34" t="e">
        <f t="shared" si="728"/>
        <v>#N/A</v>
      </c>
      <c r="AN309" s="34" t="e">
        <f t="shared" si="728"/>
        <v>#N/A</v>
      </c>
      <c r="AO309" s="34" t="e">
        <f t="shared" si="728"/>
        <v>#N/A</v>
      </c>
      <c r="AP309" s="34" t="e">
        <f t="shared" si="728"/>
        <v>#N/A</v>
      </c>
      <c r="AQ309" s="34" t="e">
        <f t="shared" si="728"/>
        <v>#N/A</v>
      </c>
      <c r="AR309" s="34" t="e">
        <f t="shared" si="728"/>
        <v>#N/A</v>
      </c>
      <c r="AS309" s="27"/>
      <c r="AT309" s="41"/>
      <c r="AU309" s="41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30"/>
    </row>
    <row r="310" spans="1:66" ht="11.25" customHeight="1" x14ac:dyDescent="0.2">
      <c r="A310" s="42"/>
      <c r="B310" s="74"/>
      <c r="C310" s="33">
        <v>9</v>
      </c>
      <c r="D310" s="13" t="s">
        <v>241</v>
      </c>
      <c r="E310" s="16">
        <f t="shared" si="712"/>
        <v>0</v>
      </c>
      <c r="F310" s="16">
        <f>SUMIFS([0]!VOTOS2,[0]!TURNO1,F$31,[0]!CANDIDATO1,$C310,[0]!MUNICIPIO1,$B$302)</f>
        <v>0</v>
      </c>
      <c r="G310" s="16">
        <f>SUMIFS([0]!VOTOS2,[0]!TURNO1,G$31,[0]!CANDIDATO1,$C310,[0]!MUNICIPIO1,$B$302)</f>
        <v>0</v>
      </c>
      <c r="H310" s="16">
        <f>SUMIFS([0]!VOTOS2,[0]!TURNO1,H$31,[0]!CANDIDATO1,$C310,[0]!MUNICIPIO1,$B$302)</f>
        <v>0</v>
      </c>
      <c r="I310" s="16">
        <f>SUMIFS([0]!VOTOS2,[0]!TURNO1,I$31,[0]!CANDIDATO1,$C310,[0]!MUNICIPIO1,$B$302)</f>
        <v>0</v>
      </c>
      <c r="J310" s="16">
        <f>SUMIFS([0]!VOTOS2,[0]!TURNO1,J$31,[0]!CANDIDATO1,$C310,[0]!MUNICIPIO1,$B$302)</f>
        <v>0</v>
      </c>
      <c r="K310" s="16">
        <f>SUMIFS([0]!VOTOS2,[0]!TURNO1,K$31,[0]!CANDIDATO1,$C310,[0]!MUNICIPIO1,$B$302)</f>
        <v>0</v>
      </c>
      <c r="L310" s="16">
        <f>SUMIFS([0]!VOTOS2,[0]!TURNO1,L$31,[0]!CANDIDATO1,$C310,[0]!MUNICIPIO1,$B$302)</f>
        <v>0</v>
      </c>
      <c r="M310" s="16">
        <f>SUMIFS([0]!VOTOS2,[0]!TURNO1,M$31,[0]!CANDIDATO1,$C310,[0]!MUNICIPIO1,$B$302)</f>
        <v>0</v>
      </c>
      <c r="N310" s="16">
        <f>SUMIFS([0]!VOTOS2,[0]!TURNO1,N$31,[0]!CANDIDATO1,$C310,[0]!MUNICIPIO1,$B$302)</f>
        <v>0</v>
      </c>
      <c r="O310" s="16">
        <f>SUMIFS([0]!VOTOS2,[0]!TURNO1,O$31,[0]!CANDIDATO1,$C310,[0]!MUNICIPIO1,$B$302)</f>
        <v>0</v>
      </c>
      <c r="P310" s="16">
        <f>SUMIFS([0]!VOTOS2,[0]!TURNO1,P$31,[0]!CANDIDATO1,$C310,[0]!MUNICIPIO1,$B$302)</f>
        <v>0</v>
      </c>
      <c r="Q310" s="16">
        <f>SUMIFS([0]!VOTOS2,[0]!TURNO1,Q$31,[0]!CANDIDATO1,$C310,[0]!MUNICIPIO1,$B$302)</f>
        <v>0</v>
      </c>
      <c r="R310" s="16">
        <f>SUMIFS([0]!VOTOS2,[0]!TURNO1,R$31,[0]!CANDIDATO1,$C310,[0]!MUNICIPIO1,$B$302)</f>
        <v>0</v>
      </c>
      <c r="S310" s="16">
        <f>SUMIFS([0]!VOTOS2,[0]!TURNO1,S$31,[0]!CANDIDATO1,$C310,[0]!MUNICIPIO1,$B$302)</f>
        <v>0</v>
      </c>
      <c r="T310" s="16">
        <f>SUMIFS([0]!VOTOS2,[0]!TURNO1,T$31,[0]!CANDIDATO1,$C310,[0]!MUNICIPIO1,$B$302)</f>
        <v>0</v>
      </c>
      <c r="U310" s="16">
        <f>SUMIFS([0]!VOTOS2,[0]!TURNO1,U$31,[0]!CANDIDATO1,$C310,[0]!MUNICIPIO1,$B$302)</f>
        <v>0</v>
      </c>
      <c r="V310" s="16">
        <f>SUMIFS([0]!VOTOS2,[0]!TURNO1,V$31,[0]!CANDIDATO1,$C310,[0]!MUNICIPIO1,$B$302)</f>
        <v>0</v>
      </c>
      <c r="W310" s="16">
        <f>SUMIFS([0]!VOTOS2,[0]!TURNO1,W$31,[0]!CANDIDATO1,$C310,[0]!MUNICIPIO1,$B$302)</f>
        <v>0</v>
      </c>
      <c r="X310" s="24"/>
      <c r="Y310" s="18" t="str">
        <f t="shared" si="713"/>
        <v>ATILIO MORAO URRIETA</v>
      </c>
      <c r="Z310" s="34">
        <f t="shared" si="714"/>
        <v>0</v>
      </c>
      <c r="AA310" s="34">
        <f t="shared" si="715"/>
        <v>0</v>
      </c>
      <c r="AB310" s="34" t="e">
        <f t="shared" ref="AB310:AR310" si="729">IF(SUM(G302:G314)=0,NA(),G310+AA310)</f>
        <v>#N/A</v>
      </c>
      <c r="AC310" s="34" t="e">
        <f t="shared" si="729"/>
        <v>#N/A</v>
      </c>
      <c r="AD310" s="34" t="e">
        <f t="shared" si="729"/>
        <v>#N/A</v>
      </c>
      <c r="AE310" s="34" t="e">
        <f t="shared" si="729"/>
        <v>#N/A</v>
      </c>
      <c r="AF310" s="34" t="e">
        <f t="shared" si="729"/>
        <v>#N/A</v>
      </c>
      <c r="AG310" s="34" t="e">
        <f t="shared" si="729"/>
        <v>#N/A</v>
      </c>
      <c r="AH310" s="34" t="e">
        <f t="shared" si="729"/>
        <v>#N/A</v>
      </c>
      <c r="AI310" s="34" t="e">
        <f t="shared" si="729"/>
        <v>#N/A</v>
      </c>
      <c r="AJ310" s="34" t="e">
        <f t="shared" si="729"/>
        <v>#N/A</v>
      </c>
      <c r="AK310" s="34" t="e">
        <f t="shared" si="729"/>
        <v>#N/A</v>
      </c>
      <c r="AL310" s="34" t="e">
        <f t="shared" si="729"/>
        <v>#N/A</v>
      </c>
      <c r="AM310" s="34" t="e">
        <f t="shared" si="729"/>
        <v>#N/A</v>
      </c>
      <c r="AN310" s="34" t="e">
        <f t="shared" si="729"/>
        <v>#N/A</v>
      </c>
      <c r="AO310" s="34" t="e">
        <f t="shared" si="729"/>
        <v>#N/A</v>
      </c>
      <c r="AP310" s="34" t="e">
        <f t="shared" si="729"/>
        <v>#N/A</v>
      </c>
      <c r="AQ310" s="34" t="e">
        <f t="shared" si="729"/>
        <v>#N/A</v>
      </c>
      <c r="AR310" s="34" t="e">
        <f t="shared" si="729"/>
        <v>#N/A</v>
      </c>
      <c r="AS310" s="27"/>
      <c r="AT310" s="41"/>
      <c r="AU310" s="41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30"/>
    </row>
    <row r="311" spans="1:66" ht="11.25" customHeight="1" x14ac:dyDescent="0.2">
      <c r="A311" s="44"/>
      <c r="B311" s="45"/>
      <c r="C311" s="46">
        <v>10</v>
      </c>
      <c r="D311" s="14" t="s">
        <v>76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24"/>
      <c r="Y311" s="18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27"/>
      <c r="AT311" s="41"/>
      <c r="AU311" s="41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30"/>
    </row>
    <row r="312" spans="1:66" ht="11.25" customHeight="1" x14ac:dyDescent="0.2">
      <c r="A312" s="44"/>
      <c r="B312" s="45"/>
      <c r="C312" s="46">
        <v>11</v>
      </c>
      <c r="D312" s="14" t="s">
        <v>76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24"/>
      <c r="Y312" s="18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27"/>
      <c r="AT312" s="41"/>
      <c r="AU312" s="41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30"/>
    </row>
    <row r="313" spans="1:66" ht="11.25" customHeight="1" x14ac:dyDescent="0.2">
      <c r="A313" s="44"/>
      <c r="B313" s="45"/>
      <c r="C313" s="46">
        <v>12</v>
      </c>
      <c r="D313" s="14" t="s">
        <v>76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24"/>
      <c r="Y313" s="18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27"/>
      <c r="AT313" s="41"/>
      <c r="AU313" s="41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30"/>
    </row>
    <row r="314" spans="1:66" ht="11.25" customHeight="1" x14ac:dyDescent="0.2">
      <c r="A314" s="44"/>
      <c r="B314" s="45"/>
      <c r="C314" s="46">
        <v>13</v>
      </c>
      <c r="D314" s="14" t="s">
        <v>76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24"/>
      <c r="Y314" s="18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27"/>
      <c r="AT314" s="41"/>
      <c r="AU314" s="41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30"/>
    </row>
    <row r="315" spans="1:66" ht="11.25" customHeight="1" x14ac:dyDescent="0.2">
      <c r="D315" s="31" t="s">
        <v>76</v>
      </c>
      <c r="X315" s="24"/>
      <c r="Y315" s="19" t="s">
        <v>79</v>
      </c>
      <c r="Z315" s="34">
        <f t="shared" ref="Z315" si="730">SUM(Z304:Z314)</f>
        <v>0</v>
      </c>
      <c r="AA315" s="34">
        <f t="shared" ref="AA315" si="731">SUM(AA304:AA314)</f>
        <v>0</v>
      </c>
      <c r="AB315" s="34" t="e">
        <f t="shared" ref="AB315" si="732">SUM(AB304:AB314)</f>
        <v>#N/A</v>
      </c>
      <c r="AC315" s="34" t="e">
        <f t="shared" ref="AC315" si="733">SUM(AC304:AC314)</f>
        <v>#N/A</v>
      </c>
      <c r="AD315" s="34" t="e">
        <f t="shared" ref="AD315" si="734">SUM(AD304:AD314)</f>
        <v>#N/A</v>
      </c>
      <c r="AE315" s="34" t="e">
        <f t="shared" ref="AE315" si="735">SUM(AE304:AE314)</f>
        <v>#N/A</v>
      </c>
      <c r="AF315" s="34" t="e">
        <f t="shared" ref="AF315" si="736">SUM(AF304:AF314)</f>
        <v>#N/A</v>
      </c>
      <c r="AG315" s="34" t="e">
        <f t="shared" ref="AG315" si="737">SUM(AG304:AG314)</f>
        <v>#N/A</v>
      </c>
      <c r="AH315" s="34" t="e">
        <f t="shared" ref="AH315" si="738">SUM(AH304:AH314)</f>
        <v>#N/A</v>
      </c>
      <c r="AI315" s="34" t="e">
        <f t="shared" ref="AI315" si="739">SUM(AI304:AI314)</f>
        <v>#N/A</v>
      </c>
      <c r="AJ315" s="34" t="e">
        <f t="shared" ref="AJ315" si="740">SUM(AJ304:AJ314)</f>
        <v>#N/A</v>
      </c>
      <c r="AK315" s="34" t="e">
        <f t="shared" ref="AK315" si="741">SUM(AK304:AK314)</f>
        <v>#N/A</v>
      </c>
      <c r="AL315" s="34" t="e">
        <f t="shared" ref="AL315" si="742">SUM(AL304:AL314)</f>
        <v>#N/A</v>
      </c>
      <c r="AM315" s="34" t="e">
        <f t="shared" ref="AM315" si="743">SUM(AM304:AM314)</f>
        <v>#N/A</v>
      </c>
      <c r="AN315" s="34" t="e">
        <f t="shared" ref="AN315" si="744">SUM(AN304:AN314)</f>
        <v>#N/A</v>
      </c>
      <c r="AO315" s="34" t="e">
        <f t="shared" ref="AO315" si="745">SUM(AO304:AO314)</f>
        <v>#N/A</v>
      </c>
      <c r="AP315" s="34" t="e">
        <f t="shared" ref="AP315" si="746">SUM(AP304:AP314)</f>
        <v>#N/A</v>
      </c>
      <c r="AQ315" s="34" t="e">
        <f t="shared" ref="AQ315" si="747">SUM(AQ304:AQ314)</f>
        <v>#N/A</v>
      </c>
      <c r="AR315" s="34" t="e">
        <f t="shared" ref="AR315" si="748">SUM(AR304:AR314)</f>
        <v>#N/A</v>
      </c>
      <c r="AS315" s="27"/>
      <c r="AT315" s="41"/>
      <c r="AU315" s="41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30"/>
    </row>
    <row r="316" spans="1:66" ht="11.25" customHeight="1" x14ac:dyDescent="0.2">
      <c r="A316" s="75" t="s">
        <v>63</v>
      </c>
      <c r="B316" s="76"/>
      <c r="C316" s="21"/>
      <c r="D316" s="22" t="s">
        <v>75</v>
      </c>
      <c r="E316" s="23" t="s">
        <v>70</v>
      </c>
      <c r="F316" s="23">
        <v>0</v>
      </c>
      <c r="G316" s="23">
        <v>1</v>
      </c>
      <c r="H316" s="23">
        <v>2</v>
      </c>
      <c r="I316" s="23">
        <v>3</v>
      </c>
      <c r="J316" s="23">
        <v>4</v>
      </c>
      <c r="K316" s="23">
        <v>5</v>
      </c>
      <c r="L316" s="23">
        <v>6</v>
      </c>
      <c r="M316" s="23">
        <v>7</v>
      </c>
      <c r="N316" s="23">
        <v>8</v>
      </c>
      <c r="O316" s="23">
        <v>9</v>
      </c>
      <c r="P316" s="23">
        <v>10</v>
      </c>
      <c r="Q316" s="23">
        <v>11</v>
      </c>
      <c r="R316" s="23">
        <v>12</v>
      </c>
      <c r="S316" s="23">
        <v>13</v>
      </c>
      <c r="T316" s="23">
        <v>14</v>
      </c>
      <c r="U316" s="23">
        <v>15</v>
      </c>
      <c r="V316" s="23">
        <v>16</v>
      </c>
      <c r="W316" s="23">
        <v>17</v>
      </c>
      <c r="X316" s="24"/>
      <c r="Y316" s="17"/>
      <c r="Z316" s="25" t="s">
        <v>64</v>
      </c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7"/>
      <c r="AT316" s="28"/>
      <c r="AU316" s="28" t="s">
        <v>64</v>
      </c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30"/>
    </row>
    <row r="317" spans="1:66" ht="11.25" customHeight="1" x14ac:dyDescent="0.2">
      <c r="A317" s="32"/>
      <c r="B317" s="72">
        <v>22</v>
      </c>
      <c r="C317" s="33">
        <v>1</v>
      </c>
      <c r="D317" s="13" t="s">
        <v>242</v>
      </c>
      <c r="E317" s="16">
        <f>SUM(F317:W317)</f>
        <v>535</v>
      </c>
      <c r="F317" s="16">
        <f>SUMIFS([0]!VOTOS2,[0]!TURNO1,F$31,[0]!CANDIDATO1,$C317,[0]!MUNICIPIO1,$B$317)</f>
        <v>10</v>
      </c>
      <c r="G317" s="16">
        <f>SUMIFS([0]!VOTOS2,[0]!TURNO1,G$31,[0]!CANDIDATO1,$C317,[0]!MUNICIPIO1,$B$317)</f>
        <v>73</v>
      </c>
      <c r="H317" s="16">
        <f>SUMIFS([0]!VOTOS2,[0]!TURNO1,H$31,[0]!CANDIDATO1,$C317,[0]!MUNICIPIO1,$B$317)</f>
        <v>86</v>
      </c>
      <c r="I317" s="16">
        <f>SUMIFS([0]!VOTOS2,[0]!TURNO1,I$31,[0]!CANDIDATO1,$C317,[0]!MUNICIPIO1,$B$317)</f>
        <v>28</v>
      </c>
      <c r="J317" s="16">
        <f>SUMIFS([0]!VOTOS2,[0]!TURNO1,J$31,[0]!CANDIDATO1,$C317,[0]!MUNICIPIO1,$B$317)</f>
        <v>68</v>
      </c>
      <c r="K317" s="16">
        <f>SUMIFS([0]!VOTOS2,[0]!TURNO1,K$31,[0]!CANDIDATO1,$C317,[0]!MUNICIPIO1,$B$317)</f>
        <v>56</v>
      </c>
      <c r="L317" s="16">
        <f>SUMIFS([0]!VOTOS2,[0]!TURNO1,L$31,[0]!CANDIDATO1,$C317,[0]!MUNICIPIO1,$B$317)</f>
        <v>72</v>
      </c>
      <c r="M317" s="16">
        <f>SUMIFS([0]!VOTOS2,[0]!TURNO1,M$31,[0]!CANDIDATO1,$C317,[0]!MUNICIPIO1,$B$317)</f>
        <v>100</v>
      </c>
      <c r="N317" s="16">
        <f>SUMIFS([0]!VOTOS2,[0]!TURNO1,N$31,[0]!CANDIDATO1,$C317,[0]!MUNICIPIO1,$B$317)</f>
        <v>20</v>
      </c>
      <c r="O317" s="16">
        <f>SUMIFS([0]!VOTOS2,[0]!TURNO1,O$31,[0]!CANDIDATO1,$C317,[0]!MUNICIPIO1,$B$317)</f>
        <v>22</v>
      </c>
      <c r="P317" s="16">
        <f>SUMIFS([0]!VOTOS2,[0]!TURNO1,P$31,[0]!CANDIDATO1,$C317,[0]!MUNICIPIO1,$B$317)</f>
        <v>0</v>
      </c>
      <c r="Q317" s="16">
        <f>SUMIFS([0]!VOTOS2,[0]!TURNO1,Q$31,[0]!CANDIDATO1,$C317,[0]!MUNICIPIO1,$B$317)</f>
        <v>0</v>
      </c>
      <c r="R317" s="16">
        <f>SUMIFS([0]!VOTOS2,[0]!TURNO1,R$31,[0]!CANDIDATO1,$C317,[0]!MUNICIPIO1,$B$317)</f>
        <v>0</v>
      </c>
      <c r="S317" s="16">
        <f>SUMIFS([0]!VOTOS2,[0]!TURNO1,S$31,[0]!CANDIDATO1,$C317,[0]!MUNICIPIO1,$B$317)</f>
        <v>0</v>
      </c>
      <c r="T317" s="16">
        <f>SUMIFS([0]!VOTOS2,[0]!TURNO1,T$31,[0]!CANDIDATO1,$C317,[0]!MUNICIPIO1,$B$317)</f>
        <v>0</v>
      </c>
      <c r="U317" s="16">
        <f>SUMIFS([0]!VOTOS2,[0]!TURNO1,U$31,[0]!CANDIDATO1,$C317,[0]!MUNICIPIO1,$B$317)</f>
        <v>0</v>
      </c>
      <c r="V317" s="16">
        <f>SUMIFS([0]!VOTOS2,[0]!TURNO1,V$31,[0]!CANDIDATO1,$C317,[0]!MUNICIPIO1,$B$317)</f>
        <v>0</v>
      </c>
      <c r="W317" s="16">
        <f>SUMIFS([0]!VOTOS2,[0]!TURNO1,W$31,[0]!CANDIDATO1,$C317,[0]!MUNICIPIO1,$B$317)</f>
        <v>0</v>
      </c>
      <c r="X317" s="24"/>
      <c r="Y317" s="18" t="str">
        <f t="shared" ref="Y317:Y321" si="749">D317</f>
        <v>ALCIDES GOITIA</v>
      </c>
      <c r="Z317" s="34">
        <f t="shared" ref="Z317:Z321" si="750">E317</f>
        <v>535</v>
      </c>
      <c r="AA317" s="34">
        <f t="shared" ref="AA317:AA321" si="751">F317</f>
        <v>10</v>
      </c>
      <c r="AB317" s="34">
        <f t="shared" ref="AB317:AR317" si="752">IF(SUM(G317:G329)=0,NA(),G317+AA317)</f>
        <v>83</v>
      </c>
      <c r="AC317" s="34">
        <f t="shared" si="752"/>
        <v>169</v>
      </c>
      <c r="AD317" s="34">
        <f t="shared" si="752"/>
        <v>197</v>
      </c>
      <c r="AE317" s="34">
        <f t="shared" si="752"/>
        <v>265</v>
      </c>
      <c r="AF317" s="34">
        <f t="shared" si="752"/>
        <v>321</v>
      </c>
      <c r="AG317" s="34">
        <f t="shared" si="752"/>
        <v>393</v>
      </c>
      <c r="AH317" s="34">
        <f t="shared" si="752"/>
        <v>493</v>
      </c>
      <c r="AI317" s="34">
        <f t="shared" si="752"/>
        <v>513</v>
      </c>
      <c r="AJ317" s="34">
        <f t="shared" si="752"/>
        <v>535</v>
      </c>
      <c r="AK317" s="34" t="e">
        <f t="shared" si="752"/>
        <v>#N/A</v>
      </c>
      <c r="AL317" s="34" t="e">
        <f t="shared" si="752"/>
        <v>#N/A</v>
      </c>
      <c r="AM317" s="34" t="e">
        <f t="shared" si="752"/>
        <v>#N/A</v>
      </c>
      <c r="AN317" s="34" t="e">
        <f t="shared" si="752"/>
        <v>#N/A</v>
      </c>
      <c r="AO317" s="34" t="e">
        <f t="shared" si="752"/>
        <v>#N/A</v>
      </c>
      <c r="AP317" s="34" t="e">
        <f t="shared" si="752"/>
        <v>#N/A</v>
      </c>
      <c r="AQ317" s="34" t="e">
        <f t="shared" si="752"/>
        <v>#N/A</v>
      </c>
      <c r="AR317" s="34" t="e">
        <f t="shared" si="752"/>
        <v>#N/A</v>
      </c>
      <c r="AS317" s="27"/>
      <c r="AT317" s="35" t="str">
        <f t="shared" ref="AT317:AT318" si="753">Y317</f>
        <v>ALCIDES GOITIA</v>
      </c>
      <c r="AU317" s="36">
        <f t="shared" ref="AU317:BM317" si="754">Z317/(Z317+Z318+Z330)</f>
        <v>0.50329256820319845</v>
      </c>
      <c r="AV317" s="36">
        <f t="shared" si="754"/>
        <v>0.5</v>
      </c>
      <c r="AW317" s="36">
        <f t="shared" si="754"/>
        <v>0.47976878612716761</v>
      </c>
      <c r="AX317" s="36">
        <f t="shared" si="754"/>
        <v>0.42144638403990026</v>
      </c>
      <c r="AY317" s="36">
        <f t="shared" si="754"/>
        <v>0.43680709534368073</v>
      </c>
      <c r="AZ317" s="36">
        <f t="shared" si="754"/>
        <v>0.45454545454545453</v>
      </c>
      <c r="BA317" s="36">
        <f t="shared" si="754"/>
        <v>0.46320346320346323</v>
      </c>
      <c r="BB317" s="36">
        <f t="shared" si="754"/>
        <v>0.47694174757281554</v>
      </c>
      <c r="BC317" s="36">
        <f t="shared" si="754"/>
        <v>0.50254841997961264</v>
      </c>
      <c r="BD317" s="36">
        <f t="shared" si="754"/>
        <v>0.49709302325581395</v>
      </c>
      <c r="BE317" s="36">
        <f t="shared" si="754"/>
        <v>0.50329256820319845</v>
      </c>
      <c r="BF317" s="36" t="e">
        <f t="shared" si="754"/>
        <v>#N/A</v>
      </c>
      <c r="BG317" s="36" t="e">
        <f t="shared" si="754"/>
        <v>#N/A</v>
      </c>
      <c r="BH317" s="36" t="e">
        <f t="shared" si="754"/>
        <v>#N/A</v>
      </c>
      <c r="BI317" s="36" t="e">
        <f t="shared" si="754"/>
        <v>#N/A</v>
      </c>
      <c r="BJ317" s="36" t="e">
        <f t="shared" si="754"/>
        <v>#N/A</v>
      </c>
      <c r="BK317" s="36" t="e">
        <f t="shared" si="754"/>
        <v>#N/A</v>
      </c>
      <c r="BL317" s="36" t="e">
        <f t="shared" si="754"/>
        <v>#N/A</v>
      </c>
      <c r="BM317" s="36" t="e">
        <f t="shared" si="754"/>
        <v>#N/A</v>
      </c>
      <c r="BN317" s="30"/>
    </row>
    <row r="318" spans="1:66" ht="11.25" customHeight="1" x14ac:dyDescent="0.2">
      <c r="A318" s="38" t="s">
        <v>26</v>
      </c>
      <c r="B318" s="73"/>
      <c r="C318" s="33">
        <v>2</v>
      </c>
      <c r="D318" s="13" t="s">
        <v>243</v>
      </c>
      <c r="E318" s="16">
        <f>SUM(F318:W318)</f>
        <v>416</v>
      </c>
      <c r="F318" s="16">
        <f>SUMIFS([0]!VOTOS2,[0]!TURNO1,F$31,[0]!CANDIDATO1,$C318,[0]!MUNICIPIO1,$B$317)</f>
        <v>10</v>
      </c>
      <c r="G318" s="16">
        <f>SUMIFS([0]!VOTOS2,[0]!TURNO1,G$31,[0]!CANDIDATO1,$C318,[0]!MUNICIPIO1,$B$317)</f>
        <v>69</v>
      </c>
      <c r="H318" s="16">
        <f>SUMIFS([0]!VOTOS2,[0]!TURNO1,H$31,[0]!CANDIDATO1,$C318,[0]!MUNICIPIO1,$B$317)</f>
        <v>111</v>
      </c>
      <c r="I318" s="16">
        <f>SUMIFS([0]!VOTOS2,[0]!TURNO1,I$31,[0]!CANDIDATO1,$C318,[0]!MUNICIPIO1,$B$317)</f>
        <v>21</v>
      </c>
      <c r="J318" s="16">
        <f>SUMIFS([0]!VOTOS2,[0]!TURNO1,J$31,[0]!CANDIDATO1,$C318,[0]!MUNICIPIO1,$B$317)</f>
        <v>46</v>
      </c>
      <c r="K318" s="16">
        <f>SUMIFS([0]!VOTOS2,[0]!TURNO1,K$31,[0]!CANDIDATO1,$C318,[0]!MUNICIPIO1,$B$317)</f>
        <v>38</v>
      </c>
      <c r="L318" s="16">
        <f>SUMIFS([0]!VOTOS2,[0]!TURNO1,L$31,[0]!CANDIDATO1,$C318,[0]!MUNICIPIO1,$B$317)</f>
        <v>49</v>
      </c>
      <c r="M318" s="16">
        <f>SUMIFS([0]!VOTOS2,[0]!TURNO1,M$31,[0]!CANDIDATO1,$C318,[0]!MUNICIPIO1,$B$317)</f>
        <v>43</v>
      </c>
      <c r="N318" s="16">
        <f>SUMIFS([0]!VOTOS2,[0]!TURNO1,N$31,[0]!CANDIDATO1,$C318,[0]!MUNICIPIO1,$B$317)</f>
        <v>20</v>
      </c>
      <c r="O318" s="16">
        <f>SUMIFS([0]!VOTOS2,[0]!TURNO1,O$31,[0]!CANDIDATO1,$C318,[0]!MUNICIPIO1,$B$317)</f>
        <v>9</v>
      </c>
      <c r="P318" s="16">
        <f>SUMIFS([0]!VOTOS2,[0]!TURNO1,P$31,[0]!CANDIDATO1,$C318,[0]!MUNICIPIO1,$B$317)</f>
        <v>0</v>
      </c>
      <c r="Q318" s="16">
        <f>SUMIFS([0]!VOTOS2,[0]!TURNO1,Q$31,[0]!CANDIDATO1,$C318,[0]!MUNICIPIO1,$B$317)</f>
        <v>0</v>
      </c>
      <c r="R318" s="16">
        <f>SUMIFS([0]!VOTOS2,[0]!TURNO1,R$31,[0]!CANDIDATO1,$C318,[0]!MUNICIPIO1,$B$317)</f>
        <v>0</v>
      </c>
      <c r="S318" s="16">
        <f>SUMIFS([0]!VOTOS2,[0]!TURNO1,S$31,[0]!CANDIDATO1,$C318,[0]!MUNICIPIO1,$B$317)</f>
        <v>0</v>
      </c>
      <c r="T318" s="16">
        <f>SUMIFS([0]!VOTOS2,[0]!TURNO1,T$31,[0]!CANDIDATO1,$C318,[0]!MUNICIPIO1,$B$317)</f>
        <v>0</v>
      </c>
      <c r="U318" s="16">
        <f>SUMIFS([0]!VOTOS2,[0]!TURNO1,U$31,[0]!CANDIDATO1,$C318,[0]!MUNICIPIO1,$B$317)</f>
        <v>0</v>
      </c>
      <c r="V318" s="16">
        <f>SUMIFS([0]!VOTOS2,[0]!TURNO1,V$31,[0]!CANDIDATO1,$C318,[0]!MUNICIPIO1,$B$317)</f>
        <v>0</v>
      </c>
      <c r="W318" s="16">
        <f>SUMIFS([0]!VOTOS2,[0]!TURNO1,W$31,[0]!CANDIDATO1,$C318,[0]!MUNICIPIO1,$B$317)</f>
        <v>0</v>
      </c>
      <c r="X318" s="24"/>
      <c r="Y318" s="18" t="str">
        <f t="shared" si="749"/>
        <v>GUSTAVO RIVERO</v>
      </c>
      <c r="Z318" s="34">
        <f t="shared" si="750"/>
        <v>416</v>
      </c>
      <c r="AA318" s="34">
        <f t="shared" si="751"/>
        <v>10</v>
      </c>
      <c r="AB318" s="34">
        <f t="shared" ref="AB318:AR318" si="755">IF(SUM(G317:G329)=0,NA(),G318+AA318)</f>
        <v>79</v>
      </c>
      <c r="AC318" s="34">
        <f t="shared" si="755"/>
        <v>190</v>
      </c>
      <c r="AD318" s="34">
        <f t="shared" si="755"/>
        <v>211</v>
      </c>
      <c r="AE318" s="34">
        <f t="shared" si="755"/>
        <v>257</v>
      </c>
      <c r="AF318" s="34">
        <f t="shared" si="755"/>
        <v>295</v>
      </c>
      <c r="AG318" s="34">
        <f t="shared" si="755"/>
        <v>344</v>
      </c>
      <c r="AH318" s="34">
        <f t="shared" si="755"/>
        <v>387</v>
      </c>
      <c r="AI318" s="34">
        <f t="shared" si="755"/>
        <v>407</v>
      </c>
      <c r="AJ318" s="34">
        <f t="shared" si="755"/>
        <v>416</v>
      </c>
      <c r="AK318" s="34" t="e">
        <f t="shared" si="755"/>
        <v>#N/A</v>
      </c>
      <c r="AL318" s="34" t="e">
        <f t="shared" si="755"/>
        <v>#N/A</v>
      </c>
      <c r="AM318" s="34" t="e">
        <f t="shared" si="755"/>
        <v>#N/A</v>
      </c>
      <c r="AN318" s="34" t="e">
        <f t="shared" si="755"/>
        <v>#N/A</v>
      </c>
      <c r="AO318" s="34" t="e">
        <f t="shared" si="755"/>
        <v>#N/A</v>
      </c>
      <c r="AP318" s="34" t="e">
        <f t="shared" si="755"/>
        <v>#N/A</v>
      </c>
      <c r="AQ318" s="34" t="e">
        <f t="shared" si="755"/>
        <v>#N/A</v>
      </c>
      <c r="AR318" s="34" t="e">
        <f t="shared" si="755"/>
        <v>#N/A</v>
      </c>
      <c r="AS318" s="27"/>
      <c r="AT318" s="35" t="str">
        <f t="shared" si="753"/>
        <v>GUSTAVO RIVERO</v>
      </c>
      <c r="AU318" s="36">
        <f t="shared" ref="AU318:BM318" si="756">Z318/(Z317+Z318+Z330)</f>
        <v>0.39134524929444969</v>
      </c>
      <c r="AV318" s="36">
        <f t="shared" si="756"/>
        <v>0.5</v>
      </c>
      <c r="AW318" s="36">
        <f t="shared" si="756"/>
        <v>0.45664739884393063</v>
      </c>
      <c r="AX318" s="36">
        <f t="shared" si="756"/>
        <v>0.47381546134663344</v>
      </c>
      <c r="AY318" s="36">
        <f t="shared" si="756"/>
        <v>0.46784922394678491</v>
      </c>
      <c r="AZ318" s="36">
        <f t="shared" si="756"/>
        <v>0.44082332761578047</v>
      </c>
      <c r="BA318" s="36">
        <f t="shared" si="756"/>
        <v>0.42568542568542567</v>
      </c>
      <c r="BB318" s="36">
        <f t="shared" si="756"/>
        <v>0.41747572815533979</v>
      </c>
      <c r="BC318" s="36">
        <f t="shared" si="756"/>
        <v>0.39449541284403672</v>
      </c>
      <c r="BD318" s="36">
        <f t="shared" si="756"/>
        <v>0.39437984496124029</v>
      </c>
      <c r="BE318" s="36">
        <f t="shared" si="756"/>
        <v>0.39134524929444969</v>
      </c>
      <c r="BF318" s="36" t="e">
        <f t="shared" si="756"/>
        <v>#N/A</v>
      </c>
      <c r="BG318" s="36" t="e">
        <f t="shared" si="756"/>
        <v>#N/A</v>
      </c>
      <c r="BH318" s="36" t="e">
        <f t="shared" si="756"/>
        <v>#N/A</v>
      </c>
      <c r="BI318" s="36" t="e">
        <f t="shared" si="756"/>
        <v>#N/A</v>
      </c>
      <c r="BJ318" s="36" t="e">
        <f t="shared" si="756"/>
        <v>#N/A</v>
      </c>
      <c r="BK318" s="36" t="e">
        <f t="shared" si="756"/>
        <v>#N/A</v>
      </c>
      <c r="BL318" s="36" t="e">
        <f t="shared" si="756"/>
        <v>#N/A</v>
      </c>
      <c r="BM318" s="36" t="e">
        <f t="shared" si="756"/>
        <v>#N/A</v>
      </c>
      <c r="BN318" s="30"/>
    </row>
    <row r="319" spans="1:66" ht="11.25" customHeight="1" x14ac:dyDescent="0.2">
      <c r="A319" s="38" t="s">
        <v>29</v>
      </c>
      <c r="B319" s="73"/>
      <c r="C319" s="33">
        <v>3</v>
      </c>
      <c r="D319" s="13" t="s">
        <v>244</v>
      </c>
      <c r="E319" s="16">
        <f>SUM(F319:W319)</f>
        <v>80</v>
      </c>
      <c r="F319" s="16">
        <f>SUMIFS([0]!VOTOS2,[0]!TURNO1,F$31,[0]!CANDIDATO1,$C319,[0]!MUNICIPIO1,$B$317)</f>
        <v>0</v>
      </c>
      <c r="G319" s="16">
        <f>SUMIFS([0]!VOTOS2,[0]!TURNO1,G$31,[0]!CANDIDATO1,$C319,[0]!MUNICIPIO1,$B$317)</f>
        <v>10</v>
      </c>
      <c r="H319" s="16">
        <f>SUMIFS([0]!VOTOS2,[0]!TURNO1,H$31,[0]!CANDIDATO1,$C319,[0]!MUNICIPIO1,$B$317)</f>
        <v>22</v>
      </c>
      <c r="I319" s="16">
        <f>SUMIFS([0]!VOTOS2,[0]!TURNO1,I$31,[0]!CANDIDATO1,$C319,[0]!MUNICIPIO1,$B$317)</f>
        <v>1</v>
      </c>
      <c r="J319" s="16">
        <f>SUMIFS([0]!VOTOS2,[0]!TURNO1,J$31,[0]!CANDIDATO1,$C319,[0]!MUNICIPIO1,$B$317)</f>
        <v>12</v>
      </c>
      <c r="K319" s="16">
        <f>SUMIFS([0]!VOTOS2,[0]!TURNO1,K$31,[0]!CANDIDATO1,$C319,[0]!MUNICIPIO1,$B$317)</f>
        <v>12</v>
      </c>
      <c r="L319" s="16">
        <f>SUMIFS([0]!VOTOS2,[0]!TURNO1,L$31,[0]!CANDIDATO1,$C319,[0]!MUNICIPIO1,$B$317)</f>
        <v>4</v>
      </c>
      <c r="M319" s="16">
        <f>SUMIFS([0]!VOTOS2,[0]!TURNO1,M$31,[0]!CANDIDATO1,$C319,[0]!MUNICIPIO1,$B$317)</f>
        <v>13</v>
      </c>
      <c r="N319" s="16">
        <f>SUMIFS([0]!VOTOS2,[0]!TURNO1,N$31,[0]!CANDIDATO1,$C319,[0]!MUNICIPIO1,$B$317)</f>
        <v>6</v>
      </c>
      <c r="O319" s="16">
        <f>SUMIFS([0]!VOTOS2,[0]!TURNO1,O$31,[0]!CANDIDATO1,$C319,[0]!MUNICIPIO1,$B$317)</f>
        <v>0</v>
      </c>
      <c r="P319" s="16">
        <f>SUMIFS([0]!VOTOS2,[0]!TURNO1,P$31,[0]!CANDIDATO1,$C319,[0]!MUNICIPIO1,$B$317)</f>
        <v>0</v>
      </c>
      <c r="Q319" s="16">
        <f>SUMIFS([0]!VOTOS2,[0]!TURNO1,Q$31,[0]!CANDIDATO1,$C319,[0]!MUNICIPIO1,$B$317)</f>
        <v>0</v>
      </c>
      <c r="R319" s="16">
        <f>SUMIFS([0]!VOTOS2,[0]!TURNO1,R$31,[0]!CANDIDATO1,$C319,[0]!MUNICIPIO1,$B$317)</f>
        <v>0</v>
      </c>
      <c r="S319" s="16">
        <f>SUMIFS([0]!VOTOS2,[0]!TURNO1,S$31,[0]!CANDIDATO1,$C319,[0]!MUNICIPIO1,$B$317)</f>
        <v>0</v>
      </c>
      <c r="T319" s="16">
        <f>SUMIFS([0]!VOTOS2,[0]!TURNO1,T$31,[0]!CANDIDATO1,$C319,[0]!MUNICIPIO1,$B$317)</f>
        <v>0</v>
      </c>
      <c r="U319" s="16">
        <f>SUMIFS([0]!VOTOS2,[0]!TURNO1,U$31,[0]!CANDIDATO1,$C319,[0]!MUNICIPIO1,$B$317)</f>
        <v>0</v>
      </c>
      <c r="V319" s="16">
        <f>SUMIFS([0]!VOTOS2,[0]!TURNO1,V$31,[0]!CANDIDATO1,$C319,[0]!MUNICIPIO1,$B$317)</f>
        <v>0</v>
      </c>
      <c r="W319" s="16">
        <f>SUMIFS([0]!VOTOS2,[0]!TURNO1,W$31,[0]!CANDIDATO1,$C319,[0]!MUNICIPIO1,$B$317)</f>
        <v>0</v>
      </c>
      <c r="X319" s="24"/>
      <c r="Y319" s="18" t="str">
        <f t="shared" si="749"/>
        <v>NELSON URBINA</v>
      </c>
      <c r="Z319" s="34">
        <f t="shared" si="750"/>
        <v>80</v>
      </c>
      <c r="AA319" s="34">
        <f t="shared" si="751"/>
        <v>0</v>
      </c>
      <c r="AB319" s="34">
        <f t="shared" ref="AB319:AR319" si="757">IF(SUM(G317:G329)=0,NA(),G319+AA319)</f>
        <v>10</v>
      </c>
      <c r="AC319" s="34">
        <f t="shared" si="757"/>
        <v>32</v>
      </c>
      <c r="AD319" s="34">
        <f t="shared" si="757"/>
        <v>33</v>
      </c>
      <c r="AE319" s="34">
        <f t="shared" si="757"/>
        <v>45</v>
      </c>
      <c r="AF319" s="34">
        <f t="shared" si="757"/>
        <v>57</v>
      </c>
      <c r="AG319" s="34">
        <f t="shared" si="757"/>
        <v>61</v>
      </c>
      <c r="AH319" s="34">
        <f t="shared" si="757"/>
        <v>74</v>
      </c>
      <c r="AI319" s="34">
        <f t="shared" si="757"/>
        <v>80</v>
      </c>
      <c r="AJ319" s="34">
        <f t="shared" si="757"/>
        <v>80</v>
      </c>
      <c r="AK319" s="34" t="e">
        <f t="shared" si="757"/>
        <v>#N/A</v>
      </c>
      <c r="AL319" s="34" t="e">
        <f t="shared" si="757"/>
        <v>#N/A</v>
      </c>
      <c r="AM319" s="34" t="e">
        <f t="shared" si="757"/>
        <v>#N/A</v>
      </c>
      <c r="AN319" s="34" t="e">
        <f t="shared" si="757"/>
        <v>#N/A</v>
      </c>
      <c r="AO319" s="34" t="e">
        <f t="shared" si="757"/>
        <v>#N/A</v>
      </c>
      <c r="AP319" s="34" t="e">
        <f t="shared" si="757"/>
        <v>#N/A</v>
      </c>
      <c r="AQ319" s="34" t="e">
        <f t="shared" si="757"/>
        <v>#N/A</v>
      </c>
      <c r="AR319" s="34" t="e">
        <f t="shared" si="757"/>
        <v>#N/A</v>
      </c>
      <c r="AS319" s="27"/>
      <c r="AT319" s="35" t="str">
        <f t="shared" ref="AT319" si="758">Y330</f>
        <v>Otros</v>
      </c>
      <c r="AU319" s="36">
        <f t="shared" ref="AU319:BM319" si="759">Z330/(Z317+Z318+Z330)</f>
        <v>0.10536218250235184</v>
      </c>
      <c r="AV319" s="36">
        <f t="shared" si="759"/>
        <v>0</v>
      </c>
      <c r="AW319" s="36">
        <f t="shared" si="759"/>
        <v>6.358381502890173E-2</v>
      </c>
      <c r="AX319" s="36">
        <f t="shared" si="759"/>
        <v>0.10473815461346633</v>
      </c>
      <c r="AY319" s="36">
        <f t="shared" si="759"/>
        <v>9.5343680709534362E-2</v>
      </c>
      <c r="AZ319" s="36">
        <f t="shared" si="759"/>
        <v>0.10463121783876501</v>
      </c>
      <c r="BA319" s="36">
        <f t="shared" si="759"/>
        <v>0.1111111111111111</v>
      </c>
      <c r="BB319" s="36">
        <f t="shared" si="759"/>
        <v>0.10558252427184465</v>
      </c>
      <c r="BC319" s="36">
        <f t="shared" si="759"/>
        <v>0.10295616717635066</v>
      </c>
      <c r="BD319" s="36">
        <f t="shared" si="759"/>
        <v>0.10852713178294573</v>
      </c>
      <c r="BE319" s="36">
        <f t="shared" si="759"/>
        <v>0.10536218250235184</v>
      </c>
      <c r="BF319" s="36" t="e">
        <f t="shared" si="759"/>
        <v>#N/A</v>
      </c>
      <c r="BG319" s="36" t="e">
        <f t="shared" si="759"/>
        <v>#N/A</v>
      </c>
      <c r="BH319" s="36" t="e">
        <f t="shared" si="759"/>
        <v>#N/A</v>
      </c>
      <c r="BI319" s="36" t="e">
        <f t="shared" si="759"/>
        <v>#N/A</v>
      </c>
      <c r="BJ319" s="36" t="e">
        <f t="shared" si="759"/>
        <v>#N/A</v>
      </c>
      <c r="BK319" s="36" t="e">
        <f t="shared" si="759"/>
        <v>#N/A</v>
      </c>
      <c r="BL319" s="36" t="e">
        <f t="shared" si="759"/>
        <v>#N/A</v>
      </c>
      <c r="BM319" s="36" t="e">
        <f t="shared" si="759"/>
        <v>#N/A</v>
      </c>
      <c r="BN319" s="30"/>
    </row>
    <row r="320" spans="1:66" ht="11.25" customHeight="1" x14ac:dyDescent="0.2">
      <c r="A320" s="37"/>
      <c r="B320" s="73"/>
      <c r="C320" s="33">
        <v>4</v>
      </c>
      <c r="D320" s="13" t="s">
        <v>245</v>
      </c>
      <c r="E320" s="16">
        <f>SUM(F320:W320)</f>
        <v>19</v>
      </c>
      <c r="F320" s="16">
        <f>SUMIFS([0]!VOTOS2,[0]!TURNO1,F$31,[0]!CANDIDATO1,$C320,[0]!MUNICIPIO1,$B$317)</f>
        <v>0</v>
      </c>
      <c r="G320" s="16">
        <f>SUMIFS([0]!VOTOS2,[0]!TURNO1,G$31,[0]!CANDIDATO1,$C320,[0]!MUNICIPIO1,$B$317)</f>
        <v>0</v>
      </c>
      <c r="H320" s="16">
        <f>SUMIFS([0]!VOTOS2,[0]!TURNO1,H$31,[0]!CANDIDATO1,$C320,[0]!MUNICIPIO1,$B$317)</f>
        <v>5</v>
      </c>
      <c r="I320" s="16">
        <f>SUMIFS([0]!VOTOS2,[0]!TURNO1,I$31,[0]!CANDIDATO1,$C320,[0]!MUNICIPIO1,$B$317)</f>
        <v>0</v>
      </c>
      <c r="J320" s="16">
        <f>SUMIFS([0]!VOTOS2,[0]!TURNO1,J$31,[0]!CANDIDATO1,$C320,[0]!MUNICIPIO1,$B$317)</f>
        <v>4</v>
      </c>
      <c r="K320" s="16">
        <f>SUMIFS([0]!VOTOS2,[0]!TURNO1,K$31,[0]!CANDIDATO1,$C320,[0]!MUNICIPIO1,$B$317)</f>
        <v>4</v>
      </c>
      <c r="L320" s="16">
        <f>SUMIFS([0]!VOTOS2,[0]!TURNO1,L$31,[0]!CANDIDATO1,$C320,[0]!MUNICIPIO1,$B$317)</f>
        <v>1</v>
      </c>
      <c r="M320" s="16">
        <f>SUMIFS([0]!VOTOS2,[0]!TURNO1,M$31,[0]!CANDIDATO1,$C320,[0]!MUNICIPIO1,$B$317)</f>
        <v>1</v>
      </c>
      <c r="N320" s="16">
        <f>SUMIFS([0]!VOTOS2,[0]!TURNO1,N$31,[0]!CANDIDATO1,$C320,[0]!MUNICIPIO1,$B$317)</f>
        <v>4</v>
      </c>
      <c r="O320" s="16">
        <f>SUMIFS([0]!VOTOS2,[0]!TURNO1,O$31,[0]!CANDIDATO1,$C320,[0]!MUNICIPIO1,$B$317)</f>
        <v>0</v>
      </c>
      <c r="P320" s="16">
        <f>SUMIFS([0]!VOTOS2,[0]!TURNO1,P$31,[0]!CANDIDATO1,$C320,[0]!MUNICIPIO1,$B$317)</f>
        <v>0</v>
      </c>
      <c r="Q320" s="16">
        <f>SUMIFS([0]!VOTOS2,[0]!TURNO1,Q$31,[0]!CANDIDATO1,$C320,[0]!MUNICIPIO1,$B$317)</f>
        <v>0</v>
      </c>
      <c r="R320" s="16">
        <f>SUMIFS([0]!VOTOS2,[0]!TURNO1,R$31,[0]!CANDIDATO1,$C320,[0]!MUNICIPIO1,$B$317)</f>
        <v>0</v>
      </c>
      <c r="S320" s="16">
        <f>SUMIFS([0]!VOTOS2,[0]!TURNO1,S$31,[0]!CANDIDATO1,$C320,[0]!MUNICIPIO1,$B$317)</f>
        <v>0</v>
      </c>
      <c r="T320" s="16">
        <f>SUMIFS([0]!VOTOS2,[0]!TURNO1,T$31,[0]!CANDIDATO1,$C320,[0]!MUNICIPIO1,$B$317)</f>
        <v>0</v>
      </c>
      <c r="U320" s="16">
        <f>SUMIFS([0]!VOTOS2,[0]!TURNO1,U$31,[0]!CANDIDATO1,$C320,[0]!MUNICIPIO1,$B$317)</f>
        <v>0</v>
      </c>
      <c r="V320" s="16">
        <f>SUMIFS([0]!VOTOS2,[0]!TURNO1,V$31,[0]!CANDIDATO1,$C320,[0]!MUNICIPIO1,$B$317)</f>
        <v>0</v>
      </c>
      <c r="W320" s="16">
        <f>SUMIFS([0]!VOTOS2,[0]!TURNO1,W$31,[0]!CANDIDATO1,$C320,[0]!MUNICIPIO1,$B$317)</f>
        <v>0</v>
      </c>
      <c r="X320" s="24"/>
      <c r="Y320" s="18" t="str">
        <f t="shared" si="749"/>
        <v>LIGIA YANEZ</v>
      </c>
      <c r="Z320" s="34">
        <f t="shared" si="750"/>
        <v>19</v>
      </c>
      <c r="AA320" s="34">
        <f t="shared" si="751"/>
        <v>0</v>
      </c>
      <c r="AB320" s="34">
        <f t="shared" ref="AB320:AR320" si="760">IF(SUM(G317:G329)=0,NA(),G320+AA320)</f>
        <v>0</v>
      </c>
      <c r="AC320" s="34">
        <f t="shared" si="760"/>
        <v>5</v>
      </c>
      <c r="AD320" s="34">
        <f t="shared" si="760"/>
        <v>5</v>
      </c>
      <c r="AE320" s="34">
        <f t="shared" si="760"/>
        <v>9</v>
      </c>
      <c r="AF320" s="34">
        <f t="shared" si="760"/>
        <v>13</v>
      </c>
      <c r="AG320" s="34">
        <f t="shared" si="760"/>
        <v>14</v>
      </c>
      <c r="AH320" s="34">
        <f t="shared" si="760"/>
        <v>15</v>
      </c>
      <c r="AI320" s="34">
        <f t="shared" si="760"/>
        <v>19</v>
      </c>
      <c r="AJ320" s="34">
        <f t="shared" si="760"/>
        <v>19</v>
      </c>
      <c r="AK320" s="34" t="e">
        <f t="shared" si="760"/>
        <v>#N/A</v>
      </c>
      <c r="AL320" s="34" t="e">
        <f t="shared" si="760"/>
        <v>#N/A</v>
      </c>
      <c r="AM320" s="34" t="e">
        <f t="shared" si="760"/>
        <v>#N/A</v>
      </c>
      <c r="AN320" s="34" t="e">
        <f t="shared" si="760"/>
        <v>#N/A</v>
      </c>
      <c r="AO320" s="34" t="e">
        <f t="shared" si="760"/>
        <v>#N/A</v>
      </c>
      <c r="AP320" s="34" t="e">
        <f t="shared" si="760"/>
        <v>#N/A</v>
      </c>
      <c r="AQ320" s="34" t="e">
        <f t="shared" si="760"/>
        <v>#N/A</v>
      </c>
      <c r="AR320" s="34" t="e">
        <f t="shared" si="760"/>
        <v>#N/A</v>
      </c>
      <c r="AS320" s="27"/>
      <c r="AT320" s="39"/>
      <c r="AU320" s="39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30"/>
    </row>
    <row r="321" spans="1:66" ht="11.25" customHeight="1" x14ac:dyDescent="0.2">
      <c r="A321" s="42"/>
      <c r="B321" s="74"/>
      <c r="C321" s="33">
        <v>5</v>
      </c>
      <c r="D321" s="13" t="s">
        <v>246</v>
      </c>
      <c r="E321" s="16">
        <f>SUM(F321:W321)</f>
        <v>13</v>
      </c>
      <c r="F321" s="16">
        <f>SUMIFS([0]!VOTOS2,[0]!TURNO1,F$31,[0]!CANDIDATO1,$C321,[0]!MUNICIPIO1,$B$317)</f>
        <v>0</v>
      </c>
      <c r="G321" s="16">
        <f>SUMIFS([0]!VOTOS2,[0]!TURNO1,G$31,[0]!CANDIDATO1,$C321,[0]!MUNICIPIO1,$B$317)</f>
        <v>1</v>
      </c>
      <c r="H321" s="16">
        <f>SUMIFS([0]!VOTOS2,[0]!TURNO1,H$31,[0]!CANDIDATO1,$C321,[0]!MUNICIPIO1,$B$317)</f>
        <v>4</v>
      </c>
      <c r="I321" s="16">
        <f>SUMIFS([0]!VOTOS2,[0]!TURNO1,I$31,[0]!CANDIDATO1,$C321,[0]!MUNICIPIO1,$B$317)</f>
        <v>0</v>
      </c>
      <c r="J321" s="16">
        <f>SUMIFS([0]!VOTOS2,[0]!TURNO1,J$31,[0]!CANDIDATO1,$C321,[0]!MUNICIPIO1,$B$317)</f>
        <v>2</v>
      </c>
      <c r="K321" s="16">
        <f>SUMIFS([0]!VOTOS2,[0]!TURNO1,K$31,[0]!CANDIDATO1,$C321,[0]!MUNICIPIO1,$B$317)</f>
        <v>0</v>
      </c>
      <c r="L321" s="16">
        <f>SUMIFS([0]!VOTOS2,[0]!TURNO1,L$31,[0]!CANDIDATO1,$C321,[0]!MUNICIPIO1,$B$317)</f>
        <v>5</v>
      </c>
      <c r="M321" s="16">
        <f>SUMIFS([0]!VOTOS2,[0]!TURNO1,M$31,[0]!CANDIDATO1,$C321,[0]!MUNICIPIO1,$B$317)</f>
        <v>0</v>
      </c>
      <c r="N321" s="16">
        <f>SUMIFS([0]!VOTOS2,[0]!TURNO1,N$31,[0]!CANDIDATO1,$C321,[0]!MUNICIPIO1,$B$317)</f>
        <v>1</v>
      </c>
      <c r="O321" s="16">
        <f>SUMIFS([0]!VOTOS2,[0]!TURNO1,O$31,[0]!CANDIDATO1,$C321,[0]!MUNICIPIO1,$B$317)</f>
        <v>0</v>
      </c>
      <c r="P321" s="16">
        <f>SUMIFS([0]!VOTOS2,[0]!TURNO1,P$31,[0]!CANDIDATO1,$C321,[0]!MUNICIPIO1,$B$317)</f>
        <v>0</v>
      </c>
      <c r="Q321" s="16">
        <f>SUMIFS([0]!VOTOS2,[0]!TURNO1,Q$31,[0]!CANDIDATO1,$C321,[0]!MUNICIPIO1,$B$317)</f>
        <v>0</v>
      </c>
      <c r="R321" s="16">
        <f>SUMIFS([0]!VOTOS2,[0]!TURNO1,R$31,[0]!CANDIDATO1,$C321,[0]!MUNICIPIO1,$B$317)</f>
        <v>0</v>
      </c>
      <c r="S321" s="16">
        <f>SUMIFS([0]!VOTOS2,[0]!TURNO1,S$31,[0]!CANDIDATO1,$C321,[0]!MUNICIPIO1,$B$317)</f>
        <v>0</v>
      </c>
      <c r="T321" s="16">
        <f>SUMIFS([0]!VOTOS2,[0]!TURNO1,T$31,[0]!CANDIDATO1,$C321,[0]!MUNICIPIO1,$B$317)</f>
        <v>0</v>
      </c>
      <c r="U321" s="16">
        <f>SUMIFS([0]!VOTOS2,[0]!TURNO1,U$31,[0]!CANDIDATO1,$C321,[0]!MUNICIPIO1,$B$317)</f>
        <v>0</v>
      </c>
      <c r="V321" s="16">
        <f>SUMIFS([0]!VOTOS2,[0]!TURNO1,V$31,[0]!CANDIDATO1,$C321,[0]!MUNICIPIO1,$B$317)</f>
        <v>0</v>
      </c>
      <c r="W321" s="16">
        <f>SUMIFS([0]!VOTOS2,[0]!TURNO1,W$31,[0]!CANDIDATO1,$C321,[0]!MUNICIPIO1,$B$317)</f>
        <v>0</v>
      </c>
      <c r="X321" s="24"/>
      <c r="Y321" s="18" t="str">
        <f t="shared" si="749"/>
        <v>ROBINSON TRUJILLO</v>
      </c>
      <c r="Z321" s="34">
        <f t="shared" si="750"/>
        <v>13</v>
      </c>
      <c r="AA321" s="34">
        <f t="shared" si="751"/>
        <v>0</v>
      </c>
      <c r="AB321" s="34">
        <f t="shared" ref="AB321:AR321" si="761">IF(SUM(G317:G329)=0,NA(),G321+AA321)</f>
        <v>1</v>
      </c>
      <c r="AC321" s="34">
        <f t="shared" si="761"/>
        <v>5</v>
      </c>
      <c r="AD321" s="34">
        <f t="shared" si="761"/>
        <v>5</v>
      </c>
      <c r="AE321" s="34">
        <f t="shared" si="761"/>
        <v>7</v>
      </c>
      <c r="AF321" s="34">
        <f t="shared" si="761"/>
        <v>7</v>
      </c>
      <c r="AG321" s="34">
        <f t="shared" si="761"/>
        <v>12</v>
      </c>
      <c r="AH321" s="34">
        <f t="shared" si="761"/>
        <v>12</v>
      </c>
      <c r="AI321" s="34">
        <f t="shared" si="761"/>
        <v>13</v>
      </c>
      <c r="AJ321" s="34">
        <f t="shared" si="761"/>
        <v>13</v>
      </c>
      <c r="AK321" s="34" t="e">
        <f t="shared" si="761"/>
        <v>#N/A</v>
      </c>
      <c r="AL321" s="34" t="e">
        <f t="shared" si="761"/>
        <v>#N/A</v>
      </c>
      <c r="AM321" s="34" t="e">
        <f t="shared" si="761"/>
        <v>#N/A</v>
      </c>
      <c r="AN321" s="34" t="e">
        <f t="shared" si="761"/>
        <v>#N/A</v>
      </c>
      <c r="AO321" s="34" t="e">
        <f t="shared" si="761"/>
        <v>#N/A</v>
      </c>
      <c r="AP321" s="34" t="e">
        <f t="shared" si="761"/>
        <v>#N/A</v>
      </c>
      <c r="AQ321" s="34" t="e">
        <f t="shared" si="761"/>
        <v>#N/A</v>
      </c>
      <c r="AR321" s="34" t="e">
        <f t="shared" si="761"/>
        <v>#N/A</v>
      </c>
      <c r="AS321" s="27"/>
      <c r="AT321" s="39"/>
      <c r="AU321" s="39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30"/>
    </row>
    <row r="322" spans="1:66" ht="11.25" customHeight="1" x14ac:dyDescent="0.2">
      <c r="A322" s="37"/>
      <c r="B322" s="45"/>
      <c r="C322" s="46">
        <v>6</v>
      </c>
      <c r="D322" s="14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24"/>
      <c r="Y322" s="18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27"/>
      <c r="AT322" s="39"/>
      <c r="AU322" s="39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30"/>
    </row>
    <row r="323" spans="1:66" ht="11.25" customHeight="1" x14ac:dyDescent="0.2">
      <c r="A323" s="44"/>
      <c r="B323" s="45"/>
      <c r="C323" s="46">
        <v>7</v>
      </c>
      <c r="D323" s="14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24"/>
      <c r="Y323" s="18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27"/>
      <c r="AT323" s="39"/>
      <c r="AU323" s="39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30"/>
    </row>
    <row r="324" spans="1:66" ht="11.25" customHeight="1" x14ac:dyDescent="0.2">
      <c r="A324" s="44"/>
      <c r="B324" s="45"/>
      <c r="C324" s="46">
        <v>8</v>
      </c>
      <c r="D324" s="14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24"/>
      <c r="Y324" s="18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27"/>
      <c r="AT324" s="41"/>
      <c r="AU324" s="41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30"/>
    </row>
    <row r="325" spans="1:66" ht="11.25" customHeight="1" x14ac:dyDescent="0.2">
      <c r="A325" s="44"/>
      <c r="B325" s="45"/>
      <c r="C325" s="46">
        <v>9</v>
      </c>
      <c r="D325" s="14" t="s">
        <v>76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24"/>
      <c r="Y325" s="18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27"/>
      <c r="AT325" s="41"/>
      <c r="AU325" s="41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30"/>
    </row>
    <row r="326" spans="1:66" ht="11.25" customHeight="1" x14ac:dyDescent="0.2">
      <c r="A326" s="44"/>
      <c r="B326" s="45"/>
      <c r="C326" s="46">
        <v>10</v>
      </c>
      <c r="D326" s="14" t="s">
        <v>76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24"/>
      <c r="Y326" s="18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27"/>
      <c r="AT326" s="41"/>
      <c r="AU326" s="41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30"/>
    </row>
    <row r="327" spans="1:66" ht="11.25" customHeight="1" x14ac:dyDescent="0.2">
      <c r="A327" s="44"/>
      <c r="B327" s="45"/>
      <c r="C327" s="46">
        <v>11</v>
      </c>
      <c r="D327" s="14" t="s">
        <v>76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24"/>
      <c r="Y327" s="18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27"/>
      <c r="AT327" s="41"/>
      <c r="AU327" s="41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30"/>
    </row>
    <row r="328" spans="1:66" ht="11.25" customHeight="1" x14ac:dyDescent="0.2">
      <c r="A328" s="44"/>
      <c r="B328" s="45"/>
      <c r="C328" s="46">
        <v>12</v>
      </c>
      <c r="D328" s="14" t="s">
        <v>76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24"/>
      <c r="Y328" s="18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27"/>
      <c r="AT328" s="41"/>
      <c r="AU328" s="41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30"/>
    </row>
    <row r="329" spans="1:66" ht="11.25" customHeight="1" x14ac:dyDescent="0.2">
      <c r="A329" s="44"/>
      <c r="B329" s="45"/>
      <c r="C329" s="46">
        <v>13</v>
      </c>
      <c r="D329" s="14" t="s">
        <v>76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24"/>
      <c r="Y329" s="18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27"/>
      <c r="AT329" s="41"/>
      <c r="AU329" s="41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30"/>
    </row>
    <row r="330" spans="1:66" ht="11.25" customHeight="1" x14ac:dyDescent="0.2">
      <c r="X330" s="24"/>
      <c r="Y330" s="19" t="s">
        <v>79</v>
      </c>
      <c r="Z330" s="34">
        <f t="shared" ref="Z330" si="762">SUM(Z319:Z329)</f>
        <v>112</v>
      </c>
      <c r="AA330" s="34">
        <f t="shared" ref="AA330" si="763">SUM(AA319:AA329)</f>
        <v>0</v>
      </c>
      <c r="AB330" s="34">
        <f t="shared" ref="AB330" si="764">SUM(AB319:AB329)</f>
        <v>11</v>
      </c>
      <c r="AC330" s="34">
        <f t="shared" ref="AC330" si="765">SUM(AC319:AC329)</f>
        <v>42</v>
      </c>
      <c r="AD330" s="34">
        <f t="shared" ref="AD330" si="766">SUM(AD319:AD329)</f>
        <v>43</v>
      </c>
      <c r="AE330" s="34">
        <f t="shared" ref="AE330" si="767">SUM(AE319:AE329)</f>
        <v>61</v>
      </c>
      <c r="AF330" s="34">
        <f t="shared" ref="AF330" si="768">SUM(AF319:AF329)</f>
        <v>77</v>
      </c>
      <c r="AG330" s="34">
        <f t="shared" ref="AG330" si="769">SUM(AG319:AG329)</f>
        <v>87</v>
      </c>
      <c r="AH330" s="34">
        <f t="shared" ref="AH330" si="770">SUM(AH319:AH329)</f>
        <v>101</v>
      </c>
      <c r="AI330" s="34">
        <f t="shared" ref="AI330" si="771">SUM(AI319:AI329)</f>
        <v>112</v>
      </c>
      <c r="AJ330" s="34">
        <f t="shared" ref="AJ330" si="772">SUM(AJ319:AJ329)</f>
        <v>112</v>
      </c>
      <c r="AK330" s="34" t="e">
        <f t="shared" ref="AK330" si="773">SUM(AK319:AK329)</f>
        <v>#N/A</v>
      </c>
      <c r="AL330" s="34" t="e">
        <f t="shared" ref="AL330" si="774">SUM(AL319:AL329)</f>
        <v>#N/A</v>
      </c>
      <c r="AM330" s="34" t="e">
        <f t="shared" ref="AM330" si="775">SUM(AM319:AM329)</f>
        <v>#N/A</v>
      </c>
      <c r="AN330" s="34" t="e">
        <f t="shared" ref="AN330" si="776">SUM(AN319:AN329)</f>
        <v>#N/A</v>
      </c>
      <c r="AO330" s="34" t="e">
        <f t="shared" ref="AO330" si="777">SUM(AO319:AO329)</f>
        <v>#N/A</v>
      </c>
      <c r="AP330" s="34" t="e">
        <f t="shared" ref="AP330" si="778">SUM(AP319:AP329)</f>
        <v>#N/A</v>
      </c>
      <c r="AQ330" s="34" t="e">
        <f t="shared" ref="AQ330" si="779">SUM(AQ319:AQ329)</f>
        <v>#N/A</v>
      </c>
      <c r="AR330" s="34" t="e">
        <f t="shared" ref="AR330" si="780">SUM(AR319:AR329)</f>
        <v>#N/A</v>
      </c>
      <c r="AS330" s="27"/>
      <c r="AT330" s="41"/>
      <c r="AU330" s="41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30"/>
    </row>
    <row r="331" spans="1:66" ht="11.25" customHeight="1" x14ac:dyDescent="0.2">
      <c r="A331" s="75" t="s">
        <v>63</v>
      </c>
      <c r="B331" s="76"/>
      <c r="C331" s="21"/>
      <c r="D331" s="22" t="s">
        <v>75</v>
      </c>
      <c r="E331" s="23" t="s">
        <v>70</v>
      </c>
      <c r="F331" s="23">
        <v>0</v>
      </c>
      <c r="G331" s="23">
        <v>1</v>
      </c>
      <c r="H331" s="23">
        <v>2</v>
      </c>
      <c r="I331" s="23">
        <v>3</v>
      </c>
      <c r="J331" s="23">
        <v>4</v>
      </c>
      <c r="K331" s="23">
        <v>5</v>
      </c>
      <c r="L331" s="23">
        <v>6</v>
      </c>
      <c r="M331" s="23">
        <v>7</v>
      </c>
      <c r="N331" s="23">
        <v>8</v>
      </c>
      <c r="O331" s="23">
        <v>9</v>
      </c>
      <c r="P331" s="23">
        <v>10</v>
      </c>
      <c r="Q331" s="23">
        <v>11</v>
      </c>
      <c r="R331" s="23">
        <v>12</v>
      </c>
      <c r="S331" s="23">
        <v>13</v>
      </c>
      <c r="T331" s="23">
        <v>14</v>
      </c>
      <c r="U331" s="23">
        <v>15</v>
      </c>
      <c r="V331" s="23">
        <v>16</v>
      </c>
      <c r="W331" s="23">
        <v>17</v>
      </c>
      <c r="X331" s="24"/>
      <c r="Y331" s="17"/>
      <c r="Z331" s="25" t="s">
        <v>64</v>
      </c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7"/>
      <c r="AT331" s="28"/>
      <c r="AU331" s="28" t="s">
        <v>64</v>
      </c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30"/>
    </row>
    <row r="332" spans="1:66" ht="11.25" customHeight="1" x14ac:dyDescent="0.2">
      <c r="A332" s="32"/>
      <c r="B332" s="72">
        <v>23</v>
      </c>
      <c r="C332" s="33">
        <v>1</v>
      </c>
      <c r="D332" s="13" t="s">
        <v>247</v>
      </c>
      <c r="E332" s="16">
        <f t="shared" ref="E332:E337" si="781">SUM(F332:W332)</f>
        <v>65</v>
      </c>
      <c r="F332" s="16">
        <f>SUMIFS([0]!VOTOS2,[0]!TURNO1,F$31,[0]!CANDIDATO1,$C332,[0]!MUNICIPIO1,$B$332)</f>
        <v>10</v>
      </c>
      <c r="G332" s="16">
        <f>SUMIFS([0]!VOTOS2,[0]!TURNO1,G$31,[0]!CANDIDATO1,$C332,[0]!MUNICIPIO1,$B$332)</f>
        <v>0</v>
      </c>
      <c r="H332" s="16">
        <f>SUMIFS([0]!VOTOS2,[0]!TURNO1,H$31,[0]!CANDIDATO1,$C332,[0]!MUNICIPIO1,$B$332)</f>
        <v>5</v>
      </c>
      <c r="I332" s="16">
        <f>SUMIFS([0]!VOTOS2,[0]!TURNO1,I$31,[0]!CANDIDATO1,$C332,[0]!MUNICIPIO1,$B$332)</f>
        <v>0</v>
      </c>
      <c r="J332" s="16">
        <f>SUMIFS([0]!VOTOS2,[0]!TURNO1,J$31,[0]!CANDIDATO1,$C332,[0]!MUNICIPIO1,$B$332)</f>
        <v>0</v>
      </c>
      <c r="K332" s="16">
        <f>SUMIFS([0]!VOTOS2,[0]!TURNO1,K$31,[0]!CANDIDATO1,$C332,[0]!MUNICIPIO1,$B$332)</f>
        <v>50</v>
      </c>
      <c r="L332" s="16">
        <f>SUMIFS([0]!VOTOS2,[0]!TURNO1,L$31,[0]!CANDIDATO1,$C332,[0]!MUNICIPIO1,$B$332)</f>
        <v>0</v>
      </c>
      <c r="M332" s="16">
        <f>SUMIFS([0]!VOTOS2,[0]!TURNO1,M$31,[0]!CANDIDATO1,$C332,[0]!MUNICIPIO1,$B$332)</f>
        <v>0</v>
      </c>
      <c r="N332" s="16">
        <f>SUMIFS([0]!VOTOS2,[0]!TURNO1,N$31,[0]!CANDIDATO1,$C332,[0]!MUNICIPIO1,$B$332)</f>
        <v>0</v>
      </c>
      <c r="O332" s="16">
        <f>SUMIFS([0]!VOTOS2,[0]!TURNO1,O$31,[0]!CANDIDATO1,$C332,[0]!MUNICIPIO1,$B$332)</f>
        <v>0</v>
      </c>
      <c r="P332" s="16">
        <f>SUMIFS([0]!VOTOS2,[0]!TURNO1,P$31,[0]!CANDIDATO1,$C332,[0]!MUNICIPIO1,$B$332)</f>
        <v>0</v>
      </c>
      <c r="Q332" s="16">
        <f>SUMIFS([0]!VOTOS2,[0]!TURNO1,Q$31,[0]!CANDIDATO1,$C332,[0]!MUNICIPIO1,$B$332)</f>
        <v>0</v>
      </c>
      <c r="R332" s="16">
        <f>SUMIFS([0]!VOTOS2,[0]!TURNO1,R$31,[0]!CANDIDATO1,$C332,[0]!MUNICIPIO1,$B$332)</f>
        <v>0</v>
      </c>
      <c r="S332" s="16">
        <f>SUMIFS([0]!VOTOS2,[0]!TURNO1,S$31,[0]!CANDIDATO1,$C332,[0]!MUNICIPIO1,$B$332)</f>
        <v>0</v>
      </c>
      <c r="T332" s="16">
        <f>SUMIFS([0]!VOTOS2,[0]!TURNO1,T$31,[0]!CANDIDATO1,$C332,[0]!MUNICIPIO1,$B$332)</f>
        <v>0</v>
      </c>
      <c r="U332" s="16">
        <f>SUMIFS([0]!VOTOS2,[0]!TURNO1,U$31,[0]!CANDIDATO1,$C332,[0]!MUNICIPIO1,$B$332)</f>
        <v>0</v>
      </c>
      <c r="V332" s="16">
        <f>SUMIFS([0]!VOTOS2,[0]!TURNO1,V$31,[0]!CANDIDATO1,$C332,[0]!MUNICIPIO1,$B$332)</f>
        <v>0</v>
      </c>
      <c r="W332" s="16">
        <f>SUMIFS([0]!VOTOS2,[0]!TURNO1,W$31,[0]!CANDIDATO1,$C332,[0]!MUNICIPIO1,$B$332)</f>
        <v>0</v>
      </c>
      <c r="X332" s="24"/>
      <c r="Y332" s="18" t="str">
        <f t="shared" ref="Y332:Y337" si="782">D332</f>
        <v>PABLO ACOSTA</v>
      </c>
      <c r="Z332" s="34">
        <f t="shared" ref="Z332:Z337" si="783">E332</f>
        <v>65</v>
      </c>
      <c r="AA332" s="34">
        <f t="shared" ref="AA332:AA337" si="784">F332</f>
        <v>10</v>
      </c>
      <c r="AB332" s="34" t="e">
        <f t="shared" ref="AB332:AR332" si="785">IF(SUM(G332:G344)=0,NA(),G332+AA332)</f>
        <v>#N/A</v>
      </c>
      <c r="AC332" s="34" t="e">
        <f t="shared" si="785"/>
        <v>#N/A</v>
      </c>
      <c r="AD332" s="34" t="e">
        <f t="shared" si="785"/>
        <v>#N/A</v>
      </c>
      <c r="AE332" s="34" t="e">
        <f t="shared" si="785"/>
        <v>#N/A</v>
      </c>
      <c r="AF332" s="34" t="e">
        <f t="shared" si="785"/>
        <v>#N/A</v>
      </c>
      <c r="AG332" s="34" t="e">
        <f t="shared" si="785"/>
        <v>#N/A</v>
      </c>
      <c r="AH332" s="34" t="e">
        <f t="shared" si="785"/>
        <v>#N/A</v>
      </c>
      <c r="AI332" s="34" t="e">
        <f t="shared" si="785"/>
        <v>#N/A</v>
      </c>
      <c r="AJ332" s="34" t="e">
        <f t="shared" si="785"/>
        <v>#N/A</v>
      </c>
      <c r="AK332" s="34" t="e">
        <f t="shared" si="785"/>
        <v>#N/A</v>
      </c>
      <c r="AL332" s="34" t="e">
        <f t="shared" si="785"/>
        <v>#N/A</v>
      </c>
      <c r="AM332" s="34" t="e">
        <f t="shared" si="785"/>
        <v>#N/A</v>
      </c>
      <c r="AN332" s="34" t="e">
        <f t="shared" si="785"/>
        <v>#N/A</v>
      </c>
      <c r="AO332" s="34" t="e">
        <f t="shared" si="785"/>
        <v>#N/A</v>
      </c>
      <c r="AP332" s="34" t="e">
        <f t="shared" si="785"/>
        <v>#N/A</v>
      </c>
      <c r="AQ332" s="34" t="e">
        <f t="shared" si="785"/>
        <v>#N/A</v>
      </c>
      <c r="AR332" s="34" t="e">
        <f t="shared" si="785"/>
        <v>#N/A</v>
      </c>
      <c r="AS332" s="27"/>
      <c r="AT332" s="35" t="str">
        <f t="shared" ref="AT332:AT333" si="786">Y332</f>
        <v>PABLO ACOSTA</v>
      </c>
      <c r="AU332" s="36">
        <f t="shared" ref="AU332:BM332" si="787">Z332/(Z332+Z333+Z345)</f>
        <v>0.48507462686567165</v>
      </c>
      <c r="AV332" s="36">
        <f t="shared" si="787"/>
        <v>0.5</v>
      </c>
      <c r="AW332" s="36" t="e">
        <f t="shared" si="787"/>
        <v>#N/A</v>
      </c>
      <c r="AX332" s="36" t="e">
        <f t="shared" si="787"/>
        <v>#N/A</v>
      </c>
      <c r="AY332" s="36" t="e">
        <f t="shared" si="787"/>
        <v>#N/A</v>
      </c>
      <c r="AZ332" s="36" t="e">
        <f t="shared" si="787"/>
        <v>#N/A</v>
      </c>
      <c r="BA332" s="36" t="e">
        <f t="shared" si="787"/>
        <v>#N/A</v>
      </c>
      <c r="BB332" s="36" t="e">
        <f t="shared" si="787"/>
        <v>#N/A</v>
      </c>
      <c r="BC332" s="36" t="e">
        <f t="shared" si="787"/>
        <v>#N/A</v>
      </c>
      <c r="BD332" s="36" t="e">
        <f t="shared" si="787"/>
        <v>#N/A</v>
      </c>
      <c r="BE332" s="36" t="e">
        <f t="shared" si="787"/>
        <v>#N/A</v>
      </c>
      <c r="BF332" s="36" t="e">
        <f t="shared" si="787"/>
        <v>#N/A</v>
      </c>
      <c r="BG332" s="36" t="e">
        <f t="shared" si="787"/>
        <v>#N/A</v>
      </c>
      <c r="BH332" s="36" t="e">
        <f t="shared" si="787"/>
        <v>#N/A</v>
      </c>
      <c r="BI332" s="36" t="e">
        <f t="shared" si="787"/>
        <v>#N/A</v>
      </c>
      <c r="BJ332" s="36" t="e">
        <f t="shared" si="787"/>
        <v>#N/A</v>
      </c>
      <c r="BK332" s="36" t="e">
        <f t="shared" si="787"/>
        <v>#N/A</v>
      </c>
      <c r="BL332" s="36" t="e">
        <f t="shared" si="787"/>
        <v>#N/A</v>
      </c>
      <c r="BM332" s="36" t="e">
        <f t="shared" si="787"/>
        <v>#N/A</v>
      </c>
      <c r="BN332" s="30"/>
    </row>
    <row r="333" spans="1:66" ht="11.25" customHeight="1" x14ac:dyDescent="0.2">
      <c r="A333" s="37"/>
      <c r="B333" s="73"/>
      <c r="C333" s="33">
        <v>2</v>
      </c>
      <c r="D333" s="13" t="s">
        <v>248</v>
      </c>
      <c r="E333" s="16">
        <f t="shared" si="781"/>
        <v>59</v>
      </c>
      <c r="F333" s="16">
        <f>SUMIFS([0]!VOTOS2,[0]!TURNO1,F$31,[0]!CANDIDATO1,$C333,[0]!MUNICIPIO1,$B$332)</f>
        <v>10</v>
      </c>
      <c r="G333" s="16">
        <f>SUMIFS([0]!VOTOS2,[0]!TURNO1,G$31,[0]!CANDIDATO1,$C333,[0]!MUNICIPIO1,$B$332)</f>
        <v>0</v>
      </c>
      <c r="H333" s="16">
        <f>SUMIFS([0]!VOTOS2,[0]!TURNO1,H$31,[0]!CANDIDATO1,$C333,[0]!MUNICIPIO1,$B$332)</f>
        <v>6</v>
      </c>
      <c r="I333" s="16">
        <f>SUMIFS([0]!VOTOS2,[0]!TURNO1,I$31,[0]!CANDIDATO1,$C333,[0]!MUNICIPIO1,$B$332)</f>
        <v>0</v>
      </c>
      <c r="J333" s="16">
        <f>SUMIFS([0]!VOTOS2,[0]!TURNO1,J$31,[0]!CANDIDATO1,$C333,[0]!MUNICIPIO1,$B$332)</f>
        <v>0</v>
      </c>
      <c r="K333" s="16">
        <f>SUMIFS([0]!VOTOS2,[0]!TURNO1,K$31,[0]!CANDIDATO1,$C333,[0]!MUNICIPIO1,$B$332)</f>
        <v>43</v>
      </c>
      <c r="L333" s="16">
        <f>SUMIFS([0]!VOTOS2,[0]!TURNO1,L$31,[0]!CANDIDATO1,$C333,[0]!MUNICIPIO1,$B$332)</f>
        <v>0</v>
      </c>
      <c r="M333" s="16">
        <f>SUMIFS([0]!VOTOS2,[0]!TURNO1,M$31,[0]!CANDIDATO1,$C333,[0]!MUNICIPIO1,$B$332)</f>
        <v>0</v>
      </c>
      <c r="N333" s="16">
        <f>SUMIFS([0]!VOTOS2,[0]!TURNO1,N$31,[0]!CANDIDATO1,$C333,[0]!MUNICIPIO1,$B$332)</f>
        <v>0</v>
      </c>
      <c r="O333" s="16">
        <f>SUMIFS([0]!VOTOS2,[0]!TURNO1,O$31,[0]!CANDIDATO1,$C333,[0]!MUNICIPIO1,$B$332)</f>
        <v>0</v>
      </c>
      <c r="P333" s="16">
        <f>SUMIFS([0]!VOTOS2,[0]!TURNO1,P$31,[0]!CANDIDATO1,$C333,[0]!MUNICIPIO1,$B$332)</f>
        <v>0</v>
      </c>
      <c r="Q333" s="16">
        <f>SUMIFS([0]!VOTOS2,[0]!TURNO1,Q$31,[0]!CANDIDATO1,$C333,[0]!MUNICIPIO1,$B$332)</f>
        <v>0</v>
      </c>
      <c r="R333" s="16">
        <f>SUMIFS([0]!VOTOS2,[0]!TURNO1,R$31,[0]!CANDIDATO1,$C333,[0]!MUNICIPIO1,$B$332)</f>
        <v>0</v>
      </c>
      <c r="S333" s="16">
        <f>SUMIFS([0]!VOTOS2,[0]!TURNO1,S$31,[0]!CANDIDATO1,$C333,[0]!MUNICIPIO1,$B$332)</f>
        <v>0</v>
      </c>
      <c r="T333" s="16">
        <f>SUMIFS([0]!VOTOS2,[0]!TURNO1,T$31,[0]!CANDIDATO1,$C333,[0]!MUNICIPIO1,$B$332)</f>
        <v>0</v>
      </c>
      <c r="U333" s="16">
        <f>SUMIFS([0]!VOTOS2,[0]!TURNO1,U$31,[0]!CANDIDATO1,$C333,[0]!MUNICIPIO1,$B$332)</f>
        <v>0</v>
      </c>
      <c r="V333" s="16">
        <f>SUMIFS([0]!VOTOS2,[0]!TURNO1,V$31,[0]!CANDIDATO1,$C333,[0]!MUNICIPIO1,$B$332)</f>
        <v>0</v>
      </c>
      <c r="W333" s="16">
        <f>SUMIFS([0]!VOTOS2,[0]!TURNO1,W$31,[0]!CANDIDATO1,$C333,[0]!MUNICIPIO1,$B$332)</f>
        <v>0</v>
      </c>
      <c r="X333" s="24"/>
      <c r="Y333" s="18" t="str">
        <f t="shared" si="782"/>
        <v>VICTOR JURADO</v>
      </c>
      <c r="Z333" s="34">
        <f t="shared" si="783"/>
        <v>59</v>
      </c>
      <c r="AA333" s="34">
        <f t="shared" si="784"/>
        <v>10</v>
      </c>
      <c r="AB333" s="34" t="e">
        <f t="shared" ref="AB333:AR333" si="788">IF(SUM(G332:G344)=0,NA(),G333+AA333)</f>
        <v>#N/A</v>
      </c>
      <c r="AC333" s="34" t="e">
        <f t="shared" si="788"/>
        <v>#N/A</v>
      </c>
      <c r="AD333" s="34" t="e">
        <f t="shared" si="788"/>
        <v>#N/A</v>
      </c>
      <c r="AE333" s="34" t="e">
        <f t="shared" si="788"/>
        <v>#N/A</v>
      </c>
      <c r="AF333" s="34" t="e">
        <f t="shared" si="788"/>
        <v>#N/A</v>
      </c>
      <c r="AG333" s="34" t="e">
        <f t="shared" si="788"/>
        <v>#N/A</v>
      </c>
      <c r="AH333" s="34" t="e">
        <f t="shared" si="788"/>
        <v>#N/A</v>
      </c>
      <c r="AI333" s="34" t="e">
        <f t="shared" si="788"/>
        <v>#N/A</v>
      </c>
      <c r="AJ333" s="34" t="e">
        <f t="shared" si="788"/>
        <v>#N/A</v>
      </c>
      <c r="AK333" s="34" t="e">
        <f t="shared" si="788"/>
        <v>#N/A</v>
      </c>
      <c r="AL333" s="34" t="e">
        <f t="shared" si="788"/>
        <v>#N/A</v>
      </c>
      <c r="AM333" s="34" t="e">
        <f t="shared" si="788"/>
        <v>#N/A</v>
      </c>
      <c r="AN333" s="34" t="e">
        <f t="shared" si="788"/>
        <v>#N/A</v>
      </c>
      <c r="AO333" s="34" t="e">
        <f t="shared" si="788"/>
        <v>#N/A</v>
      </c>
      <c r="AP333" s="34" t="e">
        <f t="shared" si="788"/>
        <v>#N/A</v>
      </c>
      <c r="AQ333" s="34" t="e">
        <f t="shared" si="788"/>
        <v>#N/A</v>
      </c>
      <c r="AR333" s="34" t="e">
        <f t="shared" si="788"/>
        <v>#N/A</v>
      </c>
      <c r="AS333" s="27"/>
      <c r="AT333" s="35" t="str">
        <f t="shared" si="786"/>
        <v>VICTOR JURADO</v>
      </c>
      <c r="AU333" s="36">
        <f t="shared" ref="AU333:BM333" si="789">Z333/(Z332+Z333+Z345)</f>
        <v>0.44029850746268656</v>
      </c>
      <c r="AV333" s="36">
        <f t="shared" si="789"/>
        <v>0.5</v>
      </c>
      <c r="AW333" s="36" t="e">
        <f t="shared" si="789"/>
        <v>#N/A</v>
      </c>
      <c r="AX333" s="36" t="e">
        <f t="shared" si="789"/>
        <v>#N/A</v>
      </c>
      <c r="AY333" s="36" t="e">
        <f t="shared" si="789"/>
        <v>#N/A</v>
      </c>
      <c r="AZ333" s="36" t="e">
        <f t="shared" si="789"/>
        <v>#N/A</v>
      </c>
      <c r="BA333" s="36" t="e">
        <f t="shared" si="789"/>
        <v>#N/A</v>
      </c>
      <c r="BB333" s="36" t="e">
        <f t="shared" si="789"/>
        <v>#N/A</v>
      </c>
      <c r="BC333" s="36" t="e">
        <f t="shared" si="789"/>
        <v>#N/A</v>
      </c>
      <c r="BD333" s="36" t="e">
        <f t="shared" si="789"/>
        <v>#N/A</v>
      </c>
      <c r="BE333" s="36" t="e">
        <f t="shared" si="789"/>
        <v>#N/A</v>
      </c>
      <c r="BF333" s="36" t="e">
        <f t="shared" si="789"/>
        <v>#N/A</v>
      </c>
      <c r="BG333" s="36" t="e">
        <f t="shared" si="789"/>
        <v>#N/A</v>
      </c>
      <c r="BH333" s="36" t="e">
        <f t="shared" si="789"/>
        <v>#N/A</v>
      </c>
      <c r="BI333" s="36" t="e">
        <f t="shared" si="789"/>
        <v>#N/A</v>
      </c>
      <c r="BJ333" s="36" t="e">
        <f t="shared" si="789"/>
        <v>#N/A</v>
      </c>
      <c r="BK333" s="36" t="e">
        <f t="shared" si="789"/>
        <v>#N/A</v>
      </c>
      <c r="BL333" s="36" t="e">
        <f t="shared" si="789"/>
        <v>#N/A</v>
      </c>
      <c r="BM333" s="36" t="e">
        <f t="shared" si="789"/>
        <v>#N/A</v>
      </c>
      <c r="BN333" s="30"/>
    </row>
    <row r="334" spans="1:66" ht="11.25" customHeight="1" x14ac:dyDescent="0.2">
      <c r="A334" s="38" t="s">
        <v>26</v>
      </c>
      <c r="B334" s="73"/>
      <c r="C334" s="33">
        <v>3</v>
      </c>
      <c r="D334" s="13" t="s">
        <v>249</v>
      </c>
      <c r="E334" s="16">
        <f t="shared" si="781"/>
        <v>5</v>
      </c>
      <c r="F334" s="16">
        <f>SUMIFS([0]!VOTOS2,[0]!TURNO1,F$31,[0]!CANDIDATO1,$C334,[0]!MUNICIPIO1,$B$332)</f>
        <v>0</v>
      </c>
      <c r="G334" s="16">
        <f>SUMIFS([0]!VOTOS2,[0]!TURNO1,G$31,[0]!CANDIDATO1,$C334,[0]!MUNICIPIO1,$B$332)</f>
        <v>0</v>
      </c>
      <c r="H334" s="16">
        <f>SUMIFS([0]!VOTOS2,[0]!TURNO1,H$31,[0]!CANDIDATO1,$C334,[0]!MUNICIPIO1,$B$332)</f>
        <v>5</v>
      </c>
      <c r="I334" s="16">
        <f>SUMIFS([0]!VOTOS2,[0]!TURNO1,I$31,[0]!CANDIDATO1,$C334,[0]!MUNICIPIO1,$B$332)</f>
        <v>0</v>
      </c>
      <c r="J334" s="16">
        <f>SUMIFS([0]!VOTOS2,[0]!TURNO1,J$31,[0]!CANDIDATO1,$C334,[0]!MUNICIPIO1,$B$332)</f>
        <v>0</v>
      </c>
      <c r="K334" s="16">
        <f>SUMIFS([0]!VOTOS2,[0]!TURNO1,K$31,[0]!CANDIDATO1,$C334,[0]!MUNICIPIO1,$B$332)</f>
        <v>0</v>
      </c>
      <c r="L334" s="16">
        <f>SUMIFS([0]!VOTOS2,[0]!TURNO1,L$31,[0]!CANDIDATO1,$C334,[0]!MUNICIPIO1,$B$332)</f>
        <v>0</v>
      </c>
      <c r="M334" s="16">
        <f>SUMIFS([0]!VOTOS2,[0]!TURNO1,M$31,[0]!CANDIDATO1,$C334,[0]!MUNICIPIO1,$B$332)</f>
        <v>0</v>
      </c>
      <c r="N334" s="16">
        <f>SUMIFS([0]!VOTOS2,[0]!TURNO1,N$31,[0]!CANDIDATO1,$C334,[0]!MUNICIPIO1,$B$332)</f>
        <v>0</v>
      </c>
      <c r="O334" s="16">
        <f>SUMIFS([0]!VOTOS2,[0]!TURNO1,O$31,[0]!CANDIDATO1,$C334,[0]!MUNICIPIO1,$B$332)</f>
        <v>0</v>
      </c>
      <c r="P334" s="16">
        <f>SUMIFS([0]!VOTOS2,[0]!TURNO1,P$31,[0]!CANDIDATO1,$C334,[0]!MUNICIPIO1,$B$332)</f>
        <v>0</v>
      </c>
      <c r="Q334" s="16">
        <f>SUMIFS([0]!VOTOS2,[0]!TURNO1,Q$31,[0]!CANDIDATO1,$C334,[0]!MUNICIPIO1,$B$332)</f>
        <v>0</v>
      </c>
      <c r="R334" s="16">
        <f>SUMIFS([0]!VOTOS2,[0]!TURNO1,R$31,[0]!CANDIDATO1,$C334,[0]!MUNICIPIO1,$B$332)</f>
        <v>0</v>
      </c>
      <c r="S334" s="16">
        <f>SUMIFS([0]!VOTOS2,[0]!TURNO1,S$31,[0]!CANDIDATO1,$C334,[0]!MUNICIPIO1,$B$332)</f>
        <v>0</v>
      </c>
      <c r="T334" s="16">
        <f>SUMIFS([0]!VOTOS2,[0]!TURNO1,T$31,[0]!CANDIDATO1,$C334,[0]!MUNICIPIO1,$B$332)</f>
        <v>0</v>
      </c>
      <c r="U334" s="16">
        <f>SUMIFS([0]!VOTOS2,[0]!TURNO1,U$31,[0]!CANDIDATO1,$C334,[0]!MUNICIPIO1,$B$332)</f>
        <v>0</v>
      </c>
      <c r="V334" s="16">
        <f>SUMIFS([0]!VOTOS2,[0]!TURNO1,V$31,[0]!CANDIDATO1,$C334,[0]!MUNICIPIO1,$B$332)</f>
        <v>0</v>
      </c>
      <c r="W334" s="16">
        <f>SUMIFS([0]!VOTOS2,[0]!TURNO1,W$31,[0]!CANDIDATO1,$C334,[0]!MUNICIPIO1,$B$332)</f>
        <v>0</v>
      </c>
      <c r="X334" s="24"/>
      <c r="Y334" s="18" t="str">
        <f t="shared" si="782"/>
        <v>ROSMILDE HERRERA</v>
      </c>
      <c r="Z334" s="34">
        <f t="shared" si="783"/>
        <v>5</v>
      </c>
      <c r="AA334" s="34">
        <f t="shared" si="784"/>
        <v>0</v>
      </c>
      <c r="AB334" s="34" t="e">
        <f t="shared" ref="AB334:AR334" si="790">IF(SUM(G332:G344)=0,NA(),G334+AA334)</f>
        <v>#N/A</v>
      </c>
      <c r="AC334" s="34" t="e">
        <f t="shared" si="790"/>
        <v>#N/A</v>
      </c>
      <c r="AD334" s="34" t="e">
        <f t="shared" si="790"/>
        <v>#N/A</v>
      </c>
      <c r="AE334" s="34" t="e">
        <f t="shared" si="790"/>
        <v>#N/A</v>
      </c>
      <c r="AF334" s="34" t="e">
        <f t="shared" si="790"/>
        <v>#N/A</v>
      </c>
      <c r="AG334" s="34" t="e">
        <f t="shared" si="790"/>
        <v>#N/A</v>
      </c>
      <c r="AH334" s="34" t="e">
        <f t="shared" si="790"/>
        <v>#N/A</v>
      </c>
      <c r="AI334" s="34" t="e">
        <f t="shared" si="790"/>
        <v>#N/A</v>
      </c>
      <c r="AJ334" s="34" t="e">
        <f t="shared" si="790"/>
        <v>#N/A</v>
      </c>
      <c r="AK334" s="34" t="e">
        <f t="shared" si="790"/>
        <v>#N/A</v>
      </c>
      <c r="AL334" s="34" t="e">
        <f t="shared" si="790"/>
        <v>#N/A</v>
      </c>
      <c r="AM334" s="34" t="e">
        <f t="shared" si="790"/>
        <v>#N/A</v>
      </c>
      <c r="AN334" s="34" t="e">
        <f t="shared" si="790"/>
        <v>#N/A</v>
      </c>
      <c r="AO334" s="34" t="e">
        <f t="shared" si="790"/>
        <v>#N/A</v>
      </c>
      <c r="AP334" s="34" t="e">
        <f t="shared" si="790"/>
        <v>#N/A</v>
      </c>
      <c r="AQ334" s="34" t="e">
        <f t="shared" si="790"/>
        <v>#N/A</v>
      </c>
      <c r="AR334" s="34" t="e">
        <f t="shared" si="790"/>
        <v>#N/A</v>
      </c>
      <c r="AS334" s="27"/>
      <c r="AT334" s="35" t="str">
        <f t="shared" ref="AT334" si="791">Y345</f>
        <v>Otros</v>
      </c>
      <c r="AU334" s="36">
        <f t="shared" ref="AU334:BM334" si="792">Z345/(Z332+Z333+Z345)</f>
        <v>7.4626865671641784E-2</v>
      </c>
      <c r="AV334" s="36">
        <f t="shared" si="792"/>
        <v>0</v>
      </c>
      <c r="AW334" s="36" t="e">
        <f t="shared" si="792"/>
        <v>#N/A</v>
      </c>
      <c r="AX334" s="36" t="e">
        <f t="shared" si="792"/>
        <v>#N/A</v>
      </c>
      <c r="AY334" s="36" t="e">
        <f t="shared" si="792"/>
        <v>#N/A</v>
      </c>
      <c r="AZ334" s="36" t="e">
        <f t="shared" si="792"/>
        <v>#N/A</v>
      </c>
      <c r="BA334" s="36" t="e">
        <f t="shared" si="792"/>
        <v>#N/A</v>
      </c>
      <c r="BB334" s="36" t="e">
        <f t="shared" si="792"/>
        <v>#N/A</v>
      </c>
      <c r="BC334" s="36" t="e">
        <f t="shared" si="792"/>
        <v>#N/A</v>
      </c>
      <c r="BD334" s="36" t="e">
        <f t="shared" si="792"/>
        <v>#N/A</v>
      </c>
      <c r="BE334" s="36" t="e">
        <f t="shared" si="792"/>
        <v>#N/A</v>
      </c>
      <c r="BF334" s="36" t="e">
        <f t="shared" si="792"/>
        <v>#N/A</v>
      </c>
      <c r="BG334" s="36" t="e">
        <f t="shared" si="792"/>
        <v>#N/A</v>
      </c>
      <c r="BH334" s="36" t="e">
        <f t="shared" si="792"/>
        <v>#N/A</v>
      </c>
      <c r="BI334" s="36" t="e">
        <f t="shared" si="792"/>
        <v>#N/A</v>
      </c>
      <c r="BJ334" s="36" t="e">
        <f t="shared" si="792"/>
        <v>#N/A</v>
      </c>
      <c r="BK334" s="36" t="e">
        <f t="shared" si="792"/>
        <v>#N/A</v>
      </c>
      <c r="BL334" s="36" t="e">
        <f t="shared" si="792"/>
        <v>#N/A</v>
      </c>
      <c r="BM334" s="36" t="e">
        <f t="shared" si="792"/>
        <v>#N/A</v>
      </c>
      <c r="BN334" s="30"/>
    </row>
    <row r="335" spans="1:66" ht="11.25" customHeight="1" x14ac:dyDescent="0.2">
      <c r="A335" s="38" t="s">
        <v>4</v>
      </c>
      <c r="B335" s="73"/>
      <c r="C335" s="33">
        <v>4</v>
      </c>
      <c r="D335" s="13" t="s">
        <v>250</v>
      </c>
      <c r="E335" s="16">
        <f t="shared" si="781"/>
        <v>5</v>
      </c>
      <c r="F335" s="16">
        <f>SUMIFS([0]!VOTOS2,[0]!TURNO1,F$31,[0]!CANDIDATO1,$C335,[0]!MUNICIPIO1,$B$332)</f>
        <v>0</v>
      </c>
      <c r="G335" s="16">
        <f>SUMIFS([0]!VOTOS2,[0]!TURNO1,G$31,[0]!CANDIDATO1,$C335,[0]!MUNICIPIO1,$B$332)</f>
        <v>0</v>
      </c>
      <c r="H335" s="16">
        <f>SUMIFS([0]!VOTOS2,[0]!TURNO1,H$31,[0]!CANDIDATO1,$C335,[0]!MUNICIPIO1,$B$332)</f>
        <v>5</v>
      </c>
      <c r="I335" s="16">
        <f>SUMIFS([0]!VOTOS2,[0]!TURNO1,I$31,[0]!CANDIDATO1,$C335,[0]!MUNICIPIO1,$B$332)</f>
        <v>0</v>
      </c>
      <c r="J335" s="16">
        <f>SUMIFS([0]!VOTOS2,[0]!TURNO1,J$31,[0]!CANDIDATO1,$C335,[0]!MUNICIPIO1,$B$332)</f>
        <v>0</v>
      </c>
      <c r="K335" s="16">
        <f>SUMIFS([0]!VOTOS2,[0]!TURNO1,K$31,[0]!CANDIDATO1,$C335,[0]!MUNICIPIO1,$B$332)</f>
        <v>0</v>
      </c>
      <c r="L335" s="16">
        <f>SUMIFS([0]!VOTOS2,[0]!TURNO1,L$31,[0]!CANDIDATO1,$C335,[0]!MUNICIPIO1,$B$332)</f>
        <v>0</v>
      </c>
      <c r="M335" s="16">
        <f>SUMIFS([0]!VOTOS2,[0]!TURNO1,M$31,[0]!CANDIDATO1,$C335,[0]!MUNICIPIO1,$B$332)</f>
        <v>0</v>
      </c>
      <c r="N335" s="16">
        <f>SUMIFS([0]!VOTOS2,[0]!TURNO1,N$31,[0]!CANDIDATO1,$C335,[0]!MUNICIPIO1,$B$332)</f>
        <v>0</v>
      </c>
      <c r="O335" s="16">
        <f>SUMIFS([0]!VOTOS2,[0]!TURNO1,O$31,[0]!CANDIDATO1,$C335,[0]!MUNICIPIO1,$B$332)</f>
        <v>0</v>
      </c>
      <c r="P335" s="16">
        <f>SUMIFS([0]!VOTOS2,[0]!TURNO1,P$31,[0]!CANDIDATO1,$C335,[0]!MUNICIPIO1,$B$332)</f>
        <v>0</v>
      </c>
      <c r="Q335" s="16">
        <f>SUMIFS([0]!VOTOS2,[0]!TURNO1,Q$31,[0]!CANDIDATO1,$C335,[0]!MUNICIPIO1,$B$332)</f>
        <v>0</v>
      </c>
      <c r="R335" s="16">
        <f>SUMIFS([0]!VOTOS2,[0]!TURNO1,R$31,[0]!CANDIDATO1,$C335,[0]!MUNICIPIO1,$B$332)</f>
        <v>0</v>
      </c>
      <c r="S335" s="16">
        <f>SUMIFS([0]!VOTOS2,[0]!TURNO1,S$31,[0]!CANDIDATO1,$C335,[0]!MUNICIPIO1,$B$332)</f>
        <v>0</v>
      </c>
      <c r="T335" s="16">
        <f>SUMIFS([0]!VOTOS2,[0]!TURNO1,T$31,[0]!CANDIDATO1,$C335,[0]!MUNICIPIO1,$B$332)</f>
        <v>0</v>
      </c>
      <c r="U335" s="16">
        <f>SUMIFS([0]!VOTOS2,[0]!TURNO1,U$31,[0]!CANDIDATO1,$C335,[0]!MUNICIPIO1,$B$332)</f>
        <v>0</v>
      </c>
      <c r="V335" s="16">
        <f>SUMIFS([0]!VOTOS2,[0]!TURNO1,V$31,[0]!CANDIDATO1,$C335,[0]!MUNICIPIO1,$B$332)</f>
        <v>0</v>
      </c>
      <c r="W335" s="16">
        <f>SUMIFS([0]!VOTOS2,[0]!TURNO1,W$31,[0]!CANDIDATO1,$C335,[0]!MUNICIPIO1,$B$332)</f>
        <v>0</v>
      </c>
      <c r="X335" s="24"/>
      <c r="Y335" s="18" t="str">
        <f t="shared" si="782"/>
        <v>RAUMEL GUERRERO</v>
      </c>
      <c r="Z335" s="34">
        <f t="shared" si="783"/>
        <v>5</v>
      </c>
      <c r="AA335" s="34">
        <f t="shared" si="784"/>
        <v>0</v>
      </c>
      <c r="AB335" s="34" t="e">
        <f t="shared" ref="AB335:AR335" si="793">IF(SUM(G332:G344)=0,NA(),G335+AA335)</f>
        <v>#N/A</v>
      </c>
      <c r="AC335" s="34" t="e">
        <f t="shared" si="793"/>
        <v>#N/A</v>
      </c>
      <c r="AD335" s="34" t="e">
        <f t="shared" si="793"/>
        <v>#N/A</v>
      </c>
      <c r="AE335" s="34" t="e">
        <f t="shared" si="793"/>
        <v>#N/A</v>
      </c>
      <c r="AF335" s="34" t="e">
        <f t="shared" si="793"/>
        <v>#N/A</v>
      </c>
      <c r="AG335" s="34" t="e">
        <f t="shared" si="793"/>
        <v>#N/A</v>
      </c>
      <c r="AH335" s="34" t="e">
        <f t="shared" si="793"/>
        <v>#N/A</v>
      </c>
      <c r="AI335" s="34" t="e">
        <f t="shared" si="793"/>
        <v>#N/A</v>
      </c>
      <c r="AJ335" s="34" t="e">
        <f t="shared" si="793"/>
        <v>#N/A</v>
      </c>
      <c r="AK335" s="34" t="e">
        <f t="shared" si="793"/>
        <v>#N/A</v>
      </c>
      <c r="AL335" s="34" t="e">
        <f t="shared" si="793"/>
        <v>#N/A</v>
      </c>
      <c r="AM335" s="34" t="e">
        <f t="shared" si="793"/>
        <v>#N/A</v>
      </c>
      <c r="AN335" s="34" t="e">
        <f t="shared" si="793"/>
        <v>#N/A</v>
      </c>
      <c r="AO335" s="34" t="e">
        <f t="shared" si="793"/>
        <v>#N/A</v>
      </c>
      <c r="AP335" s="34" t="e">
        <f t="shared" si="793"/>
        <v>#N/A</v>
      </c>
      <c r="AQ335" s="34" t="e">
        <f t="shared" si="793"/>
        <v>#N/A</v>
      </c>
      <c r="AR335" s="34" t="e">
        <f t="shared" si="793"/>
        <v>#N/A</v>
      </c>
      <c r="AS335" s="27"/>
      <c r="AT335" s="39"/>
      <c r="AU335" s="39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30"/>
    </row>
    <row r="336" spans="1:66" ht="11.25" customHeight="1" x14ac:dyDescent="0.2">
      <c r="A336" s="37"/>
      <c r="B336" s="73"/>
      <c r="C336" s="33">
        <v>5</v>
      </c>
      <c r="D336" s="13" t="s">
        <v>251</v>
      </c>
      <c r="E336" s="16">
        <f t="shared" si="781"/>
        <v>0</v>
      </c>
      <c r="F336" s="16">
        <f>SUMIFS([0]!VOTOS2,[0]!TURNO1,F$31,[0]!CANDIDATO1,$C336,[0]!MUNICIPIO1,$B$332)</f>
        <v>0</v>
      </c>
      <c r="G336" s="16">
        <f>SUMIFS([0]!VOTOS2,[0]!TURNO1,G$31,[0]!CANDIDATO1,$C336,[0]!MUNICIPIO1,$B$332)</f>
        <v>0</v>
      </c>
      <c r="H336" s="16">
        <f>SUMIFS([0]!VOTOS2,[0]!TURNO1,H$31,[0]!CANDIDATO1,$C336,[0]!MUNICIPIO1,$B$332)</f>
        <v>0</v>
      </c>
      <c r="I336" s="16">
        <f>SUMIFS([0]!VOTOS2,[0]!TURNO1,I$31,[0]!CANDIDATO1,$C336,[0]!MUNICIPIO1,$B$332)</f>
        <v>0</v>
      </c>
      <c r="J336" s="16">
        <f>SUMIFS([0]!VOTOS2,[0]!TURNO1,J$31,[0]!CANDIDATO1,$C336,[0]!MUNICIPIO1,$B$332)</f>
        <v>0</v>
      </c>
      <c r="K336" s="16">
        <f>SUMIFS([0]!VOTOS2,[0]!TURNO1,K$31,[0]!CANDIDATO1,$C336,[0]!MUNICIPIO1,$B$332)</f>
        <v>0</v>
      </c>
      <c r="L336" s="16">
        <f>SUMIFS([0]!VOTOS2,[0]!TURNO1,L$31,[0]!CANDIDATO1,$C336,[0]!MUNICIPIO1,$B$332)</f>
        <v>0</v>
      </c>
      <c r="M336" s="16">
        <f>SUMIFS([0]!VOTOS2,[0]!TURNO1,M$31,[0]!CANDIDATO1,$C336,[0]!MUNICIPIO1,$B$332)</f>
        <v>0</v>
      </c>
      <c r="N336" s="16">
        <f>SUMIFS([0]!VOTOS2,[0]!TURNO1,N$31,[0]!CANDIDATO1,$C336,[0]!MUNICIPIO1,$B$332)</f>
        <v>0</v>
      </c>
      <c r="O336" s="16">
        <f>SUMIFS([0]!VOTOS2,[0]!TURNO1,O$31,[0]!CANDIDATO1,$C336,[0]!MUNICIPIO1,$B$332)</f>
        <v>0</v>
      </c>
      <c r="P336" s="16">
        <f>SUMIFS([0]!VOTOS2,[0]!TURNO1,P$31,[0]!CANDIDATO1,$C336,[0]!MUNICIPIO1,$B$332)</f>
        <v>0</v>
      </c>
      <c r="Q336" s="16">
        <f>SUMIFS([0]!VOTOS2,[0]!TURNO1,Q$31,[0]!CANDIDATO1,$C336,[0]!MUNICIPIO1,$B$332)</f>
        <v>0</v>
      </c>
      <c r="R336" s="16">
        <f>SUMIFS([0]!VOTOS2,[0]!TURNO1,R$31,[0]!CANDIDATO1,$C336,[0]!MUNICIPIO1,$B$332)</f>
        <v>0</v>
      </c>
      <c r="S336" s="16">
        <f>SUMIFS([0]!VOTOS2,[0]!TURNO1,S$31,[0]!CANDIDATO1,$C336,[0]!MUNICIPIO1,$B$332)</f>
        <v>0</v>
      </c>
      <c r="T336" s="16">
        <f>SUMIFS([0]!VOTOS2,[0]!TURNO1,T$31,[0]!CANDIDATO1,$C336,[0]!MUNICIPIO1,$B$332)</f>
        <v>0</v>
      </c>
      <c r="U336" s="16">
        <f>SUMIFS([0]!VOTOS2,[0]!TURNO1,U$31,[0]!CANDIDATO1,$C336,[0]!MUNICIPIO1,$B$332)</f>
        <v>0</v>
      </c>
      <c r="V336" s="16">
        <f>SUMIFS([0]!VOTOS2,[0]!TURNO1,V$31,[0]!CANDIDATO1,$C336,[0]!MUNICIPIO1,$B$332)</f>
        <v>0</v>
      </c>
      <c r="W336" s="16">
        <f>SUMIFS([0]!VOTOS2,[0]!TURNO1,W$31,[0]!CANDIDATO1,$C336,[0]!MUNICIPIO1,$B$332)</f>
        <v>0</v>
      </c>
      <c r="X336" s="24"/>
      <c r="Y336" s="18" t="str">
        <f t="shared" si="782"/>
        <v>ELYS JIMENEZ</v>
      </c>
      <c r="Z336" s="34">
        <f t="shared" si="783"/>
        <v>0</v>
      </c>
      <c r="AA336" s="34">
        <f t="shared" si="784"/>
        <v>0</v>
      </c>
      <c r="AB336" s="34" t="e">
        <f t="shared" ref="AB336:AR336" si="794">IF(SUM(G332:G344)=0,NA(),G336+AA336)</f>
        <v>#N/A</v>
      </c>
      <c r="AC336" s="34" t="e">
        <f t="shared" si="794"/>
        <v>#N/A</v>
      </c>
      <c r="AD336" s="34" t="e">
        <f t="shared" si="794"/>
        <v>#N/A</v>
      </c>
      <c r="AE336" s="34" t="e">
        <f t="shared" si="794"/>
        <v>#N/A</v>
      </c>
      <c r="AF336" s="34" t="e">
        <f t="shared" si="794"/>
        <v>#N/A</v>
      </c>
      <c r="AG336" s="34" t="e">
        <f t="shared" si="794"/>
        <v>#N/A</v>
      </c>
      <c r="AH336" s="34" t="e">
        <f t="shared" si="794"/>
        <v>#N/A</v>
      </c>
      <c r="AI336" s="34" t="e">
        <f t="shared" si="794"/>
        <v>#N/A</v>
      </c>
      <c r="AJ336" s="34" t="e">
        <f t="shared" si="794"/>
        <v>#N/A</v>
      </c>
      <c r="AK336" s="34" t="e">
        <f t="shared" si="794"/>
        <v>#N/A</v>
      </c>
      <c r="AL336" s="34" t="e">
        <f t="shared" si="794"/>
        <v>#N/A</v>
      </c>
      <c r="AM336" s="34" t="e">
        <f t="shared" si="794"/>
        <v>#N/A</v>
      </c>
      <c r="AN336" s="34" t="e">
        <f t="shared" si="794"/>
        <v>#N/A</v>
      </c>
      <c r="AO336" s="34" t="e">
        <f t="shared" si="794"/>
        <v>#N/A</v>
      </c>
      <c r="AP336" s="34" t="e">
        <f t="shared" si="794"/>
        <v>#N/A</v>
      </c>
      <c r="AQ336" s="34" t="e">
        <f t="shared" si="794"/>
        <v>#N/A</v>
      </c>
      <c r="AR336" s="34" t="e">
        <f t="shared" si="794"/>
        <v>#N/A</v>
      </c>
      <c r="AS336" s="27"/>
      <c r="AT336" s="39"/>
      <c r="AU336" s="39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30"/>
    </row>
    <row r="337" spans="1:66" ht="11.25" customHeight="1" x14ac:dyDescent="0.2">
      <c r="A337" s="42"/>
      <c r="B337" s="74"/>
      <c r="C337" s="33">
        <v>6</v>
      </c>
      <c r="D337" s="13" t="s">
        <v>252</v>
      </c>
      <c r="E337" s="16">
        <f t="shared" si="781"/>
        <v>0</v>
      </c>
      <c r="F337" s="16">
        <f>SUMIFS([0]!VOTOS2,[0]!TURNO1,F$31,[0]!CANDIDATO1,$C337,[0]!MUNICIPIO1,$B$332)</f>
        <v>0</v>
      </c>
      <c r="G337" s="16">
        <f>SUMIFS([0]!VOTOS2,[0]!TURNO1,G$31,[0]!CANDIDATO1,$C337,[0]!MUNICIPIO1,$B$332)</f>
        <v>0</v>
      </c>
      <c r="H337" s="16">
        <f>SUMIFS([0]!VOTOS2,[0]!TURNO1,H$31,[0]!CANDIDATO1,$C337,[0]!MUNICIPIO1,$B$332)</f>
        <v>0</v>
      </c>
      <c r="I337" s="16">
        <f>SUMIFS([0]!VOTOS2,[0]!TURNO1,I$31,[0]!CANDIDATO1,$C337,[0]!MUNICIPIO1,$B$332)</f>
        <v>0</v>
      </c>
      <c r="J337" s="16">
        <f>SUMIFS([0]!VOTOS2,[0]!TURNO1,J$31,[0]!CANDIDATO1,$C337,[0]!MUNICIPIO1,$B$332)</f>
        <v>0</v>
      </c>
      <c r="K337" s="16">
        <f>SUMIFS([0]!VOTOS2,[0]!TURNO1,K$31,[0]!CANDIDATO1,$C337,[0]!MUNICIPIO1,$B$332)</f>
        <v>0</v>
      </c>
      <c r="L337" s="16">
        <f>SUMIFS([0]!VOTOS2,[0]!TURNO1,L$31,[0]!CANDIDATO1,$C337,[0]!MUNICIPIO1,$B$332)</f>
        <v>0</v>
      </c>
      <c r="M337" s="16">
        <f>SUMIFS([0]!VOTOS2,[0]!TURNO1,M$31,[0]!CANDIDATO1,$C337,[0]!MUNICIPIO1,$B$332)</f>
        <v>0</v>
      </c>
      <c r="N337" s="16">
        <f>SUMIFS([0]!VOTOS2,[0]!TURNO1,N$31,[0]!CANDIDATO1,$C337,[0]!MUNICIPIO1,$B$332)</f>
        <v>0</v>
      </c>
      <c r="O337" s="16">
        <f>SUMIFS([0]!VOTOS2,[0]!TURNO1,O$31,[0]!CANDIDATO1,$C337,[0]!MUNICIPIO1,$B$332)</f>
        <v>0</v>
      </c>
      <c r="P337" s="16">
        <f>SUMIFS([0]!VOTOS2,[0]!TURNO1,P$31,[0]!CANDIDATO1,$C337,[0]!MUNICIPIO1,$B$332)</f>
        <v>0</v>
      </c>
      <c r="Q337" s="16">
        <f>SUMIFS([0]!VOTOS2,[0]!TURNO1,Q$31,[0]!CANDIDATO1,$C337,[0]!MUNICIPIO1,$B$332)</f>
        <v>0</v>
      </c>
      <c r="R337" s="16">
        <f>SUMIFS([0]!VOTOS2,[0]!TURNO1,R$31,[0]!CANDIDATO1,$C337,[0]!MUNICIPIO1,$B$332)</f>
        <v>0</v>
      </c>
      <c r="S337" s="16">
        <f>SUMIFS([0]!VOTOS2,[0]!TURNO1,S$31,[0]!CANDIDATO1,$C337,[0]!MUNICIPIO1,$B$332)</f>
        <v>0</v>
      </c>
      <c r="T337" s="16">
        <f>SUMIFS([0]!VOTOS2,[0]!TURNO1,T$31,[0]!CANDIDATO1,$C337,[0]!MUNICIPIO1,$B$332)</f>
        <v>0</v>
      </c>
      <c r="U337" s="16">
        <f>SUMIFS([0]!VOTOS2,[0]!TURNO1,U$31,[0]!CANDIDATO1,$C337,[0]!MUNICIPIO1,$B$332)</f>
        <v>0</v>
      </c>
      <c r="V337" s="16">
        <f>SUMIFS([0]!VOTOS2,[0]!TURNO1,V$31,[0]!CANDIDATO1,$C337,[0]!MUNICIPIO1,$B$332)</f>
        <v>0</v>
      </c>
      <c r="W337" s="16">
        <f>SUMIFS([0]!VOTOS2,[0]!TURNO1,W$31,[0]!CANDIDATO1,$C337,[0]!MUNICIPIO1,$B$332)</f>
        <v>0</v>
      </c>
      <c r="X337" s="24"/>
      <c r="Y337" s="18" t="str">
        <f t="shared" si="782"/>
        <v>MOHAMMAD AREF</v>
      </c>
      <c r="Z337" s="34">
        <f t="shared" si="783"/>
        <v>0</v>
      </c>
      <c r="AA337" s="34">
        <f t="shared" si="784"/>
        <v>0</v>
      </c>
      <c r="AB337" s="34" t="e">
        <f t="shared" ref="AB337:AR337" si="795">IF(SUM(G332:G344)=0,NA(),G337+AA337)</f>
        <v>#N/A</v>
      </c>
      <c r="AC337" s="34" t="e">
        <f t="shared" si="795"/>
        <v>#N/A</v>
      </c>
      <c r="AD337" s="34" t="e">
        <f t="shared" si="795"/>
        <v>#N/A</v>
      </c>
      <c r="AE337" s="34" t="e">
        <f t="shared" si="795"/>
        <v>#N/A</v>
      </c>
      <c r="AF337" s="34" t="e">
        <f t="shared" si="795"/>
        <v>#N/A</v>
      </c>
      <c r="AG337" s="34" t="e">
        <f t="shared" si="795"/>
        <v>#N/A</v>
      </c>
      <c r="AH337" s="34" t="e">
        <f t="shared" si="795"/>
        <v>#N/A</v>
      </c>
      <c r="AI337" s="34" t="e">
        <f t="shared" si="795"/>
        <v>#N/A</v>
      </c>
      <c r="AJ337" s="34" t="e">
        <f t="shared" si="795"/>
        <v>#N/A</v>
      </c>
      <c r="AK337" s="34" t="e">
        <f t="shared" si="795"/>
        <v>#N/A</v>
      </c>
      <c r="AL337" s="34" t="e">
        <f t="shared" si="795"/>
        <v>#N/A</v>
      </c>
      <c r="AM337" s="34" t="e">
        <f t="shared" si="795"/>
        <v>#N/A</v>
      </c>
      <c r="AN337" s="34" t="e">
        <f t="shared" si="795"/>
        <v>#N/A</v>
      </c>
      <c r="AO337" s="34" t="e">
        <f t="shared" si="795"/>
        <v>#N/A</v>
      </c>
      <c r="AP337" s="34" t="e">
        <f t="shared" si="795"/>
        <v>#N/A</v>
      </c>
      <c r="AQ337" s="34" t="e">
        <f t="shared" si="795"/>
        <v>#N/A</v>
      </c>
      <c r="AR337" s="34" t="e">
        <f t="shared" si="795"/>
        <v>#N/A</v>
      </c>
      <c r="AS337" s="27"/>
      <c r="AT337" s="39"/>
      <c r="AU337" s="39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30"/>
    </row>
    <row r="338" spans="1:66" ht="11.25" customHeight="1" x14ac:dyDescent="0.2">
      <c r="A338" s="44"/>
      <c r="B338" s="45"/>
      <c r="C338" s="46">
        <v>7</v>
      </c>
      <c r="D338" s="14" t="s">
        <v>76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24"/>
      <c r="Y338" s="18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27"/>
      <c r="AT338" s="39"/>
      <c r="AU338" s="39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30"/>
    </row>
    <row r="339" spans="1:66" ht="11.25" customHeight="1" x14ac:dyDescent="0.2">
      <c r="A339" s="44"/>
      <c r="B339" s="45"/>
      <c r="C339" s="46">
        <v>8</v>
      </c>
      <c r="D339" s="14" t="s">
        <v>76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24"/>
      <c r="Y339" s="18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27"/>
      <c r="AT339" s="41"/>
      <c r="AU339" s="41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30"/>
    </row>
    <row r="340" spans="1:66" ht="11.25" customHeight="1" x14ac:dyDescent="0.2">
      <c r="A340" s="44"/>
      <c r="B340" s="45"/>
      <c r="C340" s="46">
        <v>9</v>
      </c>
      <c r="D340" s="14" t="s">
        <v>76</v>
      </c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24"/>
      <c r="Y340" s="18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27"/>
      <c r="AT340" s="41"/>
      <c r="AU340" s="41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30"/>
    </row>
    <row r="341" spans="1:66" ht="11.25" customHeight="1" x14ac:dyDescent="0.2">
      <c r="A341" s="44"/>
      <c r="B341" s="45"/>
      <c r="C341" s="46">
        <v>10</v>
      </c>
      <c r="D341" s="14" t="s">
        <v>76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24"/>
      <c r="Y341" s="18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27"/>
      <c r="AT341" s="41"/>
      <c r="AU341" s="41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30"/>
    </row>
    <row r="342" spans="1:66" ht="11.25" customHeight="1" x14ac:dyDescent="0.2">
      <c r="A342" s="44"/>
      <c r="B342" s="45"/>
      <c r="C342" s="46">
        <v>11</v>
      </c>
      <c r="D342" s="14" t="s">
        <v>76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24"/>
      <c r="Y342" s="18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27"/>
      <c r="AT342" s="41"/>
      <c r="AU342" s="41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30"/>
    </row>
    <row r="343" spans="1:66" ht="11.25" customHeight="1" x14ac:dyDescent="0.2">
      <c r="A343" s="44"/>
      <c r="B343" s="45"/>
      <c r="C343" s="46">
        <v>12</v>
      </c>
      <c r="D343" s="14" t="s">
        <v>76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24"/>
      <c r="Y343" s="18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27"/>
      <c r="AT343" s="41"/>
      <c r="AU343" s="41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30"/>
    </row>
    <row r="344" spans="1:66" ht="11.25" customHeight="1" x14ac:dyDescent="0.2">
      <c r="A344" s="44"/>
      <c r="B344" s="45"/>
      <c r="C344" s="46">
        <v>13</v>
      </c>
      <c r="D344" s="14" t="s">
        <v>76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24"/>
      <c r="Y344" s="18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27"/>
      <c r="AT344" s="41"/>
      <c r="AU344" s="41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30"/>
    </row>
    <row r="345" spans="1:66" ht="11.25" customHeight="1" x14ac:dyDescent="0.2">
      <c r="X345" s="24"/>
      <c r="Y345" s="19" t="s">
        <v>79</v>
      </c>
      <c r="Z345" s="34">
        <f t="shared" ref="Z345" si="796">SUM(Z334:Z344)</f>
        <v>10</v>
      </c>
      <c r="AA345" s="34">
        <f t="shared" ref="AA345" si="797">SUM(AA334:AA344)</f>
        <v>0</v>
      </c>
      <c r="AB345" s="34" t="e">
        <f t="shared" ref="AB345" si="798">SUM(AB334:AB344)</f>
        <v>#N/A</v>
      </c>
      <c r="AC345" s="34" t="e">
        <f t="shared" ref="AC345" si="799">SUM(AC334:AC344)</f>
        <v>#N/A</v>
      </c>
      <c r="AD345" s="34" t="e">
        <f t="shared" ref="AD345" si="800">SUM(AD334:AD344)</f>
        <v>#N/A</v>
      </c>
      <c r="AE345" s="34" t="e">
        <f t="shared" ref="AE345" si="801">SUM(AE334:AE344)</f>
        <v>#N/A</v>
      </c>
      <c r="AF345" s="34" t="e">
        <f t="shared" ref="AF345" si="802">SUM(AF334:AF344)</f>
        <v>#N/A</v>
      </c>
      <c r="AG345" s="34" t="e">
        <f t="shared" ref="AG345" si="803">SUM(AG334:AG344)</f>
        <v>#N/A</v>
      </c>
      <c r="AH345" s="34" t="e">
        <f t="shared" ref="AH345" si="804">SUM(AH334:AH344)</f>
        <v>#N/A</v>
      </c>
      <c r="AI345" s="34" t="e">
        <f t="shared" ref="AI345" si="805">SUM(AI334:AI344)</f>
        <v>#N/A</v>
      </c>
      <c r="AJ345" s="34" t="e">
        <f t="shared" ref="AJ345" si="806">SUM(AJ334:AJ344)</f>
        <v>#N/A</v>
      </c>
      <c r="AK345" s="34" t="e">
        <f t="shared" ref="AK345" si="807">SUM(AK334:AK344)</f>
        <v>#N/A</v>
      </c>
      <c r="AL345" s="34" t="e">
        <f t="shared" ref="AL345" si="808">SUM(AL334:AL344)</f>
        <v>#N/A</v>
      </c>
      <c r="AM345" s="34" t="e">
        <f t="shared" ref="AM345" si="809">SUM(AM334:AM344)</f>
        <v>#N/A</v>
      </c>
      <c r="AN345" s="34" t="e">
        <f t="shared" ref="AN345" si="810">SUM(AN334:AN344)</f>
        <v>#N/A</v>
      </c>
      <c r="AO345" s="34" t="e">
        <f t="shared" ref="AO345" si="811">SUM(AO334:AO344)</f>
        <v>#N/A</v>
      </c>
      <c r="AP345" s="34" t="e">
        <f t="shared" ref="AP345" si="812">SUM(AP334:AP344)</f>
        <v>#N/A</v>
      </c>
      <c r="AQ345" s="34" t="e">
        <f t="shared" ref="AQ345" si="813">SUM(AQ334:AQ344)</f>
        <v>#N/A</v>
      </c>
      <c r="AR345" s="34" t="e">
        <f t="shared" ref="AR345" si="814">SUM(AR334:AR344)</f>
        <v>#N/A</v>
      </c>
      <c r="AS345" s="27"/>
      <c r="AT345" s="41"/>
      <c r="AU345" s="41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30"/>
    </row>
    <row r="346" spans="1:66" ht="11.25" customHeight="1" x14ac:dyDescent="0.2">
      <c r="A346" s="75" t="s">
        <v>63</v>
      </c>
      <c r="B346" s="76"/>
      <c r="C346" s="21"/>
      <c r="D346" s="22" t="s">
        <v>75</v>
      </c>
      <c r="E346" s="23" t="s">
        <v>70</v>
      </c>
      <c r="F346" s="23">
        <v>0</v>
      </c>
      <c r="G346" s="23">
        <v>1</v>
      </c>
      <c r="H346" s="23">
        <v>2</v>
      </c>
      <c r="I346" s="23">
        <v>3</v>
      </c>
      <c r="J346" s="23">
        <v>4</v>
      </c>
      <c r="K346" s="23">
        <v>5</v>
      </c>
      <c r="L346" s="23">
        <v>6</v>
      </c>
      <c r="M346" s="23">
        <v>7</v>
      </c>
      <c r="N346" s="23">
        <v>8</v>
      </c>
      <c r="O346" s="23">
        <v>9</v>
      </c>
      <c r="P346" s="23">
        <v>10</v>
      </c>
      <c r="Q346" s="23">
        <v>11</v>
      </c>
      <c r="R346" s="23">
        <v>12</v>
      </c>
      <c r="S346" s="23">
        <v>13</v>
      </c>
      <c r="T346" s="23">
        <v>14</v>
      </c>
      <c r="U346" s="23">
        <v>15</v>
      </c>
      <c r="V346" s="23">
        <v>16</v>
      </c>
      <c r="W346" s="23">
        <v>17</v>
      </c>
      <c r="X346" s="24"/>
      <c r="Y346" s="17"/>
      <c r="Z346" s="25" t="s">
        <v>64</v>
      </c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7"/>
      <c r="AT346" s="28"/>
      <c r="AU346" s="28" t="s">
        <v>64</v>
      </c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30"/>
    </row>
    <row r="347" spans="1:66" ht="11.25" customHeight="1" x14ac:dyDescent="0.2">
      <c r="A347" s="32"/>
      <c r="B347" s="72">
        <v>24</v>
      </c>
      <c r="C347" s="33">
        <v>1</v>
      </c>
      <c r="D347" s="13" t="s">
        <v>253</v>
      </c>
      <c r="E347" s="16">
        <f t="shared" ref="E347:E355" si="815">SUM(F347:W347)</f>
        <v>13</v>
      </c>
      <c r="F347" s="16">
        <f>SUMIFS([0]!VOTOS2,[0]!TURNO1,F$31,[0]!CANDIDATO1,$C347,[0]!MUNICIPIO1,$B$347)</f>
        <v>10</v>
      </c>
      <c r="G347" s="16">
        <f>SUMIFS([0]!VOTOS2,[0]!TURNO1,G$31,[0]!CANDIDATO1,$C347,[0]!MUNICIPIO1,$B$347)</f>
        <v>0</v>
      </c>
      <c r="H347" s="16">
        <f>SUMIFS([0]!VOTOS2,[0]!TURNO1,H$31,[0]!CANDIDATO1,$C347,[0]!MUNICIPIO1,$B$347)</f>
        <v>3</v>
      </c>
      <c r="I347" s="16">
        <f>SUMIFS([0]!VOTOS2,[0]!TURNO1,I$31,[0]!CANDIDATO1,$C347,[0]!MUNICIPIO1,$B$347)</f>
        <v>0</v>
      </c>
      <c r="J347" s="16">
        <f>SUMIFS([0]!VOTOS2,[0]!TURNO1,J$31,[0]!CANDIDATO1,$C347,[0]!MUNICIPIO1,$B$347)</f>
        <v>0</v>
      </c>
      <c r="K347" s="16">
        <f>SUMIFS([0]!VOTOS2,[0]!TURNO1,K$31,[0]!CANDIDATO1,$C347,[0]!MUNICIPIO1,$B$347)</f>
        <v>0</v>
      </c>
      <c r="L347" s="16">
        <f>SUMIFS([0]!VOTOS2,[0]!TURNO1,L$31,[0]!CANDIDATO1,$C347,[0]!MUNICIPIO1,$B$347)</f>
        <v>0</v>
      </c>
      <c r="M347" s="16">
        <f>SUMIFS([0]!VOTOS2,[0]!TURNO1,M$31,[0]!CANDIDATO1,$C347,[0]!MUNICIPIO1,$B$347)</f>
        <v>0</v>
      </c>
      <c r="N347" s="16">
        <f>SUMIFS([0]!VOTOS2,[0]!TURNO1,N$31,[0]!CANDIDATO1,$C347,[0]!MUNICIPIO1,$B$347)</f>
        <v>0</v>
      </c>
      <c r="O347" s="16">
        <f>SUMIFS([0]!VOTOS2,[0]!TURNO1,O$31,[0]!CANDIDATO1,$C347,[0]!MUNICIPIO1,$B$347)</f>
        <v>0</v>
      </c>
      <c r="P347" s="16">
        <f>SUMIFS([0]!VOTOS2,[0]!TURNO1,P$31,[0]!CANDIDATO1,$C347,[0]!MUNICIPIO1,$B$347)</f>
        <v>0</v>
      </c>
      <c r="Q347" s="16">
        <f>SUMIFS([0]!VOTOS2,[0]!TURNO1,Q$31,[0]!CANDIDATO1,$C347,[0]!MUNICIPIO1,$B$347)</f>
        <v>0</v>
      </c>
      <c r="R347" s="16">
        <f>SUMIFS([0]!VOTOS2,[0]!TURNO1,R$31,[0]!CANDIDATO1,$C347,[0]!MUNICIPIO1,$B$347)</f>
        <v>0</v>
      </c>
      <c r="S347" s="16">
        <f>SUMIFS([0]!VOTOS2,[0]!TURNO1,S$31,[0]!CANDIDATO1,$C347,[0]!MUNICIPIO1,$B$347)</f>
        <v>0</v>
      </c>
      <c r="T347" s="16">
        <f>SUMIFS([0]!VOTOS2,[0]!TURNO1,T$31,[0]!CANDIDATO1,$C347,[0]!MUNICIPIO1,$B$347)</f>
        <v>0</v>
      </c>
      <c r="U347" s="16">
        <f>SUMIFS([0]!VOTOS2,[0]!TURNO1,U$31,[0]!CANDIDATO1,$C347,[0]!MUNICIPIO1,$B$347)</f>
        <v>0</v>
      </c>
      <c r="V347" s="16">
        <f>SUMIFS([0]!VOTOS2,[0]!TURNO1,V$31,[0]!CANDIDATO1,$C347,[0]!MUNICIPIO1,$B$347)</f>
        <v>0</v>
      </c>
      <c r="W347" s="16">
        <f>SUMIFS([0]!VOTOS2,[0]!TURNO1,W$31,[0]!CANDIDATO1,$C347,[0]!MUNICIPIO1,$B$347)</f>
        <v>0</v>
      </c>
      <c r="X347" s="24"/>
      <c r="Y347" s="18" t="str">
        <f t="shared" ref="Y347:Y355" si="816">D347</f>
        <v>GUSTAVO MENDEZ</v>
      </c>
      <c r="Z347" s="34">
        <f t="shared" ref="Z347:Z355" si="817">E347</f>
        <v>13</v>
      </c>
      <c r="AA347" s="34">
        <f t="shared" ref="AA347:AA355" si="818">F347</f>
        <v>10</v>
      </c>
      <c r="AB347" s="34" t="e">
        <f t="shared" ref="AB347:AR347" si="819">IF(SUM(G347:G359)=0,NA(),G347+AA347)</f>
        <v>#N/A</v>
      </c>
      <c r="AC347" s="34" t="e">
        <f t="shared" si="819"/>
        <v>#N/A</v>
      </c>
      <c r="AD347" s="34" t="e">
        <f t="shared" si="819"/>
        <v>#N/A</v>
      </c>
      <c r="AE347" s="34" t="e">
        <f t="shared" si="819"/>
        <v>#N/A</v>
      </c>
      <c r="AF347" s="34" t="e">
        <f t="shared" si="819"/>
        <v>#N/A</v>
      </c>
      <c r="AG347" s="34" t="e">
        <f t="shared" si="819"/>
        <v>#N/A</v>
      </c>
      <c r="AH347" s="34" t="e">
        <f t="shared" si="819"/>
        <v>#N/A</v>
      </c>
      <c r="AI347" s="34" t="e">
        <f t="shared" si="819"/>
        <v>#N/A</v>
      </c>
      <c r="AJ347" s="34" t="e">
        <f t="shared" si="819"/>
        <v>#N/A</v>
      </c>
      <c r="AK347" s="34" t="e">
        <f t="shared" si="819"/>
        <v>#N/A</v>
      </c>
      <c r="AL347" s="34" t="e">
        <f t="shared" si="819"/>
        <v>#N/A</v>
      </c>
      <c r="AM347" s="34" t="e">
        <f t="shared" si="819"/>
        <v>#N/A</v>
      </c>
      <c r="AN347" s="34" t="e">
        <f t="shared" si="819"/>
        <v>#N/A</v>
      </c>
      <c r="AO347" s="34" t="e">
        <f t="shared" si="819"/>
        <v>#N/A</v>
      </c>
      <c r="AP347" s="34" t="e">
        <f t="shared" si="819"/>
        <v>#N/A</v>
      </c>
      <c r="AQ347" s="34" t="e">
        <f t="shared" si="819"/>
        <v>#N/A</v>
      </c>
      <c r="AR347" s="34" t="e">
        <f t="shared" si="819"/>
        <v>#N/A</v>
      </c>
      <c r="AS347" s="27"/>
      <c r="AT347" s="35" t="str">
        <f t="shared" ref="AT347:AT348" si="820">Y347</f>
        <v>GUSTAVO MENDEZ</v>
      </c>
      <c r="AU347" s="36">
        <f t="shared" ref="AU347:BM347" si="821">Z347/(Z347+Z348+Z360)</f>
        <v>0.52</v>
      </c>
      <c r="AV347" s="36">
        <f t="shared" si="821"/>
        <v>0.5</v>
      </c>
      <c r="AW347" s="36" t="e">
        <f t="shared" si="821"/>
        <v>#N/A</v>
      </c>
      <c r="AX347" s="36" t="e">
        <f t="shared" si="821"/>
        <v>#N/A</v>
      </c>
      <c r="AY347" s="36" t="e">
        <f t="shared" si="821"/>
        <v>#N/A</v>
      </c>
      <c r="AZ347" s="36" t="e">
        <f t="shared" si="821"/>
        <v>#N/A</v>
      </c>
      <c r="BA347" s="36" t="e">
        <f t="shared" si="821"/>
        <v>#N/A</v>
      </c>
      <c r="BB347" s="36" t="e">
        <f t="shared" si="821"/>
        <v>#N/A</v>
      </c>
      <c r="BC347" s="36" t="e">
        <f t="shared" si="821"/>
        <v>#N/A</v>
      </c>
      <c r="BD347" s="36" t="e">
        <f t="shared" si="821"/>
        <v>#N/A</v>
      </c>
      <c r="BE347" s="36" t="e">
        <f t="shared" si="821"/>
        <v>#N/A</v>
      </c>
      <c r="BF347" s="36" t="e">
        <f t="shared" si="821"/>
        <v>#N/A</v>
      </c>
      <c r="BG347" s="36" t="e">
        <f t="shared" si="821"/>
        <v>#N/A</v>
      </c>
      <c r="BH347" s="36" t="e">
        <f t="shared" si="821"/>
        <v>#N/A</v>
      </c>
      <c r="BI347" s="36" t="e">
        <f t="shared" si="821"/>
        <v>#N/A</v>
      </c>
      <c r="BJ347" s="36" t="e">
        <f t="shared" si="821"/>
        <v>#N/A</v>
      </c>
      <c r="BK347" s="36" t="e">
        <f t="shared" si="821"/>
        <v>#N/A</v>
      </c>
      <c r="BL347" s="36" t="e">
        <f t="shared" si="821"/>
        <v>#N/A</v>
      </c>
      <c r="BM347" s="36" t="e">
        <f t="shared" si="821"/>
        <v>#N/A</v>
      </c>
      <c r="BN347" s="30"/>
    </row>
    <row r="348" spans="1:66" ht="11.25" customHeight="1" x14ac:dyDescent="0.2">
      <c r="A348" s="37"/>
      <c r="B348" s="73"/>
      <c r="C348" s="33">
        <v>2</v>
      </c>
      <c r="D348" s="13" t="s">
        <v>254</v>
      </c>
      <c r="E348" s="16">
        <f t="shared" si="815"/>
        <v>10</v>
      </c>
      <c r="F348" s="16">
        <f>SUMIFS([0]!VOTOS2,[0]!TURNO1,F$31,[0]!CANDIDATO1,$C348,[0]!MUNICIPIO1,$B$347)</f>
        <v>10</v>
      </c>
      <c r="G348" s="16">
        <f>SUMIFS([0]!VOTOS2,[0]!TURNO1,G$31,[0]!CANDIDATO1,$C348,[0]!MUNICIPIO1,$B$347)</f>
        <v>0</v>
      </c>
      <c r="H348" s="16">
        <f>SUMIFS([0]!VOTOS2,[0]!TURNO1,H$31,[0]!CANDIDATO1,$C348,[0]!MUNICIPIO1,$B$347)</f>
        <v>0</v>
      </c>
      <c r="I348" s="16">
        <f>SUMIFS([0]!VOTOS2,[0]!TURNO1,I$31,[0]!CANDIDATO1,$C348,[0]!MUNICIPIO1,$B$347)</f>
        <v>0</v>
      </c>
      <c r="J348" s="16">
        <f>SUMIFS([0]!VOTOS2,[0]!TURNO1,J$31,[0]!CANDIDATO1,$C348,[0]!MUNICIPIO1,$B$347)</f>
        <v>0</v>
      </c>
      <c r="K348" s="16">
        <f>SUMIFS([0]!VOTOS2,[0]!TURNO1,K$31,[0]!CANDIDATO1,$C348,[0]!MUNICIPIO1,$B$347)</f>
        <v>0</v>
      </c>
      <c r="L348" s="16">
        <f>SUMIFS([0]!VOTOS2,[0]!TURNO1,L$31,[0]!CANDIDATO1,$C348,[0]!MUNICIPIO1,$B$347)</f>
        <v>0</v>
      </c>
      <c r="M348" s="16">
        <f>SUMIFS([0]!VOTOS2,[0]!TURNO1,M$31,[0]!CANDIDATO1,$C348,[0]!MUNICIPIO1,$B$347)</f>
        <v>0</v>
      </c>
      <c r="N348" s="16">
        <f>SUMIFS([0]!VOTOS2,[0]!TURNO1,N$31,[0]!CANDIDATO1,$C348,[0]!MUNICIPIO1,$B$347)</f>
        <v>0</v>
      </c>
      <c r="O348" s="16">
        <f>SUMIFS([0]!VOTOS2,[0]!TURNO1,O$31,[0]!CANDIDATO1,$C348,[0]!MUNICIPIO1,$B$347)</f>
        <v>0</v>
      </c>
      <c r="P348" s="16">
        <f>SUMIFS([0]!VOTOS2,[0]!TURNO1,P$31,[0]!CANDIDATO1,$C348,[0]!MUNICIPIO1,$B$347)</f>
        <v>0</v>
      </c>
      <c r="Q348" s="16">
        <f>SUMIFS([0]!VOTOS2,[0]!TURNO1,Q$31,[0]!CANDIDATO1,$C348,[0]!MUNICIPIO1,$B$347)</f>
        <v>0</v>
      </c>
      <c r="R348" s="16">
        <f>SUMIFS([0]!VOTOS2,[0]!TURNO1,R$31,[0]!CANDIDATO1,$C348,[0]!MUNICIPIO1,$B$347)</f>
        <v>0</v>
      </c>
      <c r="S348" s="16">
        <f>SUMIFS([0]!VOTOS2,[0]!TURNO1,S$31,[0]!CANDIDATO1,$C348,[0]!MUNICIPIO1,$B$347)</f>
        <v>0</v>
      </c>
      <c r="T348" s="16">
        <f>SUMIFS([0]!VOTOS2,[0]!TURNO1,T$31,[0]!CANDIDATO1,$C348,[0]!MUNICIPIO1,$B$347)</f>
        <v>0</v>
      </c>
      <c r="U348" s="16">
        <f>SUMIFS([0]!VOTOS2,[0]!TURNO1,U$31,[0]!CANDIDATO1,$C348,[0]!MUNICIPIO1,$B$347)</f>
        <v>0</v>
      </c>
      <c r="V348" s="16">
        <f>SUMIFS([0]!VOTOS2,[0]!TURNO1,V$31,[0]!CANDIDATO1,$C348,[0]!MUNICIPIO1,$B$347)</f>
        <v>0</v>
      </c>
      <c r="W348" s="16">
        <f>SUMIFS([0]!VOTOS2,[0]!TURNO1,W$31,[0]!CANDIDATO1,$C348,[0]!MUNICIPIO1,$B$347)</f>
        <v>0</v>
      </c>
      <c r="X348" s="24"/>
      <c r="Y348" s="18" t="str">
        <f t="shared" si="816"/>
        <v xml:space="preserve">DOUGLAS GONZALEZ </v>
      </c>
      <c r="Z348" s="34">
        <f t="shared" si="817"/>
        <v>10</v>
      </c>
      <c r="AA348" s="34">
        <f t="shared" si="818"/>
        <v>10</v>
      </c>
      <c r="AB348" s="34" t="e">
        <f t="shared" ref="AB348:AR348" si="822">IF(SUM(G347:G359)=0,NA(),G348+AA348)</f>
        <v>#N/A</v>
      </c>
      <c r="AC348" s="34" t="e">
        <f t="shared" si="822"/>
        <v>#N/A</v>
      </c>
      <c r="AD348" s="34" t="e">
        <f t="shared" si="822"/>
        <v>#N/A</v>
      </c>
      <c r="AE348" s="34" t="e">
        <f t="shared" si="822"/>
        <v>#N/A</v>
      </c>
      <c r="AF348" s="34" t="e">
        <f t="shared" si="822"/>
        <v>#N/A</v>
      </c>
      <c r="AG348" s="34" t="e">
        <f t="shared" si="822"/>
        <v>#N/A</v>
      </c>
      <c r="AH348" s="34" t="e">
        <f t="shared" si="822"/>
        <v>#N/A</v>
      </c>
      <c r="AI348" s="34" t="e">
        <f t="shared" si="822"/>
        <v>#N/A</v>
      </c>
      <c r="AJ348" s="34" t="e">
        <f t="shared" si="822"/>
        <v>#N/A</v>
      </c>
      <c r="AK348" s="34" t="e">
        <f t="shared" si="822"/>
        <v>#N/A</v>
      </c>
      <c r="AL348" s="34" t="e">
        <f t="shared" si="822"/>
        <v>#N/A</v>
      </c>
      <c r="AM348" s="34" t="e">
        <f t="shared" si="822"/>
        <v>#N/A</v>
      </c>
      <c r="AN348" s="34" t="e">
        <f t="shared" si="822"/>
        <v>#N/A</v>
      </c>
      <c r="AO348" s="34" t="e">
        <f t="shared" si="822"/>
        <v>#N/A</v>
      </c>
      <c r="AP348" s="34" t="e">
        <f t="shared" si="822"/>
        <v>#N/A</v>
      </c>
      <c r="AQ348" s="34" t="e">
        <f t="shared" si="822"/>
        <v>#N/A</v>
      </c>
      <c r="AR348" s="34" t="e">
        <f t="shared" si="822"/>
        <v>#N/A</v>
      </c>
      <c r="AS348" s="27"/>
      <c r="AT348" s="35" t="str">
        <f t="shared" si="820"/>
        <v xml:space="preserve">DOUGLAS GONZALEZ </v>
      </c>
      <c r="AU348" s="36">
        <f t="shared" ref="AU348:BM348" si="823">Z348/(Z347+Z348+Z360)</f>
        <v>0.4</v>
      </c>
      <c r="AV348" s="36">
        <f t="shared" si="823"/>
        <v>0.5</v>
      </c>
      <c r="AW348" s="36" t="e">
        <f t="shared" si="823"/>
        <v>#N/A</v>
      </c>
      <c r="AX348" s="36" t="e">
        <f t="shared" si="823"/>
        <v>#N/A</v>
      </c>
      <c r="AY348" s="36" t="e">
        <f t="shared" si="823"/>
        <v>#N/A</v>
      </c>
      <c r="AZ348" s="36" t="e">
        <f t="shared" si="823"/>
        <v>#N/A</v>
      </c>
      <c r="BA348" s="36" t="e">
        <f t="shared" si="823"/>
        <v>#N/A</v>
      </c>
      <c r="BB348" s="36" t="e">
        <f t="shared" si="823"/>
        <v>#N/A</v>
      </c>
      <c r="BC348" s="36" t="e">
        <f t="shared" si="823"/>
        <v>#N/A</v>
      </c>
      <c r="BD348" s="36" t="e">
        <f t="shared" si="823"/>
        <v>#N/A</v>
      </c>
      <c r="BE348" s="36" t="e">
        <f t="shared" si="823"/>
        <v>#N/A</v>
      </c>
      <c r="BF348" s="36" t="e">
        <f t="shared" si="823"/>
        <v>#N/A</v>
      </c>
      <c r="BG348" s="36" t="e">
        <f t="shared" si="823"/>
        <v>#N/A</v>
      </c>
      <c r="BH348" s="36" t="e">
        <f t="shared" si="823"/>
        <v>#N/A</v>
      </c>
      <c r="BI348" s="36" t="e">
        <f t="shared" si="823"/>
        <v>#N/A</v>
      </c>
      <c r="BJ348" s="36" t="e">
        <f t="shared" si="823"/>
        <v>#N/A</v>
      </c>
      <c r="BK348" s="36" t="e">
        <f t="shared" si="823"/>
        <v>#N/A</v>
      </c>
      <c r="BL348" s="36" t="e">
        <f t="shared" si="823"/>
        <v>#N/A</v>
      </c>
      <c r="BM348" s="36" t="e">
        <f t="shared" si="823"/>
        <v>#N/A</v>
      </c>
      <c r="BN348" s="30"/>
    </row>
    <row r="349" spans="1:66" ht="11.25" customHeight="1" x14ac:dyDescent="0.2">
      <c r="A349" s="37"/>
      <c r="B349" s="73"/>
      <c r="C349" s="33">
        <v>3</v>
      </c>
      <c r="D349" s="13" t="s">
        <v>255</v>
      </c>
      <c r="E349" s="16">
        <f t="shared" si="815"/>
        <v>0</v>
      </c>
      <c r="F349" s="16">
        <f>SUMIFS([0]!VOTOS2,[0]!TURNO1,F$31,[0]!CANDIDATO1,$C349,[0]!MUNICIPIO1,$B$347)</f>
        <v>0</v>
      </c>
      <c r="G349" s="16">
        <f>SUMIFS([0]!VOTOS2,[0]!TURNO1,G$31,[0]!CANDIDATO1,$C349,[0]!MUNICIPIO1,$B$347)</f>
        <v>0</v>
      </c>
      <c r="H349" s="16">
        <f>SUMIFS([0]!VOTOS2,[0]!TURNO1,H$31,[0]!CANDIDATO1,$C349,[0]!MUNICIPIO1,$B$347)</f>
        <v>0</v>
      </c>
      <c r="I349" s="16">
        <f>SUMIFS([0]!VOTOS2,[0]!TURNO1,I$31,[0]!CANDIDATO1,$C349,[0]!MUNICIPIO1,$B$347)</f>
        <v>0</v>
      </c>
      <c r="J349" s="16">
        <f>SUMIFS([0]!VOTOS2,[0]!TURNO1,J$31,[0]!CANDIDATO1,$C349,[0]!MUNICIPIO1,$B$347)</f>
        <v>0</v>
      </c>
      <c r="K349" s="16">
        <f>SUMIFS([0]!VOTOS2,[0]!TURNO1,K$31,[0]!CANDIDATO1,$C349,[0]!MUNICIPIO1,$B$347)</f>
        <v>0</v>
      </c>
      <c r="L349" s="16">
        <f>SUMIFS([0]!VOTOS2,[0]!TURNO1,L$31,[0]!CANDIDATO1,$C349,[0]!MUNICIPIO1,$B$347)</f>
        <v>0</v>
      </c>
      <c r="M349" s="16">
        <f>SUMIFS([0]!VOTOS2,[0]!TURNO1,M$31,[0]!CANDIDATO1,$C349,[0]!MUNICIPIO1,$B$347)</f>
        <v>0</v>
      </c>
      <c r="N349" s="16">
        <f>SUMIFS([0]!VOTOS2,[0]!TURNO1,N$31,[0]!CANDIDATO1,$C349,[0]!MUNICIPIO1,$B$347)</f>
        <v>0</v>
      </c>
      <c r="O349" s="16">
        <f>SUMIFS([0]!VOTOS2,[0]!TURNO1,O$31,[0]!CANDIDATO1,$C349,[0]!MUNICIPIO1,$B$347)</f>
        <v>0</v>
      </c>
      <c r="P349" s="16">
        <f>SUMIFS([0]!VOTOS2,[0]!TURNO1,P$31,[0]!CANDIDATO1,$C349,[0]!MUNICIPIO1,$B$347)</f>
        <v>0</v>
      </c>
      <c r="Q349" s="16">
        <f>SUMIFS([0]!VOTOS2,[0]!TURNO1,Q$31,[0]!CANDIDATO1,$C349,[0]!MUNICIPIO1,$B$347)</f>
        <v>0</v>
      </c>
      <c r="R349" s="16">
        <f>SUMIFS([0]!VOTOS2,[0]!TURNO1,R$31,[0]!CANDIDATO1,$C349,[0]!MUNICIPIO1,$B$347)</f>
        <v>0</v>
      </c>
      <c r="S349" s="16">
        <f>SUMIFS([0]!VOTOS2,[0]!TURNO1,S$31,[0]!CANDIDATO1,$C349,[0]!MUNICIPIO1,$B$347)</f>
        <v>0</v>
      </c>
      <c r="T349" s="16">
        <f>SUMIFS([0]!VOTOS2,[0]!TURNO1,T$31,[0]!CANDIDATO1,$C349,[0]!MUNICIPIO1,$B$347)</f>
        <v>0</v>
      </c>
      <c r="U349" s="16">
        <f>SUMIFS([0]!VOTOS2,[0]!TURNO1,U$31,[0]!CANDIDATO1,$C349,[0]!MUNICIPIO1,$B$347)</f>
        <v>0</v>
      </c>
      <c r="V349" s="16">
        <f>SUMIFS([0]!VOTOS2,[0]!TURNO1,V$31,[0]!CANDIDATO1,$C349,[0]!MUNICIPIO1,$B$347)</f>
        <v>0</v>
      </c>
      <c r="W349" s="16">
        <f>SUMIFS([0]!VOTOS2,[0]!TURNO1,W$31,[0]!CANDIDATO1,$C349,[0]!MUNICIPIO1,$B$347)</f>
        <v>0</v>
      </c>
      <c r="X349" s="24"/>
      <c r="Y349" s="18" t="str">
        <f t="shared" si="816"/>
        <v>CELESTINO FAJARDO</v>
      </c>
      <c r="Z349" s="34">
        <f t="shared" si="817"/>
        <v>0</v>
      </c>
      <c r="AA349" s="34">
        <f t="shared" si="818"/>
        <v>0</v>
      </c>
      <c r="AB349" s="34" t="e">
        <f t="shared" ref="AB349:AR349" si="824">IF(SUM(G347:G359)=0,NA(),G349+AA349)</f>
        <v>#N/A</v>
      </c>
      <c r="AC349" s="34" t="e">
        <f t="shared" si="824"/>
        <v>#N/A</v>
      </c>
      <c r="AD349" s="34" t="e">
        <f t="shared" si="824"/>
        <v>#N/A</v>
      </c>
      <c r="AE349" s="34" t="e">
        <f t="shared" si="824"/>
        <v>#N/A</v>
      </c>
      <c r="AF349" s="34" t="e">
        <f t="shared" si="824"/>
        <v>#N/A</v>
      </c>
      <c r="AG349" s="34" t="e">
        <f t="shared" si="824"/>
        <v>#N/A</v>
      </c>
      <c r="AH349" s="34" t="e">
        <f t="shared" si="824"/>
        <v>#N/A</v>
      </c>
      <c r="AI349" s="34" t="e">
        <f t="shared" si="824"/>
        <v>#N/A</v>
      </c>
      <c r="AJ349" s="34" t="e">
        <f t="shared" si="824"/>
        <v>#N/A</v>
      </c>
      <c r="AK349" s="34" t="e">
        <f t="shared" si="824"/>
        <v>#N/A</v>
      </c>
      <c r="AL349" s="34" t="e">
        <f t="shared" si="824"/>
        <v>#N/A</v>
      </c>
      <c r="AM349" s="34" t="e">
        <f t="shared" si="824"/>
        <v>#N/A</v>
      </c>
      <c r="AN349" s="34" t="e">
        <f t="shared" si="824"/>
        <v>#N/A</v>
      </c>
      <c r="AO349" s="34" t="e">
        <f t="shared" si="824"/>
        <v>#N/A</v>
      </c>
      <c r="AP349" s="34" t="e">
        <f t="shared" si="824"/>
        <v>#N/A</v>
      </c>
      <c r="AQ349" s="34" t="e">
        <f t="shared" si="824"/>
        <v>#N/A</v>
      </c>
      <c r="AR349" s="34" t="e">
        <f t="shared" si="824"/>
        <v>#N/A</v>
      </c>
      <c r="AS349" s="27"/>
      <c r="AT349" s="35" t="str">
        <f t="shared" ref="AT349" si="825">Y360</f>
        <v>Otros</v>
      </c>
      <c r="AU349" s="36">
        <f t="shared" ref="AU349:BM349" si="826">Z360/(Z347+Z348+Z360)</f>
        <v>0.08</v>
      </c>
      <c r="AV349" s="36">
        <f t="shared" si="826"/>
        <v>0</v>
      </c>
      <c r="AW349" s="36" t="e">
        <f t="shared" si="826"/>
        <v>#N/A</v>
      </c>
      <c r="AX349" s="36" t="e">
        <f t="shared" si="826"/>
        <v>#N/A</v>
      </c>
      <c r="AY349" s="36" t="e">
        <f t="shared" si="826"/>
        <v>#N/A</v>
      </c>
      <c r="AZ349" s="36" t="e">
        <f t="shared" si="826"/>
        <v>#N/A</v>
      </c>
      <c r="BA349" s="36" t="e">
        <f t="shared" si="826"/>
        <v>#N/A</v>
      </c>
      <c r="BB349" s="36" t="e">
        <f t="shared" si="826"/>
        <v>#N/A</v>
      </c>
      <c r="BC349" s="36" t="e">
        <f t="shared" si="826"/>
        <v>#N/A</v>
      </c>
      <c r="BD349" s="36" t="e">
        <f t="shared" si="826"/>
        <v>#N/A</v>
      </c>
      <c r="BE349" s="36" t="e">
        <f t="shared" si="826"/>
        <v>#N/A</v>
      </c>
      <c r="BF349" s="36" t="e">
        <f t="shared" si="826"/>
        <v>#N/A</v>
      </c>
      <c r="BG349" s="36" t="e">
        <f t="shared" si="826"/>
        <v>#N/A</v>
      </c>
      <c r="BH349" s="36" t="e">
        <f t="shared" si="826"/>
        <v>#N/A</v>
      </c>
      <c r="BI349" s="36" t="e">
        <f t="shared" si="826"/>
        <v>#N/A</v>
      </c>
      <c r="BJ349" s="36" t="e">
        <f t="shared" si="826"/>
        <v>#N/A</v>
      </c>
      <c r="BK349" s="36" t="e">
        <f t="shared" si="826"/>
        <v>#N/A</v>
      </c>
      <c r="BL349" s="36" t="e">
        <f t="shared" si="826"/>
        <v>#N/A</v>
      </c>
      <c r="BM349" s="36" t="e">
        <f t="shared" si="826"/>
        <v>#N/A</v>
      </c>
      <c r="BN349" s="30"/>
    </row>
    <row r="350" spans="1:66" ht="11.25" customHeight="1" x14ac:dyDescent="0.2">
      <c r="A350" s="38" t="s">
        <v>30</v>
      </c>
      <c r="B350" s="73"/>
      <c r="C350" s="33">
        <v>4</v>
      </c>
      <c r="D350" s="13" t="s">
        <v>256</v>
      </c>
      <c r="E350" s="16">
        <f t="shared" si="815"/>
        <v>0</v>
      </c>
      <c r="F350" s="16">
        <f>SUMIFS([0]!VOTOS2,[0]!TURNO1,F$31,[0]!CANDIDATO1,$C350,[0]!MUNICIPIO1,$B$347)</f>
        <v>0</v>
      </c>
      <c r="G350" s="16">
        <f>SUMIFS([0]!VOTOS2,[0]!TURNO1,G$31,[0]!CANDIDATO1,$C350,[0]!MUNICIPIO1,$B$347)</f>
        <v>0</v>
      </c>
      <c r="H350" s="16">
        <f>SUMIFS([0]!VOTOS2,[0]!TURNO1,H$31,[0]!CANDIDATO1,$C350,[0]!MUNICIPIO1,$B$347)</f>
        <v>0</v>
      </c>
      <c r="I350" s="16">
        <f>SUMIFS([0]!VOTOS2,[0]!TURNO1,I$31,[0]!CANDIDATO1,$C350,[0]!MUNICIPIO1,$B$347)</f>
        <v>0</v>
      </c>
      <c r="J350" s="16">
        <f>SUMIFS([0]!VOTOS2,[0]!TURNO1,J$31,[0]!CANDIDATO1,$C350,[0]!MUNICIPIO1,$B$347)</f>
        <v>0</v>
      </c>
      <c r="K350" s="16">
        <f>SUMIFS([0]!VOTOS2,[0]!TURNO1,K$31,[0]!CANDIDATO1,$C350,[0]!MUNICIPIO1,$B$347)</f>
        <v>0</v>
      </c>
      <c r="L350" s="16">
        <f>SUMIFS([0]!VOTOS2,[0]!TURNO1,L$31,[0]!CANDIDATO1,$C350,[0]!MUNICIPIO1,$B$347)</f>
        <v>0</v>
      </c>
      <c r="M350" s="16">
        <f>SUMIFS([0]!VOTOS2,[0]!TURNO1,M$31,[0]!CANDIDATO1,$C350,[0]!MUNICIPIO1,$B$347)</f>
        <v>0</v>
      </c>
      <c r="N350" s="16">
        <f>SUMIFS([0]!VOTOS2,[0]!TURNO1,N$31,[0]!CANDIDATO1,$C350,[0]!MUNICIPIO1,$B$347)</f>
        <v>0</v>
      </c>
      <c r="O350" s="16">
        <f>SUMIFS([0]!VOTOS2,[0]!TURNO1,O$31,[0]!CANDIDATO1,$C350,[0]!MUNICIPIO1,$B$347)</f>
        <v>0</v>
      </c>
      <c r="P350" s="16">
        <f>SUMIFS([0]!VOTOS2,[0]!TURNO1,P$31,[0]!CANDIDATO1,$C350,[0]!MUNICIPIO1,$B$347)</f>
        <v>0</v>
      </c>
      <c r="Q350" s="16">
        <f>SUMIFS([0]!VOTOS2,[0]!TURNO1,Q$31,[0]!CANDIDATO1,$C350,[0]!MUNICIPIO1,$B$347)</f>
        <v>0</v>
      </c>
      <c r="R350" s="16">
        <f>SUMIFS([0]!VOTOS2,[0]!TURNO1,R$31,[0]!CANDIDATO1,$C350,[0]!MUNICIPIO1,$B$347)</f>
        <v>0</v>
      </c>
      <c r="S350" s="16">
        <f>SUMIFS([0]!VOTOS2,[0]!TURNO1,S$31,[0]!CANDIDATO1,$C350,[0]!MUNICIPIO1,$B$347)</f>
        <v>0</v>
      </c>
      <c r="T350" s="16">
        <f>SUMIFS([0]!VOTOS2,[0]!TURNO1,T$31,[0]!CANDIDATO1,$C350,[0]!MUNICIPIO1,$B$347)</f>
        <v>0</v>
      </c>
      <c r="U350" s="16">
        <f>SUMIFS([0]!VOTOS2,[0]!TURNO1,U$31,[0]!CANDIDATO1,$C350,[0]!MUNICIPIO1,$B$347)</f>
        <v>0</v>
      </c>
      <c r="V350" s="16">
        <f>SUMIFS([0]!VOTOS2,[0]!TURNO1,V$31,[0]!CANDIDATO1,$C350,[0]!MUNICIPIO1,$B$347)</f>
        <v>0</v>
      </c>
      <c r="W350" s="16">
        <f>SUMIFS([0]!VOTOS2,[0]!TURNO1,W$31,[0]!CANDIDATO1,$C350,[0]!MUNICIPIO1,$B$347)</f>
        <v>0</v>
      </c>
      <c r="X350" s="24"/>
      <c r="Y350" s="18" t="str">
        <f t="shared" si="816"/>
        <v>CARLOS HERNANDEZ</v>
      </c>
      <c r="Z350" s="34">
        <f t="shared" si="817"/>
        <v>0</v>
      </c>
      <c r="AA350" s="34">
        <f t="shared" si="818"/>
        <v>0</v>
      </c>
      <c r="AB350" s="34" t="e">
        <f t="shared" ref="AB350:AR350" si="827">IF(SUM(G347:G359)=0,NA(),G350+AA350)</f>
        <v>#N/A</v>
      </c>
      <c r="AC350" s="34" t="e">
        <f t="shared" si="827"/>
        <v>#N/A</v>
      </c>
      <c r="AD350" s="34" t="e">
        <f t="shared" si="827"/>
        <v>#N/A</v>
      </c>
      <c r="AE350" s="34" t="e">
        <f t="shared" si="827"/>
        <v>#N/A</v>
      </c>
      <c r="AF350" s="34" t="e">
        <f t="shared" si="827"/>
        <v>#N/A</v>
      </c>
      <c r="AG350" s="34" t="e">
        <f t="shared" si="827"/>
        <v>#N/A</v>
      </c>
      <c r="AH350" s="34" t="e">
        <f t="shared" si="827"/>
        <v>#N/A</v>
      </c>
      <c r="AI350" s="34" t="e">
        <f t="shared" si="827"/>
        <v>#N/A</v>
      </c>
      <c r="AJ350" s="34" t="e">
        <f t="shared" si="827"/>
        <v>#N/A</v>
      </c>
      <c r="AK350" s="34" t="e">
        <f t="shared" si="827"/>
        <v>#N/A</v>
      </c>
      <c r="AL350" s="34" t="e">
        <f t="shared" si="827"/>
        <v>#N/A</v>
      </c>
      <c r="AM350" s="34" t="e">
        <f t="shared" si="827"/>
        <v>#N/A</v>
      </c>
      <c r="AN350" s="34" t="e">
        <f t="shared" si="827"/>
        <v>#N/A</v>
      </c>
      <c r="AO350" s="34" t="e">
        <f t="shared" si="827"/>
        <v>#N/A</v>
      </c>
      <c r="AP350" s="34" t="e">
        <f t="shared" si="827"/>
        <v>#N/A</v>
      </c>
      <c r="AQ350" s="34" t="e">
        <f t="shared" si="827"/>
        <v>#N/A</v>
      </c>
      <c r="AR350" s="34" t="e">
        <f t="shared" si="827"/>
        <v>#N/A</v>
      </c>
      <c r="AS350" s="27"/>
      <c r="AT350" s="39"/>
      <c r="AU350" s="39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30"/>
    </row>
    <row r="351" spans="1:66" ht="11.25" customHeight="1" x14ac:dyDescent="0.2">
      <c r="A351" s="38" t="s">
        <v>62</v>
      </c>
      <c r="B351" s="73"/>
      <c r="C351" s="33">
        <v>5</v>
      </c>
      <c r="D351" s="13" t="s">
        <v>257</v>
      </c>
      <c r="E351" s="16">
        <f t="shared" si="815"/>
        <v>0</v>
      </c>
      <c r="F351" s="16">
        <f>SUMIFS([0]!VOTOS2,[0]!TURNO1,F$31,[0]!CANDIDATO1,$C351,[0]!MUNICIPIO1,$B$347)</f>
        <v>0</v>
      </c>
      <c r="G351" s="16">
        <f>SUMIFS([0]!VOTOS2,[0]!TURNO1,G$31,[0]!CANDIDATO1,$C351,[0]!MUNICIPIO1,$B$347)</f>
        <v>0</v>
      </c>
      <c r="H351" s="16">
        <f>SUMIFS([0]!VOTOS2,[0]!TURNO1,H$31,[0]!CANDIDATO1,$C351,[0]!MUNICIPIO1,$B$347)</f>
        <v>0</v>
      </c>
      <c r="I351" s="16">
        <f>SUMIFS([0]!VOTOS2,[0]!TURNO1,I$31,[0]!CANDIDATO1,$C351,[0]!MUNICIPIO1,$B$347)</f>
        <v>0</v>
      </c>
      <c r="J351" s="16">
        <f>SUMIFS([0]!VOTOS2,[0]!TURNO1,J$31,[0]!CANDIDATO1,$C351,[0]!MUNICIPIO1,$B$347)</f>
        <v>0</v>
      </c>
      <c r="K351" s="16">
        <f>SUMIFS([0]!VOTOS2,[0]!TURNO1,K$31,[0]!CANDIDATO1,$C351,[0]!MUNICIPIO1,$B$347)</f>
        <v>0</v>
      </c>
      <c r="L351" s="16">
        <f>SUMIFS([0]!VOTOS2,[0]!TURNO1,L$31,[0]!CANDIDATO1,$C351,[0]!MUNICIPIO1,$B$347)</f>
        <v>0</v>
      </c>
      <c r="M351" s="16">
        <f>SUMIFS([0]!VOTOS2,[0]!TURNO1,M$31,[0]!CANDIDATO1,$C351,[0]!MUNICIPIO1,$B$347)</f>
        <v>0</v>
      </c>
      <c r="N351" s="16">
        <f>SUMIFS([0]!VOTOS2,[0]!TURNO1,N$31,[0]!CANDIDATO1,$C351,[0]!MUNICIPIO1,$B$347)</f>
        <v>0</v>
      </c>
      <c r="O351" s="16">
        <f>SUMIFS([0]!VOTOS2,[0]!TURNO1,O$31,[0]!CANDIDATO1,$C351,[0]!MUNICIPIO1,$B$347)</f>
        <v>0</v>
      </c>
      <c r="P351" s="16">
        <f>SUMIFS([0]!VOTOS2,[0]!TURNO1,P$31,[0]!CANDIDATO1,$C351,[0]!MUNICIPIO1,$B$347)</f>
        <v>0</v>
      </c>
      <c r="Q351" s="16">
        <f>SUMIFS([0]!VOTOS2,[0]!TURNO1,Q$31,[0]!CANDIDATO1,$C351,[0]!MUNICIPIO1,$B$347)</f>
        <v>0</v>
      </c>
      <c r="R351" s="16">
        <f>SUMIFS([0]!VOTOS2,[0]!TURNO1,R$31,[0]!CANDIDATO1,$C351,[0]!MUNICIPIO1,$B$347)</f>
        <v>0</v>
      </c>
      <c r="S351" s="16">
        <f>SUMIFS([0]!VOTOS2,[0]!TURNO1,S$31,[0]!CANDIDATO1,$C351,[0]!MUNICIPIO1,$B$347)</f>
        <v>0</v>
      </c>
      <c r="T351" s="16">
        <f>SUMIFS([0]!VOTOS2,[0]!TURNO1,T$31,[0]!CANDIDATO1,$C351,[0]!MUNICIPIO1,$B$347)</f>
        <v>0</v>
      </c>
      <c r="U351" s="16">
        <f>SUMIFS([0]!VOTOS2,[0]!TURNO1,U$31,[0]!CANDIDATO1,$C351,[0]!MUNICIPIO1,$B$347)</f>
        <v>0</v>
      </c>
      <c r="V351" s="16">
        <f>SUMIFS([0]!VOTOS2,[0]!TURNO1,V$31,[0]!CANDIDATO1,$C351,[0]!MUNICIPIO1,$B$347)</f>
        <v>0</v>
      </c>
      <c r="W351" s="16">
        <f>SUMIFS([0]!VOTOS2,[0]!TURNO1,W$31,[0]!CANDIDATO1,$C351,[0]!MUNICIPIO1,$B$347)</f>
        <v>0</v>
      </c>
      <c r="X351" s="24"/>
      <c r="Y351" s="18" t="str">
        <f t="shared" si="816"/>
        <v>RODOLFO VILLASMIL</v>
      </c>
      <c r="Z351" s="34">
        <f t="shared" si="817"/>
        <v>0</v>
      </c>
      <c r="AA351" s="34">
        <f t="shared" si="818"/>
        <v>0</v>
      </c>
      <c r="AB351" s="34" t="e">
        <f t="shared" ref="AB351:AR351" si="828">IF(SUM(G347:G359)=0,NA(),G351+AA351)</f>
        <v>#N/A</v>
      </c>
      <c r="AC351" s="34" t="e">
        <f t="shared" si="828"/>
        <v>#N/A</v>
      </c>
      <c r="AD351" s="34" t="e">
        <f t="shared" si="828"/>
        <v>#N/A</v>
      </c>
      <c r="AE351" s="34" t="e">
        <f t="shared" si="828"/>
        <v>#N/A</v>
      </c>
      <c r="AF351" s="34" t="e">
        <f t="shared" si="828"/>
        <v>#N/A</v>
      </c>
      <c r="AG351" s="34" t="e">
        <f t="shared" si="828"/>
        <v>#N/A</v>
      </c>
      <c r="AH351" s="34" t="e">
        <f t="shared" si="828"/>
        <v>#N/A</v>
      </c>
      <c r="AI351" s="34" t="e">
        <f t="shared" si="828"/>
        <v>#N/A</v>
      </c>
      <c r="AJ351" s="34" t="e">
        <f t="shared" si="828"/>
        <v>#N/A</v>
      </c>
      <c r="AK351" s="34" t="e">
        <f t="shared" si="828"/>
        <v>#N/A</v>
      </c>
      <c r="AL351" s="34" t="e">
        <f t="shared" si="828"/>
        <v>#N/A</v>
      </c>
      <c r="AM351" s="34" t="e">
        <f t="shared" si="828"/>
        <v>#N/A</v>
      </c>
      <c r="AN351" s="34" t="e">
        <f t="shared" si="828"/>
        <v>#N/A</v>
      </c>
      <c r="AO351" s="34" t="e">
        <f t="shared" si="828"/>
        <v>#N/A</v>
      </c>
      <c r="AP351" s="34" t="e">
        <f t="shared" si="828"/>
        <v>#N/A</v>
      </c>
      <c r="AQ351" s="34" t="e">
        <f t="shared" si="828"/>
        <v>#N/A</v>
      </c>
      <c r="AR351" s="34" t="e">
        <f t="shared" si="828"/>
        <v>#N/A</v>
      </c>
      <c r="AS351" s="27"/>
      <c r="AT351" s="39"/>
      <c r="AU351" s="39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30"/>
    </row>
    <row r="352" spans="1:66" ht="11.25" customHeight="1" x14ac:dyDescent="0.2">
      <c r="A352" s="37"/>
      <c r="B352" s="73"/>
      <c r="C352" s="33">
        <v>6</v>
      </c>
      <c r="D352" s="13" t="s">
        <v>258</v>
      </c>
      <c r="E352" s="16">
        <f t="shared" si="815"/>
        <v>2</v>
      </c>
      <c r="F352" s="16">
        <f>SUMIFS([0]!VOTOS2,[0]!TURNO1,F$31,[0]!CANDIDATO1,$C352,[0]!MUNICIPIO1,$B$347)</f>
        <v>0</v>
      </c>
      <c r="G352" s="16">
        <f>SUMIFS([0]!VOTOS2,[0]!TURNO1,G$31,[0]!CANDIDATO1,$C352,[0]!MUNICIPIO1,$B$347)</f>
        <v>0</v>
      </c>
      <c r="H352" s="16">
        <f>SUMIFS([0]!VOTOS2,[0]!TURNO1,H$31,[0]!CANDIDATO1,$C352,[0]!MUNICIPIO1,$B$347)</f>
        <v>2</v>
      </c>
      <c r="I352" s="16">
        <f>SUMIFS([0]!VOTOS2,[0]!TURNO1,I$31,[0]!CANDIDATO1,$C352,[0]!MUNICIPIO1,$B$347)</f>
        <v>0</v>
      </c>
      <c r="J352" s="16">
        <f>SUMIFS([0]!VOTOS2,[0]!TURNO1,J$31,[0]!CANDIDATO1,$C352,[0]!MUNICIPIO1,$B$347)</f>
        <v>0</v>
      </c>
      <c r="K352" s="16">
        <f>SUMIFS([0]!VOTOS2,[0]!TURNO1,K$31,[0]!CANDIDATO1,$C352,[0]!MUNICIPIO1,$B$347)</f>
        <v>0</v>
      </c>
      <c r="L352" s="16">
        <f>SUMIFS([0]!VOTOS2,[0]!TURNO1,L$31,[0]!CANDIDATO1,$C352,[0]!MUNICIPIO1,$B$347)</f>
        <v>0</v>
      </c>
      <c r="M352" s="16">
        <f>SUMIFS([0]!VOTOS2,[0]!TURNO1,M$31,[0]!CANDIDATO1,$C352,[0]!MUNICIPIO1,$B$347)</f>
        <v>0</v>
      </c>
      <c r="N352" s="16">
        <f>SUMIFS([0]!VOTOS2,[0]!TURNO1,N$31,[0]!CANDIDATO1,$C352,[0]!MUNICIPIO1,$B$347)</f>
        <v>0</v>
      </c>
      <c r="O352" s="16">
        <f>SUMIFS([0]!VOTOS2,[0]!TURNO1,O$31,[0]!CANDIDATO1,$C352,[0]!MUNICIPIO1,$B$347)</f>
        <v>0</v>
      </c>
      <c r="P352" s="16">
        <f>SUMIFS([0]!VOTOS2,[0]!TURNO1,P$31,[0]!CANDIDATO1,$C352,[0]!MUNICIPIO1,$B$347)</f>
        <v>0</v>
      </c>
      <c r="Q352" s="16">
        <f>SUMIFS([0]!VOTOS2,[0]!TURNO1,Q$31,[0]!CANDIDATO1,$C352,[0]!MUNICIPIO1,$B$347)</f>
        <v>0</v>
      </c>
      <c r="R352" s="16">
        <f>SUMIFS([0]!VOTOS2,[0]!TURNO1,R$31,[0]!CANDIDATO1,$C352,[0]!MUNICIPIO1,$B$347)</f>
        <v>0</v>
      </c>
      <c r="S352" s="16">
        <f>SUMIFS([0]!VOTOS2,[0]!TURNO1,S$31,[0]!CANDIDATO1,$C352,[0]!MUNICIPIO1,$B$347)</f>
        <v>0</v>
      </c>
      <c r="T352" s="16">
        <f>SUMIFS([0]!VOTOS2,[0]!TURNO1,T$31,[0]!CANDIDATO1,$C352,[0]!MUNICIPIO1,$B$347)</f>
        <v>0</v>
      </c>
      <c r="U352" s="16">
        <f>SUMIFS([0]!VOTOS2,[0]!TURNO1,U$31,[0]!CANDIDATO1,$C352,[0]!MUNICIPIO1,$B$347)</f>
        <v>0</v>
      </c>
      <c r="V352" s="16">
        <f>SUMIFS([0]!VOTOS2,[0]!TURNO1,V$31,[0]!CANDIDATO1,$C352,[0]!MUNICIPIO1,$B$347)</f>
        <v>0</v>
      </c>
      <c r="W352" s="16">
        <f>SUMIFS([0]!VOTOS2,[0]!TURNO1,W$31,[0]!CANDIDATO1,$C352,[0]!MUNICIPIO1,$B$347)</f>
        <v>0</v>
      </c>
      <c r="X352" s="24"/>
      <c r="Y352" s="18" t="str">
        <f t="shared" si="816"/>
        <v>CARLOS VALERO</v>
      </c>
      <c r="Z352" s="34">
        <f t="shared" si="817"/>
        <v>2</v>
      </c>
      <c r="AA352" s="34">
        <f t="shared" si="818"/>
        <v>0</v>
      </c>
      <c r="AB352" s="34" t="e">
        <f t="shared" ref="AB352:AR352" si="829">IF(SUM(G347:G359)=0,NA(),G352+AA352)</f>
        <v>#N/A</v>
      </c>
      <c r="AC352" s="34" t="e">
        <f t="shared" si="829"/>
        <v>#N/A</v>
      </c>
      <c r="AD352" s="34" t="e">
        <f t="shared" si="829"/>
        <v>#N/A</v>
      </c>
      <c r="AE352" s="34" t="e">
        <f t="shared" si="829"/>
        <v>#N/A</v>
      </c>
      <c r="AF352" s="34" t="e">
        <f t="shared" si="829"/>
        <v>#N/A</v>
      </c>
      <c r="AG352" s="34" t="e">
        <f t="shared" si="829"/>
        <v>#N/A</v>
      </c>
      <c r="AH352" s="34" t="e">
        <f t="shared" si="829"/>
        <v>#N/A</v>
      </c>
      <c r="AI352" s="34" t="e">
        <f t="shared" si="829"/>
        <v>#N/A</v>
      </c>
      <c r="AJ352" s="34" t="e">
        <f t="shared" si="829"/>
        <v>#N/A</v>
      </c>
      <c r="AK352" s="34" t="e">
        <f t="shared" si="829"/>
        <v>#N/A</v>
      </c>
      <c r="AL352" s="34" t="e">
        <f t="shared" si="829"/>
        <v>#N/A</v>
      </c>
      <c r="AM352" s="34" t="e">
        <f t="shared" si="829"/>
        <v>#N/A</v>
      </c>
      <c r="AN352" s="34" t="e">
        <f t="shared" si="829"/>
        <v>#N/A</v>
      </c>
      <c r="AO352" s="34" t="e">
        <f t="shared" si="829"/>
        <v>#N/A</v>
      </c>
      <c r="AP352" s="34" t="e">
        <f t="shared" si="829"/>
        <v>#N/A</v>
      </c>
      <c r="AQ352" s="34" t="e">
        <f t="shared" si="829"/>
        <v>#N/A</v>
      </c>
      <c r="AR352" s="34" t="e">
        <f t="shared" si="829"/>
        <v>#N/A</v>
      </c>
      <c r="AS352" s="27"/>
      <c r="AT352" s="39"/>
      <c r="AU352" s="39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30"/>
    </row>
    <row r="353" spans="1:66" ht="11.25" customHeight="1" x14ac:dyDescent="0.2">
      <c r="A353" s="37"/>
      <c r="B353" s="73"/>
      <c r="C353" s="33">
        <v>7</v>
      </c>
      <c r="D353" s="13" t="s">
        <v>259</v>
      </c>
      <c r="E353" s="16">
        <f t="shared" si="815"/>
        <v>0</v>
      </c>
      <c r="F353" s="16">
        <f>SUMIFS([0]!VOTOS2,[0]!TURNO1,F$31,[0]!CANDIDATO1,$C353,[0]!MUNICIPIO1,$B$347)</f>
        <v>0</v>
      </c>
      <c r="G353" s="16">
        <f>SUMIFS([0]!VOTOS2,[0]!TURNO1,G$31,[0]!CANDIDATO1,$C353,[0]!MUNICIPIO1,$B$347)</f>
        <v>0</v>
      </c>
      <c r="H353" s="16">
        <f>SUMIFS([0]!VOTOS2,[0]!TURNO1,H$31,[0]!CANDIDATO1,$C353,[0]!MUNICIPIO1,$B$347)</f>
        <v>0</v>
      </c>
      <c r="I353" s="16">
        <f>SUMIFS([0]!VOTOS2,[0]!TURNO1,I$31,[0]!CANDIDATO1,$C353,[0]!MUNICIPIO1,$B$347)</f>
        <v>0</v>
      </c>
      <c r="J353" s="16">
        <f>SUMIFS([0]!VOTOS2,[0]!TURNO1,J$31,[0]!CANDIDATO1,$C353,[0]!MUNICIPIO1,$B$347)</f>
        <v>0</v>
      </c>
      <c r="K353" s="16">
        <f>SUMIFS([0]!VOTOS2,[0]!TURNO1,K$31,[0]!CANDIDATO1,$C353,[0]!MUNICIPIO1,$B$347)</f>
        <v>0</v>
      </c>
      <c r="L353" s="16">
        <f>SUMIFS([0]!VOTOS2,[0]!TURNO1,L$31,[0]!CANDIDATO1,$C353,[0]!MUNICIPIO1,$B$347)</f>
        <v>0</v>
      </c>
      <c r="M353" s="16">
        <f>SUMIFS([0]!VOTOS2,[0]!TURNO1,M$31,[0]!CANDIDATO1,$C353,[0]!MUNICIPIO1,$B$347)</f>
        <v>0</v>
      </c>
      <c r="N353" s="16">
        <f>SUMIFS([0]!VOTOS2,[0]!TURNO1,N$31,[0]!CANDIDATO1,$C353,[0]!MUNICIPIO1,$B$347)</f>
        <v>0</v>
      </c>
      <c r="O353" s="16">
        <f>SUMIFS([0]!VOTOS2,[0]!TURNO1,O$31,[0]!CANDIDATO1,$C353,[0]!MUNICIPIO1,$B$347)</f>
        <v>0</v>
      </c>
      <c r="P353" s="16">
        <f>SUMIFS([0]!VOTOS2,[0]!TURNO1,P$31,[0]!CANDIDATO1,$C353,[0]!MUNICIPIO1,$B$347)</f>
        <v>0</v>
      </c>
      <c r="Q353" s="16">
        <f>SUMIFS([0]!VOTOS2,[0]!TURNO1,Q$31,[0]!CANDIDATO1,$C353,[0]!MUNICIPIO1,$B$347)</f>
        <v>0</v>
      </c>
      <c r="R353" s="16">
        <f>SUMIFS([0]!VOTOS2,[0]!TURNO1,R$31,[0]!CANDIDATO1,$C353,[0]!MUNICIPIO1,$B$347)</f>
        <v>0</v>
      </c>
      <c r="S353" s="16">
        <f>SUMIFS([0]!VOTOS2,[0]!TURNO1,S$31,[0]!CANDIDATO1,$C353,[0]!MUNICIPIO1,$B$347)</f>
        <v>0</v>
      </c>
      <c r="T353" s="16">
        <f>SUMIFS([0]!VOTOS2,[0]!TURNO1,T$31,[0]!CANDIDATO1,$C353,[0]!MUNICIPIO1,$B$347)</f>
        <v>0</v>
      </c>
      <c r="U353" s="16">
        <f>SUMIFS([0]!VOTOS2,[0]!TURNO1,U$31,[0]!CANDIDATO1,$C353,[0]!MUNICIPIO1,$B$347)</f>
        <v>0</v>
      </c>
      <c r="V353" s="16">
        <f>SUMIFS([0]!VOTOS2,[0]!TURNO1,V$31,[0]!CANDIDATO1,$C353,[0]!MUNICIPIO1,$B$347)</f>
        <v>0</v>
      </c>
      <c r="W353" s="16">
        <f>SUMIFS([0]!VOTOS2,[0]!TURNO1,W$31,[0]!CANDIDATO1,$C353,[0]!MUNICIPIO1,$B$347)</f>
        <v>0</v>
      </c>
      <c r="X353" s="24"/>
      <c r="Y353" s="18" t="str">
        <f t="shared" si="816"/>
        <v>YENNI HERNANDEZ</v>
      </c>
      <c r="Z353" s="34">
        <f t="shared" si="817"/>
        <v>0</v>
      </c>
      <c r="AA353" s="34">
        <f t="shared" si="818"/>
        <v>0</v>
      </c>
      <c r="AB353" s="34" t="e">
        <f t="shared" ref="AB353:AR353" si="830">IF(SUM(G347:G359)=0,NA(),G353+AA353)</f>
        <v>#N/A</v>
      </c>
      <c r="AC353" s="34" t="e">
        <f t="shared" si="830"/>
        <v>#N/A</v>
      </c>
      <c r="AD353" s="34" t="e">
        <f t="shared" si="830"/>
        <v>#N/A</v>
      </c>
      <c r="AE353" s="34" t="e">
        <f t="shared" si="830"/>
        <v>#N/A</v>
      </c>
      <c r="AF353" s="34" t="e">
        <f t="shared" si="830"/>
        <v>#N/A</v>
      </c>
      <c r="AG353" s="34" t="e">
        <f t="shared" si="830"/>
        <v>#N/A</v>
      </c>
      <c r="AH353" s="34" t="e">
        <f t="shared" si="830"/>
        <v>#N/A</v>
      </c>
      <c r="AI353" s="34" t="e">
        <f t="shared" si="830"/>
        <v>#N/A</v>
      </c>
      <c r="AJ353" s="34" t="e">
        <f t="shared" si="830"/>
        <v>#N/A</v>
      </c>
      <c r="AK353" s="34" t="e">
        <f t="shared" si="830"/>
        <v>#N/A</v>
      </c>
      <c r="AL353" s="34" t="e">
        <f t="shared" si="830"/>
        <v>#N/A</v>
      </c>
      <c r="AM353" s="34" t="e">
        <f t="shared" si="830"/>
        <v>#N/A</v>
      </c>
      <c r="AN353" s="34" t="e">
        <f t="shared" si="830"/>
        <v>#N/A</v>
      </c>
      <c r="AO353" s="34" t="e">
        <f t="shared" si="830"/>
        <v>#N/A</v>
      </c>
      <c r="AP353" s="34" t="e">
        <f t="shared" si="830"/>
        <v>#N/A</v>
      </c>
      <c r="AQ353" s="34" t="e">
        <f t="shared" si="830"/>
        <v>#N/A</v>
      </c>
      <c r="AR353" s="34" t="e">
        <f t="shared" si="830"/>
        <v>#N/A</v>
      </c>
      <c r="AS353" s="27"/>
      <c r="AT353" s="39"/>
      <c r="AU353" s="39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30"/>
    </row>
    <row r="354" spans="1:66" ht="11.25" customHeight="1" x14ac:dyDescent="0.2">
      <c r="A354" s="37"/>
      <c r="B354" s="73"/>
      <c r="C354" s="33">
        <v>8</v>
      </c>
      <c r="D354" s="13" t="s">
        <v>260</v>
      </c>
      <c r="E354" s="16">
        <f t="shared" si="815"/>
        <v>0</v>
      </c>
      <c r="F354" s="16">
        <f>SUMIFS([0]!VOTOS2,[0]!TURNO1,F$31,[0]!CANDIDATO1,$C354,[0]!MUNICIPIO1,$B$347)</f>
        <v>0</v>
      </c>
      <c r="G354" s="16">
        <f>SUMIFS([0]!VOTOS2,[0]!TURNO1,G$31,[0]!CANDIDATO1,$C354,[0]!MUNICIPIO1,$B$347)</f>
        <v>0</v>
      </c>
      <c r="H354" s="16">
        <f>SUMIFS([0]!VOTOS2,[0]!TURNO1,H$31,[0]!CANDIDATO1,$C354,[0]!MUNICIPIO1,$B$347)</f>
        <v>0</v>
      </c>
      <c r="I354" s="16">
        <f>SUMIFS([0]!VOTOS2,[0]!TURNO1,I$31,[0]!CANDIDATO1,$C354,[0]!MUNICIPIO1,$B$347)</f>
        <v>0</v>
      </c>
      <c r="J354" s="16">
        <f>SUMIFS([0]!VOTOS2,[0]!TURNO1,J$31,[0]!CANDIDATO1,$C354,[0]!MUNICIPIO1,$B$347)</f>
        <v>0</v>
      </c>
      <c r="K354" s="16">
        <f>SUMIFS([0]!VOTOS2,[0]!TURNO1,K$31,[0]!CANDIDATO1,$C354,[0]!MUNICIPIO1,$B$347)</f>
        <v>0</v>
      </c>
      <c r="L354" s="16">
        <f>SUMIFS([0]!VOTOS2,[0]!TURNO1,L$31,[0]!CANDIDATO1,$C354,[0]!MUNICIPIO1,$B$347)</f>
        <v>0</v>
      </c>
      <c r="M354" s="16">
        <f>SUMIFS([0]!VOTOS2,[0]!TURNO1,M$31,[0]!CANDIDATO1,$C354,[0]!MUNICIPIO1,$B$347)</f>
        <v>0</v>
      </c>
      <c r="N354" s="16">
        <f>SUMIFS([0]!VOTOS2,[0]!TURNO1,N$31,[0]!CANDIDATO1,$C354,[0]!MUNICIPIO1,$B$347)</f>
        <v>0</v>
      </c>
      <c r="O354" s="16">
        <f>SUMIFS([0]!VOTOS2,[0]!TURNO1,O$31,[0]!CANDIDATO1,$C354,[0]!MUNICIPIO1,$B$347)</f>
        <v>0</v>
      </c>
      <c r="P354" s="16">
        <f>SUMIFS([0]!VOTOS2,[0]!TURNO1,P$31,[0]!CANDIDATO1,$C354,[0]!MUNICIPIO1,$B$347)</f>
        <v>0</v>
      </c>
      <c r="Q354" s="16">
        <f>SUMIFS([0]!VOTOS2,[0]!TURNO1,Q$31,[0]!CANDIDATO1,$C354,[0]!MUNICIPIO1,$B$347)</f>
        <v>0</v>
      </c>
      <c r="R354" s="16">
        <f>SUMIFS([0]!VOTOS2,[0]!TURNO1,R$31,[0]!CANDIDATO1,$C354,[0]!MUNICIPIO1,$B$347)</f>
        <v>0</v>
      </c>
      <c r="S354" s="16">
        <f>SUMIFS([0]!VOTOS2,[0]!TURNO1,S$31,[0]!CANDIDATO1,$C354,[0]!MUNICIPIO1,$B$347)</f>
        <v>0</v>
      </c>
      <c r="T354" s="16">
        <f>SUMIFS([0]!VOTOS2,[0]!TURNO1,T$31,[0]!CANDIDATO1,$C354,[0]!MUNICIPIO1,$B$347)</f>
        <v>0</v>
      </c>
      <c r="U354" s="16">
        <f>SUMIFS([0]!VOTOS2,[0]!TURNO1,U$31,[0]!CANDIDATO1,$C354,[0]!MUNICIPIO1,$B$347)</f>
        <v>0</v>
      </c>
      <c r="V354" s="16">
        <f>SUMIFS([0]!VOTOS2,[0]!TURNO1,V$31,[0]!CANDIDATO1,$C354,[0]!MUNICIPIO1,$B$347)</f>
        <v>0</v>
      </c>
      <c r="W354" s="16">
        <f>SUMIFS([0]!VOTOS2,[0]!TURNO1,W$31,[0]!CANDIDATO1,$C354,[0]!MUNICIPIO1,$B$347)</f>
        <v>0</v>
      </c>
      <c r="X354" s="24"/>
      <c r="Y354" s="18" t="str">
        <f t="shared" si="816"/>
        <v>VICENTE TORRES</v>
      </c>
      <c r="Z354" s="34">
        <f t="shared" si="817"/>
        <v>0</v>
      </c>
      <c r="AA354" s="34">
        <f t="shared" si="818"/>
        <v>0</v>
      </c>
      <c r="AB354" s="34" t="e">
        <f t="shared" ref="AB354:AR354" si="831">IF(SUM(G347:G359)=0,NA(),G354+AA354)</f>
        <v>#N/A</v>
      </c>
      <c r="AC354" s="34" t="e">
        <f t="shared" si="831"/>
        <v>#N/A</v>
      </c>
      <c r="AD354" s="34" t="e">
        <f t="shared" si="831"/>
        <v>#N/A</v>
      </c>
      <c r="AE354" s="34" t="e">
        <f t="shared" si="831"/>
        <v>#N/A</v>
      </c>
      <c r="AF354" s="34" t="e">
        <f t="shared" si="831"/>
        <v>#N/A</v>
      </c>
      <c r="AG354" s="34" t="e">
        <f t="shared" si="831"/>
        <v>#N/A</v>
      </c>
      <c r="AH354" s="34" t="e">
        <f t="shared" si="831"/>
        <v>#N/A</v>
      </c>
      <c r="AI354" s="34" t="e">
        <f t="shared" si="831"/>
        <v>#N/A</v>
      </c>
      <c r="AJ354" s="34" t="e">
        <f t="shared" si="831"/>
        <v>#N/A</v>
      </c>
      <c r="AK354" s="34" t="e">
        <f t="shared" si="831"/>
        <v>#N/A</v>
      </c>
      <c r="AL354" s="34" t="e">
        <f t="shared" si="831"/>
        <v>#N/A</v>
      </c>
      <c r="AM354" s="34" t="e">
        <f t="shared" si="831"/>
        <v>#N/A</v>
      </c>
      <c r="AN354" s="34" t="e">
        <f t="shared" si="831"/>
        <v>#N/A</v>
      </c>
      <c r="AO354" s="34" t="e">
        <f t="shared" si="831"/>
        <v>#N/A</v>
      </c>
      <c r="AP354" s="34" t="e">
        <f t="shared" si="831"/>
        <v>#N/A</v>
      </c>
      <c r="AQ354" s="34" t="e">
        <f t="shared" si="831"/>
        <v>#N/A</v>
      </c>
      <c r="AR354" s="34" t="e">
        <f t="shared" si="831"/>
        <v>#N/A</v>
      </c>
      <c r="AS354" s="27"/>
      <c r="AT354" s="41"/>
      <c r="AU354" s="41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30"/>
    </row>
    <row r="355" spans="1:66" ht="11.25" customHeight="1" x14ac:dyDescent="0.2">
      <c r="A355" s="42"/>
      <c r="B355" s="74"/>
      <c r="C355" s="33">
        <v>9</v>
      </c>
      <c r="D355" s="13" t="s">
        <v>261</v>
      </c>
      <c r="E355" s="16">
        <f t="shared" si="815"/>
        <v>0</v>
      </c>
      <c r="F355" s="16">
        <f>SUMIFS([0]!VOTOS2,[0]!TURNO1,F$31,[0]!CANDIDATO1,$C355,[0]!MUNICIPIO1,$B$347)</f>
        <v>0</v>
      </c>
      <c r="G355" s="16">
        <f>SUMIFS([0]!VOTOS2,[0]!TURNO1,G$31,[0]!CANDIDATO1,$C355,[0]!MUNICIPIO1,$B$347)</f>
        <v>0</v>
      </c>
      <c r="H355" s="16">
        <f>SUMIFS([0]!VOTOS2,[0]!TURNO1,H$31,[0]!CANDIDATO1,$C355,[0]!MUNICIPIO1,$B$347)</f>
        <v>0</v>
      </c>
      <c r="I355" s="16">
        <f>SUMIFS([0]!VOTOS2,[0]!TURNO1,I$31,[0]!CANDIDATO1,$C355,[0]!MUNICIPIO1,$B$347)</f>
        <v>0</v>
      </c>
      <c r="J355" s="16">
        <f>SUMIFS([0]!VOTOS2,[0]!TURNO1,J$31,[0]!CANDIDATO1,$C355,[0]!MUNICIPIO1,$B$347)</f>
        <v>0</v>
      </c>
      <c r="K355" s="16">
        <f>SUMIFS([0]!VOTOS2,[0]!TURNO1,K$31,[0]!CANDIDATO1,$C355,[0]!MUNICIPIO1,$B$347)</f>
        <v>0</v>
      </c>
      <c r="L355" s="16">
        <f>SUMIFS([0]!VOTOS2,[0]!TURNO1,L$31,[0]!CANDIDATO1,$C355,[0]!MUNICIPIO1,$B$347)</f>
        <v>0</v>
      </c>
      <c r="M355" s="16">
        <f>SUMIFS([0]!VOTOS2,[0]!TURNO1,M$31,[0]!CANDIDATO1,$C355,[0]!MUNICIPIO1,$B$347)</f>
        <v>0</v>
      </c>
      <c r="N355" s="16">
        <f>SUMIFS([0]!VOTOS2,[0]!TURNO1,N$31,[0]!CANDIDATO1,$C355,[0]!MUNICIPIO1,$B$347)</f>
        <v>0</v>
      </c>
      <c r="O355" s="16">
        <f>SUMIFS([0]!VOTOS2,[0]!TURNO1,O$31,[0]!CANDIDATO1,$C355,[0]!MUNICIPIO1,$B$347)</f>
        <v>0</v>
      </c>
      <c r="P355" s="16">
        <f>SUMIFS([0]!VOTOS2,[0]!TURNO1,P$31,[0]!CANDIDATO1,$C355,[0]!MUNICIPIO1,$B$347)</f>
        <v>0</v>
      </c>
      <c r="Q355" s="16">
        <f>SUMIFS([0]!VOTOS2,[0]!TURNO1,Q$31,[0]!CANDIDATO1,$C355,[0]!MUNICIPIO1,$B$347)</f>
        <v>0</v>
      </c>
      <c r="R355" s="16">
        <f>SUMIFS([0]!VOTOS2,[0]!TURNO1,R$31,[0]!CANDIDATO1,$C355,[0]!MUNICIPIO1,$B$347)</f>
        <v>0</v>
      </c>
      <c r="S355" s="16">
        <f>SUMIFS([0]!VOTOS2,[0]!TURNO1,S$31,[0]!CANDIDATO1,$C355,[0]!MUNICIPIO1,$B$347)</f>
        <v>0</v>
      </c>
      <c r="T355" s="16">
        <f>SUMIFS([0]!VOTOS2,[0]!TURNO1,T$31,[0]!CANDIDATO1,$C355,[0]!MUNICIPIO1,$B$347)</f>
        <v>0</v>
      </c>
      <c r="U355" s="16">
        <f>SUMIFS([0]!VOTOS2,[0]!TURNO1,U$31,[0]!CANDIDATO1,$C355,[0]!MUNICIPIO1,$B$347)</f>
        <v>0</v>
      </c>
      <c r="V355" s="16">
        <f>SUMIFS([0]!VOTOS2,[0]!TURNO1,V$31,[0]!CANDIDATO1,$C355,[0]!MUNICIPIO1,$B$347)</f>
        <v>0</v>
      </c>
      <c r="W355" s="16">
        <f>SUMIFS([0]!VOTOS2,[0]!TURNO1,W$31,[0]!CANDIDATO1,$C355,[0]!MUNICIPIO1,$B$347)</f>
        <v>0</v>
      </c>
      <c r="X355" s="24"/>
      <c r="Y355" s="18" t="str">
        <f t="shared" si="816"/>
        <v>PEDRO NEDERR</v>
      </c>
      <c r="Z355" s="34">
        <f t="shared" si="817"/>
        <v>0</v>
      </c>
      <c r="AA355" s="34">
        <f t="shared" si="818"/>
        <v>0</v>
      </c>
      <c r="AB355" s="34" t="e">
        <f t="shared" ref="AB355:AR355" si="832">IF(SUM(G347:G359)=0,NA(),G355+AA355)</f>
        <v>#N/A</v>
      </c>
      <c r="AC355" s="34" t="e">
        <f t="shared" si="832"/>
        <v>#N/A</v>
      </c>
      <c r="AD355" s="34" t="e">
        <f t="shared" si="832"/>
        <v>#N/A</v>
      </c>
      <c r="AE355" s="34" t="e">
        <f t="shared" si="832"/>
        <v>#N/A</v>
      </c>
      <c r="AF355" s="34" t="e">
        <f t="shared" si="832"/>
        <v>#N/A</v>
      </c>
      <c r="AG355" s="34" t="e">
        <f t="shared" si="832"/>
        <v>#N/A</v>
      </c>
      <c r="AH355" s="34" t="e">
        <f t="shared" si="832"/>
        <v>#N/A</v>
      </c>
      <c r="AI355" s="34" t="e">
        <f t="shared" si="832"/>
        <v>#N/A</v>
      </c>
      <c r="AJ355" s="34" t="e">
        <f t="shared" si="832"/>
        <v>#N/A</v>
      </c>
      <c r="AK355" s="34" t="e">
        <f t="shared" si="832"/>
        <v>#N/A</v>
      </c>
      <c r="AL355" s="34" t="e">
        <f t="shared" si="832"/>
        <v>#N/A</v>
      </c>
      <c r="AM355" s="34" t="e">
        <f t="shared" si="832"/>
        <v>#N/A</v>
      </c>
      <c r="AN355" s="34" t="e">
        <f t="shared" si="832"/>
        <v>#N/A</v>
      </c>
      <c r="AO355" s="34" t="e">
        <f t="shared" si="832"/>
        <v>#N/A</v>
      </c>
      <c r="AP355" s="34" t="e">
        <f t="shared" si="832"/>
        <v>#N/A</v>
      </c>
      <c r="AQ355" s="34" t="e">
        <f t="shared" si="832"/>
        <v>#N/A</v>
      </c>
      <c r="AR355" s="34" t="e">
        <f t="shared" si="832"/>
        <v>#N/A</v>
      </c>
      <c r="AS355" s="27"/>
      <c r="AT355" s="41"/>
      <c r="AU355" s="41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30"/>
    </row>
    <row r="356" spans="1:66" ht="11.25" customHeight="1" x14ac:dyDescent="0.2">
      <c r="A356" s="44"/>
      <c r="B356" s="45"/>
      <c r="C356" s="46">
        <v>10</v>
      </c>
      <c r="D356" s="14" t="s">
        <v>76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24"/>
      <c r="Y356" s="18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27"/>
      <c r="AT356" s="41"/>
      <c r="AU356" s="41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30"/>
    </row>
    <row r="357" spans="1:66" ht="11.25" customHeight="1" x14ac:dyDescent="0.2">
      <c r="A357" s="44"/>
      <c r="B357" s="45"/>
      <c r="C357" s="46">
        <v>11</v>
      </c>
      <c r="D357" s="14" t="s">
        <v>76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24"/>
      <c r="Y357" s="18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27"/>
      <c r="AT357" s="41"/>
      <c r="AU357" s="41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30"/>
    </row>
    <row r="358" spans="1:66" ht="11.25" customHeight="1" x14ac:dyDescent="0.2">
      <c r="A358" s="44"/>
      <c r="B358" s="45"/>
      <c r="C358" s="46">
        <v>12</v>
      </c>
      <c r="D358" s="14" t="s">
        <v>76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24"/>
      <c r="Y358" s="18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27"/>
      <c r="AT358" s="41"/>
      <c r="AU358" s="41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30"/>
    </row>
    <row r="359" spans="1:66" ht="11.25" customHeight="1" x14ac:dyDescent="0.2">
      <c r="A359" s="44"/>
      <c r="B359" s="45"/>
      <c r="C359" s="46">
        <v>13</v>
      </c>
      <c r="D359" s="14" t="s">
        <v>76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24"/>
      <c r="Y359" s="18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27"/>
      <c r="AT359" s="41"/>
      <c r="AU359" s="41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30"/>
    </row>
    <row r="360" spans="1:66" ht="11.25" customHeight="1" x14ac:dyDescent="0.2">
      <c r="X360" s="24"/>
      <c r="Y360" s="19" t="s">
        <v>79</v>
      </c>
      <c r="Z360" s="34">
        <f t="shared" ref="Z360" si="833">SUM(Z349:Z359)</f>
        <v>2</v>
      </c>
      <c r="AA360" s="34">
        <f t="shared" ref="AA360" si="834">SUM(AA349:AA359)</f>
        <v>0</v>
      </c>
      <c r="AB360" s="34" t="e">
        <f t="shared" ref="AB360" si="835">SUM(AB349:AB359)</f>
        <v>#N/A</v>
      </c>
      <c r="AC360" s="34" t="e">
        <f t="shared" ref="AC360" si="836">SUM(AC349:AC359)</f>
        <v>#N/A</v>
      </c>
      <c r="AD360" s="34" t="e">
        <f t="shared" ref="AD360" si="837">SUM(AD349:AD359)</f>
        <v>#N/A</v>
      </c>
      <c r="AE360" s="34" t="e">
        <f t="shared" ref="AE360" si="838">SUM(AE349:AE359)</f>
        <v>#N/A</v>
      </c>
      <c r="AF360" s="34" t="e">
        <f t="shared" ref="AF360" si="839">SUM(AF349:AF359)</f>
        <v>#N/A</v>
      </c>
      <c r="AG360" s="34" t="e">
        <f t="shared" ref="AG360" si="840">SUM(AG349:AG359)</f>
        <v>#N/A</v>
      </c>
      <c r="AH360" s="34" t="e">
        <f t="shared" ref="AH360" si="841">SUM(AH349:AH359)</f>
        <v>#N/A</v>
      </c>
      <c r="AI360" s="34" t="e">
        <f t="shared" ref="AI360" si="842">SUM(AI349:AI359)</f>
        <v>#N/A</v>
      </c>
      <c r="AJ360" s="34" t="e">
        <f t="shared" ref="AJ360" si="843">SUM(AJ349:AJ359)</f>
        <v>#N/A</v>
      </c>
      <c r="AK360" s="34" t="e">
        <f t="shared" ref="AK360" si="844">SUM(AK349:AK359)</f>
        <v>#N/A</v>
      </c>
      <c r="AL360" s="34" t="e">
        <f t="shared" ref="AL360" si="845">SUM(AL349:AL359)</f>
        <v>#N/A</v>
      </c>
      <c r="AM360" s="34" t="e">
        <f t="shared" ref="AM360" si="846">SUM(AM349:AM359)</f>
        <v>#N/A</v>
      </c>
      <c r="AN360" s="34" t="e">
        <f t="shared" ref="AN360" si="847">SUM(AN349:AN359)</f>
        <v>#N/A</v>
      </c>
      <c r="AO360" s="34" t="e">
        <f t="shared" ref="AO360" si="848">SUM(AO349:AO359)</f>
        <v>#N/A</v>
      </c>
      <c r="AP360" s="34" t="e">
        <f t="shared" ref="AP360" si="849">SUM(AP349:AP359)</f>
        <v>#N/A</v>
      </c>
      <c r="AQ360" s="34" t="e">
        <f t="shared" ref="AQ360" si="850">SUM(AQ349:AQ359)</f>
        <v>#N/A</v>
      </c>
      <c r="AR360" s="34" t="e">
        <f t="shared" ref="AR360" si="851">SUM(AR349:AR359)</f>
        <v>#N/A</v>
      </c>
      <c r="AS360" s="27"/>
      <c r="AT360" s="41"/>
      <c r="AU360" s="41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30"/>
    </row>
    <row r="361" spans="1:66" ht="11.25" customHeight="1" x14ac:dyDescent="0.2">
      <c r="A361" s="75" t="s">
        <v>63</v>
      </c>
      <c r="B361" s="76"/>
      <c r="C361" s="21"/>
      <c r="D361" s="22" t="s">
        <v>75</v>
      </c>
      <c r="E361" s="23" t="s">
        <v>70</v>
      </c>
      <c r="F361" s="23">
        <v>0</v>
      </c>
      <c r="G361" s="23">
        <v>1</v>
      </c>
      <c r="H361" s="23">
        <v>2</v>
      </c>
      <c r="I361" s="23">
        <v>3</v>
      </c>
      <c r="J361" s="23">
        <v>4</v>
      </c>
      <c r="K361" s="23">
        <v>5</v>
      </c>
      <c r="L361" s="23">
        <v>6</v>
      </c>
      <c r="M361" s="23">
        <v>7</v>
      </c>
      <c r="N361" s="23">
        <v>8</v>
      </c>
      <c r="O361" s="23">
        <v>9</v>
      </c>
      <c r="P361" s="23">
        <v>10</v>
      </c>
      <c r="Q361" s="23">
        <v>11</v>
      </c>
      <c r="R361" s="23">
        <v>12</v>
      </c>
      <c r="S361" s="23">
        <v>13</v>
      </c>
      <c r="T361" s="23">
        <v>14</v>
      </c>
      <c r="U361" s="23">
        <v>15</v>
      </c>
      <c r="V361" s="23">
        <v>16</v>
      </c>
      <c r="W361" s="23">
        <v>17</v>
      </c>
      <c r="X361" s="24"/>
      <c r="Y361" s="17"/>
      <c r="Z361" s="25" t="s">
        <v>64</v>
      </c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7"/>
      <c r="AT361" s="28"/>
      <c r="AU361" s="28" t="s">
        <v>64</v>
      </c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30"/>
    </row>
    <row r="362" spans="1:66" ht="11.25" customHeight="1" x14ac:dyDescent="0.2">
      <c r="A362" s="32"/>
      <c r="B362" s="72">
        <v>25</v>
      </c>
      <c r="C362" s="33">
        <v>1</v>
      </c>
      <c r="D362" s="13" t="s">
        <v>282</v>
      </c>
      <c r="E362" s="16">
        <f t="shared" ref="E362:E368" si="852">SUM(F362:W362)</f>
        <v>8</v>
      </c>
      <c r="F362" s="16">
        <f>SUMIFS([0]!VOTOS2,[0]!TURNO1,F$31,[0]!CANDIDATO1,$C362,[0]!MUNICIPIO1,$B$362)</f>
        <v>8</v>
      </c>
      <c r="G362" s="16">
        <f>SUMIFS([0]!VOTOS2,[0]!TURNO1,G$31,[0]!CANDIDATO1,$C362,[0]!MUNICIPIO1,$B$362)</f>
        <v>0</v>
      </c>
      <c r="H362" s="16">
        <f>SUMIFS([0]!VOTOS2,[0]!TURNO1,H$31,[0]!CANDIDATO1,$C362,[0]!MUNICIPIO1,$B$362)</f>
        <v>0</v>
      </c>
      <c r="I362" s="16">
        <f>SUMIFS([0]!VOTOS2,[0]!TURNO1,I$31,[0]!CANDIDATO1,$C362,[0]!MUNICIPIO1,$B$362)</f>
        <v>0</v>
      </c>
      <c r="J362" s="16">
        <f>SUMIFS([0]!VOTOS2,[0]!TURNO1,J$31,[0]!CANDIDATO1,$C362,[0]!MUNICIPIO1,$B$362)</f>
        <v>0</v>
      </c>
      <c r="K362" s="16">
        <f>SUMIFS([0]!VOTOS2,[0]!TURNO1,K$31,[0]!CANDIDATO1,$C362,[0]!MUNICIPIO1,$B$362)</f>
        <v>0</v>
      </c>
      <c r="L362" s="16">
        <f>SUMIFS([0]!VOTOS2,[0]!TURNO1,L$31,[0]!CANDIDATO1,$C362,[0]!MUNICIPIO1,$B$362)</f>
        <v>0</v>
      </c>
      <c r="M362" s="16">
        <f>SUMIFS([0]!VOTOS2,[0]!TURNO1,M$31,[0]!CANDIDATO1,$C362,[0]!MUNICIPIO1,$B$362)</f>
        <v>0</v>
      </c>
      <c r="N362" s="16">
        <f>SUMIFS([0]!VOTOS2,[0]!TURNO1,N$31,[0]!CANDIDATO1,$C362,[0]!MUNICIPIO1,$B$362)</f>
        <v>0</v>
      </c>
      <c r="O362" s="16">
        <f>SUMIFS([0]!VOTOS2,[0]!TURNO1,O$31,[0]!CANDIDATO1,$C362,[0]!MUNICIPIO1,$B$362)</f>
        <v>0</v>
      </c>
      <c r="P362" s="16">
        <f>SUMIFS([0]!VOTOS2,[0]!TURNO1,P$31,[0]!CANDIDATO1,$C362,[0]!MUNICIPIO1,$B$362)</f>
        <v>0</v>
      </c>
      <c r="Q362" s="16">
        <f>SUMIFS([0]!VOTOS2,[0]!TURNO1,Q$31,[0]!CANDIDATO1,$C362,[0]!MUNICIPIO1,$B$362)</f>
        <v>0</v>
      </c>
      <c r="R362" s="16">
        <f>SUMIFS([0]!VOTOS2,[0]!TURNO1,R$31,[0]!CANDIDATO1,$C362,[0]!MUNICIPIO1,$B$362)</f>
        <v>0</v>
      </c>
      <c r="S362" s="16">
        <f>SUMIFS([0]!VOTOS2,[0]!TURNO1,S$31,[0]!CANDIDATO1,$C362,[0]!MUNICIPIO1,$B$362)</f>
        <v>0</v>
      </c>
      <c r="T362" s="16">
        <f>SUMIFS([0]!VOTOS2,[0]!TURNO1,T$31,[0]!CANDIDATO1,$C362,[0]!MUNICIPIO1,$B$362)</f>
        <v>0</v>
      </c>
      <c r="U362" s="16">
        <f>SUMIFS([0]!VOTOS2,[0]!TURNO1,U$31,[0]!CANDIDATO1,$C362,[0]!MUNICIPIO1,$B$362)</f>
        <v>0</v>
      </c>
      <c r="V362" s="16">
        <f>SUMIFS([0]!VOTOS2,[0]!TURNO1,V$31,[0]!CANDIDATO1,$C362,[0]!MUNICIPIO1,$B$362)</f>
        <v>0</v>
      </c>
      <c r="W362" s="16">
        <f>SUMIFS([0]!VOTOS2,[0]!TURNO1,W$31,[0]!CANDIDATO1,$C362,[0]!MUNICIPIO1,$B$362)</f>
        <v>0</v>
      </c>
      <c r="X362" s="24"/>
      <c r="Y362" s="18" t="str">
        <f t="shared" ref="Y362:Y368" si="853">D362</f>
        <v>ZOBEIDA EL HINNAQUI</v>
      </c>
      <c r="Z362" s="34">
        <f t="shared" ref="Z362:Z368" si="854">E362</f>
        <v>8</v>
      </c>
      <c r="AA362" s="34">
        <f t="shared" ref="AA362:AA368" si="855">F362</f>
        <v>8</v>
      </c>
      <c r="AB362" s="34" t="e">
        <f t="shared" ref="AB362:AR362" si="856">IF(SUM(G362:G374)=0,NA(),G362+AA362)</f>
        <v>#N/A</v>
      </c>
      <c r="AC362" s="34" t="e">
        <f t="shared" si="856"/>
        <v>#N/A</v>
      </c>
      <c r="AD362" s="34" t="e">
        <f t="shared" si="856"/>
        <v>#N/A</v>
      </c>
      <c r="AE362" s="34" t="e">
        <f t="shared" si="856"/>
        <v>#N/A</v>
      </c>
      <c r="AF362" s="34" t="e">
        <f t="shared" si="856"/>
        <v>#N/A</v>
      </c>
      <c r="AG362" s="34" t="e">
        <f t="shared" si="856"/>
        <v>#N/A</v>
      </c>
      <c r="AH362" s="34" t="e">
        <f t="shared" si="856"/>
        <v>#N/A</v>
      </c>
      <c r="AI362" s="34" t="e">
        <f t="shared" si="856"/>
        <v>#N/A</v>
      </c>
      <c r="AJ362" s="34" t="e">
        <f t="shared" si="856"/>
        <v>#N/A</v>
      </c>
      <c r="AK362" s="34" t="e">
        <f t="shared" si="856"/>
        <v>#N/A</v>
      </c>
      <c r="AL362" s="34" t="e">
        <f t="shared" si="856"/>
        <v>#N/A</v>
      </c>
      <c r="AM362" s="34" t="e">
        <f t="shared" si="856"/>
        <v>#N/A</v>
      </c>
      <c r="AN362" s="34" t="e">
        <f t="shared" si="856"/>
        <v>#N/A</v>
      </c>
      <c r="AO362" s="34" t="e">
        <f t="shared" si="856"/>
        <v>#N/A</v>
      </c>
      <c r="AP362" s="34" t="e">
        <f t="shared" si="856"/>
        <v>#N/A</v>
      </c>
      <c r="AQ362" s="34" t="e">
        <f t="shared" si="856"/>
        <v>#N/A</v>
      </c>
      <c r="AR362" s="34" t="e">
        <f t="shared" si="856"/>
        <v>#N/A</v>
      </c>
      <c r="AS362" s="27"/>
      <c r="AT362" s="35" t="str">
        <f t="shared" ref="AT362:AT363" si="857">Y362</f>
        <v>ZOBEIDA EL HINNAQUI</v>
      </c>
      <c r="AU362" s="36">
        <f t="shared" ref="AU362:BM362" si="858">Z362/(Z362+Z363+Z375)</f>
        <v>0.5</v>
      </c>
      <c r="AV362" s="36">
        <f t="shared" si="858"/>
        <v>0.5</v>
      </c>
      <c r="AW362" s="36" t="e">
        <f t="shared" si="858"/>
        <v>#N/A</v>
      </c>
      <c r="AX362" s="36" t="e">
        <f t="shared" si="858"/>
        <v>#N/A</v>
      </c>
      <c r="AY362" s="36" t="e">
        <f t="shared" si="858"/>
        <v>#N/A</v>
      </c>
      <c r="AZ362" s="36" t="e">
        <f t="shared" si="858"/>
        <v>#N/A</v>
      </c>
      <c r="BA362" s="36" t="e">
        <f t="shared" si="858"/>
        <v>#N/A</v>
      </c>
      <c r="BB362" s="36" t="e">
        <f t="shared" si="858"/>
        <v>#N/A</v>
      </c>
      <c r="BC362" s="36" t="e">
        <f t="shared" si="858"/>
        <v>#N/A</v>
      </c>
      <c r="BD362" s="36" t="e">
        <f t="shared" si="858"/>
        <v>#N/A</v>
      </c>
      <c r="BE362" s="36" t="e">
        <f t="shared" si="858"/>
        <v>#N/A</v>
      </c>
      <c r="BF362" s="36" t="e">
        <f t="shared" si="858"/>
        <v>#N/A</v>
      </c>
      <c r="BG362" s="36" t="e">
        <f t="shared" si="858"/>
        <v>#N/A</v>
      </c>
      <c r="BH362" s="36" t="e">
        <f t="shared" si="858"/>
        <v>#N/A</v>
      </c>
      <c r="BI362" s="36" t="e">
        <f t="shared" si="858"/>
        <v>#N/A</v>
      </c>
      <c r="BJ362" s="36" t="e">
        <f t="shared" si="858"/>
        <v>#N/A</v>
      </c>
      <c r="BK362" s="36" t="e">
        <f t="shared" si="858"/>
        <v>#N/A</v>
      </c>
      <c r="BL362" s="36" t="e">
        <f t="shared" si="858"/>
        <v>#N/A</v>
      </c>
      <c r="BM362" s="36" t="e">
        <f t="shared" si="858"/>
        <v>#N/A</v>
      </c>
      <c r="BN362" s="30"/>
    </row>
    <row r="363" spans="1:66" ht="11.25" customHeight="1" x14ac:dyDescent="0.2">
      <c r="A363" s="37"/>
      <c r="B363" s="73"/>
      <c r="C363" s="33">
        <v>2</v>
      </c>
      <c r="D363" s="13" t="s">
        <v>283</v>
      </c>
      <c r="E363" s="16">
        <f t="shared" si="852"/>
        <v>8</v>
      </c>
      <c r="F363" s="16">
        <f>SUMIFS([0]!VOTOS2,[0]!TURNO1,F$31,[0]!CANDIDATO1,$C363,[0]!MUNICIPIO1,$B$362)</f>
        <v>8</v>
      </c>
      <c r="G363" s="16">
        <f>SUMIFS([0]!VOTOS2,[0]!TURNO1,G$31,[0]!CANDIDATO1,$C363,[0]!MUNICIPIO1,$B$362)</f>
        <v>0</v>
      </c>
      <c r="H363" s="16">
        <f>SUMIFS([0]!VOTOS2,[0]!TURNO1,H$31,[0]!CANDIDATO1,$C363,[0]!MUNICIPIO1,$B$362)</f>
        <v>0</v>
      </c>
      <c r="I363" s="16">
        <f>SUMIFS([0]!VOTOS2,[0]!TURNO1,I$31,[0]!CANDIDATO1,$C363,[0]!MUNICIPIO1,$B$362)</f>
        <v>0</v>
      </c>
      <c r="J363" s="16">
        <f>SUMIFS([0]!VOTOS2,[0]!TURNO1,J$31,[0]!CANDIDATO1,$C363,[0]!MUNICIPIO1,$B$362)</f>
        <v>0</v>
      </c>
      <c r="K363" s="16">
        <f>SUMIFS([0]!VOTOS2,[0]!TURNO1,K$31,[0]!CANDIDATO1,$C363,[0]!MUNICIPIO1,$B$362)</f>
        <v>0</v>
      </c>
      <c r="L363" s="16">
        <f>SUMIFS([0]!VOTOS2,[0]!TURNO1,L$31,[0]!CANDIDATO1,$C363,[0]!MUNICIPIO1,$B$362)</f>
        <v>0</v>
      </c>
      <c r="M363" s="16">
        <f>SUMIFS([0]!VOTOS2,[0]!TURNO1,M$31,[0]!CANDIDATO1,$C363,[0]!MUNICIPIO1,$B$362)</f>
        <v>0</v>
      </c>
      <c r="N363" s="16">
        <f>SUMIFS([0]!VOTOS2,[0]!TURNO1,N$31,[0]!CANDIDATO1,$C363,[0]!MUNICIPIO1,$B$362)</f>
        <v>0</v>
      </c>
      <c r="O363" s="16">
        <f>SUMIFS([0]!VOTOS2,[0]!TURNO1,O$31,[0]!CANDIDATO1,$C363,[0]!MUNICIPIO1,$B$362)</f>
        <v>0</v>
      </c>
      <c r="P363" s="16">
        <f>SUMIFS([0]!VOTOS2,[0]!TURNO1,P$31,[0]!CANDIDATO1,$C363,[0]!MUNICIPIO1,$B$362)</f>
        <v>0</v>
      </c>
      <c r="Q363" s="16">
        <f>SUMIFS([0]!VOTOS2,[0]!TURNO1,Q$31,[0]!CANDIDATO1,$C363,[0]!MUNICIPIO1,$B$362)</f>
        <v>0</v>
      </c>
      <c r="R363" s="16">
        <f>SUMIFS([0]!VOTOS2,[0]!TURNO1,R$31,[0]!CANDIDATO1,$C363,[0]!MUNICIPIO1,$B$362)</f>
        <v>0</v>
      </c>
      <c r="S363" s="16">
        <f>SUMIFS([0]!VOTOS2,[0]!TURNO1,S$31,[0]!CANDIDATO1,$C363,[0]!MUNICIPIO1,$B$362)</f>
        <v>0</v>
      </c>
      <c r="T363" s="16">
        <f>SUMIFS([0]!VOTOS2,[0]!TURNO1,T$31,[0]!CANDIDATO1,$C363,[0]!MUNICIPIO1,$B$362)</f>
        <v>0</v>
      </c>
      <c r="U363" s="16">
        <f>SUMIFS([0]!VOTOS2,[0]!TURNO1,U$31,[0]!CANDIDATO1,$C363,[0]!MUNICIPIO1,$B$362)</f>
        <v>0</v>
      </c>
      <c r="V363" s="16">
        <f>SUMIFS([0]!VOTOS2,[0]!TURNO1,V$31,[0]!CANDIDATO1,$C363,[0]!MUNICIPIO1,$B$362)</f>
        <v>0</v>
      </c>
      <c r="W363" s="16">
        <f>SUMIFS([0]!VOTOS2,[0]!TURNO1,W$31,[0]!CANDIDATO1,$C363,[0]!MUNICIPIO1,$B$362)</f>
        <v>0</v>
      </c>
      <c r="X363" s="24"/>
      <c r="Y363" s="18" t="str">
        <f t="shared" si="853"/>
        <v>FRANCISCO DELGADO</v>
      </c>
      <c r="Z363" s="34">
        <f t="shared" si="854"/>
        <v>8</v>
      </c>
      <c r="AA363" s="34">
        <f t="shared" si="855"/>
        <v>8</v>
      </c>
      <c r="AB363" s="34" t="e">
        <f t="shared" ref="AB363:AR363" si="859">IF(SUM(G362:G374)=0,NA(),G363+AA363)</f>
        <v>#N/A</v>
      </c>
      <c r="AC363" s="34" t="e">
        <f t="shared" si="859"/>
        <v>#N/A</v>
      </c>
      <c r="AD363" s="34" t="e">
        <f t="shared" si="859"/>
        <v>#N/A</v>
      </c>
      <c r="AE363" s="34" t="e">
        <f t="shared" si="859"/>
        <v>#N/A</v>
      </c>
      <c r="AF363" s="34" t="e">
        <f t="shared" si="859"/>
        <v>#N/A</v>
      </c>
      <c r="AG363" s="34" t="e">
        <f t="shared" si="859"/>
        <v>#N/A</v>
      </c>
      <c r="AH363" s="34" t="e">
        <f t="shared" si="859"/>
        <v>#N/A</v>
      </c>
      <c r="AI363" s="34" t="e">
        <f t="shared" si="859"/>
        <v>#N/A</v>
      </c>
      <c r="AJ363" s="34" t="e">
        <f t="shared" si="859"/>
        <v>#N/A</v>
      </c>
      <c r="AK363" s="34" t="e">
        <f t="shared" si="859"/>
        <v>#N/A</v>
      </c>
      <c r="AL363" s="34" t="e">
        <f t="shared" si="859"/>
        <v>#N/A</v>
      </c>
      <c r="AM363" s="34" t="e">
        <f t="shared" si="859"/>
        <v>#N/A</v>
      </c>
      <c r="AN363" s="34" t="e">
        <f t="shared" si="859"/>
        <v>#N/A</v>
      </c>
      <c r="AO363" s="34" t="e">
        <f t="shared" si="859"/>
        <v>#N/A</v>
      </c>
      <c r="AP363" s="34" t="e">
        <f t="shared" si="859"/>
        <v>#N/A</v>
      </c>
      <c r="AQ363" s="34" t="e">
        <f t="shared" si="859"/>
        <v>#N/A</v>
      </c>
      <c r="AR363" s="34" t="e">
        <f t="shared" si="859"/>
        <v>#N/A</v>
      </c>
      <c r="AS363" s="27"/>
      <c r="AT363" s="35" t="str">
        <f t="shared" si="857"/>
        <v>FRANCISCO DELGADO</v>
      </c>
      <c r="AU363" s="36">
        <f t="shared" ref="AU363:BM363" si="860">Z363/(Z362+Z363+Z375)</f>
        <v>0.5</v>
      </c>
      <c r="AV363" s="36">
        <f t="shared" si="860"/>
        <v>0.5</v>
      </c>
      <c r="AW363" s="36" t="e">
        <f t="shared" si="860"/>
        <v>#N/A</v>
      </c>
      <c r="AX363" s="36" t="e">
        <f t="shared" si="860"/>
        <v>#N/A</v>
      </c>
      <c r="AY363" s="36" t="e">
        <f t="shared" si="860"/>
        <v>#N/A</v>
      </c>
      <c r="AZ363" s="36" t="e">
        <f t="shared" si="860"/>
        <v>#N/A</v>
      </c>
      <c r="BA363" s="36" t="e">
        <f t="shared" si="860"/>
        <v>#N/A</v>
      </c>
      <c r="BB363" s="36" t="e">
        <f t="shared" si="860"/>
        <v>#N/A</v>
      </c>
      <c r="BC363" s="36" t="e">
        <f t="shared" si="860"/>
        <v>#N/A</v>
      </c>
      <c r="BD363" s="36" t="e">
        <f t="shared" si="860"/>
        <v>#N/A</v>
      </c>
      <c r="BE363" s="36" t="e">
        <f t="shared" si="860"/>
        <v>#N/A</v>
      </c>
      <c r="BF363" s="36" t="e">
        <f t="shared" si="860"/>
        <v>#N/A</v>
      </c>
      <c r="BG363" s="36" t="e">
        <f t="shared" si="860"/>
        <v>#N/A</v>
      </c>
      <c r="BH363" s="36" t="e">
        <f t="shared" si="860"/>
        <v>#N/A</v>
      </c>
      <c r="BI363" s="36" t="e">
        <f t="shared" si="860"/>
        <v>#N/A</v>
      </c>
      <c r="BJ363" s="36" t="e">
        <f t="shared" si="860"/>
        <v>#N/A</v>
      </c>
      <c r="BK363" s="36" t="e">
        <f t="shared" si="860"/>
        <v>#N/A</v>
      </c>
      <c r="BL363" s="36" t="e">
        <f t="shared" si="860"/>
        <v>#N/A</v>
      </c>
      <c r="BM363" s="36" t="e">
        <f t="shared" si="860"/>
        <v>#N/A</v>
      </c>
      <c r="BN363" s="30"/>
    </row>
    <row r="364" spans="1:66" ht="11.25" customHeight="1" x14ac:dyDescent="0.2">
      <c r="A364" s="37"/>
      <c r="B364" s="73"/>
      <c r="C364" s="33">
        <v>3</v>
      </c>
      <c r="D364" s="13" t="s">
        <v>284</v>
      </c>
      <c r="E364" s="16">
        <f t="shared" si="852"/>
        <v>0</v>
      </c>
      <c r="F364" s="16">
        <f>SUMIFS([0]!VOTOS2,[0]!TURNO1,F$31,[0]!CANDIDATO1,$C364,[0]!MUNICIPIO1,$B$362)</f>
        <v>0</v>
      </c>
      <c r="G364" s="16">
        <f>SUMIFS([0]!VOTOS2,[0]!TURNO1,G$31,[0]!CANDIDATO1,$C364,[0]!MUNICIPIO1,$B$362)</f>
        <v>0</v>
      </c>
      <c r="H364" s="16">
        <f>SUMIFS([0]!VOTOS2,[0]!TURNO1,H$31,[0]!CANDIDATO1,$C364,[0]!MUNICIPIO1,$B$362)</f>
        <v>0</v>
      </c>
      <c r="I364" s="16">
        <f>SUMIFS([0]!VOTOS2,[0]!TURNO1,I$31,[0]!CANDIDATO1,$C364,[0]!MUNICIPIO1,$B$362)</f>
        <v>0</v>
      </c>
      <c r="J364" s="16">
        <f>SUMIFS([0]!VOTOS2,[0]!TURNO1,J$31,[0]!CANDIDATO1,$C364,[0]!MUNICIPIO1,$B$362)</f>
        <v>0</v>
      </c>
      <c r="K364" s="16">
        <f>SUMIFS([0]!VOTOS2,[0]!TURNO1,K$31,[0]!CANDIDATO1,$C364,[0]!MUNICIPIO1,$B$362)</f>
        <v>0</v>
      </c>
      <c r="L364" s="16">
        <f>SUMIFS([0]!VOTOS2,[0]!TURNO1,L$31,[0]!CANDIDATO1,$C364,[0]!MUNICIPIO1,$B$362)</f>
        <v>0</v>
      </c>
      <c r="M364" s="16">
        <f>SUMIFS([0]!VOTOS2,[0]!TURNO1,M$31,[0]!CANDIDATO1,$C364,[0]!MUNICIPIO1,$B$362)</f>
        <v>0</v>
      </c>
      <c r="N364" s="16">
        <f>SUMIFS([0]!VOTOS2,[0]!TURNO1,N$31,[0]!CANDIDATO1,$C364,[0]!MUNICIPIO1,$B$362)</f>
        <v>0</v>
      </c>
      <c r="O364" s="16">
        <f>SUMIFS([0]!VOTOS2,[0]!TURNO1,O$31,[0]!CANDIDATO1,$C364,[0]!MUNICIPIO1,$B$362)</f>
        <v>0</v>
      </c>
      <c r="P364" s="16">
        <f>SUMIFS([0]!VOTOS2,[0]!TURNO1,P$31,[0]!CANDIDATO1,$C364,[0]!MUNICIPIO1,$B$362)</f>
        <v>0</v>
      </c>
      <c r="Q364" s="16">
        <f>SUMIFS([0]!VOTOS2,[0]!TURNO1,Q$31,[0]!CANDIDATO1,$C364,[0]!MUNICIPIO1,$B$362)</f>
        <v>0</v>
      </c>
      <c r="R364" s="16">
        <f>SUMIFS([0]!VOTOS2,[0]!TURNO1,R$31,[0]!CANDIDATO1,$C364,[0]!MUNICIPIO1,$B$362)</f>
        <v>0</v>
      </c>
      <c r="S364" s="16">
        <f>SUMIFS([0]!VOTOS2,[0]!TURNO1,S$31,[0]!CANDIDATO1,$C364,[0]!MUNICIPIO1,$B$362)</f>
        <v>0</v>
      </c>
      <c r="T364" s="16">
        <f>SUMIFS([0]!VOTOS2,[0]!TURNO1,T$31,[0]!CANDIDATO1,$C364,[0]!MUNICIPIO1,$B$362)</f>
        <v>0</v>
      </c>
      <c r="U364" s="16">
        <f>SUMIFS([0]!VOTOS2,[0]!TURNO1,U$31,[0]!CANDIDATO1,$C364,[0]!MUNICIPIO1,$B$362)</f>
        <v>0</v>
      </c>
      <c r="V364" s="16">
        <f>SUMIFS([0]!VOTOS2,[0]!TURNO1,V$31,[0]!CANDIDATO1,$C364,[0]!MUNICIPIO1,$B$362)</f>
        <v>0</v>
      </c>
      <c r="W364" s="16">
        <f>SUMIFS([0]!VOTOS2,[0]!TURNO1,W$31,[0]!CANDIDATO1,$C364,[0]!MUNICIPIO1,$B$362)</f>
        <v>0</v>
      </c>
      <c r="X364" s="24"/>
      <c r="Y364" s="18" t="str">
        <f t="shared" si="853"/>
        <v>WASIM TEIFUR</v>
      </c>
      <c r="Z364" s="34">
        <f t="shared" si="854"/>
        <v>0</v>
      </c>
      <c r="AA364" s="34">
        <f t="shared" si="855"/>
        <v>0</v>
      </c>
      <c r="AB364" s="34" t="e">
        <f t="shared" ref="AB364:AR364" si="861">IF(SUM(G362:G374)=0,NA(),G364+AA364)</f>
        <v>#N/A</v>
      </c>
      <c r="AC364" s="34" t="e">
        <f t="shared" si="861"/>
        <v>#N/A</v>
      </c>
      <c r="AD364" s="34" t="e">
        <f t="shared" si="861"/>
        <v>#N/A</v>
      </c>
      <c r="AE364" s="34" t="e">
        <f t="shared" si="861"/>
        <v>#N/A</v>
      </c>
      <c r="AF364" s="34" t="e">
        <f t="shared" si="861"/>
        <v>#N/A</v>
      </c>
      <c r="AG364" s="34" t="e">
        <f t="shared" si="861"/>
        <v>#N/A</v>
      </c>
      <c r="AH364" s="34" t="e">
        <f t="shared" si="861"/>
        <v>#N/A</v>
      </c>
      <c r="AI364" s="34" t="e">
        <f t="shared" si="861"/>
        <v>#N/A</v>
      </c>
      <c r="AJ364" s="34" t="e">
        <f t="shared" si="861"/>
        <v>#N/A</v>
      </c>
      <c r="AK364" s="34" t="e">
        <f t="shared" si="861"/>
        <v>#N/A</v>
      </c>
      <c r="AL364" s="34" t="e">
        <f t="shared" si="861"/>
        <v>#N/A</v>
      </c>
      <c r="AM364" s="34" t="e">
        <f t="shared" si="861"/>
        <v>#N/A</v>
      </c>
      <c r="AN364" s="34" t="e">
        <f t="shared" si="861"/>
        <v>#N/A</v>
      </c>
      <c r="AO364" s="34" t="e">
        <f t="shared" si="861"/>
        <v>#N/A</v>
      </c>
      <c r="AP364" s="34" t="e">
        <f t="shared" si="861"/>
        <v>#N/A</v>
      </c>
      <c r="AQ364" s="34" t="e">
        <f t="shared" si="861"/>
        <v>#N/A</v>
      </c>
      <c r="AR364" s="34" t="e">
        <f t="shared" si="861"/>
        <v>#N/A</v>
      </c>
      <c r="AS364" s="27"/>
      <c r="AT364" s="35" t="str">
        <f t="shared" ref="AT364" si="862">Y375</f>
        <v>Otros</v>
      </c>
      <c r="AU364" s="36">
        <f t="shared" ref="AU364:BM364" si="863">Z375/(Z362+Z363+Z375)</f>
        <v>0</v>
      </c>
      <c r="AV364" s="36">
        <f t="shared" si="863"/>
        <v>0</v>
      </c>
      <c r="AW364" s="36" t="e">
        <f t="shared" si="863"/>
        <v>#N/A</v>
      </c>
      <c r="AX364" s="36" t="e">
        <f t="shared" si="863"/>
        <v>#N/A</v>
      </c>
      <c r="AY364" s="36" t="e">
        <f t="shared" si="863"/>
        <v>#N/A</v>
      </c>
      <c r="AZ364" s="36" t="e">
        <f t="shared" si="863"/>
        <v>#N/A</v>
      </c>
      <c r="BA364" s="36" t="e">
        <f t="shared" si="863"/>
        <v>#N/A</v>
      </c>
      <c r="BB364" s="36" t="e">
        <f t="shared" si="863"/>
        <v>#N/A</v>
      </c>
      <c r="BC364" s="36" t="e">
        <f t="shared" si="863"/>
        <v>#N/A</v>
      </c>
      <c r="BD364" s="36" t="e">
        <f t="shared" si="863"/>
        <v>#N/A</v>
      </c>
      <c r="BE364" s="36" t="e">
        <f t="shared" si="863"/>
        <v>#N/A</v>
      </c>
      <c r="BF364" s="36" t="e">
        <f t="shared" si="863"/>
        <v>#N/A</v>
      </c>
      <c r="BG364" s="36" t="e">
        <f t="shared" si="863"/>
        <v>#N/A</v>
      </c>
      <c r="BH364" s="36" t="e">
        <f t="shared" si="863"/>
        <v>#N/A</v>
      </c>
      <c r="BI364" s="36" t="e">
        <f t="shared" si="863"/>
        <v>#N/A</v>
      </c>
      <c r="BJ364" s="36" t="e">
        <f t="shared" si="863"/>
        <v>#N/A</v>
      </c>
      <c r="BK364" s="36" t="e">
        <f t="shared" si="863"/>
        <v>#N/A</v>
      </c>
      <c r="BL364" s="36" t="e">
        <f t="shared" si="863"/>
        <v>#N/A</v>
      </c>
      <c r="BM364" s="36" t="e">
        <f t="shared" si="863"/>
        <v>#N/A</v>
      </c>
      <c r="BN364" s="30"/>
    </row>
    <row r="365" spans="1:66" ht="11.25" customHeight="1" x14ac:dyDescent="0.2">
      <c r="A365" s="38" t="s">
        <v>72</v>
      </c>
      <c r="B365" s="73"/>
      <c r="C365" s="33">
        <v>4</v>
      </c>
      <c r="D365" s="13" t="s">
        <v>285</v>
      </c>
      <c r="E365" s="16">
        <f t="shared" si="852"/>
        <v>0</v>
      </c>
      <c r="F365" s="16">
        <f>SUMIFS([0]!VOTOS2,[0]!TURNO1,F$31,[0]!CANDIDATO1,$C365,[0]!MUNICIPIO1,$B$362)</f>
        <v>0</v>
      </c>
      <c r="G365" s="16">
        <f>SUMIFS([0]!VOTOS2,[0]!TURNO1,G$31,[0]!CANDIDATO1,$C365,[0]!MUNICIPIO1,$B$362)</f>
        <v>0</v>
      </c>
      <c r="H365" s="16">
        <f>SUMIFS([0]!VOTOS2,[0]!TURNO1,H$31,[0]!CANDIDATO1,$C365,[0]!MUNICIPIO1,$B$362)</f>
        <v>0</v>
      </c>
      <c r="I365" s="16">
        <f>SUMIFS([0]!VOTOS2,[0]!TURNO1,I$31,[0]!CANDIDATO1,$C365,[0]!MUNICIPIO1,$B$362)</f>
        <v>0</v>
      </c>
      <c r="J365" s="16">
        <f>SUMIFS([0]!VOTOS2,[0]!TURNO1,J$31,[0]!CANDIDATO1,$C365,[0]!MUNICIPIO1,$B$362)</f>
        <v>0</v>
      </c>
      <c r="K365" s="16">
        <f>SUMIFS([0]!VOTOS2,[0]!TURNO1,K$31,[0]!CANDIDATO1,$C365,[0]!MUNICIPIO1,$B$362)</f>
        <v>0</v>
      </c>
      <c r="L365" s="16">
        <f>SUMIFS([0]!VOTOS2,[0]!TURNO1,L$31,[0]!CANDIDATO1,$C365,[0]!MUNICIPIO1,$B$362)</f>
        <v>0</v>
      </c>
      <c r="M365" s="16">
        <f>SUMIFS([0]!VOTOS2,[0]!TURNO1,M$31,[0]!CANDIDATO1,$C365,[0]!MUNICIPIO1,$B$362)</f>
        <v>0</v>
      </c>
      <c r="N365" s="16">
        <f>SUMIFS([0]!VOTOS2,[0]!TURNO1,N$31,[0]!CANDIDATO1,$C365,[0]!MUNICIPIO1,$B$362)</f>
        <v>0</v>
      </c>
      <c r="O365" s="16">
        <f>SUMIFS([0]!VOTOS2,[0]!TURNO1,O$31,[0]!CANDIDATO1,$C365,[0]!MUNICIPIO1,$B$362)</f>
        <v>0</v>
      </c>
      <c r="P365" s="16">
        <f>SUMIFS([0]!VOTOS2,[0]!TURNO1,P$31,[0]!CANDIDATO1,$C365,[0]!MUNICIPIO1,$B$362)</f>
        <v>0</v>
      </c>
      <c r="Q365" s="16">
        <f>SUMIFS([0]!VOTOS2,[0]!TURNO1,Q$31,[0]!CANDIDATO1,$C365,[0]!MUNICIPIO1,$B$362)</f>
        <v>0</v>
      </c>
      <c r="R365" s="16">
        <f>SUMIFS([0]!VOTOS2,[0]!TURNO1,R$31,[0]!CANDIDATO1,$C365,[0]!MUNICIPIO1,$B$362)</f>
        <v>0</v>
      </c>
      <c r="S365" s="16">
        <f>SUMIFS([0]!VOTOS2,[0]!TURNO1,S$31,[0]!CANDIDATO1,$C365,[0]!MUNICIPIO1,$B$362)</f>
        <v>0</v>
      </c>
      <c r="T365" s="16">
        <f>SUMIFS([0]!VOTOS2,[0]!TURNO1,T$31,[0]!CANDIDATO1,$C365,[0]!MUNICIPIO1,$B$362)</f>
        <v>0</v>
      </c>
      <c r="U365" s="16">
        <f>SUMIFS([0]!VOTOS2,[0]!TURNO1,U$31,[0]!CANDIDATO1,$C365,[0]!MUNICIPIO1,$B$362)</f>
        <v>0</v>
      </c>
      <c r="V365" s="16">
        <f>SUMIFS([0]!VOTOS2,[0]!TURNO1,V$31,[0]!CANDIDATO1,$C365,[0]!MUNICIPIO1,$B$362)</f>
        <v>0</v>
      </c>
      <c r="W365" s="16">
        <f>SUMIFS([0]!VOTOS2,[0]!TURNO1,W$31,[0]!CANDIDATO1,$C365,[0]!MUNICIPIO1,$B$362)</f>
        <v>0</v>
      </c>
      <c r="X365" s="24"/>
      <c r="Y365" s="18" t="str">
        <f t="shared" si="853"/>
        <v>ROBERT VALERO</v>
      </c>
      <c r="Z365" s="34">
        <f t="shared" si="854"/>
        <v>0</v>
      </c>
      <c r="AA365" s="34">
        <f t="shared" si="855"/>
        <v>0</v>
      </c>
      <c r="AB365" s="34" t="e">
        <f t="shared" ref="AB365:AR365" si="864">IF(SUM(G362:G374)=0,NA(),G365+AA365)</f>
        <v>#N/A</v>
      </c>
      <c r="AC365" s="34" t="e">
        <f t="shared" si="864"/>
        <v>#N/A</v>
      </c>
      <c r="AD365" s="34" t="e">
        <f t="shared" si="864"/>
        <v>#N/A</v>
      </c>
      <c r="AE365" s="34" t="e">
        <f t="shared" si="864"/>
        <v>#N/A</v>
      </c>
      <c r="AF365" s="34" t="e">
        <f t="shared" si="864"/>
        <v>#N/A</v>
      </c>
      <c r="AG365" s="34" t="e">
        <f t="shared" si="864"/>
        <v>#N/A</v>
      </c>
      <c r="AH365" s="34" t="e">
        <f t="shared" si="864"/>
        <v>#N/A</v>
      </c>
      <c r="AI365" s="34" t="e">
        <f t="shared" si="864"/>
        <v>#N/A</v>
      </c>
      <c r="AJ365" s="34" t="e">
        <f t="shared" si="864"/>
        <v>#N/A</v>
      </c>
      <c r="AK365" s="34" t="e">
        <f t="shared" si="864"/>
        <v>#N/A</v>
      </c>
      <c r="AL365" s="34" t="e">
        <f t="shared" si="864"/>
        <v>#N/A</v>
      </c>
      <c r="AM365" s="34" t="e">
        <f t="shared" si="864"/>
        <v>#N/A</v>
      </c>
      <c r="AN365" s="34" t="e">
        <f t="shared" si="864"/>
        <v>#N/A</v>
      </c>
      <c r="AO365" s="34" t="e">
        <f t="shared" si="864"/>
        <v>#N/A</v>
      </c>
      <c r="AP365" s="34" t="e">
        <f t="shared" si="864"/>
        <v>#N/A</v>
      </c>
      <c r="AQ365" s="34" t="e">
        <f t="shared" si="864"/>
        <v>#N/A</v>
      </c>
      <c r="AR365" s="34" t="e">
        <f t="shared" si="864"/>
        <v>#N/A</v>
      </c>
      <c r="AS365" s="27"/>
      <c r="AT365" s="39"/>
      <c r="AU365" s="39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30"/>
    </row>
    <row r="366" spans="1:66" ht="11.25" customHeight="1" x14ac:dyDescent="0.2">
      <c r="A366" s="38" t="s">
        <v>63</v>
      </c>
      <c r="B366" s="73"/>
      <c r="C366" s="33">
        <v>5</v>
      </c>
      <c r="D366" s="13" t="s">
        <v>286</v>
      </c>
      <c r="E366" s="16">
        <f t="shared" si="852"/>
        <v>0</v>
      </c>
      <c r="F366" s="16">
        <f>SUMIFS([0]!VOTOS2,[0]!TURNO1,F$31,[0]!CANDIDATO1,$C366,[0]!MUNICIPIO1,$B$362)</f>
        <v>0</v>
      </c>
      <c r="G366" s="16">
        <f>SUMIFS([0]!VOTOS2,[0]!TURNO1,G$31,[0]!CANDIDATO1,$C366,[0]!MUNICIPIO1,$B$362)</f>
        <v>0</v>
      </c>
      <c r="H366" s="16">
        <f>SUMIFS([0]!VOTOS2,[0]!TURNO1,H$31,[0]!CANDIDATO1,$C366,[0]!MUNICIPIO1,$B$362)</f>
        <v>0</v>
      </c>
      <c r="I366" s="16">
        <f>SUMIFS([0]!VOTOS2,[0]!TURNO1,I$31,[0]!CANDIDATO1,$C366,[0]!MUNICIPIO1,$B$362)</f>
        <v>0</v>
      </c>
      <c r="J366" s="16">
        <f>SUMIFS([0]!VOTOS2,[0]!TURNO1,J$31,[0]!CANDIDATO1,$C366,[0]!MUNICIPIO1,$B$362)</f>
        <v>0</v>
      </c>
      <c r="K366" s="16">
        <f>SUMIFS([0]!VOTOS2,[0]!TURNO1,K$31,[0]!CANDIDATO1,$C366,[0]!MUNICIPIO1,$B$362)</f>
        <v>0</v>
      </c>
      <c r="L366" s="16">
        <f>SUMIFS([0]!VOTOS2,[0]!TURNO1,L$31,[0]!CANDIDATO1,$C366,[0]!MUNICIPIO1,$B$362)</f>
        <v>0</v>
      </c>
      <c r="M366" s="16">
        <f>SUMIFS([0]!VOTOS2,[0]!TURNO1,M$31,[0]!CANDIDATO1,$C366,[0]!MUNICIPIO1,$B$362)</f>
        <v>0</v>
      </c>
      <c r="N366" s="16">
        <f>SUMIFS([0]!VOTOS2,[0]!TURNO1,N$31,[0]!CANDIDATO1,$C366,[0]!MUNICIPIO1,$B$362)</f>
        <v>0</v>
      </c>
      <c r="O366" s="16">
        <f>SUMIFS([0]!VOTOS2,[0]!TURNO1,O$31,[0]!CANDIDATO1,$C366,[0]!MUNICIPIO1,$B$362)</f>
        <v>0</v>
      </c>
      <c r="P366" s="16">
        <f>SUMIFS([0]!VOTOS2,[0]!TURNO1,P$31,[0]!CANDIDATO1,$C366,[0]!MUNICIPIO1,$B$362)</f>
        <v>0</v>
      </c>
      <c r="Q366" s="16">
        <f>SUMIFS([0]!VOTOS2,[0]!TURNO1,Q$31,[0]!CANDIDATO1,$C366,[0]!MUNICIPIO1,$B$362)</f>
        <v>0</v>
      </c>
      <c r="R366" s="16">
        <f>SUMIFS([0]!VOTOS2,[0]!TURNO1,R$31,[0]!CANDIDATO1,$C366,[0]!MUNICIPIO1,$B$362)</f>
        <v>0</v>
      </c>
      <c r="S366" s="16">
        <f>SUMIFS([0]!VOTOS2,[0]!TURNO1,S$31,[0]!CANDIDATO1,$C366,[0]!MUNICIPIO1,$B$362)</f>
        <v>0</v>
      </c>
      <c r="T366" s="16">
        <f>SUMIFS([0]!VOTOS2,[0]!TURNO1,T$31,[0]!CANDIDATO1,$C366,[0]!MUNICIPIO1,$B$362)</f>
        <v>0</v>
      </c>
      <c r="U366" s="16">
        <f>SUMIFS([0]!VOTOS2,[0]!TURNO1,U$31,[0]!CANDIDATO1,$C366,[0]!MUNICIPIO1,$B$362)</f>
        <v>0</v>
      </c>
      <c r="V366" s="16">
        <f>SUMIFS([0]!VOTOS2,[0]!TURNO1,V$31,[0]!CANDIDATO1,$C366,[0]!MUNICIPIO1,$B$362)</f>
        <v>0</v>
      </c>
      <c r="W366" s="16">
        <f>SUMIFS([0]!VOTOS2,[0]!TURNO1,W$31,[0]!CANDIDATO1,$C366,[0]!MUNICIPIO1,$B$362)</f>
        <v>0</v>
      </c>
      <c r="X366" s="24"/>
      <c r="Y366" s="18" t="str">
        <f t="shared" si="853"/>
        <v>SANTIAGO ROJAS</v>
      </c>
      <c r="Z366" s="34">
        <f t="shared" si="854"/>
        <v>0</v>
      </c>
      <c r="AA366" s="34">
        <f t="shared" si="855"/>
        <v>0</v>
      </c>
      <c r="AB366" s="34" t="e">
        <f t="shared" ref="AB366:AR366" si="865">IF(SUM(G362:G374)=0,NA(),G366+AA366)</f>
        <v>#N/A</v>
      </c>
      <c r="AC366" s="34" t="e">
        <f t="shared" si="865"/>
        <v>#N/A</v>
      </c>
      <c r="AD366" s="34" t="e">
        <f t="shared" si="865"/>
        <v>#N/A</v>
      </c>
      <c r="AE366" s="34" t="e">
        <f t="shared" si="865"/>
        <v>#N/A</v>
      </c>
      <c r="AF366" s="34" t="e">
        <f t="shared" si="865"/>
        <v>#N/A</v>
      </c>
      <c r="AG366" s="34" t="e">
        <f t="shared" si="865"/>
        <v>#N/A</v>
      </c>
      <c r="AH366" s="34" t="e">
        <f t="shared" si="865"/>
        <v>#N/A</v>
      </c>
      <c r="AI366" s="34" t="e">
        <f t="shared" si="865"/>
        <v>#N/A</v>
      </c>
      <c r="AJ366" s="34" t="e">
        <f t="shared" si="865"/>
        <v>#N/A</v>
      </c>
      <c r="AK366" s="34" t="e">
        <f t="shared" si="865"/>
        <v>#N/A</v>
      </c>
      <c r="AL366" s="34" t="e">
        <f t="shared" si="865"/>
        <v>#N/A</v>
      </c>
      <c r="AM366" s="34" t="e">
        <f t="shared" si="865"/>
        <v>#N/A</v>
      </c>
      <c r="AN366" s="34" t="e">
        <f t="shared" si="865"/>
        <v>#N/A</v>
      </c>
      <c r="AO366" s="34" t="e">
        <f t="shared" si="865"/>
        <v>#N/A</v>
      </c>
      <c r="AP366" s="34" t="e">
        <f t="shared" si="865"/>
        <v>#N/A</v>
      </c>
      <c r="AQ366" s="34" t="e">
        <f t="shared" si="865"/>
        <v>#N/A</v>
      </c>
      <c r="AR366" s="34" t="e">
        <f t="shared" si="865"/>
        <v>#N/A</v>
      </c>
      <c r="AS366" s="27"/>
      <c r="AT366" s="39"/>
      <c r="AU366" s="39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30"/>
    </row>
    <row r="367" spans="1:66" ht="11.25" customHeight="1" x14ac:dyDescent="0.2">
      <c r="A367" s="37"/>
      <c r="B367" s="73"/>
      <c r="C367" s="33">
        <v>6</v>
      </c>
      <c r="D367" s="13" t="s">
        <v>287</v>
      </c>
      <c r="E367" s="16">
        <f t="shared" si="852"/>
        <v>0</v>
      </c>
      <c r="F367" s="16">
        <f>SUMIFS([0]!VOTOS2,[0]!TURNO1,F$31,[0]!CANDIDATO1,$C367,[0]!MUNICIPIO1,$B$362)</f>
        <v>0</v>
      </c>
      <c r="G367" s="16">
        <f>SUMIFS([0]!VOTOS2,[0]!TURNO1,G$31,[0]!CANDIDATO1,$C367,[0]!MUNICIPIO1,$B$362)</f>
        <v>0</v>
      </c>
      <c r="H367" s="16">
        <f>SUMIFS([0]!VOTOS2,[0]!TURNO1,H$31,[0]!CANDIDATO1,$C367,[0]!MUNICIPIO1,$B$362)</f>
        <v>0</v>
      </c>
      <c r="I367" s="16">
        <f>SUMIFS([0]!VOTOS2,[0]!TURNO1,I$31,[0]!CANDIDATO1,$C367,[0]!MUNICIPIO1,$B$362)</f>
        <v>0</v>
      </c>
      <c r="J367" s="16">
        <f>SUMIFS([0]!VOTOS2,[0]!TURNO1,J$31,[0]!CANDIDATO1,$C367,[0]!MUNICIPIO1,$B$362)</f>
        <v>0</v>
      </c>
      <c r="K367" s="16">
        <f>SUMIFS([0]!VOTOS2,[0]!TURNO1,K$31,[0]!CANDIDATO1,$C367,[0]!MUNICIPIO1,$B$362)</f>
        <v>0</v>
      </c>
      <c r="L367" s="16">
        <f>SUMIFS([0]!VOTOS2,[0]!TURNO1,L$31,[0]!CANDIDATO1,$C367,[0]!MUNICIPIO1,$B$362)</f>
        <v>0</v>
      </c>
      <c r="M367" s="16">
        <f>SUMIFS([0]!VOTOS2,[0]!TURNO1,M$31,[0]!CANDIDATO1,$C367,[0]!MUNICIPIO1,$B$362)</f>
        <v>0</v>
      </c>
      <c r="N367" s="16">
        <f>SUMIFS([0]!VOTOS2,[0]!TURNO1,N$31,[0]!CANDIDATO1,$C367,[0]!MUNICIPIO1,$B$362)</f>
        <v>0</v>
      </c>
      <c r="O367" s="16">
        <f>SUMIFS([0]!VOTOS2,[0]!TURNO1,O$31,[0]!CANDIDATO1,$C367,[0]!MUNICIPIO1,$B$362)</f>
        <v>0</v>
      </c>
      <c r="P367" s="16">
        <f>SUMIFS([0]!VOTOS2,[0]!TURNO1,P$31,[0]!CANDIDATO1,$C367,[0]!MUNICIPIO1,$B$362)</f>
        <v>0</v>
      </c>
      <c r="Q367" s="16">
        <f>SUMIFS([0]!VOTOS2,[0]!TURNO1,Q$31,[0]!CANDIDATO1,$C367,[0]!MUNICIPIO1,$B$362)</f>
        <v>0</v>
      </c>
      <c r="R367" s="16">
        <f>SUMIFS([0]!VOTOS2,[0]!TURNO1,R$31,[0]!CANDIDATO1,$C367,[0]!MUNICIPIO1,$B$362)</f>
        <v>0</v>
      </c>
      <c r="S367" s="16">
        <f>SUMIFS([0]!VOTOS2,[0]!TURNO1,S$31,[0]!CANDIDATO1,$C367,[0]!MUNICIPIO1,$B$362)</f>
        <v>0</v>
      </c>
      <c r="T367" s="16">
        <f>SUMIFS([0]!VOTOS2,[0]!TURNO1,T$31,[0]!CANDIDATO1,$C367,[0]!MUNICIPIO1,$B$362)</f>
        <v>0</v>
      </c>
      <c r="U367" s="16">
        <f>SUMIFS([0]!VOTOS2,[0]!TURNO1,U$31,[0]!CANDIDATO1,$C367,[0]!MUNICIPIO1,$B$362)</f>
        <v>0</v>
      </c>
      <c r="V367" s="16">
        <f>SUMIFS([0]!VOTOS2,[0]!TURNO1,V$31,[0]!CANDIDATO1,$C367,[0]!MUNICIPIO1,$B$362)</f>
        <v>0</v>
      </c>
      <c r="W367" s="16">
        <f>SUMIFS([0]!VOTOS2,[0]!TURNO1,W$31,[0]!CANDIDATO1,$C367,[0]!MUNICIPIO1,$B$362)</f>
        <v>0</v>
      </c>
      <c r="X367" s="24"/>
      <c r="Y367" s="18" t="str">
        <f t="shared" si="853"/>
        <v>DENNYS DIAZ</v>
      </c>
      <c r="Z367" s="34">
        <f t="shared" si="854"/>
        <v>0</v>
      </c>
      <c r="AA367" s="34">
        <f t="shared" si="855"/>
        <v>0</v>
      </c>
      <c r="AB367" s="34" t="e">
        <f t="shared" ref="AB367:AR367" si="866">IF(SUM(G362:G374)=0,NA(),G367+AA367)</f>
        <v>#N/A</v>
      </c>
      <c r="AC367" s="34" t="e">
        <f t="shared" si="866"/>
        <v>#N/A</v>
      </c>
      <c r="AD367" s="34" t="e">
        <f t="shared" si="866"/>
        <v>#N/A</v>
      </c>
      <c r="AE367" s="34" t="e">
        <f t="shared" si="866"/>
        <v>#N/A</v>
      </c>
      <c r="AF367" s="34" t="e">
        <f t="shared" si="866"/>
        <v>#N/A</v>
      </c>
      <c r="AG367" s="34" t="e">
        <f t="shared" si="866"/>
        <v>#N/A</v>
      </c>
      <c r="AH367" s="34" t="e">
        <f t="shared" si="866"/>
        <v>#N/A</v>
      </c>
      <c r="AI367" s="34" t="e">
        <f t="shared" si="866"/>
        <v>#N/A</v>
      </c>
      <c r="AJ367" s="34" t="e">
        <f t="shared" si="866"/>
        <v>#N/A</v>
      </c>
      <c r="AK367" s="34" t="e">
        <f t="shared" si="866"/>
        <v>#N/A</v>
      </c>
      <c r="AL367" s="34" t="e">
        <f t="shared" si="866"/>
        <v>#N/A</v>
      </c>
      <c r="AM367" s="34" t="e">
        <f t="shared" si="866"/>
        <v>#N/A</v>
      </c>
      <c r="AN367" s="34" t="e">
        <f t="shared" si="866"/>
        <v>#N/A</v>
      </c>
      <c r="AO367" s="34" t="e">
        <f t="shared" si="866"/>
        <v>#N/A</v>
      </c>
      <c r="AP367" s="34" t="e">
        <f t="shared" si="866"/>
        <v>#N/A</v>
      </c>
      <c r="AQ367" s="34" t="e">
        <f t="shared" si="866"/>
        <v>#N/A</v>
      </c>
      <c r="AR367" s="34" t="e">
        <f t="shared" si="866"/>
        <v>#N/A</v>
      </c>
      <c r="AS367" s="27"/>
      <c r="AT367" s="39"/>
      <c r="AU367" s="39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30"/>
    </row>
    <row r="368" spans="1:66" ht="11.25" customHeight="1" x14ac:dyDescent="0.2">
      <c r="A368" s="42"/>
      <c r="B368" s="74"/>
      <c r="C368" s="33">
        <v>7</v>
      </c>
      <c r="D368" s="13" t="s">
        <v>288</v>
      </c>
      <c r="E368" s="16">
        <f t="shared" si="852"/>
        <v>0</v>
      </c>
      <c r="F368" s="16">
        <f>SUMIFS([0]!VOTOS2,[0]!TURNO1,F$31,[0]!CANDIDATO1,$C368,[0]!MUNICIPIO1,$B$362)</f>
        <v>0</v>
      </c>
      <c r="G368" s="16">
        <f>SUMIFS([0]!VOTOS2,[0]!TURNO1,G$31,[0]!CANDIDATO1,$C368,[0]!MUNICIPIO1,$B$362)</f>
        <v>0</v>
      </c>
      <c r="H368" s="16">
        <f>SUMIFS([0]!VOTOS2,[0]!TURNO1,H$31,[0]!CANDIDATO1,$C368,[0]!MUNICIPIO1,$B$362)</f>
        <v>0</v>
      </c>
      <c r="I368" s="16">
        <f>SUMIFS([0]!VOTOS2,[0]!TURNO1,I$31,[0]!CANDIDATO1,$C368,[0]!MUNICIPIO1,$B$362)</f>
        <v>0</v>
      </c>
      <c r="J368" s="16">
        <f>SUMIFS([0]!VOTOS2,[0]!TURNO1,J$31,[0]!CANDIDATO1,$C368,[0]!MUNICIPIO1,$B$362)</f>
        <v>0</v>
      </c>
      <c r="K368" s="16">
        <f>SUMIFS([0]!VOTOS2,[0]!TURNO1,K$31,[0]!CANDIDATO1,$C368,[0]!MUNICIPIO1,$B$362)</f>
        <v>0</v>
      </c>
      <c r="L368" s="16">
        <f>SUMIFS([0]!VOTOS2,[0]!TURNO1,L$31,[0]!CANDIDATO1,$C368,[0]!MUNICIPIO1,$B$362)</f>
        <v>0</v>
      </c>
      <c r="M368" s="16">
        <f>SUMIFS([0]!VOTOS2,[0]!TURNO1,M$31,[0]!CANDIDATO1,$C368,[0]!MUNICIPIO1,$B$362)</f>
        <v>0</v>
      </c>
      <c r="N368" s="16">
        <f>SUMIFS([0]!VOTOS2,[0]!TURNO1,N$31,[0]!CANDIDATO1,$C368,[0]!MUNICIPIO1,$B$362)</f>
        <v>0</v>
      </c>
      <c r="O368" s="16">
        <f>SUMIFS([0]!VOTOS2,[0]!TURNO1,O$31,[0]!CANDIDATO1,$C368,[0]!MUNICIPIO1,$B$362)</f>
        <v>0</v>
      </c>
      <c r="P368" s="16">
        <f>SUMIFS([0]!VOTOS2,[0]!TURNO1,P$31,[0]!CANDIDATO1,$C368,[0]!MUNICIPIO1,$B$362)</f>
        <v>0</v>
      </c>
      <c r="Q368" s="16">
        <f>SUMIFS([0]!VOTOS2,[0]!TURNO1,Q$31,[0]!CANDIDATO1,$C368,[0]!MUNICIPIO1,$B$362)</f>
        <v>0</v>
      </c>
      <c r="R368" s="16">
        <f>SUMIFS([0]!VOTOS2,[0]!TURNO1,R$31,[0]!CANDIDATO1,$C368,[0]!MUNICIPIO1,$B$362)</f>
        <v>0</v>
      </c>
      <c r="S368" s="16">
        <f>SUMIFS([0]!VOTOS2,[0]!TURNO1,S$31,[0]!CANDIDATO1,$C368,[0]!MUNICIPIO1,$B$362)</f>
        <v>0</v>
      </c>
      <c r="T368" s="16">
        <f>SUMIFS([0]!VOTOS2,[0]!TURNO1,T$31,[0]!CANDIDATO1,$C368,[0]!MUNICIPIO1,$B$362)</f>
        <v>0</v>
      </c>
      <c r="U368" s="16">
        <f>SUMIFS([0]!VOTOS2,[0]!TURNO1,U$31,[0]!CANDIDATO1,$C368,[0]!MUNICIPIO1,$B$362)</f>
        <v>0</v>
      </c>
      <c r="V368" s="16">
        <f>SUMIFS([0]!VOTOS2,[0]!TURNO1,V$31,[0]!CANDIDATO1,$C368,[0]!MUNICIPIO1,$B$362)</f>
        <v>0</v>
      </c>
      <c r="W368" s="16">
        <f>SUMIFS([0]!VOTOS2,[0]!TURNO1,W$31,[0]!CANDIDATO1,$C368,[0]!MUNICIPIO1,$B$362)</f>
        <v>0</v>
      </c>
      <c r="X368" s="24"/>
      <c r="Y368" s="18" t="str">
        <f t="shared" si="853"/>
        <v>RUBEN DARIO TROCEL</v>
      </c>
      <c r="Z368" s="34">
        <f t="shared" si="854"/>
        <v>0</v>
      </c>
      <c r="AA368" s="34">
        <f t="shared" si="855"/>
        <v>0</v>
      </c>
      <c r="AB368" s="34" t="e">
        <f t="shared" ref="AB368:AR368" si="867">IF(SUM(G362:G374)=0,NA(),G368+AA368)</f>
        <v>#N/A</v>
      </c>
      <c r="AC368" s="34" t="e">
        <f t="shared" si="867"/>
        <v>#N/A</v>
      </c>
      <c r="AD368" s="34" t="e">
        <f t="shared" si="867"/>
        <v>#N/A</v>
      </c>
      <c r="AE368" s="34" t="e">
        <f t="shared" si="867"/>
        <v>#N/A</v>
      </c>
      <c r="AF368" s="34" t="e">
        <f t="shared" si="867"/>
        <v>#N/A</v>
      </c>
      <c r="AG368" s="34" t="e">
        <f t="shared" si="867"/>
        <v>#N/A</v>
      </c>
      <c r="AH368" s="34" t="e">
        <f t="shared" si="867"/>
        <v>#N/A</v>
      </c>
      <c r="AI368" s="34" t="e">
        <f t="shared" si="867"/>
        <v>#N/A</v>
      </c>
      <c r="AJ368" s="34" t="e">
        <f t="shared" si="867"/>
        <v>#N/A</v>
      </c>
      <c r="AK368" s="34" t="e">
        <f t="shared" si="867"/>
        <v>#N/A</v>
      </c>
      <c r="AL368" s="34" t="e">
        <f t="shared" si="867"/>
        <v>#N/A</v>
      </c>
      <c r="AM368" s="34" t="e">
        <f t="shared" si="867"/>
        <v>#N/A</v>
      </c>
      <c r="AN368" s="34" t="e">
        <f t="shared" si="867"/>
        <v>#N/A</v>
      </c>
      <c r="AO368" s="34" t="e">
        <f t="shared" si="867"/>
        <v>#N/A</v>
      </c>
      <c r="AP368" s="34" t="e">
        <f t="shared" si="867"/>
        <v>#N/A</v>
      </c>
      <c r="AQ368" s="34" t="e">
        <f t="shared" si="867"/>
        <v>#N/A</v>
      </c>
      <c r="AR368" s="34" t="e">
        <f t="shared" si="867"/>
        <v>#N/A</v>
      </c>
      <c r="AS368" s="27"/>
      <c r="AT368" s="39"/>
      <c r="AU368" s="39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30"/>
    </row>
    <row r="369" spans="1:66" ht="11.25" customHeight="1" x14ac:dyDescent="0.2">
      <c r="A369" s="44"/>
      <c r="B369" s="45"/>
      <c r="C369" s="46">
        <v>8</v>
      </c>
      <c r="D369" s="14" t="s">
        <v>76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24"/>
      <c r="Y369" s="18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27"/>
      <c r="AT369" s="41"/>
      <c r="AU369" s="41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30"/>
    </row>
    <row r="370" spans="1:66" ht="11.25" customHeight="1" x14ac:dyDescent="0.2">
      <c r="A370" s="44"/>
      <c r="B370" s="45"/>
      <c r="C370" s="46">
        <v>9</v>
      </c>
      <c r="D370" s="14" t="s">
        <v>76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24"/>
      <c r="Y370" s="18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27"/>
      <c r="AT370" s="41"/>
      <c r="AU370" s="41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30"/>
    </row>
    <row r="371" spans="1:66" ht="11.25" customHeight="1" x14ac:dyDescent="0.2">
      <c r="A371" s="44"/>
      <c r="B371" s="45"/>
      <c r="C371" s="46">
        <v>10</v>
      </c>
      <c r="D371" s="14" t="s">
        <v>76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24"/>
      <c r="Y371" s="18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27"/>
      <c r="AT371" s="41"/>
      <c r="AU371" s="41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30"/>
    </row>
    <row r="372" spans="1:66" ht="11.25" customHeight="1" x14ac:dyDescent="0.2">
      <c r="A372" s="44"/>
      <c r="B372" s="45"/>
      <c r="C372" s="46">
        <v>11</v>
      </c>
      <c r="D372" s="14" t="s">
        <v>76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24"/>
      <c r="Y372" s="18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27"/>
      <c r="AT372" s="41"/>
      <c r="AU372" s="41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30"/>
    </row>
    <row r="373" spans="1:66" ht="11.25" customHeight="1" x14ac:dyDescent="0.2">
      <c r="A373" s="44"/>
      <c r="B373" s="45"/>
      <c r="C373" s="46">
        <v>12</v>
      </c>
      <c r="D373" s="14" t="s">
        <v>76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24"/>
      <c r="Y373" s="18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27"/>
      <c r="AT373" s="41"/>
      <c r="AU373" s="41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30"/>
    </row>
    <row r="374" spans="1:66" ht="11.25" customHeight="1" x14ac:dyDescent="0.2">
      <c r="A374" s="44"/>
      <c r="B374" s="45"/>
      <c r="C374" s="46">
        <v>13</v>
      </c>
      <c r="D374" s="14" t="s">
        <v>76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24"/>
      <c r="Y374" s="18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27"/>
      <c r="AT374" s="41"/>
      <c r="AU374" s="41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30"/>
    </row>
    <row r="375" spans="1:66" ht="11.25" customHeight="1" x14ac:dyDescent="0.2">
      <c r="X375" s="24"/>
      <c r="Y375" s="19" t="s">
        <v>79</v>
      </c>
      <c r="Z375" s="34">
        <f t="shared" ref="Z375" si="868">SUM(Z364:Z374)</f>
        <v>0</v>
      </c>
      <c r="AA375" s="34">
        <f t="shared" ref="AA375" si="869">SUM(AA364:AA374)</f>
        <v>0</v>
      </c>
      <c r="AB375" s="34" t="e">
        <f t="shared" ref="AB375" si="870">SUM(AB364:AB374)</f>
        <v>#N/A</v>
      </c>
      <c r="AC375" s="34" t="e">
        <f t="shared" ref="AC375" si="871">SUM(AC364:AC374)</f>
        <v>#N/A</v>
      </c>
      <c r="AD375" s="34" t="e">
        <f t="shared" ref="AD375" si="872">SUM(AD364:AD374)</f>
        <v>#N/A</v>
      </c>
      <c r="AE375" s="34" t="e">
        <f t="shared" ref="AE375" si="873">SUM(AE364:AE374)</f>
        <v>#N/A</v>
      </c>
      <c r="AF375" s="34" t="e">
        <f t="shared" ref="AF375" si="874">SUM(AF364:AF374)</f>
        <v>#N/A</v>
      </c>
      <c r="AG375" s="34" t="e">
        <f t="shared" ref="AG375" si="875">SUM(AG364:AG374)</f>
        <v>#N/A</v>
      </c>
      <c r="AH375" s="34" t="e">
        <f t="shared" ref="AH375" si="876">SUM(AH364:AH374)</f>
        <v>#N/A</v>
      </c>
      <c r="AI375" s="34" t="e">
        <f t="shared" ref="AI375" si="877">SUM(AI364:AI374)</f>
        <v>#N/A</v>
      </c>
      <c r="AJ375" s="34" t="e">
        <f t="shared" ref="AJ375" si="878">SUM(AJ364:AJ374)</f>
        <v>#N/A</v>
      </c>
      <c r="AK375" s="34" t="e">
        <f t="shared" ref="AK375" si="879">SUM(AK364:AK374)</f>
        <v>#N/A</v>
      </c>
      <c r="AL375" s="34" t="e">
        <f t="shared" ref="AL375" si="880">SUM(AL364:AL374)</f>
        <v>#N/A</v>
      </c>
      <c r="AM375" s="34" t="e">
        <f t="shared" ref="AM375" si="881">SUM(AM364:AM374)</f>
        <v>#N/A</v>
      </c>
      <c r="AN375" s="34" t="e">
        <f t="shared" ref="AN375" si="882">SUM(AN364:AN374)</f>
        <v>#N/A</v>
      </c>
      <c r="AO375" s="34" t="e">
        <f t="shared" ref="AO375" si="883">SUM(AO364:AO374)</f>
        <v>#N/A</v>
      </c>
      <c r="AP375" s="34" t="e">
        <f t="shared" ref="AP375" si="884">SUM(AP364:AP374)</f>
        <v>#N/A</v>
      </c>
      <c r="AQ375" s="34" t="e">
        <f t="shared" ref="AQ375" si="885">SUM(AQ364:AQ374)</f>
        <v>#N/A</v>
      </c>
      <c r="AR375" s="34" t="e">
        <f t="shared" ref="AR375" si="886">SUM(AR364:AR374)</f>
        <v>#N/A</v>
      </c>
      <c r="AS375" s="27"/>
      <c r="AT375" s="41"/>
      <c r="AU375" s="41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30"/>
    </row>
    <row r="376" spans="1:66" ht="11.25" customHeight="1" x14ac:dyDescent="0.2">
      <c r="A376" s="75" t="s">
        <v>63</v>
      </c>
      <c r="B376" s="76"/>
      <c r="C376" s="21"/>
      <c r="D376" s="22" t="s">
        <v>75</v>
      </c>
      <c r="E376" s="23" t="s">
        <v>70</v>
      </c>
      <c r="F376" s="23">
        <v>0</v>
      </c>
      <c r="G376" s="23">
        <v>1</v>
      </c>
      <c r="H376" s="23">
        <v>2</v>
      </c>
      <c r="I376" s="23">
        <v>3</v>
      </c>
      <c r="J376" s="23">
        <v>4</v>
      </c>
      <c r="K376" s="23">
        <v>5</v>
      </c>
      <c r="L376" s="23">
        <v>6</v>
      </c>
      <c r="M376" s="23">
        <v>7</v>
      </c>
      <c r="N376" s="23">
        <v>8</v>
      </c>
      <c r="O376" s="23">
        <v>9</v>
      </c>
      <c r="P376" s="23">
        <v>10</v>
      </c>
      <c r="Q376" s="23">
        <v>11</v>
      </c>
      <c r="R376" s="23">
        <v>12</v>
      </c>
      <c r="S376" s="23">
        <v>13</v>
      </c>
      <c r="T376" s="23">
        <v>14</v>
      </c>
      <c r="U376" s="23">
        <v>15</v>
      </c>
      <c r="V376" s="23">
        <v>16</v>
      </c>
      <c r="W376" s="23">
        <v>17</v>
      </c>
      <c r="X376" s="24"/>
      <c r="Y376" s="17"/>
      <c r="Z376" s="25" t="s">
        <v>64</v>
      </c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7"/>
      <c r="AT376" s="28"/>
      <c r="AU376" s="28" t="s">
        <v>64</v>
      </c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30"/>
    </row>
    <row r="377" spans="1:66" ht="11.25" customHeight="1" x14ac:dyDescent="0.2">
      <c r="A377" s="32"/>
      <c r="B377" s="72">
        <v>26</v>
      </c>
      <c r="C377" s="33">
        <v>1</v>
      </c>
      <c r="D377" s="13" t="s">
        <v>289</v>
      </c>
      <c r="E377" s="16">
        <f t="shared" ref="E377:E385" si="887">SUM(F377:W377)</f>
        <v>61</v>
      </c>
      <c r="F377" s="16">
        <f>SUMIFS([0]!VOTOS2,[0]!TURNO1,F$31,[0]!CANDIDATO1,$C377,[0]!MUNICIPIO1,$B$377)</f>
        <v>10</v>
      </c>
      <c r="G377" s="16">
        <f>SUMIFS([0]!VOTOS2,[0]!TURNO1,G$31,[0]!CANDIDATO1,$C377,[0]!MUNICIPIO1,$B$377)</f>
        <v>13</v>
      </c>
      <c r="H377" s="16">
        <f>SUMIFS([0]!VOTOS2,[0]!TURNO1,H$31,[0]!CANDIDATO1,$C377,[0]!MUNICIPIO1,$B$377)</f>
        <v>6</v>
      </c>
      <c r="I377" s="16">
        <f>SUMIFS([0]!VOTOS2,[0]!TURNO1,I$31,[0]!CANDIDATO1,$C377,[0]!MUNICIPIO1,$B$377)</f>
        <v>5</v>
      </c>
      <c r="J377" s="16">
        <f>SUMIFS([0]!VOTOS2,[0]!TURNO1,J$31,[0]!CANDIDATO1,$C377,[0]!MUNICIPIO1,$B$377)</f>
        <v>3</v>
      </c>
      <c r="K377" s="16">
        <f>SUMIFS([0]!VOTOS2,[0]!TURNO1,K$31,[0]!CANDIDATO1,$C377,[0]!MUNICIPIO1,$B$377)</f>
        <v>6</v>
      </c>
      <c r="L377" s="16">
        <f>SUMIFS([0]!VOTOS2,[0]!TURNO1,L$31,[0]!CANDIDATO1,$C377,[0]!MUNICIPIO1,$B$377)</f>
        <v>5</v>
      </c>
      <c r="M377" s="16">
        <f>SUMIFS([0]!VOTOS2,[0]!TURNO1,M$31,[0]!CANDIDATO1,$C377,[0]!MUNICIPIO1,$B$377)</f>
        <v>4</v>
      </c>
      <c r="N377" s="16">
        <f>SUMIFS([0]!VOTOS2,[0]!TURNO1,N$31,[0]!CANDIDATO1,$C377,[0]!MUNICIPIO1,$B$377)</f>
        <v>8</v>
      </c>
      <c r="O377" s="16">
        <f>SUMIFS([0]!VOTOS2,[0]!TURNO1,O$31,[0]!CANDIDATO1,$C377,[0]!MUNICIPIO1,$B$377)</f>
        <v>1</v>
      </c>
      <c r="P377" s="16">
        <f>SUMIFS([0]!VOTOS2,[0]!TURNO1,P$31,[0]!CANDIDATO1,$C377,[0]!MUNICIPIO1,$B$377)</f>
        <v>0</v>
      </c>
      <c r="Q377" s="16">
        <f>SUMIFS([0]!VOTOS2,[0]!TURNO1,Q$31,[0]!CANDIDATO1,$C377,[0]!MUNICIPIO1,$B$377)</f>
        <v>0</v>
      </c>
      <c r="R377" s="16">
        <f>SUMIFS([0]!VOTOS2,[0]!TURNO1,R$31,[0]!CANDIDATO1,$C377,[0]!MUNICIPIO1,$B$377)</f>
        <v>0</v>
      </c>
      <c r="S377" s="16">
        <f>SUMIFS([0]!VOTOS2,[0]!TURNO1,S$31,[0]!CANDIDATO1,$C377,[0]!MUNICIPIO1,$B$377)</f>
        <v>0</v>
      </c>
      <c r="T377" s="16">
        <f>SUMIFS([0]!VOTOS2,[0]!TURNO1,T$31,[0]!CANDIDATO1,$C377,[0]!MUNICIPIO1,$B$377)</f>
        <v>0</v>
      </c>
      <c r="U377" s="16">
        <f>SUMIFS([0]!VOTOS2,[0]!TURNO1,U$31,[0]!CANDIDATO1,$C377,[0]!MUNICIPIO1,$B$377)</f>
        <v>0</v>
      </c>
      <c r="V377" s="16">
        <f>SUMIFS([0]!VOTOS2,[0]!TURNO1,V$31,[0]!CANDIDATO1,$C377,[0]!MUNICIPIO1,$B$377)</f>
        <v>0</v>
      </c>
      <c r="W377" s="16">
        <f>SUMIFS([0]!VOTOS2,[0]!TURNO1,W$31,[0]!CANDIDATO1,$C377,[0]!MUNICIPIO1,$B$377)</f>
        <v>0</v>
      </c>
      <c r="X377" s="24"/>
      <c r="Y377" s="18" t="str">
        <f t="shared" ref="Y377:Y385" si="888">D377</f>
        <v>LUIS BOHORQUEZ</v>
      </c>
      <c r="Z377" s="34">
        <f t="shared" ref="Z377:Z385" si="889">E377</f>
        <v>61</v>
      </c>
      <c r="AA377" s="34">
        <f t="shared" ref="AA377:AA385" si="890">F377</f>
        <v>10</v>
      </c>
      <c r="AB377" s="34">
        <f t="shared" ref="AB377:AR377" si="891">IF(SUM(G377:G389)=0,NA(),G377+AA377)</f>
        <v>23</v>
      </c>
      <c r="AC377" s="34">
        <f t="shared" si="891"/>
        <v>29</v>
      </c>
      <c r="AD377" s="34">
        <f t="shared" si="891"/>
        <v>34</v>
      </c>
      <c r="AE377" s="34">
        <f t="shared" si="891"/>
        <v>37</v>
      </c>
      <c r="AF377" s="34">
        <f t="shared" si="891"/>
        <v>43</v>
      </c>
      <c r="AG377" s="34">
        <f t="shared" si="891"/>
        <v>48</v>
      </c>
      <c r="AH377" s="34">
        <f t="shared" si="891"/>
        <v>52</v>
      </c>
      <c r="AI377" s="34">
        <f t="shared" si="891"/>
        <v>60</v>
      </c>
      <c r="AJ377" s="34">
        <f t="shared" si="891"/>
        <v>61</v>
      </c>
      <c r="AK377" s="34" t="e">
        <f t="shared" si="891"/>
        <v>#N/A</v>
      </c>
      <c r="AL377" s="34" t="e">
        <f t="shared" si="891"/>
        <v>#N/A</v>
      </c>
      <c r="AM377" s="34" t="e">
        <f t="shared" si="891"/>
        <v>#N/A</v>
      </c>
      <c r="AN377" s="34" t="e">
        <f t="shared" si="891"/>
        <v>#N/A</v>
      </c>
      <c r="AO377" s="34" t="e">
        <f t="shared" si="891"/>
        <v>#N/A</v>
      </c>
      <c r="AP377" s="34" t="e">
        <f t="shared" si="891"/>
        <v>#N/A</v>
      </c>
      <c r="AQ377" s="34" t="e">
        <f t="shared" si="891"/>
        <v>#N/A</v>
      </c>
      <c r="AR377" s="34" t="e">
        <f t="shared" si="891"/>
        <v>#N/A</v>
      </c>
      <c r="AS377" s="27"/>
      <c r="AT377" s="35" t="str">
        <f t="shared" ref="AT377:AT378" si="892">Y377</f>
        <v>LUIS BOHORQUEZ</v>
      </c>
      <c r="AU377" s="36">
        <f t="shared" ref="AU377:BM377" si="893">Z377/(Z377+Z378+Z390)</f>
        <v>0.3935483870967742</v>
      </c>
      <c r="AV377" s="36">
        <f t="shared" si="893"/>
        <v>0.5</v>
      </c>
      <c r="AW377" s="36">
        <f t="shared" si="893"/>
        <v>0.51111111111111107</v>
      </c>
      <c r="AX377" s="36">
        <f t="shared" si="893"/>
        <v>0.5</v>
      </c>
      <c r="AY377" s="36">
        <f t="shared" si="893"/>
        <v>0.41463414634146339</v>
      </c>
      <c r="AZ377" s="36">
        <f t="shared" si="893"/>
        <v>0.38144329896907214</v>
      </c>
      <c r="BA377" s="36">
        <f t="shared" si="893"/>
        <v>0.39814814814814814</v>
      </c>
      <c r="BB377" s="36">
        <f t="shared" si="893"/>
        <v>0.40336134453781514</v>
      </c>
      <c r="BC377" s="36">
        <f t="shared" si="893"/>
        <v>0.38805970149253732</v>
      </c>
      <c r="BD377" s="36">
        <f t="shared" si="893"/>
        <v>0.39473684210526316</v>
      </c>
      <c r="BE377" s="36">
        <f t="shared" si="893"/>
        <v>0.3935483870967742</v>
      </c>
      <c r="BF377" s="36" t="e">
        <f t="shared" si="893"/>
        <v>#N/A</v>
      </c>
      <c r="BG377" s="36" t="e">
        <f t="shared" si="893"/>
        <v>#N/A</v>
      </c>
      <c r="BH377" s="36" t="e">
        <f t="shared" si="893"/>
        <v>#N/A</v>
      </c>
      <c r="BI377" s="36" t="e">
        <f t="shared" si="893"/>
        <v>#N/A</v>
      </c>
      <c r="BJ377" s="36" t="e">
        <f t="shared" si="893"/>
        <v>#N/A</v>
      </c>
      <c r="BK377" s="36" t="e">
        <f t="shared" si="893"/>
        <v>#N/A</v>
      </c>
      <c r="BL377" s="36" t="e">
        <f t="shared" si="893"/>
        <v>#N/A</v>
      </c>
      <c r="BM377" s="36" t="e">
        <f t="shared" si="893"/>
        <v>#N/A</v>
      </c>
      <c r="BN377" s="30"/>
    </row>
    <row r="378" spans="1:66" ht="11.25" customHeight="1" x14ac:dyDescent="0.2">
      <c r="A378" s="37"/>
      <c r="B378" s="73"/>
      <c r="C378" s="33">
        <v>2</v>
      </c>
      <c r="D378" s="13" t="s">
        <v>290</v>
      </c>
      <c r="E378" s="16">
        <f t="shared" si="887"/>
        <v>56</v>
      </c>
      <c r="F378" s="16">
        <f>SUMIFS([0]!VOTOS2,[0]!TURNO1,F$31,[0]!CANDIDATO1,$C378,[0]!MUNICIPIO1,$B$377)</f>
        <v>10</v>
      </c>
      <c r="G378" s="16">
        <f>SUMIFS([0]!VOTOS2,[0]!TURNO1,G$31,[0]!CANDIDATO1,$C378,[0]!MUNICIPIO1,$B$377)</f>
        <v>12</v>
      </c>
      <c r="H378" s="16">
        <f>SUMIFS([0]!VOTOS2,[0]!TURNO1,H$31,[0]!CANDIDATO1,$C378,[0]!MUNICIPIO1,$B$377)</f>
        <v>4</v>
      </c>
      <c r="I378" s="16">
        <f>SUMIFS([0]!VOTOS2,[0]!TURNO1,I$31,[0]!CANDIDATO1,$C378,[0]!MUNICIPIO1,$B$377)</f>
        <v>6</v>
      </c>
      <c r="J378" s="16">
        <f>SUMIFS([0]!VOTOS2,[0]!TURNO1,J$31,[0]!CANDIDATO1,$C378,[0]!MUNICIPIO1,$B$377)</f>
        <v>4</v>
      </c>
      <c r="K378" s="16">
        <f>SUMIFS([0]!VOTOS2,[0]!TURNO1,K$31,[0]!CANDIDATO1,$C378,[0]!MUNICIPIO1,$B$377)</f>
        <v>3</v>
      </c>
      <c r="L378" s="16">
        <f>SUMIFS([0]!VOTOS2,[0]!TURNO1,L$31,[0]!CANDIDATO1,$C378,[0]!MUNICIPIO1,$B$377)</f>
        <v>4</v>
      </c>
      <c r="M378" s="16">
        <f>SUMIFS([0]!VOTOS2,[0]!TURNO1,M$31,[0]!CANDIDATO1,$C378,[0]!MUNICIPIO1,$B$377)</f>
        <v>7</v>
      </c>
      <c r="N378" s="16">
        <f>SUMIFS([0]!VOTOS2,[0]!TURNO1,N$31,[0]!CANDIDATO1,$C378,[0]!MUNICIPIO1,$B$377)</f>
        <v>4</v>
      </c>
      <c r="O378" s="16">
        <f>SUMIFS([0]!VOTOS2,[0]!TURNO1,O$31,[0]!CANDIDATO1,$C378,[0]!MUNICIPIO1,$B$377)</f>
        <v>2</v>
      </c>
      <c r="P378" s="16">
        <f>SUMIFS([0]!VOTOS2,[0]!TURNO1,P$31,[0]!CANDIDATO1,$C378,[0]!MUNICIPIO1,$B$377)</f>
        <v>0</v>
      </c>
      <c r="Q378" s="16">
        <f>SUMIFS([0]!VOTOS2,[0]!TURNO1,Q$31,[0]!CANDIDATO1,$C378,[0]!MUNICIPIO1,$B$377)</f>
        <v>0</v>
      </c>
      <c r="R378" s="16">
        <f>SUMIFS([0]!VOTOS2,[0]!TURNO1,R$31,[0]!CANDIDATO1,$C378,[0]!MUNICIPIO1,$B$377)</f>
        <v>0</v>
      </c>
      <c r="S378" s="16">
        <f>SUMIFS([0]!VOTOS2,[0]!TURNO1,S$31,[0]!CANDIDATO1,$C378,[0]!MUNICIPIO1,$B$377)</f>
        <v>0</v>
      </c>
      <c r="T378" s="16">
        <f>SUMIFS([0]!VOTOS2,[0]!TURNO1,T$31,[0]!CANDIDATO1,$C378,[0]!MUNICIPIO1,$B$377)</f>
        <v>0</v>
      </c>
      <c r="U378" s="16">
        <f>SUMIFS([0]!VOTOS2,[0]!TURNO1,U$31,[0]!CANDIDATO1,$C378,[0]!MUNICIPIO1,$B$377)</f>
        <v>0</v>
      </c>
      <c r="V378" s="16">
        <f>SUMIFS([0]!VOTOS2,[0]!TURNO1,V$31,[0]!CANDIDATO1,$C378,[0]!MUNICIPIO1,$B$377)</f>
        <v>0</v>
      </c>
      <c r="W378" s="16">
        <f>SUMIFS([0]!VOTOS2,[0]!TURNO1,W$31,[0]!CANDIDATO1,$C378,[0]!MUNICIPIO1,$B$377)</f>
        <v>0</v>
      </c>
      <c r="X378" s="24"/>
      <c r="Y378" s="18" t="str">
        <f t="shared" si="888"/>
        <v xml:space="preserve">ALFREDO RAMOS </v>
      </c>
      <c r="Z378" s="34">
        <f t="shared" si="889"/>
        <v>56</v>
      </c>
      <c r="AA378" s="34">
        <f t="shared" si="890"/>
        <v>10</v>
      </c>
      <c r="AB378" s="34">
        <f t="shared" ref="AB378:AR378" si="894">IF(SUM(G377:G389)=0,NA(),G378+AA378)</f>
        <v>22</v>
      </c>
      <c r="AC378" s="34">
        <f t="shared" si="894"/>
        <v>26</v>
      </c>
      <c r="AD378" s="34">
        <f t="shared" si="894"/>
        <v>32</v>
      </c>
      <c r="AE378" s="34">
        <f t="shared" si="894"/>
        <v>36</v>
      </c>
      <c r="AF378" s="34">
        <f t="shared" si="894"/>
        <v>39</v>
      </c>
      <c r="AG378" s="34">
        <f t="shared" si="894"/>
        <v>43</v>
      </c>
      <c r="AH378" s="34">
        <f t="shared" si="894"/>
        <v>50</v>
      </c>
      <c r="AI378" s="34">
        <f t="shared" si="894"/>
        <v>54</v>
      </c>
      <c r="AJ378" s="34">
        <f t="shared" si="894"/>
        <v>56</v>
      </c>
      <c r="AK378" s="34" t="e">
        <f t="shared" si="894"/>
        <v>#N/A</v>
      </c>
      <c r="AL378" s="34" t="e">
        <f t="shared" si="894"/>
        <v>#N/A</v>
      </c>
      <c r="AM378" s="34" t="e">
        <f t="shared" si="894"/>
        <v>#N/A</v>
      </c>
      <c r="AN378" s="34" t="e">
        <f t="shared" si="894"/>
        <v>#N/A</v>
      </c>
      <c r="AO378" s="34" t="e">
        <f t="shared" si="894"/>
        <v>#N/A</v>
      </c>
      <c r="AP378" s="34" t="e">
        <f t="shared" si="894"/>
        <v>#N/A</v>
      </c>
      <c r="AQ378" s="34" t="e">
        <f t="shared" si="894"/>
        <v>#N/A</v>
      </c>
      <c r="AR378" s="34" t="e">
        <f t="shared" si="894"/>
        <v>#N/A</v>
      </c>
      <c r="AS378" s="27"/>
      <c r="AT378" s="35" t="str">
        <f t="shared" si="892"/>
        <v xml:space="preserve">ALFREDO RAMOS </v>
      </c>
      <c r="AU378" s="36">
        <f t="shared" ref="AU378:BM378" si="895">Z378/(Z377+Z378+Z390)</f>
        <v>0.36129032258064514</v>
      </c>
      <c r="AV378" s="36">
        <f t="shared" si="895"/>
        <v>0.5</v>
      </c>
      <c r="AW378" s="36">
        <f t="shared" si="895"/>
        <v>0.48888888888888887</v>
      </c>
      <c r="AX378" s="36">
        <f t="shared" si="895"/>
        <v>0.44827586206896552</v>
      </c>
      <c r="AY378" s="36">
        <f t="shared" si="895"/>
        <v>0.3902439024390244</v>
      </c>
      <c r="AZ378" s="36">
        <f t="shared" si="895"/>
        <v>0.37113402061855671</v>
      </c>
      <c r="BA378" s="36">
        <f t="shared" si="895"/>
        <v>0.3611111111111111</v>
      </c>
      <c r="BB378" s="36">
        <f t="shared" si="895"/>
        <v>0.36134453781512604</v>
      </c>
      <c r="BC378" s="36">
        <f t="shared" si="895"/>
        <v>0.37313432835820898</v>
      </c>
      <c r="BD378" s="36">
        <f t="shared" si="895"/>
        <v>0.35526315789473684</v>
      </c>
      <c r="BE378" s="36">
        <f t="shared" si="895"/>
        <v>0.36129032258064514</v>
      </c>
      <c r="BF378" s="36" t="e">
        <f t="shared" si="895"/>
        <v>#N/A</v>
      </c>
      <c r="BG378" s="36" t="e">
        <f t="shared" si="895"/>
        <v>#N/A</v>
      </c>
      <c r="BH378" s="36" t="e">
        <f t="shared" si="895"/>
        <v>#N/A</v>
      </c>
      <c r="BI378" s="36" t="e">
        <f t="shared" si="895"/>
        <v>#N/A</v>
      </c>
      <c r="BJ378" s="36" t="e">
        <f t="shared" si="895"/>
        <v>#N/A</v>
      </c>
      <c r="BK378" s="36" t="e">
        <f t="shared" si="895"/>
        <v>#N/A</v>
      </c>
      <c r="BL378" s="36" t="e">
        <f t="shared" si="895"/>
        <v>#N/A</v>
      </c>
      <c r="BM378" s="36" t="e">
        <f t="shared" si="895"/>
        <v>#N/A</v>
      </c>
      <c r="BN378" s="30"/>
    </row>
    <row r="379" spans="1:66" ht="11.25" customHeight="1" x14ac:dyDescent="0.2">
      <c r="A379" s="37"/>
      <c r="B379" s="73"/>
      <c r="C379" s="33">
        <v>3</v>
      </c>
      <c r="D379" s="13" t="s">
        <v>291</v>
      </c>
      <c r="E379" s="16">
        <f t="shared" si="887"/>
        <v>28</v>
      </c>
      <c r="F379" s="16">
        <f>SUMIFS([0]!VOTOS2,[0]!TURNO1,F$31,[0]!CANDIDATO1,$C379,[0]!MUNICIPIO1,$B$377)</f>
        <v>0</v>
      </c>
      <c r="G379" s="16">
        <f>SUMIFS([0]!VOTOS2,[0]!TURNO1,G$31,[0]!CANDIDATO1,$C379,[0]!MUNICIPIO1,$B$377)</f>
        <v>0</v>
      </c>
      <c r="H379" s="16">
        <f>SUMIFS([0]!VOTOS2,[0]!TURNO1,H$31,[0]!CANDIDATO1,$C379,[0]!MUNICIPIO1,$B$377)</f>
        <v>2</v>
      </c>
      <c r="I379" s="16">
        <f>SUMIFS([0]!VOTOS2,[0]!TURNO1,I$31,[0]!CANDIDATO1,$C379,[0]!MUNICIPIO1,$B$377)</f>
        <v>10</v>
      </c>
      <c r="J379" s="16">
        <f>SUMIFS([0]!VOTOS2,[0]!TURNO1,J$31,[0]!CANDIDATO1,$C379,[0]!MUNICIPIO1,$B$377)</f>
        <v>5</v>
      </c>
      <c r="K379" s="16">
        <f>SUMIFS([0]!VOTOS2,[0]!TURNO1,K$31,[0]!CANDIDATO1,$C379,[0]!MUNICIPIO1,$B$377)</f>
        <v>2</v>
      </c>
      <c r="L379" s="16">
        <f>SUMIFS([0]!VOTOS2,[0]!TURNO1,L$31,[0]!CANDIDATO1,$C379,[0]!MUNICIPIO1,$B$377)</f>
        <v>1</v>
      </c>
      <c r="M379" s="16">
        <f>SUMIFS([0]!VOTOS2,[0]!TURNO1,M$31,[0]!CANDIDATO1,$C379,[0]!MUNICIPIO1,$B$377)</f>
        <v>2</v>
      </c>
      <c r="N379" s="16">
        <f>SUMIFS([0]!VOTOS2,[0]!TURNO1,N$31,[0]!CANDIDATO1,$C379,[0]!MUNICIPIO1,$B$377)</f>
        <v>6</v>
      </c>
      <c r="O379" s="16">
        <f>SUMIFS([0]!VOTOS2,[0]!TURNO1,O$31,[0]!CANDIDATO1,$C379,[0]!MUNICIPIO1,$B$377)</f>
        <v>0</v>
      </c>
      <c r="P379" s="16">
        <f>SUMIFS([0]!VOTOS2,[0]!TURNO1,P$31,[0]!CANDIDATO1,$C379,[0]!MUNICIPIO1,$B$377)</f>
        <v>0</v>
      </c>
      <c r="Q379" s="16">
        <f>SUMIFS([0]!VOTOS2,[0]!TURNO1,Q$31,[0]!CANDIDATO1,$C379,[0]!MUNICIPIO1,$B$377)</f>
        <v>0</v>
      </c>
      <c r="R379" s="16">
        <f>SUMIFS([0]!VOTOS2,[0]!TURNO1,R$31,[0]!CANDIDATO1,$C379,[0]!MUNICIPIO1,$B$377)</f>
        <v>0</v>
      </c>
      <c r="S379" s="16">
        <f>SUMIFS([0]!VOTOS2,[0]!TURNO1,S$31,[0]!CANDIDATO1,$C379,[0]!MUNICIPIO1,$B$377)</f>
        <v>0</v>
      </c>
      <c r="T379" s="16">
        <f>SUMIFS([0]!VOTOS2,[0]!TURNO1,T$31,[0]!CANDIDATO1,$C379,[0]!MUNICIPIO1,$B$377)</f>
        <v>0</v>
      </c>
      <c r="U379" s="16">
        <f>SUMIFS([0]!VOTOS2,[0]!TURNO1,U$31,[0]!CANDIDATO1,$C379,[0]!MUNICIPIO1,$B$377)</f>
        <v>0</v>
      </c>
      <c r="V379" s="16">
        <f>SUMIFS([0]!VOTOS2,[0]!TURNO1,V$31,[0]!CANDIDATO1,$C379,[0]!MUNICIPIO1,$B$377)</f>
        <v>0</v>
      </c>
      <c r="W379" s="16">
        <f>SUMIFS([0]!VOTOS2,[0]!TURNO1,W$31,[0]!CANDIDATO1,$C379,[0]!MUNICIPIO1,$B$377)</f>
        <v>0</v>
      </c>
      <c r="X379" s="24"/>
      <c r="Y379" s="18" t="str">
        <f t="shared" si="888"/>
        <v>ALEXIS BRAVO LEON</v>
      </c>
      <c r="Z379" s="34">
        <f t="shared" si="889"/>
        <v>28</v>
      </c>
      <c r="AA379" s="34">
        <f t="shared" si="890"/>
        <v>0</v>
      </c>
      <c r="AB379" s="34">
        <f t="shared" ref="AB379:AR379" si="896">IF(SUM(G377:G389)=0,NA(),G379+AA379)</f>
        <v>0</v>
      </c>
      <c r="AC379" s="34">
        <f t="shared" si="896"/>
        <v>2</v>
      </c>
      <c r="AD379" s="34">
        <f t="shared" si="896"/>
        <v>12</v>
      </c>
      <c r="AE379" s="34">
        <f t="shared" si="896"/>
        <v>17</v>
      </c>
      <c r="AF379" s="34">
        <f t="shared" si="896"/>
        <v>19</v>
      </c>
      <c r="AG379" s="34">
        <f t="shared" si="896"/>
        <v>20</v>
      </c>
      <c r="AH379" s="34">
        <f t="shared" si="896"/>
        <v>22</v>
      </c>
      <c r="AI379" s="34">
        <f t="shared" si="896"/>
        <v>28</v>
      </c>
      <c r="AJ379" s="34">
        <f t="shared" si="896"/>
        <v>28</v>
      </c>
      <c r="AK379" s="34" t="e">
        <f t="shared" si="896"/>
        <v>#N/A</v>
      </c>
      <c r="AL379" s="34" t="e">
        <f t="shared" si="896"/>
        <v>#N/A</v>
      </c>
      <c r="AM379" s="34" t="e">
        <f t="shared" si="896"/>
        <v>#N/A</v>
      </c>
      <c r="AN379" s="34" t="e">
        <f t="shared" si="896"/>
        <v>#N/A</v>
      </c>
      <c r="AO379" s="34" t="e">
        <f t="shared" si="896"/>
        <v>#N/A</v>
      </c>
      <c r="AP379" s="34" t="e">
        <f t="shared" si="896"/>
        <v>#N/A</v>
      </c>
      <c r="AQ379" s="34" t="e">
        <f t="shared" si="896"/>
        <v>#N/A</v>
      </c>
      <c r="AR379" s="34" t="e">
        <f t="shared" si="896"/>
        <v>#N/A</v>
      </c>
      <c r="AS379" s="27"/>
      <c r="AT379" s="35" t="str">
        <f t="shared" ref="AT379" si="897">Y390</f>
        <v>Otros</v>
      </c>
      <c r="AU379" s="36">
        <f t="shared" ref="AU379:BM379" si="898">Z390/(Z377+Z378+Z390)</f>
        <v>0.24516129032258063</v>
      </c>
      <c r="AV379" s="36">
        <f t="shared" si="898"/>
        <v>0</v>
      </c>
      <c r="AW379" s="36">
        <f t="shared" si="898"/>
        <v>0</v>
      </c>
      <c r="AX379" s="36">
        <f t="shared" si="898"/>
        <v>5.1724137931034482E-2</v>
      </c>
      <c r="AY379" s="36">
        <f t="shared" si="898"/>
        <v>0.1951219512195122</v>
      </c>
      <c r="AZ379" s="36">
        <f t="shared" si="898"/>
        <v>0.24742268041237114</v>
      </c>
      <c r="BA379" s="36">
        <f t="shared" si="898"/>
        <v>0.24074074074074073</v>
      </c>
      <c r="BB379" s="36">
        <f t="shared" si="898"/>
        <v>0.23529411764705882</v>
      </c>
      <c r="BC379" s="36">
        <f t="shared" si="898"/>
        <v>0.23880597014925373</v>
      </c>
      <c r="BD379" s="36">
        <f t="shared" si="898"/>
        <v>0.25</v>
      </c>
      <c r="BE379" s="36">
        <f t="shared" si="898"/>
        <v>0.24516129032258063</v>
      </c>
      <c r="BF379" s="36" t="e">
        <f t="shared" si="898"/>
        <v>#N/A</v>
      </c>
      <c r="BG379" s="36" t="e">
        <f t="shared" si="898"/>
        <v>#N/A</v>
      </c>
      <c r="BH379" s="36" t="e">
        <f t="shared" si="898"/>
        <v>#N/A</v>
      </c>
      <c r="BI379" s="36" t="e">
        <f t="shared" si="898"/>
        <v>#N/A</v>
      </c>
      <c r="BJ379" s="36" t="e">
        <f t="shared" si="898"/>
        <v>#N/A</v>
      </c>
      <c r="BK379" s="36" t="e">
        <f t="shared" si="898"/>
        <v>#N/A</v>
      </c>
      <c r="BL379" s="36" t="e">
        <f t="shared" si="898"/>
        <v>#N/A</v>
      </c>
      <c r="BM379" s="36" t="e">
        <f t="shared" si="898"/>
        <v>#N/A</v>
      </c>
      <c r="BN379" s="30"/>
    </row>
    <row r="380" spans="1:66" ht="11.25" customHeight="1" x14ac:dyDescent="0.2">
      <c r="A380" s="38" t="s">
        <v>31</v>
      </c>
      <c r="B380" s="73"/>
      <c r="C380" s="33">
        <v>4</v>
      </c>
      <c r="D380" s="13" t="s">
        <v>292</v>
      </c>
      <c r="E380" s="16">
        <f t="shared" si="887"/>
        <v>9</v>
      </c>
      <c r="F380" s="16">
        <f>SUMIFS([0]!VOTOS2,[0]!TURNO1,F$31,[0]!CANDIDATO1,$C380,[0]!MUNICIPIO1,$B$377)</f>
        <v>0</v>
      </c>
      <c r="G380" s="16">
        <f>SUMIFS([0]!VOTOS2,[0]!TURNO1,G$31,[0]!CANDIDATO1,$C380,[0]!MUNICIPIO1,$B$377)</f>
        <v>0</v>
      </c>
      <c r="H380" s="16">
        <f>SUMIFS([0]!VOTOS2,[0]!TURNO1,H$31,[0]!CANDIDATO1,$C380,[0]!MUNICIPIO1,$B$377)</f>
        <v>1</v>
      </c>
      <c r="I380" s="16">
        <f>SUMIFS([0]!VOTOS2,[0]!TURNO1,I$31,[0]!CANDIDATO1,$C380,[0]!MUNICIPIO1,$B$377)</f>
        <v>3</v>
      </c>
      <c r="J380" s="16">
        <f>SUMIFS([0]!VOTOS2,[0]!TURNO1,J$31,[0]!CANDIDATO1,$C380,[0]!MUNICIPIO1,$B$377)</f>
        <v>3</v>
      </c>
      <c r="K380" s="16">
        <f>SUMIFS([0]!VOTOS2,[0]!TURNO1,K$31,[0]!CANDIDATO1,$C380,[0]!MUNICIPIO1,$B$377)</f>
        <v>0</v>
      </c>
      <c r="L380" s="16">
        <f>SUMIFS([0]!VOTOS2,[0]!TURNO1,L$31,[0]!CANDIDATO1,$C380,[0]!MUNICIPIO1,$B$377)</f>
        <v>1</v>
      </c>
      <c r="M380" s="16">
        <f>SUMIFS([0]!VOTOS2,[0]!TURNO1,M$31,[0]!CANDIDATO1,$C380,[0]!MUNICIPIO1,$B$377)</f>
        <v>1</v>
      </c>
      <c r="N380" s="16">
        <f>SUMIFS([0]!VOTOS2,[0]!TURNO1,N$31,[0]!CANDIDATO1,$C380,[0]!MUNICIPIO1,$B$377)</f>
        <v>0</v>
      </c>
      <c r="O380" s="16">
        <f>SUMIFS([0]!VOTOS2,[0]!TURNO1,O$31,[0]!CANDIDATO1,$C380,[0]!MUNICIPIO1,$B$377)</f>
        <v>0</v>
      </c>
      <c r="P380" s="16">
        <f>SUMIFS([0]!VOTOS2,[0]!TURNO1,P$31,[0]!CANDIDATO1,$C380,[0]!MUNICIPIO1,$B$377)</f>
        <v>0</v>
      </c>
      <c r="Q380" s="16">
        <f>SUMIFS([0]!VOTOS2,[0]!TURNO1,Q$31,[0]!CANDIDATO1,$C380,[0]!MUNICIPIO1,$B$377)</f>
        <v>0</v>
      </c>
      <c r="R380" s="16">
        <f>SUMIFS([0]!VOTOS2,[0]!TURNO1,R$31,[0]!CANDIDATO1,$C380,[0]!MUNICIPIO1,$B$377)</f>
        <v>0</v>
      </c>
      <c r="S380" s="16">
        <f>SUMIFS([0]!VOTOS2,[0]!TURNO1,S$31,[0]!CANDIDATO1,$C380,[0]!MUNICIPIO1,$B$377)</f>
        <v>0</v>
      </c>
      <c r="T380" s="16">
        <f>SUMIFS([0]!VOTOS2,[0]!TURNO1,T$31,[0]!CANDIDATO1,$C380,[0]!MUNICIPIO1,$B$377)</f>
        <v>0</v>
      </c>
      <c r="U380" s="16">
        <f>SUMIFS([0]!VOTOS2,[0]!TURNO1,U$31,[0]!CANDIDATO1,$C380,[0]!MUNICIPIO1,$B$377)</f>
        <v>0</v>
      </c>
      <c r="V380" s="16">
        <f>SUMIFS([0]!VOTOS2,[0]!TURNO1,V$31,[0]!CANDIDATO1,$C380,[0]!MUNICIPIO1,$B$377)</f>
        <v>0</v>
      </c>
      <c r="W380" s="16">
        <f>SUMIFS([0]!VOTOS2,[0]!TURNO1,W$31,[0]!CANDIDATO1,$C380,[0]!MUNICIPIO1,$B$377)</f>
        <v>0</v>
      </c>
      <c r="X380" s="24"/>
      <c r="Y380" s="18" t="str">
        <f t="shared" si="888"/>
        <v>ALEXIS RAMOS</v>
      </c>
      <c r="Z380" s="34">
        <f t="shared" si="889"/>
        <v>9</v>
      </c>
      <c r="AA380" s="34">
        <f t="shared" si="890"/>
        <v>0</v>
      </c>
      <c r="AB380" s="34">
        <f t="shared" ref="AB380:AR380" si="899">IF(SUM(G377:G389)=0,NA(),G380+AA380)</f>
        <v>0</v>
      </c>
      <c r="AC380" s="34">
        <f t="shared" si="899"/>
        <v>1</v>
      </c>
      <c r="AD380" s="34">
        <f t="shared" si="899"/>
        <v>4</v>
      </c>
      <c r="AE380" s="34">
        <f t="shared" si="899"/>
        <v>7</v>
      </c>
      <c r="AF380" s="34">
        <f t="shared" si="899"/>
        <v>7</v>
      </c>
      <c r="AG380" s="34">
        <f t="shared" si="899"/>
        <v>8</v>
      </c>
      <c r="AH380" s="34">
        <f t="shared" si="899"/>
        <v>9</v>
      </c>
      <c r="AI380" s="34">
        <f t="shared" si="899"/>
        <v>9</v>
      </c>
      <c r="AJ380" s="34">
        <f t="shared" si="899"/>
        <v>9</v>
      </c>
      <c r="AK380" s="34" t="e">
        <f t="shared" si="899"/>
        <v>#N/A</v>
      </c>
      <c r="AL380" s="34" t="e">
        <f t="shared" si="899"/>
        <v>#N/A</v>
      </c>
      <c r="AM380" s="34" t="e">
        <f t="shared" si="899"/>
        <v>#N/A</v>
      </c>
      <c r="AN380" s="34" t="e">
        <f t="shared" si="899"/>
        <v>#N/A</v>
      </c>
      <c r="AO380" s="34" t="e">
        <f t="shared" si="899"/>
        <v>#N/A</v>
      </c>
      <c r="AP380" s="34" t="e">
        <f t="shared" si="899"/>
        <v>#N/A</v>
      </c>
      <c r="AQ380" s="34" t="e">
        <f t="shared" si="899"/>
        <v>#N/A</v>
      </c>
      <c r="AR380" s="34" t="e">
        <f t="shared" si="899"/>
        <v>#N/A</v>
      </c>
      <c r="AS380" s="27"/>
      <c r="AT380" s="39"/>
      <c r="AU380" s="39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30"/>
    </row>
    <row r="381" spans="1:66" ht="11.25" customHeight="1" x14ac:dyDescent="0.2">
      <c r="A381" s="38" t="s">
        <v>32</v>
      </c>
      <c r="B381" s="73"/>
      <c r="C381" s="33">
        <v>5</v>
      </c>
      <c r="D381" s="13" t="s">
        <v>293</v>
      </c>
      <c r="E381" s="16">
        <f t="shared" si="887"/>
        <v>1</v>
      </c>
      <c r="F381" s="16">
        <f>SUMIFS([0]!VOTOS2,[0]!TURNO1,F$31,[0]!CANDIDATO1,$C381,[0]!MUNICIPIO1,$B$377)</f>
        <v>0</v>
      </c>
      <c r="G381" s="16">
        <f>SUMIFS([0]!VOTOS2,[0]!TURNO1,G$31,[0]!CANDIDATO1,$C381,[0]!MUNICIPIO1,$B$377)</f>
        <v>0</v>
      </c>
      <c r="H381" s="16">
        <f>SUMIFS([0]!VOTOS2,[0]!TURNO1,H$31,[0]!CANDIDATO1,$C381,[0]!MUNICIPIO1,$B$377)</f>
        <v>0</v>
      </c>
      <c r="I381" s="16">
        <f>SUMIFS([0]!VOTOS2,[0]!TURNO1,I$31,[0]!CANDIDATO1,$C381,[0]!MUNICIPIO1,$B$377)</f>
        <v>0</v>
      </c>
      <c r="J381" s="16">
        <f>SUMIFS([0]!VOTOS2,[0]!TURNO1,J$31,[0]!CANDIDATO1,$C381,[0]!MUNICIPIO1,$B$377)</f>
        <v>0</v>
      </c>
      <c r="K381" s="16">
        <f>SUMIFS([0]!VOTOS2,[0]!TURNO1,K$31,[0]!CANDIDATO1,$C381,[0]!MUNICIPIO1,$B$377)</f>
        <v>0</v>
      </c>
      <c r="L381" s="16">
        <f>SUMIFS([0]!VOTOS2,[0]!TURNO1,L$31,[0]!CANDIDATO1,$C381,[0]!MUNICIPIO1,$B$377)</f>
        <v>0</v>
      </c>
      <c r="M381" s="16">
        <f>SUMIFS([0]!VOTOS2,[0]!TURNO1,M$31,[0]!CANDIDATO1,$C381,[0]!MUNICIPIO1,$B$377)</f>
        <v>1</v>
      </c>
      <c r="N381" s="16">
        <f>SUMIFS([0]!VOTOS2,[0]!TURNO1,N$31,[0]!CANDIDATO1,$C381,[0]!MUNICIPIO1,$B$377)</f>
        <v>0</v>
      </c>
      <c r="O381" s="16">
        <f>SUMIFS([0]!VOTOS2,[0]!TURNO1,O$31,[0]!CANDIDATO1,$C381,[0]!MUNICIPIO1,$B$377)</f>
        <v>0</v>
      </c>
      <c r="P381" s="16">
        <f>SUMIFS([0]!VOTOS2,[0]!TURNO1,P$31,[0]!CANDIDATO1,$C381,[0]!MUNICIPIO1,$B$377)</f>
        <v>0</v>
      </c>
      <c r="Q381" s="16">
        <f>SUMIFS([0]!VOTOS2,[0]!TURNO1,Q$31,[0]!CANDIDATO1,$C381,[0]!MUNICIPIO1,$B$377)</f>
        <v>0</v>
      </c>
      <c r="R381" s="16">
        <f>SUMIFS([0]!VOTOS2,[0]!TURNO1,R$31,[0]!CANDIDATO1,$C381,[0]!MUNICIPIO1,$B$377)</f>
        <v>0</v>
      </c>
      <c r="S381" s="16">
        <f>SUMIFS([0]!VOTOS2,[0]!TURNO1,S$31,[0]!CANDIDATO1,$C381,[0]!MUNICIPIO1,$B$377)</f>
        <v>0</v>
      </c>
      <c r="T381" s="16">
        <f>SUMIFS([0]!VOTOS2,[0]!TURNO1,T$31,[0]!CANDIDATO1,$C381,[0]!MUNICIPIO1,$B$377)</f>
        <v>0</v>
      </c>
      <c r="U381" s="16">
        <f>SUMIFS([0]!VOTOS2,[0]!TURNO1,U$31,[0]!CANDIDATO1,$C381,[0]!MUNICIPIO1,$B$377)</f>
        <v>0</v>
      </c>
      <c r="V381" s="16">
        <f>SUMIFS([0]!VOTOS2,[0]!TURNO1,V$31,[0]!CANDIDATO1,$C381,[0]!MUNICIPIO1,$B$377)</f>
        <v>0</v>
      </c>
      <c r="W381" s="16">
        <f>SUMIFS([0]!VOTOS2,[0]!TURNO1,W$31,[0]!CANDIDATO1,$C381,[0]!MUNICIPIO1,$B$377)</f>
        <v>0</v>
      </c>
      <c r="X381" s="24"/>
      <c r="Y381" s="18" t="str">
        <f t="shared" si="888"/>
        <v>LIBIO AGUERO</v>
      </c>
      <c r="Z381" s="34">
        <f t="shared" si="889"/>
        <v>1</v>
      </c>
      <c r="AA381" s="34">
        <f t="shared" si="890"/>
        <v>0</v>
      </c>
      <c r="AB381" s="34">
        <f t="shared" ref="AB381:AR381" si="900">IF(SUM(G377:G389)=0,NA(),G381+AA381)</f>
        <v>0</v>
      </c>
      <c r="AC381" s="34">
        <f t="shared" si="900"/>
        <v>0</v>
      </c>
      <c r="AD381" s="34">
        <f t="shared" si="900"/>
        <v>0</v>
      </c>
      <c r="AE381" s="34">
        <f t="shared" si="900"/>
        <v>0</v>
      </c>
      <c r="AF381" s="34">
        <f t="shared" si="900"/>
        <v>0</v>
      </c>
      <c r="AG381" s="34">
        <f t="shared" si="900"/>
        <v>0</v>
      </c>
      <c r="AH381" s="34">
        <f t="shared" si="900"/>
        <v>1</v>
      </c>
      <c r="AI381" s="34">
        <f t="shared" si="900"/>
        <v>1</v>
      </c>
      <c r="AJ381" s="34">
        <f t="shared" si="900"/>
        <v>1</v>
      </c>
      <c r="AK381" s="34" t="e">
        <f t="shared" si="900"/>
        <v>#N/A</v>
      </c>
      <c r="AL381" s="34" t="e">
        <f t="shared" si="900"/>
        <v>#N/A</v>
      </c>
      <c r="AM381" s="34" t="e">
        <f t="shared" si="900"/>
        <v>#N/A</v>
      </c>
      <c r="AN381" s="34" t="e">
        <f t="shared" si="900"/>
        <v>#N/A</v>
      </c>
      <c r="AO381" s="34" t="e">
        <f t="shared" si="900"/>
        <v>#N/A</v>
      </c>
      <c r="AP381" s="34" t="e">
        <f t="shared" si="900"/>
        <v>#N/A</v>
      </c>
      <c r="AQ381" s="34" t="e">
        <f t="shared" si="900"/>
        <v>#N/A</v>
      </c>
      <c r="AR381" s="34" t="e">
        <f t="shared" si="900"/>
        <v>#N/A</v>
      </c>
      <c r="AS381" s="27"/>
      <c r="AT381" s="39"/>
      <c r="AU381" s="39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30"/>
    </row>
    <row r="382" spans="1:66" ht="11.25" customHeight="1" x14ac:dyDescent="0.2">
      <c r="A382" s="37"/>
      <c r="B382" s="73"/>
      <c r="C382" s="33">
        <v>6</v>
      </c>
      <c r="D382" s="13" t="s">
        <v>294</v>
      </c>
      <c r="E382" s="16">
        <f t="shared" si="887"/>
        <v>0</v>
      </c>
      <c r="F382" s="16">
        <f>SUMIFS([0]!VOTOS2,[0]!TURNO1,F$31,[0]!CANDIDATO1,$C382,[0]!MUNICIPIO1,$B$377)</f>
        <v>0</v>
      </c>
      <c r="G382" s="16">
        <f>SUMIFS([0]!VOTOS2,[0]!TURNO1,G$31,[0]!CANDIDATO1,$C382,[0]!MUNICIPIO1,$B$377)</f>
        <v>0</v>
      </c>
      <c r="H382" s="16">
        <f>SUMIFS([0]!VOTOS2,[0]!TURNO1,H$31,[0]!CANDIDATO1,$C382,[0]!MUNICIPIO1,$B$377)</f>
        <v>0</v>
      </c>
      <c r="I382" s="16">
        <f>SUMIFS([0]!VOTOS2,[0]!TURNO1,I$31,[0]!CANDIDATO1,$C382,[0]!MUNICIPIO1,$B$377)</f>
        <v>0</v>
      </c>
      <c r="J382" s="16">
        <f>SUMIFS([0]!VOTOS2,[0]!TURNO1,J$31,[0]!CANDIDATO1,$C382,[0]!MUNICIPIO1,$B$377)</f>
        <v>0</v>
      </c>
      <c r="K382" s="16">
        <f>SUMIFS([0]!VOTOS2,[0]!TURNO1,K$31,[0]!CANDIDATO1,$C382,[0]!MUNICIPIO1,$B$377)</f>
        <v>0</v>
      </c>
      <c r="L382" s="16">
        <f>SUMIFS([0]!VOTOS2,[0]!TURNO1,L$31,[0]!CANDIDATO1,$C382,[0]!MUNICIPIO1,$B$377)</f>
        <v>0</v>
      </c>
      <c r="M382" s="16">
        <f>SUMIFS([0]!VOTOS2,[0]!TURNO1,M$31,[0]!CANDIDATO1,$C382,[0]!MUNICIPIO1,$B$377)</f>
        <v>0</v>
      </c>
      <c r="N382" s="16">
        <f>SUMIFS([0]!VOTOS2,[0]!TURNO1,N$31,[0]!CANDIDATO1,$C382,[0]!MUNICIPIO1,$B$377)</f>
        <v>0</v>
      </c>
      <c r="O382" s="16">
        <f>SUMIFS([0]!VOTOS2,[0]!TURNO1,O$31,[0]!CANDIDATO1,$C382,[0]!MUNICIPIO1,$B$377)</f>
        <v>0</v>
      </c>
      <c r="P382" s="16">
        <f>SUMIFS([0]!VOTOS2,[0]!TURNO1,P$31,[0]!CANDIDATO1,$C382,[0]!MUNICIPIO1,$B$377)</f>
        <v>0</v>
      </c>
      <c r="Q382" s="16">
        <f>SUMIFS([0]!VOTOS2,[0]!TURNO1,Q$31,[0]!CANDIDATO1,$C382,[0]!MUNICIPIO1,$B$377)</f>
        <v>0</v>
      </c>
      <c r="R382" s="16">
        <f>SUMIFS([0]!VOTOS2,[0]!TURNO1,R$31,[0]!CANDIDATO1,$C382,[0]!MUNICIPIO1,$B$377)</f>
        <v>0</v>
      </c>
      <c r="S382" s="16">
        <f>SUMIFS([0]!VOTOS2,[0]!TURNO1,S$31,[0]!CANDIDATO1,$C382,[0]!MUNICIPIO1,$B$377)</f>
        <v>0</v>
      </c>
      <c r="T382" s="16">
        <f>SUMIFS([0]!VOTOS2,[0]!TURNO1,T$31,[0]!CANDIDATO1,$C382,[0]!MUNICIPIO1,$B$377)</f>
        <v>0</v>
      </c>
      <c r="U382" s="16">
        <f>SUMIFS([0]!VOTOS2,[0]!TURNO1,U$31,[0]!CANDIDATO1,$C382,[0]!MUNICIPIO1,$B$377)</f>
        <v>0</v>
      </c>
      <c r="V382" s="16">
        <f>SUMIFS([0]!VOTOS2,[0]!TURNO1,V$31,[0]!CANDIDATO1,$C382,[0]!MUNICIPIO1,$B$377)</f>
        <v>0</v>
      </c>
      <c r="W382" s="16">
        <f>SUMIFS([0]!VOTOS2,[0]!TURNO1,W$31,[0]!CANDIDATO1,$C382,[0]!MUNICIPIO1,$B$377)</f>
        <v>0</v>
      </c>
      <c r="X382" s="24"/>
      <c r="Y382" s="18" t="str">
        <f t="shared" si="888"/>
        <v>GILBERTO PEÑA</v>
      </c>
      <c r="Z382" s="34">
        <f t="shared" si="889"/>
        <v>0</v>
      </c>
      <c r="AA382" s="34">
        <f t="shared" si="890"/>
        <v>0</v>
      </c>
      <c r="AB382" s="34">
        <f t="shared" ref="AB382:AR382" si="901">IF(SUM(G377:G389)=0,NA(),G382+AA382)</f>
        <v>0</v>
      </c>
      <c r="AC382" s="34">
        <f t="shared" si="901"/>
        <v>0</v>
      </c>
      <c r="AD382" s="34">
        <f t="shared" si="901"/>
        <v>0</v>
      </c>
      <c r="AE382" s="34">
        <f t="shared" si="901"/>
        <v>0</v>
      </c>
      <c r="AF382" s="34">
        <f t="shared" si="901"/>
        <v>0</v>
      </c>
      <c r="AG382" s="34">
        <f t="shared" si="901"/>
        <v>0</v>
      </c>
      <c r="AH382" s="34">
        <f t="shared" si="901"/>
        <v>0</v>
      </c>
      <c r="AI382" s="34">
        <f t="shared" si="901"/>
        <v>0</v>
      </c>
      <c r="AJ382" s="34">
        <f t="shared" si="901"/>
        <v>0</v>
      </c>
      <c r="AK382" s="34" t="e">
        <f t="shared" si="901"/>
        <v>#N/A</v>
      </c>
      <c r="AL382" s="34" t="e">
        <f t="shared" si="901"/>
        <v>#N/A</v>
      </c>
      <c r="AM382" s="34" t="e">
        <f t="shared" si="901"/>
        <v>#N/A</v>
      </c>
      <c r="AN382" s="34" t="e">
        <f t="shared" si="901"/>
        <v>#N/A</v>
      </c>
      <c r="AO382" s="34" t="e">
        <f t="shared" si="901"/>
        <v>#N/A</v>
      </c>
      <c r="AP382" s="34" t="e">
        <f t="shared" si="901"/>
        <v>#N/A</v>
      </c>
      <c r="AQ382" s="34" t="e">
        <f t="shared" si="901"/>
        <v>#N/A</v>
      </c>
      <c r="AR382" s="34" t="e">
        <f t="shared" si="901"/>
        <v>#N/A</v>
      </c>
      <c r="AS382" s="27"/>
      <c r="AT382" s="39"/>
      <c r="AU382" s="39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30"/>
    </row>
    <row r="383" spans="1:66" ht="11.25" customHeight="1" x14ac:dyDescent="0.2">
      <c r="A383" s="37"/>
      <c r="B383" s="73"/>
      <c r="C383" s="33">
        <v>7</v>
      </c>
      <c r="D383" s="13" t="s">
        <v>295</v>
      </c>
      <c r="E383" s="16">
        <f t="shared" si="887"/>
        <v>0</v>
      </c>
      <c r="F383" s="16">
        <f>SUMIFS([0]!VOTOS2,[0]!TURNO1,F$31,[0]!CANDIDATO1,$C383,[0]!MUNICIPIO1,$B$377)</f>
        <v>0</v>
      </c>
      <c r="G383" s="16">
        <f>SUMIFS([0]!VOTOS2,[0]!TURNO1,G$31,[0]!CANDIDATO1,$C383,[0]!MUNICIPIO1,$B$377)</f>
        <v>0</v>
      </c>
      <c r="H383" s="16">
        <f>SUMIFS([0]!VOTOS2,[0]!TURNO1,H$31,[0]!CANDIDATO1,$C383,[0]!MUNICIPIO1,$B$377)</f>
        <v>0</v>
      </c>
      <c r="I383" s="16">
        <f>SUMIFS([0]!VOTOS2,[0]!TURNO1,I$31,[0]!CANDIDATO1,$C383,[0]!MUNICIPIO1,$B$377)</f>
        <v>0</v>
      </c>
      <c r="J383" s="16">
        <f>SUMIFS([0]!VOTOS2,[0]!TURNO1,J$31,[0]!CANDIDATO1,$C383,[0]!MUNICIPIO1,$B$377)</f>
        <v>0</v>
      </c>
      <c r="K383" s="16">
        <f>SUMIFS([0]!VOTOS2,[0]!TURNO1,K$31,[0]!CANDIDATO1,$C383,[0]!MUNICIPIO1,$B$377)</f>
        <v>0</v>
      </c>
      <c r="L383" s="16">
        <f>SUMIFS([0]!VOTOS2,[0]!TURNO1,L$31,[0]!CANDIDATO1,$C383,[0]!MUNICIPIO1,$B$377)</f>
        <v>0</v>
      </c>
      <c r="M383" s="16">
        <f>SUMIFS([0]!VOTOS2,[0]!TURNO1,M$31,[0]!CANDIDATO1,$C383,[0]!MUNICIPIO1,$B$377)</f>
        <v>0</v>
      </c>
      <c r="N383" s="16">
        <f>SUMIFS([0]!VOTOS2,[0]!TURNO1,N$31,[0]!CANDIDATO1,$C383,[0]!MUNICIPIO1,$B$377)</f>
        <v>0</v>
      </c>
      <c r="O383" s="16">
        <f>SUMIFS([0]!VOTOS2,[0]!TURNO1,O$31,[0]!CANDIDATO1,$C383,[0]!MUNICIPIO1,$B$377)</f>
        <v>0</v>
      </c>
      <c r="P383" s="16">
        <f>SUMIFS([0]!VOTOS2,[0]!TURNO1,P$31,[0]!CANDIDATO1,$C383,[0]!MUNICIPIO1,$B$377)</f>
        <v>0</v>
      </c>
      <c r="Q383" s="16">
        <f>SUMIFS([0]!VOTOS2,[0]!TURNO1,Q$31,[0]!CANDIDATO1,$C383,[0]!MUNICIPIO1,$B$377)</f>
        <v>0</v>
      </c>
      <c r="R383" s="16">
        <f>SUMIFS([0]!VOTOS2,[0]!TURNO1,R$31,[0]!CANDIDATO1,$C383,[0]!MUNICIPIO1,$B$377)</f>
        <v>0</v>
      </c>
      <c r="S383" s="16">
        <f>SUMIFS([0]!VOTOS2,[0]!TURNO1,S$31,[0]!CANDIDATO1,$C383,[0]!MUNICIPIO1,$B$377)</f>
        <v>0</v>
      </c>
      <c r="T383" s="16">
        <f>SUMIFS([0]!VOTOS2,[0]!TURNO1,T$31,[0]!CANDIDATO1,$C383,[0]!MUNICIPIO1,$B$377)</f>
        <v>0</v>
      </c>
      <c r="U383" s="16">
        <f>SUMIFS([0]!VOTOS2,[0]!TURNO1,U$31,[0]!CANDIDATO1,$C383,[0]!MUNICIPIO1,$B$377)</f>
        <v>0</v>
      </c>
      <c r="V383" s="16">
        <f>SUMIFS([0]!VOTOS2,[0]!TURNO1,V$31,[0]!CANDIDATO1,$C383,[0]!MUNICIPIO1,$B$377)</f>
        <v>0</v>
      </c>
      <c r="W383" s="16">
        <f>SUMIFS([0]!VOTOS2,[0]!TURNO1,W$31,[0]!CANDIDATO1,$C383,[0]!MUNICIPIO1,$B$377)</f>
        <v>0</v>
      </c>
      <c r="X383" s="24"/>
      <c r="Y383" s="18" t="str">
        <f t="shared" si="888"/>
        <v>ORLANDO CHIRINOS</v>
      </c>
      <c r="Z383" s="34">
        <f t="shared" si="889"/>
        <v>0</v>
      </c>
      <c r="AA383" s="34">
        <f t="shared" si="890"/>
        <v>0</v>
      </c>
      <c r="AB383" s="34">
        <f t="shared" ref="AB383:AR383" si="902">IF(SUM(G377:G389)=0,NA(),G383+AA383)</f>
        <v>0</v>
      </c>
      <c r="AC383" s="34">
        <f t="shared" si="902"/>
        <v>0</v>
      </c>
      <c r="AD383" s="34">
        <f t="shared" si="902"/>
        <v>0</v>
      </c>
      <c r="AE383" s="34">
        <f t="shared" si="902"/>
        <v>0</v>
      </c>
      <c r="AF383" s="34">
        <f t="shared" si="902"/>
        <v>0</v>
      </c>
      <c r="AG383" s="34">
        <f t="shared" si="902"/>
        <v>0</v>
      </c>
      <c r="AH383" s="34">
        <f t="shared" si="902"/>
        <v>0</v>
      </c>
      <c r="AI383" s="34">
        <f t="shared" si="902"/>
        <v>0</v>
      </c>
      <c r="AJ383" s="34">
        <f t="shared" si="902"/>
        <v>0</v>
      </c>
      <c r="AK383" s="34" t="e">
        <f t="shared" si="902"/>
        <v>#N/A</v>
      </c>
      <c r="AL383" s="34" t="e">
        <f t="shared" si="902"/>
        <v>#N/A</v>
      </c>
      <c r="AM383" s="34" t="e">
        <f t="shared" si="902"/>
        <v>#N/A</v>
      </c>
      <c r="AN383" s="34" t="e">
        <f t="shared" si="902"/>
        <v>#N/A</v>
      </c>
      <c r="AO383" s="34" t="e">
        <f t="shared" si="902"/>
        <v>#N/A</v>
      </c>
      <c r="AP383" s="34" t="e">
        <f t="shared" si="902"/>
        <v>#N/A</v>
      </c>
      <c r="AQ383" s="34" t="e">
        <f t="shared" si="902"/>
        <v>#N/A</v>
      </c>
      <c r="AR383" s="34" t="e">
        <f t="shared" si="902"/>
        <v>#N/A</v>
      </c>
      <c r="AS383" s="27"/>
      <c r="AT383" s="39"/>
      <c r="AU383" s="39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30"/>
    </row>
    <row r="384" spans="1:66" ht="11.25" customHeight="1" x14ac:dyDescent="0.2">
      <c r="A384" s="37"/>
      <c r="B384" s="73"/>
      <c r="C384" s="33">
        <v>8</v>
      </c>
      <c r="D384" s="13" t="s">
        <v>296</v>
      </c>
      <c r="E384" s="16">
        <f t="shared" si="887"/>
        <v>0</v>
      </c>
      <c r="F384" s="16">
        <f>SUMIFS([0]!VOTOS2,[0]!TURNO1,F$31,[0]!CANDIDATO1,$C384,[0]!MUNICIPIO1,$B$377)</f>
        <v>0</v>
      </c>
      <c r="G384" s="16">
        <f>SUMIFS([0]!VOTOS2,[0]!TURNO1,G$31,[0]!CANDIDATO1,$C384,[0]!MUNICIPIO1,$B$377)</f>
        <v>0</v>
      </c>
      <c r="H384" s="16">
        <f>SUMIFS([0]!VOTOS2,[0]!TURNO1,H$31,[0]!CANDIDATO1,$C384,[0]!MUNICIPIO1,$B$377)</f>
        <v>0</v>
      </c>
      <c r="I384" s="16">
        <f>SUMIFS([0]!VOTOS2,[0]!TURNO1,I$31,[0]!CANDIDATO1,$C384,[0]!MUNICIPIO1,$B$377)</f>
        <v>0</v>
      </c>
      <c r="J384" s="16">
        <f>SUMIFS([0]!VOTOS2,[0]!TURNO1,J$31,[0]!CANDIDATO1,$C384,[0]!MUNICIPIO1,$B$377)</f>
        <v>0</v>
      </c>
      <c r="K384" s="16">
        <f>SUMIFS([0]!VOTOS2,[0]!TURNO1,K$31,[0]!CANDIDATO1,$C384,[0]!MUNICIPIO1,$B$377)</f>
        <v>0</v>
      </c>
      <c r="L384" s="16">
        <f>SUMIFS([0]!VOTOS2,[0]!TURNO1,L$31,[0]!CANDIDATO1,$C384,[0]!MUNICIPIO1,$B$377)</f>
        <v>0</v>
      </c>
      <c r="M384" s="16">
        <f>SUMIFS([0]!VOTOS2,[0]!TURNO1,M$31,[0]!CANDIDATO1,$C384,[0]!MUNICIPIO1,$B$377)</f>
        <v>0</v>
      </c>
      <c r="N384" s="16">
        <f>SUMIFS([0]!VOTOS2,[0]!TURNO1,N$31,[0]!CANDIDATO1,$C384,[0]!MUNICIPIO1,$B$377)</f>
        <v>0</v>
      </c>
      <c r="O384" s="16">
        <f>SUMIFS([0]!VOTOS2,[0]!TURNO1,O$31,[0]!CANDIDATO1,$C384,[0]!MUNICIPIO1,$B$377)</f>
        <v>0</v>
      </c>
      <c r="P384" s="16">
        <f>SUMIFS([0]!VOTOS2,[0]!TURNO1,P$31,[0]!CANDIDATO1,$C384,[0]!MUNICIPIO1,$B$377)</f>
        <v>0</v>
      </c>
      <c r="Q384" s="16">
        <f>SUMIFS([0]!VOTOS2,[0]!TURNO1,Q$31,[0]!CANDIDATO1,$C384,[0]!MUNICIPIO1,$B$377)</f>
        <v>0</v>
      </c>
      <c r="R384" s="16">
        <f>SUMIFS([0]!VOTOS2,[0]!TURNO1,R$31,[0]!CANDIDATO1,$C384,[0]!MUNICIPIO1,$B$377)</f>
        <v>0</v>
      </c>
      <c r="S384" s="16">
        <f>SUMIFS([0]!VOTOS2,[0]!TURNO1,S$31,[0]!CANDIDATO1,$C384,[0]!MUNICIPIO1,$B$377)</f>
        <v>0</v>
      </c>
      <c r="T384" s="16">
        <f>SUMIFS([0]!VOTOS2,[0]!TURNO1,T$31,[0]!CANDIDATO1,$C384,[0]!MUNICIPIO1,$B$377)</f>
        <v>0</v>
      </c>
      <c r="U384" s="16">
        <f>SUMIFS([0]!VOTOS2,[0]!TURNO1,U$31,[0]!CANDIDATO1,$C384,[0]!MUNICIPIO1,$B$377)</f>
        <v>0</v>
      </c>
      <c r="V384" s="16">
        <f>SUMIFS([0]!VOTOS2,[0]!TURNO1,V$31,[0]!CANDIDATO1,$C384,[0]!MUNICIPIO1,$B$377)</f>
        <v>0</v>
      </c>
      <c r="W384" s="16">
        <f>SUMIFS([0]!VOTOS2,[0]!TURNO1,W$31,[0]!CANDIDATO1,$C384,[0]!MUNICIPIO1,$B$377)</f>
        <v>0</v>
      </c>
      <c r="X384" s="24"/>
      <c r="Y384" s="18" t="str">
        <f t="shared" si="888"/>
        <v>TULIO FUENTES</v>
      </c>
      <c r="Z384" s="34">
        <f t="shared" si="889"/>
        <v>0</v>
      </c>
      <c r="AA384" s="34">
        <f t="shared" si="890"/>
        <v>0</v>
      </c>
      <c r="AB384" s="34">
        <f t="shared" ref="AB384:AR384" si="903">IF(SUM(G377:G389)=0,NA(),G384+AA384)</f>
        <v>0</v>
      </c>
      <c r="AC384" s="34">
        <f t="shared" si="903"/>
        <v>0</v>
      </c>
      <c r="AD384" s="34">
        <f t="shared" si="903"/>
        <v>0</v>
      </c>
      <c r="AE384" s="34">
        <f t="shared" si="903"/>
        <v>0</v>
      </c>
      <c r="AF384" s="34">
        <f t="shared" si="903"/>
        <v>0</v>
      </c>
      <c r="AG384" s="34">
        <f t="shared" si="903"/>
        <v>0</v>
      </c>
      <c r="AH384" s="34">
        <f t="shared" si="903"/>
        <v>0</v>
      </c>
      <c r="AI384" s="34">
        <f t="shared" si="903"/>
        <v>0</v>
      </c>
      <c r="AJ384" s="34">
        <f t="shared" si="903"/>
        <v>0</v>
      </c>
      <c r="AK384" s="34" t="e">
        <f t="shared" si="903"/>
        <v>#N/A</v>
      </c>
      <c r="AL384" s="34" t="e">
        <f t="shared" si="903"/>
        <v>#N/A</v>
      </c>
      <c r="AM384" s="34" t="e">
        <f t="shared" si="903"/>
        <v>#N/A</v>
      </c>
      <c r="AN384" s="34" t="e">
        <f t="shared" si="903"/>
        <v>#N/A</v>
      </c>
      <c r="AO384" s="34" t="e">
        <f t="shared" si="903"/>
        <v>#N/A</v>
      </c>
      <c r="AP384" s="34" t="e">
        <f t="shared" si="903"/>
        <v>#N/A</v>
      </c>
      <c r="AQ384" s="34" t="e">
        <f t="shared" si="903"/>
        <v>#N/A</v>
      </c>
      <c r="AR384" s="34" t="e">
        <f t="shared" si="903"/>
        <v>#N/A</v>
      </c>
      <c r="AS384" s="27"/>
      <c r="AT384" s="41"/>
      <c r="AU384" s="41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30"/>
    </row>
    <row r="385" spans="1:66" ht="11.25" customHeight="1" x14ac:dyDescent="0.2">
      <c r="A385" s="42"/>
      <c r="B385" s="74"/>
      <c r="C385" s="33">
        <v>9</v>
      </c>
      <c r="D385" s="13" t="s">
        <v>297</v>
      </c>
      <c r="E385" s="16">
        <f t="shared" si="887"/>
        <v>0</v>
      </c>
      <c r="F385" s="16">
        <f>SUMIFS([0]!VOTOS2,[0]!TURNO1,F$31,[0]!CANDIDATO1,$C385,[0]!MUNICIPIO1,$B$377)</f>
        <v>0</v>
      </c>
      <c r="G385" s="16">
        <f>SUMIFS([0]!VOTOS2,[0]!TURNO1,G$31,[0]!CANDIDATO1,$C385,[0]!MUNICIPIO1,$B$377)</f>
        <v>0</v>
      </c>
      <c r="H385" s="16">
        <f>SUMIFS([0]!VOTOS2,[0]!TURNO1,H$31,[0]!CANDIDATO1,$C385,[0]!MUNICIPIO1,$B$377)</f>
        <v>0</v>
      </c>
      <c r="I385" s="16">
        <f>SUMIFS([0]!VOTOS2,[0]!TURNO1,I$31,[0]!CANDIDATO1,$C385,[0]!MUNICIPIO1,$B$377)</f>
        <v>0</v>
      </c>
      <c r="J385" s="16">
        <f>SUMIFS([0]!VOTOS2,[0]!TURNO1,J$31,[0]!CANDIDATO1,$C385,[0]!MUNICIPIO1,$B$377)</f>
        <v>0</v>
      </c>
      <c r="K385" s="16">
        <f>SUMIFS([0]!VOTOS2,[0]!TURNO1,K$31,[0]!CANDIDATO1,$C385,[0]!MUNICIPIO1,$B$377)</f>
        <v>0</v>
      </c>
      <c r="L385" s="16">
        <f>SUMIFS([0]!VOTOS2,[0]!TURNO1,L$31,[0]!CANDIDATO1,$C385,[0]!MUNICIPIO1,$B$377)</f>
        <v>0</v>
      </c>
      <c r="M385" s="16">
        <f>SUMIFS([0]!VOTOS2,[0]!TURNO1,M$31,[0]!CANDIDATO1,$C385,[0]!MUNICIPIO1,$B$377)</f>
        <v>0</v>
      </c>
      <c r="N385" s="16">
        <f>SUMIFS([0]!VOTOS2,[0]!TURNO1,N$31,[0]!CANDIDATO1,$C385,[0]!MUNICIPIO1,$B$377)</f>
        <v>0</v>
      </c>
      <c r="O385" s="16">
        <f>SUMIFS([0]!VOTOS2,[0]!TURNO1,O$31,[0]!CANDIDATO1,$C385,[0]!MUNICIPIO1,$B$377)</f>
        <v>0</v>
      </c>
      <c r="P385" s="16">
        <f>SUMIFS([0]!VOTOS2,[0]!TURNO1,P$31,[0]!CANDIDATO1,$C385,[0]!MUNICIPIO1,$B$377)</f>
        <v>0</v>
      </c>
      <c r="Q385" s="16">
        <f>SUMIFS([0]!VOTOS2,[0]!TURNO1,Q$31,[0]!CANDIDATO1,$C385,[0]!MUNICIPIO1,$B$377)</f>
        <v>0</v>
      </c>
      <c r="R385" s="16">
        <f>SUMIFS([0]!VOTOS2,[0]!TURNO1,R$31,[0]!CANDIDATO1,$C385,[0]!MUNICIPIO1,$B$377)</f>
        <v>0</v>
      </c>
      <c r="S385" s="16">
        <f>SUMIFS([0]!VOTOS2,[0]!TURNO1,S$31,[0]!CANDIDATO1,$C385,[0]!MUNICIPIO1,$B$377)</f>
        <v>0</v>
      </c>
      <c r="T385" s="16">
        <f>SUMIFS([0]!VOTOS2,[0]!TURNO1,T$31,[0]!CANDIDATO1,$C385,[0]!MUNICIPIO1,$B$377)</f>
        <v>0</v>
      </c>
      <c r="U385" s="16">
        <f>SUMIFS([0]!VOTOS2,[0]!TURNO1,U$31,[0]!CANDIDATO1,$C385,[0]!MUNICIPIO1,$B$377)</f>
        <v>0</v>
      </c>
      <c r="V385" s="16">
        <f>SUMIFS([0]!VOTOS2,[0]!TURNO1,V$31,[0]!CANDIDATO1,$C385,[0]!MUNICIPIO1,$B$377)</f>
        <v>0</v>
      </c>
      <c r="W385" s="16">
        <f>SUMIFS([0]!VOTOS2,[0]!TURNO1,W$31,[0]!CANDIDATO1,$C385,[0]!MUNICIPIO1,$B$377)</f>
        <v>0</v>
      </c>
      <c r="X385" s="24"/>
      <c r="Y385" s="18" t="str">
        <f t="shared" si="888"/>
        <v>ANDRES AVELINO</v>
      </c>
      <c r="Z385" s="34">
        <f t="shared" si="889"/>
        <v>0</v>
      </c>
      <c r="AA385" s="34">
        <f t="shared" si="890"/>
        <v>0</v>
      </c>
      <c r="AB385" s="34">
        <f t="shared" ref="AB385:AR385" si="904">IF(SUM(G377:G389)=0,NA(),G385+AA385)</f>
        <v>0</v>
      </c>
      <c r="AC385" s="34">
        <f t="shared" si="904"/>
        <v>0</v>
      </c>
      <c r="AD385" s="34">
        <f t="shared" si="904"/>
        <v>0</v>
      </c>
      <c r="AE385" s="34">
        <f t="shared" si="904"/>
        <v>0</v>
      </c>
      <c r="AF385" s="34">
        <f t="shared" si="904"/>
        <v>0</v>
      </c>
      <c r="AG385" s="34">
        <f t="shared" si="904"/>
        <v>0</v>
      </c>
      <c r="AH385" s="34">
        <f t="shared" si="904"/>
        <v>0</v>
      </c>
      <c r="AI385" s="34">
        <f t="shared" si="904"/>
        <v>0</v>
      </c>
      <c r="AJ385" s="34">
        <f t="shared" si="904"/>
        <v>0</v>
      </c>
      <c r="AK385" s="34" t="e">
        <f t="shared" si="904"/>
        <v>#N/A</v>
      </c>
      <c r="AL385" s="34" t="e">
        <f t="shared" si="904"/>
        <v>#N/A</v>
      </c>
      <c r="AM385" s="34" t="e">
        <f t="shared" si="904"/>
        <v>#N/A</v>
      </c>
      <c r="AN385" s="34" t="e">
        <f t="shared" si="904"/>
        <v>#N/A</v>
      </c>
      <c r="AO385" s="34" t="e">
        <f t="shared" si="904"/>
        <v>#N/A</v>
      </c>
      <c r="AP385" s="34" t="e">
        <f t="shared" si="904"/>
        <v>#N/A</v>
      </c>
      <c r="AQ385" s="34" t="e">
        <f t="shared" si="904"/>
        <v>#N/A</v>
      </c>
      <c r="AR385" s="34" t="e">
        <f t="shared" si="904"/>
        <v>#N/A</v>
      </c>
      <c r="AS385" s="27"/>
      <c r="AT385" s="41"/>
      <c r="AU385" s="41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30"/>
    </row>
    <row r="386" spans="1:66" ht="11.25" customHeight="1" x14ac:dyDescent="0.2">
      <c r="A386" s="44"/>
      <c r="B386" s="45"/>
      <c r="C386" s="46">
        <v>10</v>
      </c>
      <c r="D386" s="14" t="s">
        <v>76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24"/>
      <c r="Y386" s="18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27"/>
      <c r="AT386" s="41"/>
      <c r="AU386" s="41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30"/>
    </row>
    <row r="387" spans="1:66" ht="11.25" customHeight="1" x14ac:dyDescent="0.2">
      <c r="A387" s="44"/>
      <c r="B387" s="45"/>
      <c r="C387" s="46">
        <v>11</v>
      </c>
      <c r="D387" s="14" t="s">
        <v>76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24"/>
      <c r="Y387" s="18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27"/>
      <c r="AT387" s="41"/>
      <c r="AU387" s="41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30"/>
    </row>
    <row r="388" spans="1:66" ht="11.25" customHeight="1" x14ac:dyDescent="0.2">
      <c r="A388" s="44"/>
      <c r="B388" s="45"/>
      <c r="C388" s="46">
        <v>12</v>
      </c>
      <c r="D388" s="14" t="s">
        <v>76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24"/>
      <c r="Y388" s="18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27"/>
      <c r="AT388" s="41"/>
      <c r="AU388" s="41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30"/>
    </row>
    <row r="389" spans="1:66" ht="11.25" customHeight="1" x14ac:dyDescent="0.2">
      <c r="A389" s="44"/>
      <c r="B389" s="45"/>
      <c r="C389" s="46">
        <v>13</v>
      </c>
      <c r="D389" s="14" t="s">
        <v>76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24"/>
      <c r="Y389" s="18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27"/>
      <c r="AT389" s="41"/>
      <c r="AU389" s="41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30"/>
    </row>
    <row r="390" spans="1:66" ht="11.25" customHeight="1" x14ac:dyDescent="0.2">
      <c r="X390" s="24"/>
      <c r="Y390" s="19" t="s">
        <v>79</v>
      </c>
      <c r="Z390" s="34">
        <f t="shared" ref="Z390" si="905">SUM(Z379:Z389)</f>
        <v>38</v>
      </c>
      <c r="AA390" s="34">
        <f t="shared" ref="AA390" si="906">SUM(AA379:AA389)</f>
        <v>0</v>
      </c>
      <c r="AB390" s="34">
        <f t="shared" ref="AB390" si="907">SUM(AB379:AB389)</f>
        <v>0</v>
      </c>
      <c r="AC390" s="34">
        <f t="shared" ref="AC390" si="908">SUM(AC379:AC389)</f>
        <v>3</v>
      </c>
      <c r="AD390" s="34">
        <f t="shared" ref="AD390" si="909">SUM(AD379:AD389)</f>
        <v>16</v>
      </c>
      <c r="AE390" s="34">
        <f t="shared" ref="AE390" si="910">SUM(AE379:AE389)</f>
        <v>24</v>
      </c>
      <c r="AF390" s="34">
        <f t="shared" ref="AF390" si="911">SUM(AF379:AF389)</f>
        <v>26</v>
      </c>
      <c r="AG390" s="34">
        <f t="shared" ref="AG390" si="912">SUM(AG379:AG389)</f>
        <v>28</v>
      </c>
      <c r="AH390" s="34">
        <f t="shared" ref="AH390" si="913">SUM(AH379:AH389)</f>
        <v>32</v>
      </c>
      <c r="AI390" s="34">
        <f t="shared" ref="AI390" si="914">SUM(AI379:AI389)</f>
        <v>38</v>
      </c>
      <c r="AJ390" s="34">
        <f t="shared" ref="AJ390" si="915">SUM(AJ379:AJ389)</f>
        <v>38</v>
      </c>
      <c r="AK390" s="34" t="e">
        <f t="shared" ref="AK390" si="916">SUM(AK379:AK389)</f>
        <v>#N/A</v>
      </c>
      <c r="AL390" s="34" t="e">
        <f t="shared" ref="AL390" si="917">SUM(AL379:AL389)</f>
        <v>#N/A</v>
      </c>
      <c r="AM390" s="34" t="e">
        <f t="shared" ref="AM390" si="918">SUM(AM379:AM389)</f>
        <v>#N/A</v>
      </c>
      <c r="AN390" s="34" t="e">
        <f t="shared" ref="AN390" si="919">SUM(AN379:AN389)</f>
        <v>#N/A</v>
      </c>
      <c r="AO390" s="34" t="e">
        <f t="shared" ref="AO390" si="920">SUM(AO379:AO389)</f>
        <v>#N/A</v>
      </c>
      <c r="AP390" s="34" t="e">
        <f t="shared" ref="AP390" si="921">SUM(AP379:AP389)</f>
        <v>#N/A</v>
      </c>
      <c r="AQ390" s="34" t="e">
        <f t="shared" ref="AQ390" si="922">SUM(AQ379:AQ389)</f>
        <v>#N/A</v>
      </c>
      <c r="AR390" s="34" t="e">
        <f t="shared" ref="AR390" si="923">SUM(AR379:AR389)</f>
        <v>#N/A</v>
      </c>
      <c r="AS390" s="27"/>
      <c r="AT390" s="41"/>
      <c r="AU390" s="41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30"/>
    </row>
    <row r="391" spans="1:66" ht="11.25" customHeight="1" x14ac:dyDescent="0.2">
      <c r="A391" s="75" t="s">
        <v>63</v>
      </c>
      <c r="B391" s="76"/>
      <c r="C391" s="21"/>
      <c r="D391" s="22" t="s">
        <v>75</v>
      </c>
      <c r="E391" s="23" t="s">
        <v>70</v>
      </c>
      <c r="F391" s="23">
        <v>0</v>
      </c>
      <c r="G391" s="23">
        <v>1</v>
      </c>
      <c r="H391" s="23">
        <v>2</v>
      </c>
      <c r="I391" s="23">
        <v>3</v>
      </c>
      <c r="J391" s="23">
        <v>4</v>
      </c>
      <c r="K391" s="23">
        <v>5</v>
      </c>
      <c r="L391" s="23">
        <v>6</v>
      </c>
      <c r="M391" s="23">
        <v>7</v>
      </c>
      <c r="N391" s="23">
        <v>8</v>
      </c>
      <c r="O391" s="23">
        <v>9</v>
      </c>
      <c r="P391" s="23">
        <v>10</v>
      </c>
      <c r="Q391" s="23">
        <v>11</v>
      </c>
      <c r="R391" s="23">
        <v>12</v>
      </c>
      <c r="S391" s="23">
        <v>13</v>
      </c>
      <c r="T391" s="23">
        <v>14</v>
      </c>
      <c r="U391" s="23">
        <v>15</v>
      </c>
      <c r="V391" s="23">
        <v>16</v>
      </c>
      <c r="W391" s="23">
        <v>17</v>
      </c>
      <c r="X391" s="24"/>
      <c r="Y391" s="17"/>
      <c r="Z391" s="25" t="s">
        <v>64</v>
      </c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7"/>
      <c r="AT391" s="28"/>
      <c r="AU391" s="28" t="s">
        <v>64</v>
      </c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30"/>
    </row>
    <row r="392" spans="1:66" ht="11.25" customHeight="1" x14ac:dyDescent="0.2">
      <c r="A392" s="32"/>
      <c r="B392" s="72">
        <v>27</v>
      </c>
      <c r="C392" s="33">
        <v>1</v>
      </c>
      <c r="D392" s="13" t="s">
        <v>298</v>
      </c>
      <c r="E392" s="16">
        <f t="shared" ref="E392:E399" si="924">SUM(F392:W392)</f>
        <v>335</v>
      </c>
      <c r="F392" s="16">
        <f>SUMIFS([0]!VOTOS2,[0]!TURNO1,F$31,[0]!CANDIDATO1,$C392,[0]!MUNICIPIO1,$B$392)</f>
        <v>8</v>
      </c>
      <c r="G392" s="16">
        <f>SUMIFS([0]!VOTOS2,[0]!TURNO1,G$31,[0]!CANDIDATO1,$C392,[0]!MUNICIPIO1,$B$392)</f>
        <v>51</v>
      </c>
      <c r="H392" s="16">
        <f>SUMIFS([0]!VOTOS2,[0]!TURNO1,H$31,[0]!CANDIDATO1,$C392,[0]!MUNICIPIO1,$B$392)</f>
        <v>23</v>
      </c>
      <c r="I392" s="16">
        <f>SUMIFS([0]!VOTOS2,[0]!TURNO1,I$31,[0]!CANDIDATO1,$C392,[0]!MUNICIPIO1,$B$392)</f>
        <v>47</v>
      </c>
      <c r="J392" s="16">
        <f>SUMIFS([0]!VOTOS2,[0]!TURNO1,J$31,[0]!CANDIDATO1,$C392,[0]!MUNICIPIO1,$B$392)</f>
        <v>34</v>
      </c>
      <c r="K392" s="16">
        <f>SUMIFS([0]!VOTOS2,[0]!TURNO1,K$31,[0]!CANDIDATO1,$C392,[0]!MUNICIPIO1,$B$392)</f>
        <v>45</v>
      </c>
      <c r="L392" s="16">
        <f>SUMIFS([0]!VOTOS2,[0]!TURNO1,L$31,[0]!CANDIDATO1,$C392,[0]!MUNICIPIO1,$B$392)</f>
        <v>29</v>
      </c>
      <c r="M392" s="16">
        <f>SUMIFS([0]!VOTOS2,[0]!TURNO1,M$31,[0]!CANDIDATO1,$C392,[0]!MUNICIPIO1,$B$392)</f>
        <v>24</v>
      </c>
      <c r="N392" s="16">
        <f>SUMIFS([0]!VOTOS2,[0]!TURNO1,N$31,[0]!CANDIDATO1,$C392,[0]!MUNICIPIO1,$B$392)</f>
        <v>25</v>
      </c>
      <c r="O392" s="16">
        <f>SUMIFS([0]!VOTOS2,[0]!TURNO1,O$31,[0]!CANDIDATO1,$C392,[0]!MUNICIPIO1,$B$392)</f>
        <v>49</v>
      </c>
      <c r="P392" s="16">
        <f>SUMIFS([0]!VOTOS2,[0]!TURNO1,P$31,[0]!CANDIDATO1,$C392,[0]!MUNICIPIO1,$B$392)</f>
        <v>0</v>
      </c>
      <c r="Q392" s="16">
        <f>SUMIFS([0]!VOTOS2,[0]!TURNO1,Q$31,[0]!CANDIDATO1,$C392,[0]!MUNICIPIO1,$B$392)</f>
        <v>0</v>
      </c>
      <c r="R392" s="16">
        <f>SUMIFS([0]!VOTOS2,[0]!TURNO1,R$31,[0]!CANDIDATO1,$C392,[0]!MUNICIPIO1,$B$392)</f>
        <v>0</v>
      </c>
      <c r="S392" s="16">
        <f>SUMIFS([0]!VOTOS2,[0]!TURNO1,S$31,[0]!CANDIDATO1,$C392,[0]!MUNICIPIO1,$B$392)</f>
        <v>0</v>
      </c>
      <c r="T392" s="16">
        <f>SUMIFS([0]!VOTOS2,[0]!TURNO1,T$31,[0]!CANDIDATO1,$C392,[0]!MUNICIPIO1,$B$392)</f>
        <v>0</v>
      </c>
      <c r="U392" s="16">
        <f>SUMIFS([0]!VOTOS2,[0]!TURNO1,U$31,[0]!CANDIDATO1,$C392,[0]!MUNICIPIO1,$B$392)</f>
        <v>0</v>
      </c>
      <c r="V392" s="16">
        <f>SUMIFS([0]!VOTOS2,[0]!TURNO1,V$31,[0]!CANDIDATO1,$C392,[0]!MUNICIPIO1,$B$392)</f>
        <v>0</v>
      </c>
      <c r="W392" s="16">
        <f>SUMIFS([0]!VOTOS2,[0]!TURNO1,W$31,[0]!CANDIDATO1,$C392,[0]!MUNICIPIO1,$B$392)</f>
        <v>0</v>
      </c>
      <c r="X392" s="24"/>
      <c r="Y392" s="18" t="str">
        <f t="shared" ref="Y392:Y399" si="925">D392</f>
        <v>TEODULO MEDINA</v>
      </c>
      <c r="Z392" s="34">
        <f t="shared" ref="Z392:Z399" si="926">E392</f>
        <v>335</v>
      </c>
      <c r="AA392" s="34">
        <f t="shared" ref="AA392:AA399" si="927">F392</f>
        <v>8</v>
      </c>
      <c r="AB392" s="34">
        <f t="shared" ref="AB392:AR392" si="928">IF(SUM(G392:G404)=0,NA(),G392+AA392)</f>
        <v>59</v>
      </c>
      <c r="AC392" s="34">
        <f t="shared" si="928"/>
        <v>82</v>
      </c>
      <c r="AD392" s="34">
        <f t="shared" si="928"/>
        <v>129</v>
      </c>
      <c r="AE392" s="34">
        <f t="shared" si="928"/>
        <v>163</v>
      </c>
      <c r="AF392" s="34">
        <f t="shared" si="928"/>
        <v>208</v>
      </c>
      <c r="AG392" s="34">
        <f t="shared" si="928"/>
        <v>237</v>
      </c>
      <c r="AH392" s="34">
        <f t="shared" si="928"/>
        <v>261</v>
      </c>
      <c r="AI392" s="34">
        <f t="shared" si="928"/>
        <v>286</v>
      </c>
      <c r="AJ392" s="34">
        <f t="shared" si="928"/>
        <v>335</v>
      </c>
      <c r="AK392" s="34" t="e">
        <f t="shared" si="928"/>
        <v>#N/A</v>
      </c>
      <c r="AL392" s="34" t="e">
        <f t="shared" si="928"/>
        <v>#N/A</v>
      </c>
      <c r="AM392" s="34" t="e">
        <f t="shared" si="928"/>
        <v>#N/A</v>
      </c>
      <c r="AN392" s="34" t="e">
        <f t="shared" si="928"/>
        <v>#N/A</v>
      </c>
      <c r="AO392" s="34" t="e">
        <f t="shared" si="928"/>
        <v>#N/A</v>
      </c>
      <c r="AP392" s="34" t="e">
        <f t="shared" si="928"/>
        <v>#N/A</v>
      </c>
      <c r="AQ392" s="34" t="e">
        <f t="shared" si="928"/>
        <v>#N/A</v>
      </c>
      <c r="AR392" s="34" t="e">
        <f t="shared" si="928"/>
        <v>#N/A</v>
      </c>
      <c r="AS392" s="27"/>
      <c r="AT392" s="35" t="str">
        <f t="shared" ref="AT392:AT393" si="929">Y392</f>
        <v>TEODULO MEDINA</v>
      </c>
      <c r="AU392" s="36">
        <f t="shared" ref="AU392:BM392" si="930">Z392/(Z392+Z393+Z405)</f>
        <v>0.4448871181938911</v>
      </c>
      <c r="AV392" s="36">
        <f t="shared" si="930"/>
        <v>0.5</v>
      </c>
      <c r="AW392" s="36">
        <f t="shared" si="930"/>
        <v>0.48360655737704916</v>
      </c>
      <c r="AX392" s="36">
        <f t="shared" si="930"/>
        <v>0.4079601990049751</v>
      </c>
      <c r="AY392" s="36">
        <f t="shared" si="930"/>
        <v>0.43143812709030099</v>
      </c>
      <c r="AZ392" s="36">
        <f t="shared" si="930"/>
        <v>0.45152354570637121</v>
      </c>
      <c r="BA392" s="36">
        <f t="shared" si="930"/>
        <v>0.43514644351464438</v>
      </c>
      <c r="BB392" s="36">
        <f t="shared" si="930"/>
        <v>0.44465290806754221</v>
      </c>
      <c r="BC392" s="36">
        <f t="shared" si="930"/>
        <v>0.43572621035058429</v>
      </c>
      <c r="BD392" s="36">
        <f t="shared" si="930"/>
        <v>0.43797856049004597</v>
      </c>
      <c r="BE392" s="36">
        <f t="shared" si="930"/>
        <v>0.4448871181938911</v>
      </c>
      <c r="BF392" s="36" t="e">
        <f t="shared" si="930"/>
        <v>#N/A</v>
      </c>
      <c r="BG392" s="36" t="e">
        <f t="shared" si="930"/>
        <v>#N/A</v>
      </c>
      <c r="BH392" s="36" t="e">
        <f t="shared" si="930"/>
        <v>#N/A</v>
      </c>
      <c r="BI392" s="36" t="e">
        <f t="shared" si="930"/>
        <v>#N/A</v>
      </c>
      <c r="BJ392" s="36" t="e">
        <f t="shared" si="930"/>
        <v>#N/A</v>
      </c>
      <c r="BK392" s="36" t="e">
        <f t="shared" si="930"/>
        <v>#N/A</v>
      </c>
      <c r="BL392" s="36" t="e">
        <f t="shared" si="930"/>
        <v>#N/A</v>
      </c>
      <c r="BM392" s="36" t="e">
        <f t="shared" si="930"/>
        <v>#N/A</v>
      </c>
      <c r="BN392" s="30"/>
    </row>
    <row r="393" spans="1:66" ht="11.25" customHeight="1" x14ac:dyDescent="0.2">
      <c r="A393" s="37"/>
      <c r="B393" s="73"/>
      <c r="C393" s="33">
        <v>2</v>
      </c>
      <c r="D393" s="13" t="s">
        <v>299</v>
      </c>
      <c r="E393" s="16">
        <f t="shared" si="924"/>
        <v>229</v>
      </c>
      <c r="F393" s="16">
        <f>SUMIFS([0]!VOTOS2,[0]!TURNO1,F$31,[0]!CANDIDATO1,$C393,[0]!MUNICIPIO1,$B$392)</f>
        <v>8</v>
      </c>
      <c r="G393" s="16">
        <f>SUMIFS([0]!VOTOS2,[0]!TURNO1,G$31,[0]!CANDIDATO1,$C393,[0]!MUNICIPIO1,$B$392)</f>
        <v>35</v>
      </c>
      <c r="H393" s="16">
        <f>SUMIFS([0]!VOTOS2,[0]!TURNO1,H$31,[0]!CANDIDATO1,$C393,[0]!MUNICIPIO1,$B$392)</f>
        <v>24</v>
      </c>
      <c r="I393" s="16">
        <f>SUMIFS([0]!VOTOS2,[0]!TURNO1,I$31,[0]!CANDIDATO1,$C393,[0]!MUNICIPIO1,$B$392)</f>
        <v>27</v>
      </c>
      <c r="J393" s="16">
        <f>SUMIFS([0]!VOTOS2,[0]!TURNO1,J$31,[0]!CANDIDATO1,$C393,[0]!MUNICIPIO1,$B$392)</f>
        <v>5</v>
      </c>
      <c r="K393" s="16">
        <f>SUMIFS([0]!VOTOS2,[0]!TURNO1,K$31,[0]!CANDIDATO1,$C393,[0]!MUNICIPIO1,$B$392)</f>
        <v>29</v>
      </c>
      <c r="L393" s="16">
        <f>SUMIFS([0]!VOTOS2,[0]!TURNO1,L$31,[0]!CANDIDATO1,$C393,[0]!MUNICIPIO1,$B$392)</f>
        <v>14</v>
      </c>
      <c r="M393" s="16">
        <f>SUMIFS([0]!VOTOS2,[0]!TURNO1,M$31,[0]!CANDIDATO1,$C393,[0]!MUNICIPIO1,$B$392)</f>
        <v>29</v>
      </c>
      <c r="N393" s="16">
        <f>SUMIFS([0]!VOTOS2,[0]!TURNO1,N$31,[0]!CANDIDATO1,$C393,[0]!MUNICIPIO1,$B$392)</f>
        <v>19</v>
      </c>
      <c r="O393" s="16">
        <f>SUMIFS([0]!VOTOS2,[0]!TURNO1,O$31,[0]!CANDIDATO1,$C393,[0]!MUNICIPIO1,$B$392)</f>
        <v>39</v>
      </c>
      <c r="P393" s="16">
        <f>SUMIFS([0]!VOTOS2,[0]!TURNO1,P$31,[0]!CANDIDATO1,$C393,[0]!MUNICIPIO1,$B$392)</f>
        <v>0</v>
      </c>
      <c r="Q393" s="16">
        <f>SUMIFS([0]!VOTOS2,[0]!TURNO1,Q$31,[0]!CANDIDATO1,$C393,[0]!MUNICIPIO1,$B$392)</f>
        <v>0</v>
      </c>
      <c r="R393" s="16">
        <f>SUMIFS([0]!VOTOS2,[0]!TURNO1,R$31,[0]!CANDIDATO1,$C393,[0]!MUNICIPIO1,$B$392)</f>
        <v>0</v>
      </c>
      <c r="S393" s="16">
        <f>SUMIFS([0]!VOTOS2,[0]!TURNO1,S$31,[0]!CANDIDATO1,$C393,[0]!MUNICIPIO1,$B$392)</f>
        <v>0</v>
      </c>
      <c r="T393" s="16">
        <f>SUMIFS([0]!VOTOS2,[0]!TURNO1,T$31,[0]!CANDIDATO1,$C393,[0]!MUNICIPIO1,$B$392)</f>
        <v>0</v>
      </c>
      <c r="U393" s="16">
        <f>SUMIFS([0]!VOTOS2,[0]!TURNO1,U$31,[0]!CANDIDATO1,$C393,[0]!MUNICIPIO1,$B$392)</f>
        <v>0</v>
      </c>
      <c r="V393" s="16">
        <f>SUMIFS([0]!VOTOS2,[0]!TURNO1,V$31,[0]!CANDIDATO1,$C393,[0]!MUNICIPIO1,$B$392)</f>
        <v>0</v>
      </c>
      <c r="W393" s="16">
        <f>SUMIFS([0]!VOTOS2,[0]!TURNO1,W$31,[0]!CANDIDATO1,$C393,[0]!MUNICIPIO1,$B$392)</f>
        <v>0</v>
      </c>
      <c r="X393" s="24"/>
      <c r="Y393" s="18" t="str">
        <f t="shared" si="925"/>
        <v>VICTOR ESCALONA</v>
      </c>
      <c r="Z393" s="34">
        <f t="shared" si="926"/>
        <v>229</v>
      </c>
      <c r="AA393" s="34">
        <f t="shared" si="927"/>
        <v>8</v>
      </c>
      <c r="AB393" s="34">
        <f t="shared" ref="AB393:AR393" si="931">IF(SUM(G392:G404)=0,NA(),G393+AA393)</f>
        <v>43</v>
      </c>
      <c r="AC393" s="34">
        <f t="shared" si="931"/>
        <v>67</v>
      </c>
      <c r="AD393" s="34">
        <f t="shared" si="931"/>
        <v>94</v>
      </c>
      <c r="AE393" s="34">
        <f t="shared" si="931"/>
        <v>99</v>
      </c>
      <c r="AF393" s="34">
        <f t="shared" si="931"/>
        <v>128</v>
      </c>
      <c r="AG393" s="34">
        <f t="shared" si="931"/>
        <v>142</v>
      </c>
      <c r="AH393" s="34">
        <f t="shared" si="931"/>
        <v>171</v>
      </c>
      <c r="AI393" s="34">
        <f t="shared" si="931"/>
        <v>190</v>
      </c>
      <c r="AJ393" s="34">
        <f t="shared" si="931"/>
        <v>229</v>
      </c>
      <c r="AK393" s="34" t="e">
        <f t="shared" si="931"/>
        <v>#N/A</v>
      </c>
      <c r="AL393" s="34" t="e">
        <f t="shared" si="931"/>
        <v>#N/A</v>
      </c>
      <c r="AM393" s="34" t="e">
        <f t="shared" si="931"/>
        <v>#N/A</v>
      </c>
      <c r="AN393" s="34" t="e">
        <f t="shared" si="931"/>
        <v>#N/A</v>
      </c>
      <c r="AO393" s="34" t="e">
        <f t="shared" si="931"/>
        <v>#N/A</v>
      </c>
      <c r="AP393" s="34" t="e">
        <f t="shared" si="931"/>
        <v>#N/A</v>
      </c>
      <c r="AQ393" s="34" t="e">
        <f t="shared" si="931"/>
        <v>#N/A</v>
      </c>
      <c r="AR393" s="34" t="e">
        <f t="shared" si="931"/>
        <v>#N/A</v>
      </c>
      <c r="AS393" s="27"/>
      <c r="AT393" s="35" t="str">
        <f t="shared" si="929"/>
        <v>VICTOR ESCALONA</v>
      </c>
      <c r="AU393" s="36">
        <f t="shared" ref="AU393:BM393" si="932">Z393/(Z392+Z393+Z405)</f>
        <v>0.30411686586985393</v>
      </c>
      <c r="AV393" s="36">
        <f t="shared" si="932"/>
        <v>0.5</v>
      </c>
      <c r="AW393" s="36">
        <f t="shared" si="932"/>
        <v>0.35245901639344263</v>
      </c>
      <c r="AX393" s="36">
        <f t="shared" si="932"/>
        <v>0.33333333333333331</v>
      </c>
      <c r="AY393" s="36">
        <f t="shared" si="932"/>
        <v>0.31438127090301005</v>
      </c>
      <c r="AZ393" s="36">
        <f t="shared" si="932"/>
        <v>0.2742382271468144</v>
      </c>
      <c r="BA393" s="36">
        <f t="shared" si="932"/>
        <v>0.26778242677824265</v>
      </c>
      <c r="BB393" s="36">
        <f t="shared" si="932"/>
        <v>0.26641651031894936</v>
      </c>
      <c r="BC393" s="36">
        <f t="shared" si="932"/>
        <v>0.28547579298831388</v>
      </c>
      <c r="BD393" s="36">
        <f t="shared" si="932"/>
        <v>0.29096477794793263</v>
      </c>
      <c r="BE393" s="36">
        <f t="shared" si="932"/>
        <v>0.30411686586985393</v>
      </c>
      <c r="BF393" s="36" t="e">
        <f t="shared" si="932"/>
        <v>#N/A</v>
      </c>
      <c r="BG393" s="36" t="e">
        <f t="shared" si="932"/>
        <v>#N/A</v>
      </c>
      <c r="BH393" s="36" t="e">
        <f t="shared" si="932"/>
        <v>#N/A</v>
      </c>
      <c r="BI393" s="36" t="e">
        <f t="shared" si="932"/>
        <v>#N/A</v>
      </c>
      <c r="BJ393" s="36" t="e">
        <f t="shared" si="932"/>
        <v>#N/A</v>
      </c>
      <c r="BK393" s="36" t="e">
        <f t="shared" si="932"/>
        <v>#N/A</v>
      </c>
      <c r="BL393" s="36" t="e">
        <f t="shared" si="932"/>
        <v>#N/A</v>
      </c>
      <c r="BM393" s="36" t="e">
        <f t="shared" si="932"/>
        <v>#N/A</v>
      </c>
      <c r="BN393" s="30"/>
    </row>
    <row r="394" spans="1:66" ht="11.25" customHeight="1" x14ac:dyDescent="0.2">
      <c r="A394" s="37"/>
      <c r="B394" s="73"/>
      <c r="C394" s="33">
        <v>3</v>
      </c>
      <c r="D394" s="13" t="s">
        <v>300</v>
      </c>
      <c r="E394" s="16">
        <f t="shared" si="924"/>
        <v>13</v>
      </c>
      <c r="F394" s="16">
        <f>SUMIFS([0]!VOTOS2,[0]!TURNO1,F$31,[0]!CANDIDATO1,$C394,[0]!MUNICIPIO1,$B$392)</f>
        <v>0</v>
      </c>
      <c r="G394" s="16">
        <f>SUMIFS([0]!VOTOS2,[0]!TURNO1,G$31,[0]!CANDIDATO1,$C394,[0]!MUNICIPIO1,$B$392)</f>
        <v>2</v>
      </c>
      <c r="H394" s="16">
        <f>SUMIFS([0]!VOTOS2,[0]!TURNO1,H$31,[0]!CANDIDATO1,$C394,[0]!MUNICIPIO1,$B$392)</f>
        <v>0</v>
      </c>
      <c r="I394" s="16">
        <f>SUMIFS([0]!VOTOS2,[0]!TURNO1,I$31,[0]!CANDIDATO1,$C394,[0]!MUNICIPIO1,$B$392)</f>
        <v>5</v>
      </c>
      <c r="J394" s="16">
        <f>SUMIFS([0]!VOTOS2,[0]!TURNO1,J$31,[0]!CANDIDATO1,$C394,[0]!MUNICIPIO1,$B$392)</f>
        <v>2</v>
      </c>
      <c r="K394" s="16">
        <f>SUMIFS([0]!VOTOS2,[0]!TURNO1,K$31,[0]!CANDIDATO1,$C394,[0]!MUNICIPIO1,$B$392)</f>
        <v>1</v>
      </c>
      <c r="L394" s="16">
        <f>SUMIFS([0]!VOTOS2,[0]!TURNO1,L$31,[0]!CANDIDATO1,$C394,[0]!MUNICIPIO1,$B$392)</f>
        <v>2</v>
      </c>
      <c r="M394" s="16">
        <f>SUMIFS([0]!VOTOS2,[0]!TURNO1,M$31,[0]!CANDIDATO1,$C394,[0]!MUNICIPIO1,$B$392)</f>
        <v>0</v>
      </c>
      <c r="N394" s="16">
        <f>SUMIFS([0]!VOTOS2,[0]!TURNO1,N$31,[0]!CANDIDATO1,$C394,[0]!MUNICIPIO1,$B$392)</f>
        <v>1</v>
      </c>
      <c r="O394" s="16">
        <f>SUMIFS([0]!VOTOS2,[0]!TURNO1,O$31,[0]!CANDIDATO1,$C394,[0]!MUNICIPIO1,$B$392)</f>
        <v>0</v>
      </c>
      <c r="P394" s="16">
        <f>SUMIFS([0]!VOTOS2,[0]!TURNO1,P$31,[0]!CANDIDATO1,$C394,[0]!MUNICIPIO1,$B$392)</f>
        <v>0</v>
      </c>
      <c r="Q394" s="16">
        <f>SUMIFS([0]!VOTOS2,[0]!TURNO1,Q$31,[0]!CANDIDATO1,$C394,[0]!MUNICIPIO1,$B$392)</f>
        <v>0</v>
      </c>
      <c r="R394" s="16">
        <f>SUMIFS([0]!VOTOS2,[0]!TURNO1,R$31,[0]!CANDIDATO1,$C394,[0]!MUNICIPIO1,$B$392)</f>
        <v>0</v>
      </c>
      <c r="S394" s="16">
        <f>SUMIFS([0]!VOTOS2,[0]!TURNO1,S$31,[0]!CANDIDATO1,$C394,[0]!MUNICIPIO1,$B$392)</f>
        <v>0</v>
      </c>
      <c r="T394" s="16">
        <f>SUMIFS([0]!VOTOS2,[0]!TURNO1,T$31,[0]!CANDIDATO1,$C394,[0]!MUNICIPIO1,$B$392)</f>
        <v>0</v>
      </c>
      <c r="U394" s="16">
        <f>SUMIFS([0]!VOTOS2,[0]!TURNO1,U$31,[0]!CANDIDATO1,$C394,[0]!MUNICIPIO1,$B$392)</f>
        <v>0</v>
      </c>
      <c r="V394" s="16">
        <f>SUMIFS([0]!VOTOS2,[0]!TURNO1,V$31,[0]!CANDIDATO1,$C394,[0]!MUNICIPIO1,$B$392)</f>
        <v>0</v>
      </c>
      <c r="W394" s="16">
        <f>SUMIFS([0]!VOTOS2,[0]!TURNO1,W$31,[0]!CANDIDATO1,$C394,[0]!MUNICIPIO1,$B$392)</f>
        <v>0</v>
      </c>
      <c r="X394" s="24"/>
      <c r="Y394" s="18" t="str">
        <f t="shared" si="925"/>
        <v>YOLANIS BORGES</v>
      </c>
      <c r="Z394" s="34">
        <f t="shared" si="926"/>
        <v>13</v>
      </c>
      <c r="AA394" s="34">
        <f t="shared" si="927"/>
        <v>0</v>
      </c>
      <c r="AB394" s="34">
        <f t="shared" ref="AB394:AR394" si="933">IF(SUM(G392:G404)=0,NA(),G394+AA394)</f>
        <v>2</v>
      </c>
      <c r="AC394" s="34">
        <f t="shared" si="933"/>
        <v>2</v>
      </c>
      <c r="AD394" s="34">
        <f t="shared" si="933"/>
        <v>7</v>
      </c>
      <c r="AE394" s="34">
        <f t="shared" si="933"/>
        <v>9</v>
      </c>
      <c r="AF394" s="34">
        <f t="shared" si="933"/>
        <v>10</v>
      </c>
      <c r="AG394" s="34">
        <f t="shared" si="933"/>
        <v>12</v>
      </c>
      <c r="AH394" s="34">
        <f t="shared" si="933"/>
        <v>12</v>
      </c>
      <c r="AI394" s="34">
        <f t="shared" si="933"/>
        <v>13</v>
      </c>
      <c r="AJ394" s="34">
        <f t="shared" si="933"/>
        <v>13</v>
      </c>
      <c r="AK394" s="34" t="e">
        <f t="shared" si="933"/>
        <v>#N/A</v>
      </c>
      <c r="AL394" s="34" t="e">
        <f t="shared" si="933"/>
        <v>#N/A</v>
      </c>
      <c r="AM394" s="34" t="e">
        <f t="shared" si="933"/>
        <v>#N/A</v>
      </c>
      <c r="AN394" s="34" t="e">
        <f t="shared" si="933"/>
        <v>#N/A</v>
      </c>
      <c r="AO394" s="34" t="e">
        <f t="shared" si="933"/>
        <v>#N/A</v>
      </c>
      <c r="AP394" s="34" t="e">
        <f t="shared" si="933"/>
        <v>#N/A</v>
      </c>
      <c r="AQ394" s="34" t="e">
        <f t="shared" si="933"/>
        <v>#N/A</v>
      </c>
      <c r="AR394" s="34" t="e">
        <f t="shared" si="933"/>
        <v>#N/A</v>
      </c>
      <c r="AS394" s="27"/>
      <c r="AT394" s="35" t="str">
        <f t="shared" ref="AT394" si="934">Y405</f>
        <v>Otros</v>
      </c>
      <c r="AU394" s="36">
        <f t="shared" ref="AU394:BM394" si="935">Z405/(Z392+Z393+Z405)</f>
        <v>0.25099601593625498</v>
      </c>
      <c r="AV394" s="36">
        <f t="shared" si="935"/>
        <v>0</v>
      </c>
      <c r="AW394" s="36">
        <f t="shared" si="935"/>
        <v>0.16393442622950818</v>
      </c>
      <c r="AX394" s="36">
        <f t="shared" si="935"/>
        <v>0.25870646766169153</v>
      </c>
      <c r="AY394" s="36">
        <f t="shared" si="935"/>
        <v>0.25418060200668896</v>
      </c>
      <c r="AZ394" s="36">
        <f t="shared" si="935"/>
        <v>0.2742382271468144</v>
      </c>
      <c r="BA394" s="36">
        <f t="shared" si="935"/>
        <v>0.29707112970711297</v>
      </c>
      <c r="BB394" s="36">
        <f t="shared" si="935"/>
        <v>0.28893058161350843</v>
      </c>
      <c r="BC394" s="36">
        <f t="shared" si="935"/>
        <v>0.27879799666110183</v>
      </c>
      <c r="BD394" s="36">
        <f t="shared" si="935"/>
        <v>0.27105666156202146</v>
      </c>
      <c r="BE394" s="36">
        <f t="shared" si="935"/>
        <v>0.25099601593625498</v>
      </c>
      <c r="BF394" s="36" t="e">
        <f t="shared" si="935"/>
        <v>#N/A</v>
      </c>
      <c r="BG394" s="36" t="e">
        <f t="shared" si="935"/>
        <v>#N/A</v>
      </c>
      <c r="BH394" s="36" t="e">
        <f t="shared" si="935"/>
        <v>#N/A</v>
      </c>
      <c r="BI394" s="36" t="e">
        <f t="shared" si="935"/>
        <v>#N/A</v>
      </c>
      <c r="BJ394" s="36" t="e">
        <f t="shared" si="935"/>
        <v>#N/A</v>
      </c>
      <c r="BK394" s="36" t="e">
        <f t="shared" si="935"/>
        <v>#N/A</v>
      </c>
      <c r="BL394" s="36" t="e">
        <f t="shared" si="935"/>
        <v>#N/A</v>
      </c>
      <c r="BM394" s="36" t="e">
        <f t="shared" si="935"/>
        <v>#N/A</v>
      </c>
      <c r="BN394" s="30"/>
    </row>
    <row r="395" spans="1:66" ht="11.25" customHeight="1" x14ac:dyDescent="0.2">
      <c r="A395" s="38" t="s">
        <v>31</v>
      </c>
      <c r="B395" s="73"/>
      <c r="C395" s="33">
        <v>4</v>
      </c>
      <c r="D395" s="13" t="s">
        <v>301</v>
      </c>
      <c r="E395" s="16">
        <f t="shared" si="924"/>
        <v>78</v>
      </c>
      <c r="F395" s="16">
        <f>SUMIFS([0]!VOTOS2,[0]!TURNO1,F$31,[0]!CANDIDATO1,$C395,[0]!MUNICIPIO1,$B$392)</f>
        <v>0</v>
      </c>
      <c r="G395" s="16">
        <f>SUMIFS([0]!VOTOS2,[0]!TURNO1,G$31,[0]!CANDIDATO1,$C395,[0]!MUNICIPIO1,$B$392)</f>
        <v>15</v>
      </c>
      <c r="H395" s="16">
        <f>SUMIFS([0]!VOTOS2,[0]!TURNO1,H$31,[0]!CANDIDATO1,$C395,[0]!MUNICIPIO1,$B$392)</f>
        <v>16</v>
      </c>
      <c r="I395" s="16">
        <f>SUMIFS([0]!VOTOS2,[0]!TURNO1,I$31,[0]!CANDIDATO1,$C395,[0]!MUNICIPIO1,$B$392)</f>
        <v>14</v>
      </c>
      <c r="J395" s="16">
        <f>SUMIFS([0]!VOTOS2,[0]!TURNO1,J$31,[0]!CANDIDATO1,$C395,[0]!MUNICIPIO1,$B$392)</f>
        <v>11</v>
      </c>
      <c r="K395" s="16">
        <f>SUMIFS([0]!VOTOS2,[0]!TURNO1,K$31,[0]!CANDIDATO1,$C395,[0]!MUNICIPIO1,$B$392)</f>
        <v>17</v>
      </c>
      <c r="L395" s="16">
        <f>SUMIFS([0]!VOTOS2,[0]!TURNO1,L$31,[0]!CANDIDATO1,$C395,[0]!MUNICIPIO1,$B$392)</f>
        <v>0</v>
      </c>
      <c r="M395" s="16">
        <f>SUMIFS([0]!VOTOS2,[0]!TURNO1,M$31,[0]!CANDIDATO1,$C395,[0]!MUNICIPIO1,$B$392)</f>
        <v>3</v>
      </c>
      <c r="N395" s="16">
        <f>SUMIFS([0]!VOTOS2,[0]!TURNO1,N$31,[0]!CANDIDATO1,$C395,[0]!MUNICIPIO1,$B$392)</f>
        <v>1</v>
      </c>
      <c r="O395" s="16">
        <f>SUMIFS([0]!VOTOS2,[0]!TURNO1,O$31,[0]!CANDIDATO1,$C395,[0]!MUNICIPIO1,$B$392)</f>
        <v>1</v>
      </c>
      <c r="P395" s="16">
        <f>SUMIFS([0]!VOTOS2,[0]!TURNO1,P$31,[0]!CANDIDATO1,$C395,[0]!MUNICIPIO1,$B$392)</f>
        <v>0</v>
      </c>
      <c r="Q395" s="16">
        <f>SUMIFS([0]!VOTOS2,[0]!TURNO1,Q$31,[0]!CANDIDATO1,$C395,[0]!MUNICIPIO1,$B$392)</f>
        <v>0</v>
      </c>
      <c r="R395" s="16">
        <f>SUMIFS([0]!VOTOS2,[0]!TURNO1,R$31,[0]!CANDIDATO1,$C395,[0]!MUNICIPIO1,$B$392)</f>
        <v>0</v>
      </c>
      <c r="S395" s="16">
        <f>SUMIFS([0]!VOTOS2,[0]!TURNO1,S$31,[0]!CANDIDATO1,$C395,[0]!MUNICIPIO1,$B$392)</f>
        <v>0</v>
      </c>
      <c r="T395" s="16">
        <f>SUMIFS([0]!VOTOS2,[0]!TURNO1,T$31,[0]!CANDIDATO1,$C395,[0]!MUNICIPIO1,$B$392)</f>
        <v>0</v>
      </c>
      <c r="U395" s="16">
        <f>SUMIFS([0]!VOTOS2,[0]!TURNO1,U$31,[0]!CANDIDATO1,$C395,[0]!MUNICIPIO1,$B$392)</f>
        <v>0</v>
      </c>
      <c r="V395" s="16">
        <f>SUMIFS([0]!VOTOS2,[0]!TURNO1,V$31,[0]!CANDIDATO1,$C395,[0]!MUNICIPIO1,$B$392)</f>
        <v>0</v>
      </c>
      <c r="W395" s="16">
        <f>SUMIFS([0]!VOTOS2,[0]!TURNO1,W$31,[0]!CANDIDATO1,$C395,[0]!MUNICIPIO1,$B$392)</f>
        <v>0</v>
      </c>
      <c r="X395" s="24"/>
      <c r="Y395" s="18" t="str">
        <f t="shared" si="925"/>
        <v>FIDEL PALMA</v>
      </c>
      <c r="Z395" s="34">
        <f t="shared" si="926"/>
        <v>78</v>
      </c>
      <c r="AA395" s="34">
        <f t="shared" si="927"/>
        <v>0</v>
      </c>
      <c r="AB395" s="34">
        <f t="shared" ref="AB395:AR395" si="936">IF(SUM(G392:G404)=0,NA(),G395+AA395)</f>
        <v>15</v>
      </c>
      <c r="AC395" s="34">
        <f t="shared" si="936"/>
        <v>31</v>
      </c>
      <c r="AD395" s="34">
        <f t="shared" si="936"/>
        <v>45</v>
      </c>
      <c r="AE395" s="34">
        <f t="shared" si="936"/>
        <v>56</v>
      </c>
      <c r="AF395" s="34">
        <f t="shared" si="936"/>
        <v>73</v>
      </c>
      <c r="AG395" s="34">
        <f t="shared" si="936"/>
        <v>73</v>
      </c>
      <c r="AH395" s="34">
        <f t="shared" si="936"/>
        <v>76</v>
      </c>
      <c r="AI395" s="34">
        <f t="shared" si="936"/>
        <v>77</v>
      </c>
      <c r="AJ395" s="34">
        <f t="shared" si="936"/>
        <v>78</v>
      </c>
      <c r="AK395" s="34" t="e">
        <f t="shared" si="936"/>
        <v>#N/A</v>
      </c>
      <c r="AL395" s="34" t="e">
        <f t="shared" si="936"/>
        <v>#N/A</v>
      </c>
      <c r="AM395" s="34" t="e">
        <f t="shared" si="936"/>
        <v>#N/A</v>
      </c>
      <c r="AN395" s="34" t="e">
        <f t="shared" si="936"/>
        <v>#N/A</v>
      </c>
      <c r="AO395" s="34" t="e">
        <f t="shared" si="936"/>
        <v>#N/A</v>
      </c>
      <c r="AP395" s="34" t="e">
        <f t="shared" si="936"/>
        <v>#N/A</v>
      </c>
      <c r="AQ395" s="34" t="e">
        <f t="shared" si="936"/>
        <v>#N/A</v>
      </c>
      <c r="AR395" s="34" t="e">
        <f t="shared" si="936"/>
        <v>#N/A</v>
      </c>
      <c r="AS395" s="27"/>
      <c r="AT395" s="39"/>
      <c r="AU395" s="39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30"/>
    </row>
    <row r="396" spans="1:66" ht="11.25" customHeight="1" x14ac:dyDescent="0.2">
      <c r="A396" s="38" t="s">
        <v>33</v>
      </c>
      <c r="B396" s="73"/>
      <c r="C396" s="33">
        <v>5</v>
      </c>
      <c r="D396" s="13" t="s">
        <v>302</v>
      </c>
      <c r="E396" s="16">
        <f t="shared" si="924"/>
        <v>1</v>
      </c>
      <c r="F396" s="16">
        <f>SUMIFS([0]!VOTOS2,[0]!TURNO1,F$31,[0]!CANDIDATO1,$C396,[0]!MUNICIPIO1,$B$392)</f>
        <v>0</v>
      </c>
      <c r="G396" s="16">
        <f>SUMIFS([0]!VOTOS2,[0]!TURNO1,G$31,[0]!CANDIDATO1,$C396,[0]!MUNICIPIO1,$B$392)</f>
        <v>1</v>
      </c>
      <c r="H396" s="16">
        <f>SUMIFS([0]!VOTOS2,[0]!TURNO1,H$31,[0]!CANDIDATO1,$C396,[0]!MUNICIPIO1,$B$392)</f>
        <v>0</v>
      </c>
      <c r="I396" s="16">
        <f>SUMIFS([0]!VOTOS2,[0]!TURNO1,I$31,[0]!CANDIDATO1,$C396,[0]!MUNICIPIO1,$B$392)</f>
        <v>0</v>
      </c>
      <c r="J396" s="16">
        <f>SUMIFS([0]!VOTOS2,[0]!TURNO1,J$31,[0]!CANDIDATO1,$C396,[0]!MUNICIPIO1,$B$392)</f>
        <v>0</v>
      </c>
      <c r="K396" s="16">
        <f>SUMIFS([0]!VOTOS2,[0]!TURNO1,K$31,[0]!CANDIDATO1,$C396,[0]!MUNICIPIO1,$B$392)</f>
        <v>0</v>
      </c>
      <c r="L396" s="16">
        <f>SUMIFS([0]!VOTOS2,[0]!TURNO1,L$31,[0]!CANDIDATO1,$C396,[0]!MUNICIPIO1,$B$392)</f>
        <v>0</v>
      </c>
      <c r="M396" s="16">
        <f>SUMIFS([0]!VOTOS2,[0]!TURNO1,M$31,[0]!CANDIDATO1,$C396,[0]!MUNICIPIO1,$B$392)</f>
        <v>0</v>
      </c>
      <c r="N396" s="16">
        <f>SUMIFS([0]!VOTOS2,[0]!TURNO1,N$31,[0]!CANDIDATO1,$C396,[0]!MUNICIPIO1,$B$392)</f>
        <v>0</v>
      </c>
      <c r="O396" s="16">
        <f>SUMIFS([0]!VOTOS2,[0]!TURNO1,O$31,[0]!CANDIDATO1,$C396,[0]!MUNICIPIO1,$B$392)</f>
        <v>0</v>
      </c>
      <c r="P396" s="16">
        <f>SUMIFS([0]!VOTOS2,[0]!TURNO1,P$31,[0]!CANDIDATO1,$C396,[0]!MUNICIPIO1,$B$392)</f>
        <v>0</v>
      </c>
      <c r="Q396" s="16">
        <f>SUMIFS([0]!VOTOS2,[0]!TURNO1,Q$31,[0]!CANDIDATO1,$C396,[0]!MUNICIPIO1,$B$392)</f>
        <v>0</v>
      </c>
      <c r="R396" s="16">
        <f>SUMIFS([0]!VOTOS2,[0]!TURNO1,R$31,[0]!CANDIDATO1,$C396,[0]!MUNICIPIO1,$B$392)</f>
        <v>0</v>
      </c>
      <c r="S396" s="16">
        <f>SUMIFS([0]!VOTOS2,[0]!TURNO1,S$31,[0]!CANDIDATO1,$C396,[0]!MUNICIPIO1,$B$392)</f>
        <v>0</v>
      </c>
      <c r="T396" s="16">
        <f>SUMIFS([0]!VOTOS2,[0]!TURNO1,T$31,[0]!CANDIDATO1,$C396,[0]!MUNICIPIO1,$B$392)</f>
        <v>0</v>
      </c>
      <c r="U396" s="16">
        <f>SUMIFS([0]!VOTOS2,[0]!TURNO1,U$31,[0]!CANDIDATO1,$C396,[0]!MUNICIPIO1,$B$392)</f>
        <v>0</v>
      </c>
      <c r="V396" s="16">
        <f>SUMIFS([0]!VOTOS2,[0]!TURNO1,V$31,[0]!CANDIDATO1,$C396,[0]!MUNICIPIO1,$B$392)</f>
        <v>0</v>
      </c>
      <c r="W396" s="16">
        <f>SUMIFS([0]!VOTOS2,[0]!TURNO1,W$31,[0]!CANDIDATO1,$C396,[0]!MUNICIPIO1,$B$392)</f>
        <v>0</v>
      </c>
      <c r="X396" s="24"/>
      <c r="Y396" s="18" t="str">
        <f t="shared" si="925"/>
        <v>ROBERTO AZUAJE</v>
      </c>
      <c r="Z396" s="34">
        <f t="shared" si="926"/>
        <v>1</v>
      </c>
      <c r="AA396" s="34">
        <f t="shared" si="927"/>
        <v>0</v>
      </c>
      <c r="AB396" s="34">
        <f t="shared" ref="AB396:AR396" si="937">IF(SUM(G392:G404)=0,NA(),G396+AA396)</f>
        <v>1</v>
      </c>
      <c r="AC396" s="34">
        <f t="shared" si="937"/>
        <v>1</v>
      </c>
      <c r="AD396" s="34">
        <f t="shared" si="937"/>
        <v>1</v>
      </c>
      <c r="AE396" s="34">
        <f t="shared" si="937"/>
        <v>1</v>
      </c>
      <c r="AF396" s="34">
        <f t="shared" si="937"/>
        <v>1</v>
      </c>
      <c r="AG396" s="34">
        <f t="shared" si="937"/>
        <v>1</v>
      </c>
      <c r="AH396" s="34">
        <f t="shared" si="937"/>
        <v>1</v>
      </c>
      <c r="AI396" s="34">
        <f t="shared" si="937"/>
        <v>1</v>
      </c>
      <c r="AJ396" s="34">
        <f t="shared" si="937"/>
        <v>1</v>
      </c>
      <c r="AK396" s="34" t="e">
        <f t="shared" si="937"/>
        <v>#N/A</v>
      </c>
      <c r="AL396" s="34" t="e">
        <f t="shared" si="937"/>
        <v>#N/A</v>
      </c>
      <c r="AM396" s="34" t="e">
        <f t="shared" si="937"/>
        <v>#N/A</v>
      </c>
      <c r="AN396" s="34" t="e">
        <f t="shared" si="937"/>
        <v>#N/A</v>
      </c>
      <c r="AO396" s="34" t="e">
        <f t="shared" si="937"/>
        <v>#N/A</v>
      </c>
      <c r="AP396" s="34" t="e">
        <f t="shared" si="937"/>
        <v>#N/A</v>
      </c>
      <c r="AQ396" s="34" t="e">
        <f t="shared" si="937"/>
        <v>#N/A</v>
      </c>
      <c r="AR396" s="34" t="e">
        <f t="shared" si="937"/>
        <v>#N/A</v>
      </c>
      <c r="AS396" s="27"/>
      <c r="AT396" s="39"/>
      <c r="AU396" s="39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30"/>
    </row>
    <row r="397" spans="1:66" ht="11.25" customHeight="1" x14ac:dyDescent="0.2">
      <c r="A397" s="37"/>
      <c r="B397" s="73"/>
      <c r="C397" s="33">
        <v>6</v>
      </c>
      <c r="D397" s="13" t="s">
        <v>303</v>
      </c>
      <c r="E397" s="16">
        <f t="shared" si="924"/>
        <v>95</v>
      </c>
      <c r="F397" s="16">
        <f>SUMIFS([0]!VOTOS2,[0]!TURNO1,F$31,[0]!CANDIDATO1,$C397,[0]!MUNICIPIO1,$B$392)</f>
        <v>0</v>
      </c>
      <c r="G397" s="16">
        <f>SUMIFS([0]!VOTOS2,[0]!TURNO1,G$31,[0]!CANDIDATO1,$C397,[0]!MUNICIPIO1,$B$392)</f>
        <v>2</v>
      </c>
      <c r="H397" s="16">
        <f>SUMIFS([0]!VOTOS2,[0]!TURNO1,H$31,[0]!CANDIDATO1,$C397,[0]!MUNICIPIO1,$B$392)</f>
        <v>16</v>
      </c>
      <c r="I397" s="16">
        <f>SUMIFS([0]!VOTOS2,[0]!TURNO1,I$31,[0]!CANDIDATO1,$C397,[0]!MUNICIPIO1,$B$392)</f>
        <v>5</v>
      </c>
      <c r="J397" s="16">
        <f>SUMIFS([0]!VOTOS2,[0]!TURNO1,J$31,[0]!CANDIDATO1,$C397,[0]!MUNICIPIO1,$B$392)</f>
        <v>10</v>
      </c>
      <c r="K397" s="16">
        <f>SUMIFS([0]!VOTOS2,[0]!TURNO1,K$31,[0]!CANDIDATO1,$C397,[0]!MUNICIPIO1,$B$392)</f>
        <v>25</v>
      </c>
      <c r="L397" s="16">
        <f>SUMIFS([0]!VOTOS2,[0]!TURNO1,L$31,[0]!CANDIDATO1,$C397,[0]!MUNICIPIO1,$B$392)</f>
        <v>9</v>
      </c>
      <c r="M397" s="16">
        <f>SUMIFS([0]!VOTOS2,[0]!TURNO1,M$31,[0]!CANDIDATO1,$C397,[0]!MUNICIPIO1,$B$392)</f>
        <v>10</v>
      </c>
      <c r="N397" s="16">
        <f>SUMIFS([0]!VOTOS2,[0]!TURNO1,N$31,[0]!CANDIDATO1,$C397,[0]!MUNICIPIO1,$B$392)</f>
        <v>7</v>
      </c>
      <c r="O397" s="16">
        <f>SUMIFS([0]!VOTOS2,[0]!TURNO1,O$31,[0]!CANDIDATO1,$C397,[0]!MUNICIPIO1,$B$392)</f>
        <v>11</v>
      </c>
      <c r="P397" s="16">
        <f>SUMIFS([0]!VOTOS2,[0]!TURNO1,P$31,[0]!CANDIDATO1,$C397,[0]!MUNICIPIO1,$B$392)</f>
        <v>0</v>
      </c>
      <c r="Q397" s="16">
        <f>SUMIFS([0]!VOTOS2,[0]!TURNO1,Q$31,[0]!CANDIDATO1,$C397,[0]!MUNICIPIO1,$B$392)</f>
        <v>0</v>
      </c>
      <c r="R397" s="16">
        <f>SUMIFS([0]!VOTOS2,[0]!TURNO1,R$31,[0]!CANDIDATO1,$C397,[0]!MUNICIPIO1,$B$392)</f>
        <v>0</v>
      </c>
      <c r="S397" s="16">
        <f>SUMIFS([0]!VOTOS2,[0]!TURNO1,S$31,[0]!CANDIDATO1,$C397,[0]!MUNICIPIO1,$B$392)</f>
        <v>0</v>
      </c>
      <c r="T397" s="16">
        <f>SUMIFS([0]!VOTOS2,[0]!TURNO1,T$31,[0]!CANDIDATO1,$C397,[0]!MUNICIPIO1,$B$392)</f>
        <v>0</v>
      </c>
      <c r="U397" s="16">
        <f>SUMIFS([0]!VOTOS2,[0]!TURNO1,U$31,[0]!CANDIDATO1,$C397,[0]!MUNICIPIO1,$B$392)</f>
        <v>0</v>
      </c>
      <c r="V397" s="16">
        <f>SUMIFS([0]!VOTOS2,[0]!TURNO1,V$31,[0]!CANDIDATO1,$C397,[0]!MUNICIPIO1,$B$392)</f>
        <v>0</v>
      </c>
      <c r="W397" s="16">
        <f>SUMIFS([0]!VOTOS2,[0]!TURNO1,W$31,[0]!CANDIDATO1,$C397,[0]!MUNICIPIO1,$B$392)</f>
        <v>0</v>
      </c>
      <c r="X397" s="24"/>
      <c r="Y397" s="18" t="str">
        <f t="shared" si="925"/>
        <v>MAURIMAR ALVARADO</v>
      </c>
      <c r="Z397" s="34">
        <f t="shared" si="926"/>
        <v>95</v>
      </c>
      <c r="AA397" s="34">
        <f t="shared" si="927"/>
        <v>0</v>
      </c>
      <c r="AB397" s="34">
        <f t="shared" ref="AB397:AR397" si="938">IF(SUM(G392:G404)=0,NA(),G397+AA397)</f>
        <v>2</v>
      </c>
      <c r="AC397" s="34">
        <f t="shared" si="938"/>
        <v>18</v>
      </c>
      <c r="AD397" s="34">
        <f t="shared" si="938"/>
        <v>23</v>
      </c>
      <c r="AE397" s="34">
        <f t="shared" si="938"/>
        <v>33</v>
      </c>
      <c r="AF397" s="34">
        <f t="shared" si="938"/>
        <v>58</v>
      </c>
      <c r="AG397" s="34">
        <f t="shared" si="938"/>
        <v>67</v>
      </c>
      <c r="AH397" s="34">
        <f t="shared" si="938"/>
        <v>77</v>
      </c>
      <c r="AI397" s="34">
        <f t="shared" si="938"/>
        <v>84</v>
      </c>
      <c r="AJ397" s="34">
        <f t="shared" si="938"/>
        <v>95</v>
      </c>
      <c r="AK397" s="34" t="e">
        <f t="shared" si="938"/>
        <v>#N/A</v>
      </c>
      <c r="AL397" s="34" t="e">
        <f t="shared" si="938"/>
        <v>#N/A</v>
      </c>
      <c r="AM397" s="34" t="e">
        <f t="shared" si="938"/>
        <v>#N/A</v>
      </c>
      <c r="AN397" s="34" t="e">
        <f t="shared" si="938"/>
        <v>#N/A</v>
      </c>
      <c r="AO397" s="34" t="e">
        <f t="shared" si="938"/>
        <v>#N/A</v>
      </c>
      <c r="AP397" s="34" t="e">
        <f t="shared" si="938"/>
        <v>#N/A</v>
      </c>
      <c r="AQ397" s="34" t="e">
        <f t="shared" si="938"/>
        <v>#N/A</v>
      </c>
      <c r="AR397" s="34" t="e">
        <f t="shared" si="938"/>
        <v>#N/A</v>
      </c>
      <c r="AS397" s="27"/>
      <c r="AT397" s="39"/>
      <c r="AU397" s="39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30"/>
    </row>
    <row r="398" spans="1:66" ht="11.25" customHeight="1" x14ac:dyDescent="0.2">
      <c r="A398" s="37"/>
      <c r="B398" s="73"/>
      <c r="C398" s="33">
        <v>7</v>
      </c>
      <c r="D398" s="13" t="s">
        <v>304</v>
      </c>
      <c r="E398" s="16">
        <f t="shared" si="924"/>
        <v>1</v>
      </c>
      <c r="F398" s="16">
        <f>SUMIFS([0]!VOTOS2,[0]!TURNO1,F$31,[0]!CANDIDATO1,$C398,[0]!MUNICIPIO1,$B$392)</f>
        <v>0</v>
      </c>
      <c r="G398" s="16">
        <f>SUMIFS([0]!VOTOS2,[0]!TURNO1,G$31,[0]!CANDIDATO1,$C398,[0]!MUNICIPIO1,$B$392)</f>
        <v>0</v>
      </c>
      <c r="H398" s="16">
        <f>SUMIFS([0]!VOTOS2,[0]!TURNO1,H$31,[0]!CANDIDATO1,$C398,[0]!MUNICIPIO1,$B$392)</f>
        <v>0</v>
      </c>
      <c r="I398" s="16">
        <f>SUMIFS([0]!VOTOS2,[0]!TURNO1,I$31,[0]!CANDIDATO1,$C398,[0]!MUNICIPIO1,$B$392)</f>
        <v>0</v>
      </c>
      <c r="J398" s="16">
        <f>SUMIFS([0]!VOTOS2,[0]!TURNO1,J$31,[0]!CANDIDATO1,$C398,[0]!MUNICIPIO1,$B$392)</f>
        <v>0</v>
      </c>
      <c r="K398" s="16">
        <f>SUMIFS([0]!VOTOS2,[0]!TURNO1,K$31,[0]!CANDIDATO1,$C398,[0]!MUNICIPIO1,$B$392)</f>
        <v>0</v>
      </c>
      <c r="L398" s="16">
        <f>SUMIFS([0]!VOTOS2,[0]!TURNO1,L$31,[0]!CANDIDATO1,$C398,[0]!MUNICIPIO1,$B$392)</f>
        <v>0</v>
      </c>
      <c r="M398" s="16">
        <f>SUMIFS([0]!VOTOS2,[0]!TURNO1,M$31,[0]!CANDIDATO1,$C398,[0]!MUNICIPIO1,$B$392)</f>
        <v>0</v>
      </c>
      <c r="N398" s="16">
        <f>SUMIFS([0]!VOTOS2,[0]!TURNO1,N$31,[0]!CANDIDATO1,$C398,[0]!MUNICIPIO1,$B$392)</f>
        <v>1</v>
      </c>
      <c r="O398" s="16">
        <f>SUMIFS([0]!VOTOS2,[0]!TURNO1,O$31,[0]!CANDIDATO1,$C398,[0]!MUNICIPIO1,$B$392)</f>
        <v>0</v>
      </c>
      <c r="P398" s="16">
        <f>SUMIFS([0]!VOTOS2,[0]!TURNO1,P$31,[0]!CANDIDATO1,$C398,[0]!MUNICIPIO1,$B$392)</f>
        <v>0</v>
      </c>
      <c r="Q398" s="16">
        <f>SUMIFS([0]!VOTOS2,[0]!TURNO1,Q$31,[0]!CANDIDATO1,$C398,[0]!MUNICIPIO1,$B$392)</f>
        <v>0</v>
      </c>
      <c r="R398" s="16">
        <f>SUMIFS([0]!VOTOS2,[0]!TURNO1,R$31,[0]!CANDIDATO1,$C398,[0]!MUNICIPIO1,$B$392)</f>
        <v>0</v>
      </c>
      <c r="S398" s="16">
        <f>SUMIFS([0]!VOTOS2,[0]!TURNO1,S$31,[0]!CANDIDATO1,$C398,[0]!MUNICIPIO1,$B$392)</f>
        <v>0</v>
      </c>
      <c r="T398" s="16">
        <f>SUMIFS([0]!VOTOS2,[0]!TURNO1,T$31,[0]!CANDIDATO1,$C398,[0]!MUNICIPIO1,$B$392)</f>
        <v>0</v>
      </c>
      <c r="U398" s="16">
        <f>SUMIFS([0]!VOTOS2,[0]!TURNO1,U$31,[0]!CANDIDATO1,$C398,[0]!MUNICIPIO1,$B$392)</f>
        <v>0</v>
      </c>
      <c r="V398" s="16">
        <f>SUMIFS([0]!VOTOS2,[0]!TURNO1,V$31,[0]!CANDIDATO1,$C398,[0]!MUNICIPIO1,$B$392)</f>
        <v>0</v>
      </c>
      <c r="W398" s="16">
        <f>SUMIFS([0]!VOTOS2,[0]!TURNO1,W$31,[0]!CANDIDATO1,$C398,[0]!MUNICIPIO1,$B$392)</f>
        <v>0</v>
      </c>
      <c r="X398" s="24"/>
      <c r="Y398" s="18" t="str">
        <f t="shared" si="925"/>
        <v>PEDRO COLMENARES</v>
      </c>
      <c r="Z398" s="34">
        <f t="shared" si="926"/>
        <v>1</v>
      </c>
      <c r="AA398" s="34">
        <f t="shared" si="927"/>
        <v>0</v>
      </c>
      <c r="AB398" s="34">
        <f t="shared" ref="AB398:AR398" si="939">IF(SUM(G392:G404)=0,NA(),G398+AA398)</f>
        <v>0</v>
      </c>
      <c r="AC398" s="34">
        <f t="shared" si="939"/>
        <v>0</v>
      </c>
      <c r="AD398" s="34">
        <f t="shared" si="939"/>
        <v>0</v>
      </c>
      <c r="AE398" s="34">
        <f t="shared" si="939"/>
        <v>0</v>
      </c>
      <c r="AF398" s="34">
        <f t="shared" si="939"/>
        <v>0</v>
      </c>
      <c r="AG398" s="34">
        <f t="shared" si="939"/>
        <v>0</v>
      </c>
      <c r="AH398" s="34">
        <f t="shared" si="939"/>
        <v>0</v>
      </c>
      <c r="AI398" s="34">
        <f t="shared" si="939"/>
        <v>1</v>
      </c>
      <c r="AJ398" s="34">
        <f t="shared" si="939"/>
        <v>1</v>
      </c>
      <c r="AK398" s="34" t="e">
        <f t="shared" si="939"/>
        <v>#N/A</v>
      </c>
      <c r="AL398" s="34" t="e">
        <f t="shared" si="939"/>
        <v>#N/A</v>
      </c>
      <c r="AM398" s="34" t="e">
        <f t="shared" si="939"/>
        <v>#N/A</v>
      </c>
      <c r="AN398" s="34" t="e">
        <f t="shared" si="939"/>
        <v>#N/A</v>
      </c>
      <c r="AO398" s="34" t="e">
        <f t="shared" si="939"/>
        <v>#N/A</v>
      </c>
      <c r="AP398" s="34" t="e">
        <f t="shared" si="939"/>
        <v>#N/A</v>
      </c>
      <c r="AQ398" s="34" t="e">
        <f t="shared" si="939"/>
        <v>#N/A</v>
      </c>
      <c r="AR398" s="34" t="e">
        <f t="shared" si="939"/>
        <v>#N/A</v>
      </c>
      <c r="AS398" s="27"/>
      <c r="AT398" s="39"/>
      <c r="AU398" s="39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30"/>
    </row>
    <row r="399" spans="1:66" ht="11.25" customHeight="1" x14ac:dyDescent="0.2">
      <c r="A399" s="42"/>
      <c r="B399" s="74"/>
      <c r="C399" s="33">
        <v>8</v>
      </c>
      <c r="D399" s="13" t="s">
        <v>305</v>
      </c>
      <c r="E399" s="16">
        <f t="shared" si="924"/>
        <v>1</v>
      </c>
      <c r="F399" s="16">
        <f>SUMIFS([0]!VOTOS2,[0]!TURNO1,F$31,[0]!CANDIDATO1,$C399,[0]!MUNICIPIO1,$B$392)</f>
        <v>0</v>
      </c>
      <c r="G399" s="16">
        <f>SUMIFS([0]!VOTOS2,[0]!TURNO1,G$31,[0]!CANDIDATO1,$C399,[0]!MUNICIPIO1,$B$392)</f>
        <v>0</v>
      </c>
      <c r="H399" s="16">
        <f>SUMIFS([0]!VOTOS2,[0]!TURNO1,H$31,[0]!CANDIDATO1,$C399,[0]!MUNICIPIO1,$B$392)</f>
        <v>0</v>
      </c>
      <c r="I399" s="16">
        <f>SUMIFS([0]!VOTOS2,[0]!TURNO1,I$31,[0]!CANDIDATO1,$C399,[0]!MUNICIPIO1,$B$392)</f>
        <v>0</v>
      </c>
      <c r="J399" s="16">
        <f>SUMIFS([0]!VOTOS2,[0]!TURNO1,J$31,[0]!CANDIDATO1,$C399,[0]!MUNICIPIO1,$B$392)</f>
        <v>0</v>
      </c>
      <c r="K399" s="16">
        <f>SUMIFS([0]!VOTOS2,[0]!TURNO1,K$31,[0]!CANDIDATO1,$C399,[0]!MUNICIPIO1,$B$392)</f>
        <v>0</v>
      </c>
      <c r="L399" s="16">
        <f>SUMIFS([0]!VOTOS2,[0]!TURNO1,L$31,[0]!CANDIDATO1,$C399,[0]!MUNICIPIO1,$B$392)</f>
        <v>1</v>
      </c>
      <c r="M399" s="16">
        <f>SUMIFS([0]!VOTOS2,[0]!TURNO1,M$31,[0]!CANDIDATO1,$C399,[0]!MUNICIPIO1,$B$392)</f>
        <v>0</v>
      </c>
      <c r="N399" s="16">
        <f>SUMIFS([0]!VOTOS2,[0]!TURNO1,N$31,[0]!CANDIDATO1,$C399,[0]!MUNICIPIO1,$B$392)</f>
        <v>0</v>
      </c>
      <c r="O399" s="16">
        <f>SUMIFS([0]!VOTOS2,[0]!TURNO1,O$31,[0]!CANDIDATO1,$C399,[0]!MUNICIPIO1,$B$392)</f>
        <v>0</v>
      </c>
      <c r="P399" s="16">
        <f>SUMIFS([0]!VOTOS2,[0]!TURNO1,P$31,[0]!CANDIDATO1,$C399,[0]!MUNICIPIO1,$B$392)</f>
        <v>0</v>
      </c>
      <c r="Q399" s="16">
        <f>SUMIFS([0]!VOTOS2,[0]!TURNO1,Q$31,[0]!CANDIDATO1,$C399,[0]!MUNICIPIO1,$B$392)</f>
        <v>0</v>
      </c>
      <c r="R399" s="16">
        <f>SUMIFS([0]!VOTOS2,[0]!TURNO1,R$31,[0]!CANDIDATO1,$C399,[0]!MUNICIPIO1,$B$392)</f>
        <v>0</v>
      </c>
      <c r="S399" s="16">
        <f>SUMIFS([0]!VOTOS2,[0]!TURNO1,S$31,[0]!CANDIDATO1,$C399,[0]!MUNICIPIO1,$B$392)</f>
        <v>0</v>
      </c>
      <c r="T399" s="16">
        <f>SUMIFS([0]!VOTOS2,[0]!TURNO1,T$31,[0]!CANDIDATO1,$C399,[0]!MUNICIPIO1,$B$392)</f>
        <v>0</v>
      </c>
      <c r="U399" s="16">
        <f>SUMIFS([0]!VOTOS2,[0]!TURNO1,U$31,[0]!CANDIDATO1,$C399,[0]!MUNICIPIO1,$B$392)</f>
        <v>0</v>
      </c>
      <c r="V399" s="16">
        <f>SUMIFS([0]!VOTOS2,[0]!TURNO1,V$31,[0]!CANDIDATO1,$C399,[0]!MUNICIPIO1,$B$392)</f>
        <v>0</v>
      </c>
      <c r="W399" s="16">
        <f>SUMIFS([0]!VOTOS2,[0]!TURNO1,W$31,[0]!CANDIDATO1,$C399,[0]!MUNICIPIO1,$B$392)</f>
        <v>0</v>
      </c>
      <c r="X399" s="24"/>
      <c r="Y399" s="18" t="str">
        <f t="shared" si="925"/>
        <v>ALEXIS RODRIGUEZ</v>
      </c>
      <c r="Z399" s="34">
        <f t="shared" si="926"/>
        <v>1</v>
      </c>
      <c r="AA399" s="34">
        <f t="shared" si="927"/>
        <v>0</v>
      </c>
      <c r="AB399" s="34">
        <f t="shared" ref="AB399:AR399" si="940">IF(SUM(G392:G404)=0,NA(),G399+AA399)</f>
        <v>0</v>
      </c>
      <c r="AC399" s="34">
        <f t="shared" si="940"/>
        <v>0</v>
      </c>
      <c r="AD399" s="34">
        <f t="shared" si="940"/>
        <v>0</v>
      </c>
      <c r="AE399" s="34">
        <f t="shared" si="940"/>
        <v>0</v>
      </c>
      <c r="AF399" s="34">
        <f t="shared" si="940"/>
        <v>0</v>
      </c>
      <c r="AG399" s="34">
        <f t="shared" si="940"/>
        <v>1</v>
      </c>
      <c r="AH399" s="34">
        <f t="shared" si="940"/>
        <v>1</v>
      </c>
      <c r="AI399" s="34">
        <f t="shared" si="940"/>
        <v>1</v>
      </c>
      <c r="AJ399" s="34">
        <f t="shared" si="940"/>
        <v>1</v>
      </c>
      <c r="AK399" s="34" t="e">
        <f t="shared" si="940"/>
        <v>#N/A</v>
      </c>
      <c r="AL399" s="34" t="e">
        <f t="shared" si="940"/>
        <v>#N/A</v>
      </c>
      <c r="AM399" s="34" t="e">
        <f t="shared" si="940"/>
        <v>#N/A</v>
      </c>
      <c r="AN399" s="34" t="e">
        <f t="shared" si="940"/>
        <v>#N/A</v>
      </c>
      <c r="AO399" s="34" t="e">
        <f t="shared" si="940"/>
        <v>#N/A</v>
      </c>
      <c r="AP399" s="34" t="e">
        <f t="shared" si="940"/>
        <v>#N/A</v>
      </c>
      <c r="AQ399" s="34" t="e">
        <f t="shared" si="940"/>
        <v>#N/A</v>
      </c>
      <c r="AR399" s="34" t="e">
        <f t="shared" si="940"/>
        <v>#N/A</v>
      </c>
      <c r="AS399" s="27"/>
      <c r="AT399" s="41"/>
      <c r="AU399" s="41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30"/>
    </row>
    <row r="400" spans="1:66" ht="11.25" customHeight="1" x14ac:dyDescent="0.2">
      <c r="A400" s="44"/>
      <c r="B400" s="45"/>
      <c r="C400" s="46">
        <v>9</v>
      </c>
      <c r="D400" s="14" t="s">
        <v>76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24"/>
      <c r="Y400" s="18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27"/>
      <c r="AT400" s="41"/>
      <c r="AU400" s="41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30"/>
    </row>
    <row r="401" spans="1:66" ht="11.25" customHeight="1" x14ac:dyDescent="0.2">
      <c r="A401" s="44"/>
      <c r="B401" s="45"/>
      <c r="C401" s="46">
        <v>10</v>
      </c>
      <c r="D401" s="14" t="s">
        <v>76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24"/>
      <c r="Y401" s="18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27"/>
      <c r="AT401" s="41"/>
      <c r="AU401" s="41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30"/>
    </row>
    <row r="402" spans="1:66" ht="11.25" customHeight="1" x14ac:dyDescent="0.2">
      <c r="A402" s="44"/>
      <c r="B402" s="45"/>
      <c r="C402" s="46">
        <v>11</v>
      </c>
      <c r="D402" s="14" t="s">
        <v>76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24"/>
      <c r="Y402" s="18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27"/>
      <c r="AT402" s="41"/>
      <c r="AU402" s="41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30"/>
    </row>
    <row r="403" spans="1:66" ht="11.25" customHeight="1" x14ac:dyDescent="0.2">
      <c r="A403" s="44"/>
      <c r="B403" s="45"/>
      <c r="C403" s="46">
        <v>12</v>
      </c>
      <c r="D403" s="14" t="s">
        <v>76</v>
      </c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24"/>
      <c r="Y403" s="18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27"/>
      <c r="AT403" s="41"/>
      <c r="AU403" s="41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30"/>
    </row>
    <row r="404" spans="1:66" ht="11.25" customHeight="1" x14ac:dyDescent="0.2">
      <c r="A404" s="44"/>
      <c r="B404" s="45"/>
      <c r="C404" s="46">
        <v>13</v>
      </c>
      <c r="D404" s="14" t="s">
        <v>76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24"/>
      <c r="Y404" s="18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27"/>
      <c r="AT404" s="41"/>
      <c r="AU404" s="41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30"/>
    </row>
    <row r="405" spans="1:66" ht="11.25" customHeight="1" x14ac:dyDescent="0.2">
      <c r="X405" s="24"/>
      <c r="Y405" s="19" t="s">
        <v>79</v>
      </c>
      <c r="Z405" s="34">
        <f t="shared" ref="Z405" si="941">SUM(Z394:Z404)</f>
        <v>189</v>
      </c>
      <c r="AA405" s="34">
        <f t="shared" ref="AA405" si="942">SUM(AA394:AA404)</f>
        <v>0</v>
      </c>
      <c r="AB405" s="34">
        <f t="shared" ref="AB405" si="943">SUM(AB394:AB404)</f>
        <v>20</v>
      </c>
      <c r="AC405" s="34">
        <f t="shared" ref="AC405" si="944">SUM(AC394:AC404)</f>
        <v>52</v>
      </c>
      <c r="AD405" s="34">
        <f t="shared" ref="AD405" si="945">SUM(AD394:AD404)</f>
        <v>76</v>
      </c>
      <c r="AE405" s="34">
        <f t="shared" ref="AE405" si="946">SUM(AE394:AE404)</f>
        <v>99</v>
      </c>
      <c r="AF405" s="34">
        <f t="shared" ref="AF405" si="947">SUM(AF394:AF404)</f>
        <v>142</v>
      </c>
      <c r="AG405" s="34">
        <f t="shared" ref="AG405" si="948">SUM(AG394:AG404)</f>
        <v>154</v>
      </c>
      <c r="AH405" s="34">
        <f t="shared" ref="AH405" si="949">SUM(AH394:AH404)</f>
        <v>167</v>
      </c>
      <c r="AI405" s="34">
        <f t="shared" ref="AI405" si="950">SUM(AI394:AI404)</f>
        <v>177</v>
      </c>
      <c r="AJ405" s="34">
        <f t="shared" ref="AJ405" si="951">SUM(AJ394:AJ404)</f>
        <v>189</v>
      </c>
      <c r="AK405" s="34" t="e">
        <f t="shared" ref="AK405" si="952">SUM(AK394:AK404)</f>
        <v>#N/A</v>
      </c>
      <c r="AL405" s="34" t="e">
        <f t="shared" ref="AL405" si="953">SUM(AL394:AL404)</f>
        <v>#N/A</v>
      </c>
      <c r="AM405" s="34" t="e">
        <f t="shared" ref="AM405" si="954">SUM(AM394:AM404)</f>
        <v>#N/A</v>
      </c>
      <c r="AN405" s="34" t="e">
        <f t="shared" ref="AN405" si="955">SUM(AN394:AN404)</f>
        <v>#N/A</v>
      </c>
      <c r="AO405" s="34" t="e">
        <f t="shared" ref="AO405" si="956">SUM(AO394:AO404)</f>
        <v>#N/A</v>
      </c>
      <c r="AP405" s="34" t="e">
        <f t="shared" ref="AP405" si="957">SUM(AP394:AP404)</f>
        <v>#N/A</v>
      </c>
      <c r="AQ405" s="34" t="e">
        <f t="shared" ref="AQ405" si="958">SUM(AQ394:AQ404)</f>
        <v>#N/A</v>
      </c>
      <c r="AR405" s="34" t="e">
        <f t="shared" ref="AR405" si="959">SUM(AR394:AR404)</f>
        <v>#N/A</v>
      </c>
      <c r="AS405" s="27"/>
      <c r="AT405" s="41"/>
      <c r="AU405" s="41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30"/>
    </row>
    <row r="406" spans="1:66" ht="11.25" customHeight="1" x14ac:dyDescent="0.2">
      <c r="A406" s="75" t="s">
        <v>63</v>
      </c>
      <c r="B406" s="76"/>
      <c r="C406" s="21"/>
      <c r="D406" s="22" t="s">
        <v>75</v>
      </c>
      <c r="E406" s="23" t="s">
        <v>70</v>
      </c>
      <c r="F406" s="23">
        <v>0</v>
      </c>
      <c r="G406" s="23">
        <v>1</v>
      </c>
      <c r="H406" s="23">
        <v>2</v>
      </c>
      <c r="I406" s="23">
        <v>3</v>
      </c>
      <c r="J406" s="23">
        <v>4</v>
      </c>
      <c r="K406" s="23">
        <v>5</v>
      </c>
      <c r="L406" s="23">
        <v>6</v>
      </c>
      <c r="M406" s="23">
        <v>7</v>
      </c>
      <c r="N406" s="23">
        <v>8</v>
      </c>
      <c r="O406" s="23">
        <v>9</v>
      </c>
      <c r="P406" s="23">
        <v>10</v>
      </c>
      <c r="Q406" s="23">
        <v>11</v>
      </c>
      <c r="R406" s="23">
        <v>12</v>
      </c>
      <c r="S406" s="23">
        <v>13</v>
      </c>
      <c r="T406" s="23">
        <v>14</v>
      </c>
      <c r="U406" s="23">
        <v>15</v>
      </c>
      <c r="V406" s="23">
        <v>16</v>
      </c>
      <c r="W406" s="23">
        <v>17</v>
      </c>
      <c r="X406" s="24"/>
      <c r="Y406" s="17"/>
      <c r="Z406" s="25" t="s">
        <v>64</v>
      </c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7"/>
      <c r="AT406" s="28"/>
      <c r="AU406" s="28" t="s">
        <v>64</v>
      </c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30"/>
    </row>
    <row r="407" spans="1:66" ht="11.25" customHeight="1" x14ac:dyDescent="0.2">
      <c r="A407" s="32"/>
      <c r="B407" s="72">
        <v>28</v>
      </c>
      <c r="C407" s="33">
        <v>1</v>
      </c>
      <c r="D407" s="13" t="s">
        <v>306</v>
      </c>
      <c r="E407" s="16">
        <f t="shared" ref="E407:E413" si="960">SUM(F407:W407)</f>
        <v>8</v>
      </c>
      <c r="F407" s="16">
        <f>SUMIFS([0]!VOTOS2,[0]!TURNO1,F$31,[0]!CANDIDATO1,$C407,[0]!MUNICIPIO1,$B$407)</f>
        <v>8</v>
      </c>
      <c r="G407" s="16">
        <f>SUMIFS([0]!VOTOS2,[0]!TURNO1,G$31,[0]!CANDIDATO1,$C407,[0]!MUNICIPIO1,$B$407)</f>
        <v>0</v>
      </c>
      <c r="H407" s="16">
        <f>SUMIFS([0]!VOTOS2,[0]!TURNO1,H$31,[0]!CANDIDATO1,$C407,[0]!MUNICIPIO1,$B$407)</f>
        <v>0</v>
      </c>
      <c r="I407" s="16">
        <f>SUMIFS([0]!VOTOS2,[0]!TURNO1,I$31,[0]!CANDIDATO1,$C407,[0]!MUNICIPIO1,$B$407)</f>
        <v>0</v>
      </c>
      <c r="J407" s="16">
        <f>SUMIFS([0]!VOTOS2,[0]!TURNO1,J$31,[0]!CANDIDATO1,$C407,[0]!MUNICIPIO1,$B$407)</f>
        <v>0</v>
      </c>
      <c r="K407" s="16">
        <f>SUMIFS([0]!VOTOS2,[0]!TURNO1,K$31,[0]!CANDIDATO1,$C407,[0]!MUNICIPIO1,$B$407)</f>
        <v>0</v>
      </c>
      <c r="L407" s="16">
        <f>SUMIFS([0]!VOTOS2,[0]!TURNO1,L$31,[0]!CANDIDATO1,$C407,[0]!MUNICIPIO1,$B$407)</f>
        <v>0</v>
      </c>
      <c r="M407" s="16">
        <f>SUMIFS([0]!VOTOS2,[0]!TURNO1,M$31,[0]!CANDIDATO1,$C407,[0]!MUNICIPIO1,$B$407)</f>
        <v>0</v>
      </c>
      <c r="N407" s="16">
        <f>SUMIFS([0]!VOTOS2,[0]!TURNO1,N$31,[0]!CANDIDATO1,$C407,[0]!MUNICIPIO1,$B$407)</f>
        <v>0</v>
      </c>
      <c r="O407" s="16">
        <f>SUMIFS([0]!VOTOS2,[0]!TURNO1,O$31,[0]!CANDIDATO1,$C407,[0]!MUNICIPIO1,$B$407)</f>
        <v>0</v>
      </c>
      <c r="P407" s="16">
        <f>SUMIFS([0]!VOTOS2,[0]!TURNO1,P$31,[0]!CANDIDATO1,$C407,[0]!MUNICIPIO1,$B$407)</f>
        <v>0</v>
      </c>
      <c r="Q407" s="16">
        <f>SUMIFS([0]!VOTOS2,[0]!TURNO1,Q$31,[0]!CANDIDATO1,$C407,[0]!MUNICIPIO1,$B$407)</f>
        <v>0</v>
      </c>
      <c r="R407" s="16">
        <f>SUMIFS([0]!VOTOS2,[0]!TURNO1,R$31,[0]!CANDIDATO1,$C407,[0]!MUNICIPIO1,$B$407)</f>
        <v>0</v>
      </c>
      <c r="S407" s="16">
        <f>SUMIFS([0]!VOTOS2,[0]!TURNO1,S$31,[0]!CANDIDATO1,$C407,[0]!MUNICIPIO1,$B$407)</f>
        <v>0</v>
      </c>
      <c r="T407" s="16">
        <f>SUMIFS([0]!VOTOS2,[0]!TURNO1,T$31,[0]!CANDIDATO1,$C407,[0]!MUNICIPIO1,$B$407)</f>
        <v>0</v>
      </c>
      <c r="U407" s="16">
        <f>SUMIFS([0]!VOTOS2,[0]!TURNO1,U$31,[0]!CANDIDATO1,$C407,[0]!MUNICIPIO1,$B$407)</f>
        <v>0</v>
      </c>
      <c r="V407" s="16">
        <f>SUMIFS([0]!VOTOS2,[0]!TURNO1,V$31,[0]!CANDIDATO1,$C407,[0]!MUNICIPIO1,$B$407)</f>
        <v>0</v>
      </c>
      <c r="W407" s="16">
        <f>SUMIFS([0]!VOTOS2,[0]!TURNO1,W$31,[0]!CANDIDATO1,$C407,[0]!MUNICIPIO1,$B$407)</f>
        <v>0</v>
      </c>
      <c r="X407" s="24"/>
      <c r="Y407" s="18" t="str">
        <f t="shared" ref="Y407:Y413" si="961">D407</f>
        <v>VICTOR DELGADO</v>
      </c>
      <c r="Z407" s="34">
        <f t="shared" ref="Z407:Z413" si="962">E407</f>
        <v>8</v>
      </c>
      <c r="AA407" s="34">
        <f t="shared" ref="AA407:AA413" si="963">F407</f>
        <v>8</v>
      </c>
      <c r="AB407" s="34" t="e">
        <f t="shared" ref="AB407:AR407" si="964">IF(SUM(G407:G419)=0,NA(),G407+AA407)</f>
        <v>#N/A</v>
      </c>
      <c r="AC407" s="34" t="e">
        <f t="shared" si="964"/>
        <v>#N/A</v>
      </c>
      <c r="AD407" s="34" t="e">
        <f t="shared" si="964"/>
        <v>#N/A</v>
      </c>
      <c r="AE407" s="34" t="e">
        <f t="shared" si="964"/>
        <v>#N/A</v>
      </c>
      <c r="AF407" s="34" t="e">
        <f t="shared" si="964"/>
        <v>#N/A</v>
      </c>
      <c r="AG407" s="34" t="e">
        <f t="shared" si="964"/>
        <v>#N/A</v>
      </c>
      <c r="AH407" s="34" t="e">
        <f t="shared" si="964"/>
        <v>#N/A</v>
      </c>
      <c r="AI407" s="34" t="e">
        <f t="shared" si="964"/>
        <v>#N/A</v>
      </c>
      <c r="AJ407" s="34" t="e">
        <f t="shared" si="964"/>
        <v>#N/A</v>
      </c>
      <c r="AK407" s="34" t="e">
        <f t="shared" si="964"/>
        <v>#N/A</v>
      </c>
      <c r="AL407" s="34" t="e">
        <f t="shared" si="964"/>
        <v>#N/A</v>
      </c>
      <c r="AM407" s="34" t="e">
        <f t="shared" si="964"/>
        <v>#N/A</v>
      </c>
      <c r="AN407" s="34" t="e">
        <f t="shared" si="964"/>
        <v>#N/A</v>
      </c>
      <c r="AO407" s="34" t="e">
        <f t="shared" si="964"/>
        <v>#N/A</v>
      </c>
      <c r="AP407" s="34" t="e">
        <f t="shared" si="964"/>
        <v>#N/A</v>
      </c>
      <c r="AQ407" s="34" t="e">
        <f t="shared" si="964"/>
        <v>#N/A</v>
      </c>
      <c r="AR407" s="34" t="e">
        <f t="shared" si="964"/>
        <v>#N/A</v>
      </c>
      <c r="AS407" s="27"/>
      <c r="AT407" s="35" t="str">
        <f t="shared" ref="AT407:AT408" si="965">Y407</f>
        <v>VICTOR DELGADO</v>
      </c>
      <c r="AU407" s="36">
        <f t="shared" ref="AU407:BM407" si="966">Z407/(Z407+Z408+Z420)</f>
        <v>0.5</v>
      </c>
      <c r="AV407" s="36">
        <f t="shared" si="966"/>
        <v>0.5</v>
      </c>
      <c r="AW407" s="36" t="e">
        <f t="shared" si="966"/>
        <v>#N/A</v>
      </c>
      <c r="AX407" s="36" t="e">
        <f t="shared" si="966"/>
        <v>#N/A</v>
      </c>
      <c r="AY407" s="36" t="e">
        <f t="shared" si="966"/>
        <v>#N/A</v>
      </c>
      <c r="AZ407" s="36" t="e">
        <f t="shared" si="966"/>
        <v>#N/A</v>
      </c>
      <c r="BA407" s="36" t="e">
        <f t="shared" si="966"/>
        <v>#N/A</v>
      </c>
      <c r="BB407" s="36" t="e">
        <f t="shared" si="966"/>
        <v>#N/A</v>
      </c>
      <c r="BC407" s="36" t="e">
        <f t="shared" si="966"/>
        <v>#N/A</v>
      </c>
      <c r="BD407" s="36" t="e">
        <f t="shared" si="966"/>
        <v>#N/A</v>
      </c>
      <c r="BE407" s="36" t="e">
        <f t="shared" si="966"/>
        <v>#N/A</v>
      </c>
      <c r="BF407" s="36" t="e">
        <f t="shared" si="966"/>
        <v>#N/A</v>
      </c>
      <c r="BG407" s="36" t="e">
        <f t="shared" si="966"/>
        <v>#N/A</v>
      </c>
      <c r="BH407" s="36" t="e">
        <f t="shared" si="966"/>
        <v>#N/A</v>
      </c>
      <c r="BI407" s="36" t="e">
        <f t="shared" si="966"/>
        <v>#N/A</v>
      </c>
      <c r="BJ407" s="36" t="e">
        <f t="shared" si="966"/>
        <v>#N/A</v>
      </c>
      <c r="BK407" s="36" t="e">
        <f t="shared" si="966"/>
        <v>#N/A</v>
      </c>
      <c r="BL407" s="36" t="e">
        <f t="shared" si="966"/>
        <v>#N/A</v>
      </c>
      <c r="BM407" s="36" t="e">
        <f t="shared" si="966"/>
        <v>#N/A</v>
      </c>
      <c r="BN407" s="30"/>
    </row>
    <row r="408" spans="1:66" ht="11.25" customHeight="1" x14ac:dyDescent="0.2">
      <c r="A408" s="37"/>
      <c r="B408" s="73"/>
      <c r="C408" s="33">
        <v>2</v>
      </c>
      <c r="D408" s="13" t="s">
        <v>307</v>
      </c>
      <c r="E408" s="16">
        <f t="shared" si="960"/>
        <v>8</v>
      </c>
      <c r="F408" s="16">
        <f>SUMIFS([0]!VOTOS2,[0]!TURNO1,F$31,[0]!CANDIDATO1,$C408,[0]!MUNICIPIO1,$B$407)</f>
        <v>8</v>
      </c>
      <c r="G408" s="16">
        <f>SUMIFS([0]!VOTOS2,[0]!TURNO1,G$31,[0]!CANDIDATO1,$C408,[0]!MUNICIPIO1,$B$407)</f>
        <v>0</v>
      </c>
      <c r="H408" s="16">
        <f>SUMIFS([0]!VOTOS2,[0]!TURNO1,H$31,[0]!CANDIDATO1,$C408,[0]!MUNICIPIO1,$B$407)</f>
        <v>0</v>
      </c>
      <c r="I408" s="16">
        <f>SUMIFS([0]!VOTOS2,[0]!TURNO1,I$31,[0]!CANDIDATO1,$C408,[0]!MUNICIPIO1,$B$407)</f>
        <v>0</v>
      </c>
      <c r="J408" s="16">
        <f>SUMIFS([0]!VOTOS2,[0]!TURNO1,J$31,[0]!CANDIDATO1,$C408,[0]!MUNICIPIO1,$B$407)</f>
        <v>0</v>
      </c>
      <c r="K408" s="16">
        <f>SUMIFS([0]!VOTOS2,[0]!TURNO1,K$31,[0]!CANDIDATO1,$C408,[0]!MUNICIPIO1,$B$407)</f>
        <v>0</v>
      </c>
      <c r="L408" s="16">
        <f>SUMIFS([0]!VOTOS2,[0]!TURNO1,L$31,[0]!CANDIDATO1,$C408,[0]!MUNICIPIO1,$B$407)</f>
        <v>0</v>
      </c>
      <c r="M408" s="16">
        <f>SUMIFS([0]!VOTOS2,[0]!TURNO1,M$31,[0]!CANDIDATO1,$C408,[0]!MUNICIPIO1,$B$407)</f>
        <v>0</v>
      </c>
      <c r="N408" s="16">
        <f>SUMIFS([0]!VOTOS2,[0]!TURNO1,N$31,[0]!CANDIDATO1,$C408,[0]!MUNICIPIO1,$B$407)</f>
        <v>0</v>
      </c>
      <c r="O408" s="16">
        <f>SUMIFS([0]!VOTOS2,[0]!TURNO1,O$31,[0]!CANDIDATO1,$C408,[0]!MUNICIPIO1,$B$407)</f>
        <v>0</v>
      </c>
      <c r="P408" s="16">
        <f>SUMIFS([0]!VOTOS2,[0]!TURNO1,P$31,[0]!CANDIDATO1,$C408,[0]!MUNICIPIO1,$B$407)</f>
        <v>0</v>
      </c>
      <c r="Q408" s="16">
        <f>SUMIFS([0]!VOTOS2,[0]!TURNO1,Q$31,[0]!CANDIDATO1,$C408,[0]!MUNICIPIO1,$B$407)</f>
        <v>0</v>
      </c>
      <c r="R408" s="16">
        <f>SUMIFS([0]!VOTOS2,[0]!TURNO1,R$31,[0]!CANDIDATO1,$C408,[0]!MUNICIPIO1,$B$407)</f>
        <v>0</v>
      </c>
      <c r="S408" s="16">
        <f>SUMIFS([0]!VOTOS2,[0]!TURNO1,S$31,[0]!CANDIDATO1,$C408,[0]!MUNICIPIO1,$B$407)</f>
        <v>0</v>
      </c>
      <c r="T408" s="16">
        <f>SUMIFS([0]!VOTOS2,[0]!TURNO1,T$31,[0]!CANDIDATO1,$C408,[0]!MUNICIPIO1,$B$407)</f>
        <v>0</v>
      </c>
      <c r="U408" s="16">
        <f>SUMIFS([0]!VOTOS2,[0]!TURNO1,U$31,[0]!CANDIDATO1,$C408,[0]!MUNICIPIO1,$B$407)</f>
        <v>0</v>
      </c>
      <c r="V408" s="16">
        <f>SUMIFS([0]!VOTOS2,[0]!TURNO1,V$31,[0]!CANDIDATO1,$C408,[0]!MUNICIPIO1,$B$407)</f>
        <v>0</v>
      </c>
      <c r="W408" s="16">
        <f>SUMIFS([0]!VOTOS2,[0]!TURNO1,W$31,[0]!CANDIDATO1,$C408,[0]!MUNICIPIO1,$B$407)</f>
        <v>0</v>
      </c>
      <c r="X408" s="24"/>
      <c r="Y408" s="18" t="str">
        <f t="shared" si="961"/>
        <v>JOSE BARRERAS</v>
      </c>
      <c r="Z408" s="34">
        <f t="shared" si="962"/>
        <v>8</v>
      </c>
      <c r="AA408" s="34">
        <f t="shared" si="963"/>
        <v>8</v>
      </c>
      <c r="AB408" s="34" t="e">
        <f t="shared" ref="AB408:AR408" si="967">IF(SUM(G407:G419)=0,NA(),G408+AA408)</f>
        <v>#N/A</v>
      </c>
      <c r="AC408" s="34" t="e">
        <f t="shared" si="967"/>
        <v>#N/A</v>
      </c>
      <c r="AD408" s="34" t="e">
        <f t="shared" si="967"/>
        <v>#N/A</v>
      </c>
      <c r="AE408" s="34" t="e">
        <f t="shared" si="967"/>
        <v>#N/A</v>
      </c>
      <c r="AF408" s="34" t="e">
        <f t="shared" si="967"/>
        <v>#N/A</v>
      </c>
      <c r="AG408" s="34" t="e">
        <f t="shared" si="967"/>
        <v>#N/A</v>
      </c>
      <c r="AH408" s="34" t="e">
        <f t="shared" si="967"/>
        <v>#N/A</v>
      </c>
      <c r="AI408" s="34" t="e">
        <f t="shared" si="967"/>
        <v>#N/A</v>
      </c>
      <c r="AJ408" s="34" t="e">
        <f t="shared" si="967"/>
        <v>#N/A</v>
      </c>
      <c r="AK408" s="34" t="e">
        <f t="shared" si="967"/>
        <v>#N/A</v>
      </c>
      <c r="AL408" s="34" t="e">
        <f t="shared" si="967"/>
        <v>#N/A</v>
      </c>
      <c r="AM408" s="34" t="e">
        <f t="shared" si="967"/>
        <v>#N/A</v>
      </c>
      <c r="AN408" s="34" t="e">
        <f t="shared" si="967"/>
        <v>#N/A</v>
      </c>
      <c r="AO408" s="34" t="e">
        <f t="shared" si="967"/>
        <v>#N/A</v>
      </c>
      <c r="AP408" s="34" t="e">
        <f t="shared" si="967"/>
        <v>#N/A</v>
      </c>
      <c r="AQ408" s="34" t="e">
        <f t="shared" si="967"/>
        <v>#N/A</v>
      </c>
      <c r="AR408" s="34" t="e">
        <f t="shared" si="967"/>
        <v>#N/A</v>
      </c>
      <c r="AS408" s="27"/>
      <c r="AT408" s="35" t="str">
        <f t="shared" si="965"/>
        <v>JOSE BARRERAS</v>
      </c>
      <c r="AU408" s="36">
        <f t="shared" ref="AU408:BM408" si="968">Z408/(Z407+Z408+Z420)</f>
        <v>0.5</v>
      </c>
      <c r="AV408" s="36">
        <f t="shared" si="968"/>
        <v>0.5</v>
      </c>
      <c r="AW408" s="36" t="e">
        <f t="shared" si="968"/>
        <v>#N/A</v>
      </c>
      <c r="AX408" s="36" t="e">
        <f t="shared" si="968"/>
        <v>#N/A</v>
      </c>
      <c r="AY408" s="36" t="e">
        <f t="shared" si="968"/>
        <v>#N/A</v>
      </c>
      <c r="AZ408" s="36" t="e">
        <f t="shared" si="968"/>
        <v>#N/A</v>
      </c>
      <c r="BA408" s="36" t="e">
        <f t="shared" si="968"/>
        <v>#N/A</v>
      </c>
      <c r="BB408" s="36" t="e">
        <f t="shared" si="968"/>
        <v>#N/A</v>
      </c>
      <c r="BC408" s="36" t="e">
        <f t="shared" si="968"/>
        <v>#N/A</v>
      </c>
      <c r="BD408" s="36" t="e">
        <f t="shared" si="968"/>
        <v>#N/A</v>
      </c>
      <c r="BE408" s="36" t="e">
        <f t="shared" si="968"/>
        <v>#N/A</v>
      </c>
      <c r="BF408" s="36" t="e">
        <f t="shared" si="968"/>
        <v>#N/A</v>
      </c>
      <c r="BG408" s="36" t="e">
        <f t="shared" si="968"/>
        <v>#N/A</v>
      </c>
      <c r="BH408" s="36" t="e">
        <f t="shared" si="968"/>
        <v>#N/A</v>
      </c>
      <c r="BI408" s="36" t="e">
        <f t="shared" si="968"/>
        <v>#N/A</v>
      </c>
      <c r="BJ408" s="36" t="e">
        <f t="shared" si="968"/>
        <v>#N/A</v>
      </c>
      <c r="BK408" s="36" t="e">
        <f t="shared" si="968"/>
        <v>#N/A</v>
      </c>
      <c r="BL408" s="36" t="e">
        <f t="shared" si="968"/>
        <v>#N/A</v>
      </c>
      <c r="BM408" s="36" t="e">
        <f t="shared" si="968"/>
        <v>#N/A</v>
      </c>
      <c r="BN408" s="30"/>
    </row>
    <row r="409" spans="1:66" ht="11.25" customHeight="1" x14ac:dyDescent="0.2">
      <c r="A409" s="38" t="s">
        <v>31</v>
      </c>
      <c r="B409" s="73"/>
      <c r="C409" s="33">
        <v>3</v>
      </c>
      <c r="D409" s="13" t="s">
        <v>308</v>
      </c>
      <c r="E409" s="16">
        <f t="shared" si="960"/>
        <v>0</v>
      </c>
      <c r="F409" s="16">
        <f>SUMIFS([0]!VOTOS2,[0]!TURNO1,F$31,[0]!CANDIDATO1,$C409,[0]!MUNICIPIO1,$B$407)</f>
        <v>0</v>
      </c>
      <c r="G409" s="16">
        <f>SUMIFS([0]!VOTOS2,[0]!TURNO1,G$31,[0]!CANDIDATO1,$C409,[0]!MUNICIPIO1,$B$407)</f>
        <v>0</v>
      </c>
      <c r="H409" s="16">
        <f>SUMIFS([0]!VOTOS2,[0]!TURNO1,H$31,[0]!CANDIDATO1,$C409,[0]!MUNICIPIO1,$B$407)</f>
        <v>0</v>
      </c>
      <c r="I409" s="16">
        <f>SUMIFS([0]!VOTOS2,[0]!TURNO1,I$31,[0]!CANDIDATO1,$C409,[0]!MUNICIPIO1,$B$407)</f>
        <v>0</v>
      </c>
      <c r="J409" s="16">
        <f>SUMIFS([0]!VOTOS2,[0]!TURNO1,J$31,[0]!CANDIDATO1,$C409,[0]!MUNICIPIO1,$B$407)</f>
        <v>0</v>
      </c>
      <c r="K409" s="16">
        <f>SUMIFS([0]!VOTOS2,[0]!TURNO1,K$31,[0]!CANDIDATO1,$C409,[0]!MUNICIPIO1,$B$407)</f>
        <v>0</v>
      </c>
      <c r="L409" s="16">
        <f>SUMIFS([0]!VOTOS2,[0]!TURNO1,L$31,[0]!CANDIDATO1,$C409,[0]!MUNICIPIO1,$B$407)</f>
        <v>0</v>
      </c>
      <c r="M409" s="16">
        <f>SUMIFS([0]!VOTOS2,[0]!TURNO1,M$31,[0]!CANDIDATO1,$C409,[0]!MUNICIPIO1,$B$407)</f>
        <v>0</v>
      </c>
      <c r="N409" s="16">
        <f>SUMIFS([0]!VOTOS2,[0]!TURNO1,N$31,[0]!CANDIDATO1,$C409,[0]!MUNICIPIO1,$B$407)</f>
        <v>0</v>
      </c>
      <c r="O409" s="16">
        <f>SUMIFS([0]!VOTOS2,[0]!TURNO1,O$31,[0]!CANDIDATO1,$C409,[0]!MUNICIPIO1,$B$407)</f>
        <v>0</v>
      </c>
      <c r="P409" s="16">
        <f>SUMIFS([0]!VOTOS2,[0]!TURNO1,P$31,[0]!CANDIDATO1,$C409,[0]!MUNICIPIO1,$B$407)</f>
        <v>0</v>
      </c>
      <c r="Q409" s="16">
        <f>SUMIFS([0]!VOTOS2,[0]!TURNO1,Q$31,[0]!CANDIDATO1,$C409,[0]!MUNICIPIO1,$B$407)</f>
        <v>0</v>
      </c>
      <c r="R409" s="16">
        <f>SUMIFS([0]!VOTOS2,[0]!TURNO1,R$31,[0]!CANDIDATO1,$C409,[0]!MUNICIPIO1,$B$407)</f>
        <v>0</v>
      </c>
      <c r="S409" s="16">
        <f>SUMIFS([0]!VOTOS2,[0]!TURNO1,S$31,[0]!CANDIDATO1,$C409,[0]!MUNICIPIO1,$B$407)</f>
        <v>0</v>
      </c>
      <c r="T409" s="16">
        <f>SUMIFS([0]!VOTOS2,[0]!TURNO1,T$31,[0]!CANDIDATO1,$C409,[0]!MUNICIPIO1,$B$407)</f>
        <v>0</v>
      </c>
      <c r="U409" s="16">
        <f>SUMIFS([0]!VOTOS2,[0]!TURNO1,U$31,[0]!CANDIDATO1,$C409,[0]!MUNICIPIO1,$B$407)</f>
        <v>0</v>
      </c>
      <c r="V409" s="16">
        <f>SUMIFS([0]!VOTOS2,[0]!TURNO1,V$31,[0]!CANDIDATO1,$C409,[0]!MUNICIPIO1,$B$407)</f>
        <v>0</v>
      </c>
      <c r="W409" s="16">
        <f>SUMIFS([0]!VOTOS2,[0]!TURNO1,W$31,[0]!CANDIDATO1,$C409,[0]!MUNICIPIO1,$B$407)</f>
        <v>0</v>
      </c>
      <c r="X409" s="24"/>
      <c r="Y409" s="18" t="str">
        <f t="shared" si="961"/>
        <v>YELITZE MARTINEZ</v>
      </c>
      <c r="Z409" s="34">
        <f t="shared" si="962"/>
        <v>0</v>
      </c>
      <c r="AA409" s="34">
        <f t="shared" si="963"/>
        <v>0</v>
      </c>
      <c r="AB409" s="34" t="e">
        <f t="shared" ref="AB409:AR409" si="969">IF(SUM(G407:G419)=0,NA(),G409+AA409)</f>
        <v>#N/A</v>
      </c>
      <c r="AC409" s="34" t="e">
        <f t="shared" si="969"/>
        <v>#N/A</v>
      </c>
      <c r="AD409" s="34" t="e">
        <f t="shared" si="969"/>
        <v>#N/A</v>
      </c>
      <c r="AE409" s="34" t="e">
        <f t="shared" si="969"/>
        <v>#N/A</v>
      </c>
      <c r="AF409" s="34" t="e">
        <f t="shared" si="969"/>
        <v>#N/A</v>
      </c>
      <c r="AG409" s="34" t="e">
        <f t="shared" si="969"/>
        <v>#N/A</v>
      </c>
      <c r="AH409" s="34" t="e">
        <f t="shared" si="969"/>
        <v>#N/A</v>
      </c>
      <c r="AI409" s="34" t="e">
        <f t="shared" si="969"/>
        <v>#N/A</v>
      </c>
      <c r="AJ409" s="34" t="e">
        <f t="shared" si="969"/>
        <v>#N/A</v>
      </c>
      <c r="AK409" s="34" t="e">
        <f t="shared" si="969"/>
        <v>#N/A</v>
      </c>
      <c r="AL409" s="34" t="e">
        <f t="shared" si="969"/>
        <v>#N/A</v>
      </c>
      <c r="AM409" s="34" t="e">
        <f t="shared" si="969"/>
        <v>#N/A</v>
      </c>
      <c r="AN409" s="34" t="e">
        <f t="shared" si="969"/>
        <v>#N/A</v>
      </c>
      <c r="AO409" s="34" t="e">
        <f t="shared" si="969"/>
        <v>#N/A</v>
      </c>
      <c r="AP409" s="34" t="e">
        <f t="shared" si="969"/>
        <v>#N/A</v>
      </c>
      <c r="AQ409" s="34" t="e">
        <f t="shared" si="969"/>
        <v>#N/A</v>
      </c>
      <c r="AR409" s="34" t="e">
        <f t="shared" si="969"/>
        <v>#N/A</v>
      </c>
      <c r="AS409" s="27"/>
      <c r="AT409" s="35" t="str">
        <f t="shared" ref="AT409" si="970">Y420</f>
        <v>Otros</v>
      </c>
      <c r="AU409" s="36">
        <f t="shared" ref="AU409:BM409" si="971">Z420/(Z407+Z408+Z420)</f>
        <v>0</v>
      </c>
      <c r="AV409" s="36">
        <f t="shared" si="971"/>
        <v>0</v>
      </c>
      <c r="AW409" s="36" t="e">
        <f t="shared" si="971"/>
        <v>#N/A</v>
      </c>
      <c r="AX409" s="36" t="e">
        <f t="shared" si="971"/>
        <v>#N/A</v>
      </c>
      <c r="AY409" s="36" t="e">
        <f t="shared" si="971"/>
        <v>#N/A</v>
      </c>
      <c r="AZ409" s="36" t="e">
        <f t="shared" si="971"/>
        <v>#N/A</v>
      </c>
      <c r="BA409" s="36" t="e">
        <f t="shared" si="971"/>
        <v>#N/A</v>
      </c>
      <c r="BB409" s="36" t="e">
        <f t="shared" si="971"/>
        <v>#N/A</v>
      </c>
      <c r="BC409" s="36" t="e">
        <f t="shared" si="971"/>
        <v>#N/A</v>
      </c>
      <c r="BD409" s="36" t="e">
        <f t="shared" si="971"/>
        <v>#N/A</v>
      </c>
      <c r="BE409" s="36" t="e">
        <f t="shared" si="971"/>
        <v>#N/A</v>
      </c>
      <c r="BF409" s="36" t="e">
        <f t="shared" si="971"/>
        <v>#N/A</v>
      </c>
      <c r="BG409" s="36" t="e">
        <f t="shared" si="971"/>
        <v>#N/A</v>
      </c>
      <c r="BH409" s="36" t="e">
        <f t="shared" si="971"/>
        <v>#N/A</v>
      </c>
      <c r="BI409" s="36" t="e">
        <f t="shared" si="971"/>
        <v>#N/A</v>
      </c>
      <c r="BJ409" s="36" t="e">
        <f t="shared" si="971"/>
        <v>#N/A</v>
      </c>
      <c r="BK409" s="36" t="e">
        <f t="shared" si="971"/>
        <v>#N/A</v>
      </c>
      <c r="BL409" s="36" t="e">
        <f t="shared" si="971"/>
        <v>#N/A</v>
      </c>
      <c r="BM409" s="36" t="e">
        <f t="shared" si="971"/>
        <v>#N/A</v>
      </c>
      <c r="BN409" s="30"/>
    </row>
    <row r="410" spans="1:66" ht="11.25" customHeight="1" x14ac:dyDescent="0.2">
      <c r="A410" s="38" t="s">
        <v>34</v>
      </c>
      <c r="B410" s="73"/>
      <c r="C410" s="33">
        <v>4</v>
      </c>
      <c r="D410" s="13" t="s">
        <v>309</v>
      </c>
      <c r="E410" s="16">
        <f t="shared" si="960"/>
        <v>0</v>
      </c>
      <c r="F410" s="16">
        <f>SUMIFS([0]!VOTOS2,[0]!TURNO1,F$31,[0]!CANDIDATO1,$C410,[0]!MUNICIPIO1,$B$407)</f>
        <v>0</v>
      </c>
      <c r="G410" s="16">
        <f>SUMIFS([0]!VOTOS2,[0]!TURNO1,G$31,[0]!CANDIDATO1,$C410,[0]!MUNICIPIO1,$B$407)</f>
        <v>0</v>
      </c>
      <c r="H410" s="16">
        <f>SUMIFS([0]!VOTOS2,[0]!TURNO1,H$31,[0]!CANDIDATO1,$C410,[0]!MUNICIPIO1,$B$407)</f>
        <v>0</v>
      </c>
      <c r="I410" s="16">
        <f>SUMIFS([0]!VOTOS2,[0]!TURNO1,I$31,[0]!CANDIDATO1,$C410,[0]!MUNICIPIO1,$B$407)</f>
        <v>0</v>
      </c>
      <c r="J410" s="16">
        <f>SUMIFS([0]!VOTOS2,[0]!TURNO1,J$31,[0]!CANDIDATO1,$C410,[0]!MUNICIPIO1,$B$407)</f>
        <v>0</v>
      </c>
      <c r="K410" s="16">
        <f>SUMIFS([0]!VOTOS2,[0]!TURNO1,K$31,[0]!CANDIDATO1,$C410,[0]!MUNICIPIO1,$B$407)</f>
        <v>0</v>
      </c>
      <c r="L410" s="16">
        <f>SUMIFS([0]!VOTOS2,[0]!TURNO1,L$31,[0]!CANDIDATO1,$C410,[0]!MUNICIPIO1,$B$407)</f>
        <v>0</v>
      </c>
      <c r="M410" s="16">
        <f>SUMIFS([0]!VOTOS2,[0]!TURNO1,M$31,[0]!CANDIDATO1,$C410,[0]!MUNICIPIO1,$B$407)</f>
        <v>0</v>
      </c>
      <c r="N410" s="16">
        <f>SUMIFS([0]!VOTOS2,[0]!TURNO1,N$31,[0]!CANDIDATO1,$C410,[0]!MUNICIPIO1,$B$407)</f>
        <v>0</v>
      </c>
      <c r="O410" s="16">
        <f>SUMIFS([0]!VOTOS2,[0]!TURNO1,O$31,[0]!CANDIDATO1,$C410,[0]!MUNICIPIO1,$B$407)</f>
        <v>0</v>
      </c>
      <c r="P410" s="16">
        <f>SUMIFS([0]!VOTOS2,[0]!TURNO1,P$31,[0]!CANDIDATO1,$C410,[0]!MUNICIPIO1,$B$407)</f>
        <v>0</v>
      </c>
      <c r="Q410" s="16">
        <f>SUMIFS([0]!VOTOS2,[0]!TURNO1,Q$31,[0]!CANDIDATO1,$C410,[0]!MUNICIPIO1,$B$407)</f>
        <v>0</v>
      </c>
      <c r="R410" s="16">
        <f>SUMIFS([0]!VOTOS2,[0]!TURNO1,R$31,[0]!CANDIDATO1,$C410,[0]!MUNICIPIO1,$B$407)</f>
        <v>0</v>
      </c>
      <c r="S410" s="16">
        <f>SUMIFS([0]!VOTOS2,[0]!TURNO1,S$31,[0]!CANDIDATO1,$C410,[0]!MUNICIPIO1,$B$407)</f>
        <v>0</v>
      </c>
      <c r="T410" s="16">
        <f>SUMIFS([0]!VOTOS2,[0]!TURNO1,T$31,[0]!CANDIDATO1,$C410,[0]!MUNICIPIO1,$B$407)</f>
        <v>0</v>
      </c>
      <c r="U410" s="16">
        <f>SUMIFS([0]!VOTOS2,[0]!TURNO1,U$31,[0]!CANDIDATO1,$C410,[0]!MUNICIPIO1,$B$407)</f>
        <v>0</v>
      </c>
      <c r="V410" s="16">
        <f>SUMIFS([0]!VOTOS2,[0]!TURNO1,V$31,[0]!CANDIDATO1,$C410,[0]!MUNICIPIO1,$B$407)</f>
        <v>0</v>
      </c>
      <c r="W410" s="16">
        <f>SUMIFS([0]!VOTOS2,[0]!TURNO1,W$31,[0]!CANDIDATO1,$C410,[0]!MUNICIPIO1,$B$407)</f>
        <v>0</v>
      </c>
      <c r="X410" s="24"/>
      <c r="Y410" s="18" t="str">
        <f t="shared" si="961"/>
        <v>JUAN SALGUERO</v>
      </c>
      <c r="Z410" s="34">
        <f t="shared" si="962"/>
        <v>0</v>
      </c>
      <c r="AA410" s="34">
        <f t="shared" si="963"/>
        <v>0</v>
      </c>
      <c r="AB410" s="34" t="e">
        <f t="shared" ref="AB410:AR410" si="972">IF(SUM(G407:G419)=0,NA(),G410+AA410)</f>
        <v>#N/A</v>
      </c>
      <c r="AC410" s="34" t="e">
        <f t="shared" si="972"/>
        <v>#N/A</v>
      </c>
      <c r="AD410" s="34" t="e">
        <f t="shared" si="972"/>
        <v>#N/A</v>
      </c>
      <c r="AE410" s="34" t="e">
        <f t="shared" si="972"/>
        <v>#N/A</v>
      </c>
      <c r="AF410" s="34" t="e">
        <f t="shared" si="972"/>
        <v>#N/A</v>
      </c>
      <c r="AG410" s="34" t="e">
        <f t="shared" si="972"/>
        <v>#N/A</v>
      </c>
      <c r="AH410" s="34" t="e">
        <f t="shared" si="972"/>
        <v>#N/A</v>
      </c>
      <c r="AI410" s="34" t="e">
        <f t="shared" si="972"/>
        <v>#N/A</v>
      </c>
      <c r="AJ410" s="34" t="e">
        <f t="shared" si="972"/>
        <v>#N/A</v>
      </c>
      <c r="AK410" s="34" t="e">
        <f t="shared" si="972"/>
        <v>#N/A</v>
      </c>
      <c r="AL410" s="34" t="e">
        <f t="shared" si="972"/>
        <v>#N/A</v>
      </c>
      <c r="AM410" s="34" t="e">
        <f t="shared" si="972"/>
        <v>#N/A</v>
      </c>
      <c r="AN410" s="34" t="e">
        <f t="shared" si="972"/>
        <v>#N/A</v>
      </c>
      <c r="AO410" s="34" t="e">
        <f t="shared" si="972"/>
        <v>#N/A</v>
      </c>
      <c r="AP410" s="34" t="e">
        <f t="shared" si="972"/>
        <v>#N/A</v>
      </c>
      <c r="AQ410" s="34" t="e">
        <f t="shared" si="972"/>
        <v>#N/A</v>
      </c>
      <c r="AR410" s="34" t="e">
        <f t="shared" si="972"/>
        <v>#N/A</v>
      </c>
      <c r="AS410" s="27"/>
      <c r="AT410" s="39"/>
      <c r="AU410" s="39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30"/>
    </row>
    <row r="411" spans="1:66" ht="11.25" customHeight="1" x14ac:dyDescent="0.2">
      <c r="A411" s="37"/>
      <c r="B411" s="73"/>
      <c r="C411" s="33">
        <v>5</v>
      </c>
      <c r="D411" s="13" t="s">
        <v>310</v>
      </c>
      <c r="E411" s="16">
        <f t="shared" si="960"/>
        <v>0</v>
      </c>
      <c r="F411" s="16">
        <f>SUMIFS([0]!VOTOS2,[0]!TURNO1,F$31,[0]!CANDIDATO1,$C411,[0]!MUNICIPIO1,$B$407)</f>
        <v>0</v>
      </c>
      <c r="G411" s="16">
        <f>SUMIFS([0]!VOTOS2,[0]!TURNO1,G$31,[0]!CANDIDATO1,$C411,[0]!MUNICIPIO1,$B$407)</f>
        <v>0</v>
      </c>
      <c r="H411" s="16">
        <f>SUMIFS([0]!VOTOS2,[0]!TURNO1,H$31,[0]!CANDIDATO1,$C411,[0]!MUNICIPIO1,$B$407)</f>
        <v>0</v>
      </c>
      <c r="I411" s="16">
        <f>SUMIFS([0]!VOTOS2,[0]!TURNO1,I$31,[0]!CANDIDATO1,$C411,[0]!MUNICIPIO1,$B$407)</f>
        <v>0</v>
      </c>
      <c r="J411" s="16">
        <f>SUMIFS([0]!VOTOS2,[0]!TURNO1,J$31,[0]!CANDIDATO1,$C411,[0]!MUNICIPIO1,$B$407)</f>
        <v>0</v>
      </c>
      <c r="K411" s="16">
        <f>SUMIFS([0]!VOTOS2,[0]!TURNO1,K$31,[0]!CANDIDATO1,$C411,[0]!MUNICIPIO1,$B$407)</f>
        <v>0</v>
      </c>
      <c r="L411" s="16">
        <f>SUMIFS([0]!VOTOS2,[0]!TURNO1,L$31,[0]!CANDIDATO1,$C411,[0]!MUNICIPIO1,$B$407)</f>
        <v>0</v>
      </c>
      <c r="M411" s="16">
        <f>SUMIFS([0]!VOTOS2,[0]!TURNO1,M$31,[0]!CANDIDATO1,$C411,[0]!MUNICIPIO1,$B$407)</f>
        <v>0</v>
      </c>
      <c r="N411" s="16">
        <f>SUMIFS([0]!VOTOS2,[0]!TURNO1,N$31,[0]!CANDIDATO1,$C411,[0]!MUNICIPIO1,$B$407)</f>
        <v>0</v>
      </c>
      <c r="O411" s="16">
        <f>SUMIFS([0]!VOTOS2,[0]!TURNO1,O$31,[0]!CANDIDATO1,$C411,[0]!MUNICIPIO1,$B$407)</f>
        <v>0</v>
      </c>
      <c r="P411" s="16">
        <f>SUMIFS([0]!VOTOS2,[0]!TURNO1,P$31,[0]!CANDIDATO1,$C411,[0]!MUNICIPIO1,$B$407)</f>
        <v>0</v>
      </c>
      <c r="Q411" s="16">
        <f>SUMIFS([0]!VOTOS2,[0]!TURNO1,Q$31,[0]!CANDIDATO1,$C411,[0]!MUNICIPIO1,$B$407)</f>
        <v>0</v>
      </c>
      <c r="R411" s="16">
        <f>SUMIFS([0]!VOTOS2,[0]!TURNO1,R$31,[0]!CANDIDATO1,$C411,[0]!MUNICIPIO1,$B$407)</f>
        <v>0</v>
      </c>
      <c r="S411" s="16">
        <f>SUMIFS([0]!VOTOS2,[0]!TURNO1,S$31,[0]!CANDIDATO1,$C411,[0]!MUNICIPIO1,$B$407)</f>
        <v>0</v>
      </c>
      <c r="T411" s="16">
        <f>SUMIFS([0]!VOTOS2,[0]!TURNO1,T$31,[0]!CANDIDATO1,$C411,[0]!MUNICIPIO1,$B$407)</f>
        <v>0</v>
      </c>
      <c r="U411" s="16">
        <f>SUMIFS([0]!VOTOS2,[0]!TURNO1,U$31,[0]!CANDIDATO1,$C411,[0]!MUNICIPIO1,$B$407)</f>
        <v>0</v>
      </c>
      <c r="V411" s="16">
        <f>SUMIFS([0]!VOTOS2,[0]!TURNO1,V$31,[0]!CANDIDATO1,$C411,[0]!MUNICIPIO1,$B$407)</f>
        <v>0</v>
      </c>
      <c r="W411" s="16">
        <f>SUMIFS([0]!VOTOS2,[0]!TURNO1,W$31,[0]!CANDIDATO1,$C411,[0]!MUNICIPIO1,$B$407)</f>
        <v>0</v>
      </c>
      <c r="X411" s="24"/>
      <c r="Y411" s="18" t="str">
        <f t="shared" si="961"/>
        <v>EILY GOMEZ</v>
      </c>
      <c r="Z411" s="34">
        <f t="shared" si="962"/>
        <v>0</v>
      </c>
      <c r="AA411" s="34">
        <f t="shared" si="963"/>
        <v>0</v>
      </c>
      <c r="AB411" s="34" t="e">
        <f t="shared" ref="AB411:AR411" si="973">IF(SUM(G407:G419)=0,NA(),G411+AA411)</f>
        <v>#N/A</v>
      </c>
      <c r="AC411" s="34" t="e">
        <f t="shared" si="973"/>
        <v>#N/A</v>
      </c>
      <c r="AD411" s="34" t="e">
        <f t="shared" si="973"/>
        <v>#N/A</v>
      </c>
      <c r="AE411" s="34" t="e">
        <f t="shared" si="973"/>
        <v>#N/A</v>
      </c>
      <c r="AF411" s="34" t="e">
        <f t="shared" si="973"/>
        <v>#N/A</v>
      </c>
      <c r="AG411" s="34" t="e">
        <f t="shared" si="973"/>
        <v>#N/A</v>
      </c>
      <c r="AH411" s="34" t="e">
        <f t="shared" si="973"/>
        <v>#N/A</v>
      </c>
      <c r="AI411" s="34" t="e">
        <f t="shared" si="973"/>
        <v>#N/A</v>
      </c>
      <c r="AJ411" s="34" t="e">
        <f t="shared" si="973"/>
        <v>#N/A</v>
      </c>
      <c r="AK411" s="34" t="e">
        <f t="shared" si="973"/>
        <v>#N/A</v>
      </c>
      <c r="AL411" s="34" t="e">
        <f t="shared" si="973"/>
        <v>#N/A</v>
      </c>
      <c r="AM411" s="34" t="e">
        <f t="shared" si="973"/>
        <v>#N/A</v>
      </c>
      <c r="AN411" s="34" t="e">
        <f t="shared" si="973"/>
        <v>#N/A</v>
      </c>
      <c r="AO411" s="34" t="e">
        <f t="shared" si="973"/>
        <v>#N/A</v>
      </c>
      <c r="AP411" s="34" t="e">
        <f t="shared" si="973"/>
        <v>#N/A</v>
      </c>
      <c r="AQ411" s="34" t="e">
        <f t="shared" si="973"/>
        <v>#N/A</v>
      </c>
      <c r="AR411" s="34" t="e">
        <f t="shared" si="973"/>
        <v>#N/A</v>
      </c>
      <c r="AS411" s="27"/>
      <c r="AT411" s="39"/>
      <c r="AU411" s="39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30"/>
    </row>
    <row r="412" spans="1:66" ht="11.25" customHeight="1" x14ac:dyDescent="0.2">
      <c r="A412" s="37"/>
      <c r="B412" s="73"/>
      <c r="C412" s="33">
        <v>6</v>
      </c>
      <c r="D412" s="13" t="s">
        <v>311</v>
      </c>
      <c r="E412" s="16">
        <f t="shared" si="960"/>
        <v>0</v>
      </c>
      <c r="F412" s="16">
        <f>SUMIFS([0]!VOTOS2,[0]!TURNO1,F$31,[0]!CANDIDATO1,$C412,[0]!MUNICIPIO1,$B$407)</f>
        <v>0</v>
      </c>
      <c r="G412" s="16">
        <f>SUMIFS([0]!VOTOS2,[0]!TURNO1,G$31,[0]!CANDIDATO1,$C412,[0]!MUNICIPIO1,$B$407)</f>
        <v>0</v>
      </c>
      <c r="H412" s="16">
        <f>SUMIFS([0]!VOTOS2,[0]!TURNO1,H$31,[0]!CANDIDATO1,$C412,[0]!MUNICIPIO1,$B$407)</f>
        <v>0</v>
      </c>
      <c r="I412" s="16">
        <f>SUMIFS([0]!VOTOS2,[0]!TURNO1,I$31,[0]!CANDIDATO1,$C412,[0]!MUNICIPIO1,$B$407)</f>
        <v>0</v>
      </c>
      <c r="J412" s="16">
        <f>SUMIFS([0]!VOTOS2,[0]!TURNO1,J$31,[0]!CANDIDATO1,$C412,[0]!MUNICIPIO1,$B$407)</f>
        <v>0</v>
      </c>
      <c r="K412" s="16">
        <f>SUMIFS([0]!VOTOS2,[0]!TURNO1,K$31,[0]!CANDIDATO1,$C412,[0]!MUNICIPIO1,$B$407)</f>
        <v>0</v>
      </c>
      <c r="L412" s="16">
        <f>SUMIFS([0]!VOTOS2,[0]!TURNO1,L$31,[0]!CANDIDATO1,$C412,[0]!MUNICIPIO1,$B$407)</f>
        <v>0</v>
      </c>
      <c r="M412" s="16">
        <f>SUMIFS([0]!VOTOS2,[0]!TURNO1,M$31,[0]!CANDIDATO1,$C412,[0]!MUNICIPIO1,$B$407)</f>
        <v>0</v>
      </c>
      <c r="N412" s="16">
        <f>SUMIFS([0]!VOTOS2,[0]!TURNO1,N$31,[0]!CANDIDATO1,$C412,[0]!MUNICIPIO1,$B$407)</f>
        <v>0</v>
      </c>
      <c r="O412" s="16">
        <f>SUMIFS([0]!VOTOS2,[0]!TURNO1,O$31,[0]!CANDIDATO1,$C412,[0]!MUNICIPIO1,$B$407)</f>
        <v>0</v>
      </c>
      <c r="P412" s="16">
        <f>SUMIFS([0]!VOTOS2,[0]!TURNO1,P$31,[0]!CANDIDATO1,$C412,[0]!MUNICIPIO1,$B$407)</f>
        <v>0</v>
      </c>
      <c r="Q412" s="16">
        <f>SUMIFS([0]!VOTOS2,[0]!TURNO1,Q$31,[0]!CANDIDATO1,$C412,[0]!MUNICIPIO1,$B$407)</f>
        <v>0</v>
      </c>
      <c r="R412" s="16">
        <f>SUMIFS([0]!VOTOS2,[0]!TURNO1,R$31,[0]!CANDIDATO1,$C412,[0]!MUNICIPIO1,$B$407)</f>
        <v>0</v>
      </c>
      <c r="S412" s="16">
        <f>SUMIFS([0]!VOTOS2,[0]!TURNO1,S$31,[0]!CANDIDATO1,$C412,[0]!MUNICIPIO1,$B$407)</f>
        <v>0</v>
      </c>
      <c r="T412" s="16">
        <f>SUMIFS([0]!VOTOS2,[0]!TURNO1,T$31,[0]!CANDIDATO1,$C412,[0]!MUNICIPIO1,$B$407)</f>
        <v>0</v>
      </c>
      <c r="U412" s="16">
        <f>SUMIFS([0]!VOTOS2,[0]!TURNO1,U$31,[0]!CANDIDATO1,$C412,[0]!MUNICIPIO1,$B$407)</f>
        <v>0</v>
      </c>
      <c r="V412" s="16">
        <f>SUMIFS([0]!VOTOS2,[0]!TURNO1,V$31,[0]!CANDIDATO1,$C412,[0]!MUNICIPIO1,$B$407)</f>
        <v>0</v>
      </c>
      <c r="W412" s="16">
        <f>SUMIFS([0]!VOTOS2,[0]!TURNO1,W$31,[0]!CANDIDATO1,$C412,[0]!MUNICIPIO1,$B$407)</f>
        <v>0</v>
      </c>
      <c r="X412" s="24"/>
      <c r="Y412" s="18" t="str">
        <f t="shared" si="961"/>
        <v>ARCADIO VILLEGAS</v>
      </c>
      <c r="Z412" s="34">
        <f t="shared" si="962"/>
        <v>0</v>
      </c>
      <c r="AA412" s="34">
        <f t="shared" si="963"/>
        <v>0</v>
      </c>
      <c r="AB412" s="34" t="e">
        <f t="shared" ref="AB412:AR412" si="974">IF(SUM(G407:G419)=0,NA(),G412+AA412)</f>
        <v>#N/A</v>
      </c>
      <c r="AC412" s="34" t="e">
        <f t="shared" si="974"/>
        <v>#N/A</v>
      </c>
      <c r="AD412" s="34" t="e">
        <f t="shared" si="974"/>
        <v>#N/A</v>
      </c>
      <c r="AE412" s="34" t="e">
        <f t="shared" si="974"/>
        <v>#N/A</v>
      </c>
      <c r="AF412" s="34" t="e">
        <f t="shared" si="974"/>
        <v>#N/A</v>
      </c>
      <c r="AG412" s="34" t="e">
        <f t="shared" si="974"/>
        <v>#N/A</v>
      </c>
      <c r="AH412" s="34" t="e">
        <f t="shared" si="974"/>
        <v>#N/A</v>
      </c>
      <c r="AI412" s="34" t="e">
        <f t="shared" si="974"/>
        <v>#N/A</v>
      </c>
      <c r="AJ412" s="34" t="e">
        <f t="shared" si="974"/>
        <v>#N/A</v>
      </c>
      <c r="AK412" s="34" t="e">
        <f t="shared" si="974"/>
        <v>#N/A</v>
      </c>
      <c r="AL412" s="34" t="e">
        <f t="shared" si="974"/>
        <v>#N/A</v>
      </c>
      <c r="AM412" s="34" t="e">
        <f t="shared" si="974"/>
        <v>#N/A</v>
      </c>
      <c r="AN412" s="34" t="e">
        <f t="shared" si="974"/>
        <v>#N/A</v>
      </c>
      <c r="AO412" s="34" t="e">
        <f t="shared" si="974"/>
        <v>#N/A</v>
      </c>
      <c r="AP412" s="34" t="e">
        <f t="shared" si="974"/>
        <v>#N/A</v>
      </c>
      <c r="AQ412" s="34" t="e">
        <f t="shared" si="974"/>
        <v>#N/A</v>
      </c>
      <c r="AR412" s="34" t="e">
        <f t="shared" si="974"/>
        <v>#N/A</v>
      </c>
      <c r="AS412" s="27"/>
      <c r="AT412" s="39"/>
      <c r="AU412" s="39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30"/>
    </row>
    <row r="413" spans="1:66" ht="11.25" customHeight="1" x14ac:dyDescent="0.2">
      <c r="A413" s="42"/>
      <c r="B413" s="74"/>
      <c r="C413" s="33">
        <v>7</v>
      </c>
      <c r="D413" s="13" t="s">
        <v>312</v>
      </c>
      <c r="E413" s="16">
        <f t="shared" si="960"/>
        <v>0</v>
      </c>
      <c r="F413" s="16">
        <f>SUMIFS([0]!VOTOS2,[0]!TURNO1,F$31,[0]!CANDIDATO1,$C413,[0]!MUNICIPIO1,$B$407)</f>
        <v>0</v>
      </c>
      <c r="G413" s="16">
        <f>SUMIFS([0]!VOTOS2,[0]!TURNO1,G$31,[0]!CANDIDATO1,$C413,[0]!MUNICIPIO1,$B$407)</f>
        <v>0</v>
      </c>
      <c r="H413" s="16">
        <f>SUMIFS([0]!VOTOS2,[0]!TURNO1,H$31,[0]!CANDIDATO1,$C413,[0]!MUNICIPIO1,$B$407)</f>
        <v>0</v>
      </c>
      <c r="I413" s="16">
        <f>SUMIFS([0]!VOTOS2,[0]!TURNO1,I$31,[0]!CANDIDATO1,$C413,[0]!MUNICIPIO1,$B$407)</f>
        <v>0</v>
      </c>
      <c r="J413" s="16">
        <f>SUMIFS([0]!VOTOS2,[0]!TURNO1,J$31,[0]!CANDIDATO1,$C413,[0]!MUNICIPIO1,$B$407)</f>
        <v>0</v>
      </c>
      <c r="K413" s="16">
        <f>SUMIFS([0]!VOTOS2,[0]!TURNO1,K$31,[0]!CANDIDATO1,$C413,[0]!MUNICIPIO1,$B$407)</f>
        <v>0</v>
      </c>
      <c r="L413" s="16">
        <f>SUMIFS([0]!VOTOS2,[0]!TURNO1,L$31,[0]!CANDIDATO1,$C413,[0]!MUNICIPIO1,$B$407)</f>
        <v>0</v>
      </c>
      <c r="M413" s="16">
        <f>SUMIFS([0]!VOTOS2,[0]!TURNO1,M$31,[0]!CANDIDATO1,$C413,[0]!MUNICIPIO1,$B$407)</f>
        <v>0</v>
      </c>
      <c r="N413" s="16">
        <f>SUMIFS([0]!VOTOS2,[0]!TURNO1,N$31,[0]!CANDIDATO1,$C413,[0]!MUNICIPIO1,$B$407)</f>
        <v>0</v>
      </c>
      <c r="O413" s="16">
        <f>SUMIFS([0]!VOTOS2,[0]!TURNO1,O$31,[0]!CANDIDATO1,$C413,[0]!MUNICIPIO1,$B$407)</f>
        <v>0</v>
      </c>
      <c r="P413" s="16">
        <f>SUMIFS([0]!VOTOS2,[0]!TURNO1,P$31,[0]!CANDIDATO1,$C413,[0]!MUNICIPIO1,$B$407)</f>
        <v>0</v>
      </c>
      <c r="Q413" s="16">
        <f>SUMIFS([0]!VOTOS2,[0]!TURNO1,Q$31,[0]!CANDIDATO1,$C413,[0]!MUNICIPIO1,$B$407)</f>
        <v>0</v>
      </c>
      <c r="R413" s="16">
        <f>SUMIFS([0]!VOTOS2,[0]!TURNO1,R$31,[0]!CANDIDATO1,$C413,[0]!MUNICIPIO1,$B$407)</f>
        <v>0</v>
      </c>
      <c r="S413" s="16">
        <f>SUMIFS([0]!VOTOS2,[0]!TURNO1,S$31,[0]!CANDIDATO1,$C413,[0]!MUNICIPIO1,$B$407)</f>
        <v>0</v>
      </c>
      <c r="T413" s="16">
        <f>SUMIFS([0]!VOTOS2,[0]!TURNO1,T$31,[0]!CANDIDATO1,$C413,[0]!MUNICIPIO1,$B$407)</f>
        <v>0</v>
      </c>
      <c r="U413" s="16">
        <f>SUMIFS([0]!VOTOS2,[0]!TURNO1,U$31,[0]!CANDIDATO1,$C413,[0]!MUNICIPIO1,$B$407)</f>
        <v>0</v>
      </c>
      <c r="V413" s="16">
        <f>SUMIFS([0]!VOTOS2,[0]!TURNO1,V$31,[0]!CANDIDATO1,$C413,[0]!MUNICIPIO1,$B$407)</f>
        <v>0</v>
      </c>
      <c r="W413" s="16">
        <f>SUMIFS([0]!VOTOS2,[0]!TURNO1,W$31,[0]!CANDIDATO1,$C413,[0]!MUNICIPIO1,$B$407)</f>
        <v>0</v>
      </c>
      <c r="X413" s="24"/>
      <c r="Y413" s="18" t="str">
        <f t="shared" si="961"/>
        <v>NEIVI SIVIRA</v>
      </c>
      <c r="Z413" s="34">
        <f t="shared" si="962"/>
        <v>0</v>
      </c>
      <c r="AA413" s="34">
        <f t="shared" si="963"/>
        <v>0</v>
      </c>
      <c r="AB413" s="34" t="e">
        <f t="shared" ref="AB413:AR413" si="975">IF(SUM(G407:G419)=0,NA(),G413+AA413)</f>
        <v>#N/A</v>
      </c>
      <c r="AC413" s="34" t="e">
        <f t="shared" si="975"/>
        <v>#N/A</v>
      </c>
      <c r="AD413" s="34" t="e">
        <f t="shared" si="975"/>
        <v>#N/A</v>
      </c>
      <c r="AE413" s="34" t="e">
        <f t="shared" si="975"/>
        <v>#N/A</v>
      </c>
      <c r="AF413" s="34" t="e">
        <f t="shared" si="975"/>
        <v>#N/A</v>
      </c>
      <c r="AG413" s="34" t="e">
        <f t="shared" si="975"/>
        <v>#N/A</v>
      </c>
      <c r="AH413" s="34" t="e">
        <f t="shared" si="975"/>
        <v>#N/A</v>
      </c>
      <c r="AI413" s="34" t="e">
        <f t="shared" si="975"/>
        <v>#N/A</v>
      </c>
      <c r="AJ413" s="34" t="e">
        <f t="shared" si="975"/>
        <v>#N/A</v>
      </c>
      <c r="AK413" s="34" t="e">
        <f t="shared" si="975"/>
        <v>#N/A</v>
      </c>
      <c r="AL413" s="34" t="e">
        <f t="shared" si="975"/>
        <v>#N/A</v>
      </c>
      <c r="AM413" s="34" t="e">
        <f t="shared" si="975"/>
        <v>#N/A</v>
      </c>
      <c r="AN413" s="34" t="e">
        <f t="shared" si="975"/>
        <v>#N/A</v>
      </c>
      <c r="AO413" s="34" t="e">
        <f t="shared" si="975"/>
        <v>#N/A</v>
      </c>
      <c r="AP413" s="34" t="e">
        <f t="shared" si="975"/>
        <v>#N/A</v>
      </c>
      <c r="AQ413" s="34" t="e">
        <f t="shared" si="975"/>
        <v>#N/A</v>
      </c>
      <c r="AR413" s="34" t="e">
        <f t="shared" si="975"/>
        <v>#N/A</v>
      </c>
      <c r="AS413" s="27"/>
      <c r="AT413" s="39"/>
      <c r="AU413" s="39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30"/>
    </row>
    <row r="414" spans="1:66" ht="11.25" customHeight="1" x14ac:dyDescent="0.2">
      <c r="A414" s="44"/>
      <c r="B414" s="45"/>
      <c r="C414" s="46">
        <v>8</v>
      </c>
      <c r="D414" s="14" t="s">
        <v>76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24"/>
      <c r="Y414" s="18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27"/>
      <c r="AT414" s="41"/>
      <c r="AU414" s="41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30"/>
    </row>
    <row r="415" spans="1:66" ht="11.25" customHeight="1" x14ac:dyDescent="0.2">
      <c r="A415" s="44"/>
      <c r="B415" s="45"/>
      <c r="C415" s="46">
        <v>9</v>
      </c>
      <c r="D415" s="14" t="s">
        <v>76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24"/>
      <c r="Y415" s="18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27"/>
      <c r="AT415" s="41"/>
      <c r="AU415" s="41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30"/>
    </row>
    <row r="416" spans="1:66" ht="11.25" customHeight="1" x14ac:dyDescent="0.2">
      <c r="A416" s="44"/>
      <c r="B416" s="45"/>
      <c r="C416" s="46">
        <v>10</v>
      </c>
      <c r="D416" s="14" t="s">
        <v>76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24"/>
      <c r="Y416" s="18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27"/>
      <c r="AT416" s="41"/>
      <c r="AU416" s="41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30"/>
    </row>
    <row r="417" spans="1:66" ht="11.25" customHeight="1" x14ac:dyDescent="0.2">
      <c r="A417" s="44"/>
      <c r="B417" s="45"/>
      <c r="C417" s="46">
        <v>11</v>
      </c>
      <c r="D417" s="14" t="s">
        <v>76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24"/>
      <c r="Y417" s="18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27"/>
      <c r="AT417" s="41"/>
      <c r="AU417" s="41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30"/>
    </row>
    <row r="418" spans="1:66" ht="11.25" customHeight="1" x14ac:dyDescent="0.2">
      <c r="A418" s="44"/>
      <c r="B418" s="45"/>
      <c r="C418" s="46">
        <v>12</v>
      </c>
      <c r="D418" s="14" t="s">
        <v>76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24"/>
      <c r="Y418" s="18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27"/>
      <c r="AT418" s="41"/>
      <c r="AU418" s="41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30"/>
    </row>
    <row r="419" spans="1:66" ht="11.25" customHeight="1" x14ac:dyDescent="0.2">
      <c r="A419" s="44"/>
      <c r="B419" s="45"/>
      <c r="C419" s="46">
        <v>13</v>
      </c>
      <c r="D419" s="14" t="s">
        <v>76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24"/>
      <c r="Y419" s="18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27"/>
      <c r="AT419" s="41"/>
      <c r="AU419" s="41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30"/>
    </row>
    <row r="420" spans="1:66" ht="11.25" customHeight="1" x14ac:dyDescent="0.2">
      <c r="X420" s="24"/>
      <c r="Y420" s="19" t="s">
        <v>79</v>
      </c>
      <c r="Z420" s="34">
        <f t="shared" ref="Z420" si="976">SUM(Z409:Z419)</f>
        <v>0</v>
      </c>
      <c r="AA420" s="34">
        <f t="shared" ref="AA420" si="977">SUM(AA409:AA419)</f>
        <v>0</v>
      </c>
      <c r="AB420" s="34" t="e">
        <f t="shared" ref="AB420" si="978">SUM(AB409:AB419)</f>
        <v>#N/A</v>
      </c>
      <c r="AC420" s="34" t="e">
        <f t="shared" ref="AC420" si="979">SUM(AC409:AC419)</f>
        <v>#N/A</v>
      </c>
      <c r="AD420" s="34" t="e">
        <f t="shared" ref="AD420" si="980">SUM(AD409:AD419)</f>
        <v>#N/A</v>
      </c>
      <c r="AE420" s="34" t="e">
        <f t="shared" ref="AE420" si="981">SUM(AE409:AE419)</f>
        <v>#N/A</v>
      </c>
      <c r="AF420" s="34" t="e">
        <f t="shared" ref="AF420" si="982">SUM(AF409:AF419)</f>
        <v>#N/A</v>
      </c>
      <c r="AG420" s="34" t="e">
        <f t="shared" ref="AG420" si="983">SUM(AG409:AG419)</f>
        <v>#N/A</v>
      </c>
      <c r="AH420" s="34" t="e">
        <f t="shared" ref="AH420" si="984">SUM(AH409:AH419)</f>
        <v>#N/A</v>
      </c>
      <c r="AI420" s="34" t="e">
        <f t="shared" ref="AI420" si="985">SUM(AI409:AI419)</f>
        <v>#N/A</v>
      </c>
      <c r="AJ420" s="34" t="e">
        <f t="shared" ref="AJ420" si="986">SUM(AJ409:AJ419)</f>
        <v>#N/A</v>
      </c>
      <c r="AK420" s="34" t="e">
        <f t="shared" ref="AK420" si="987">SUM(AK409:AK419)</f>
        <v>#N/A</v>
      </c>
      <c r="AL420" s="34" t="e">
        <f t="shared" ref="AL420" si="988">SUM(AL409:AL419)</f>
        <v>#N/A</v>
      </c>
      <c r="AM420" s="34" t="e">
        <f t="shared" ref="AM420" si="989">SUM(AM409:AM419)</f>
        <v>#N/A</v>
      </c>
      <c r="AN420" s="34" t="e">
        <f t="shared" ref="AN420" si="990">SUM(AN409:AN419)</f>
        <v>#N/A</v>
      </c>
      <c r="AO420" s="34" t="e">
        <f t="shared" ref="AO420" si="991">SUM(AO409:AO419)</f>
        <v>#N/A</v>
      </c>
      <c r="AP420" s="34" t="e">
        <f t="shared" ref="AP420" si="992">SUM(AP409:AP419)</f>
        <v>#N/A</v>
      </c>
      <c r="AQ420" s="34" t="e">
        <f t="shared" ref="AQ420" si="993">SUM(AQ409:AQ419)</f>
        <v>#N/A</v>
      </c>
      <c r="AR420" s="34" t="e">
        <f t="shared" ref="AR420" si="994">SUM(AR409:AR419)</f>
        <v>#N/A</v>
      </c>
      <c r="AS420" s="27"/>
      <c r="AT420" s="41"/>
      <c r="AU420" s="41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30"/>
    </row>
    <row r="421" spans="1:66" ht="11.25" customHeight="1" x14ac:dyDescent="0.2">
      <c r="A421" s="75" t="s">
        <v>63</v>
      </c>
      <c r="B421" s="76"/>
      <c r="C421" s="21"/>
      <c r="D421" s="22" t="s">
        <v>75</v>
      </c>
      <c r="E421" s="23" t="s">
        <v>70</v>
      </c>
      <c r="F421" s="23">
        <v>0</v>
      </c>
      <c r="G421" s="23">
        <v>1</v>
      </c>
      <c r="H421" s="23">
        <v>2</v>
      </c>
      <c r="I421" s="23">
        <v>3</v>
      </c>
      <c r="J421" s="23">
        <v>4</v>
      </c>
      <c r="K421" s="23">
        <v>5</v>
      </c>
      <c r="L421" s="23">
        <v>6</v>
      </c>
      <c r="M421" s="23">
        <v>7</v>
      </c>
      <c r="N421" s="23">
        <v>8</v>
      </c>
      <c r="O421" s="23">
        <v>9</v>
      </c>
      <c r="P421" s="23">
        <v>10</v>
      </c>
      <c r="Q421" s="23">
        <v>11</v>
      </c>
      <c r="R421" s="23">
        <v>12</v>
      </c>
      <c r="S421" s="23">
        <v>13</v>
      </c>
      <c r="T421" s="23">
        <v>14</v>
      </c>
      <c r="U421" s="23">
        <v>15</v>
      </c>
      <c r="V421" s="23">
        <v>16</v>
      </c>
      <c r="W421" s="23">
        <v>17</v>
      </c>
      <c r="X421" s="24"/>
      <c r="Y421" s="17"/>
      <c r="Z421" s="25" t="s">
        <v>64</v>
      </c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7"/>
      <c r="AT421" s="28"/>
      <c r="AU421" s="28" t="s">
        <v>64</v>
      </c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30"/>
    </row>
    <row r="422" spans="1:66" ht="11.25" customHeight="1" x14ac:dyDescent="0.2">
      <c r="A422" s="32"/>
      <c r="B422" s="72">
        <v>29</v>
      </c>
      <c r="C422" s="33">
        <v>1</v>
      </c>
      <c r="D422" s="13" t="s">
        <v>313</v>
      </c>
      <c r="E422" s="16">
        <f t="shared" ref="E422:E428" si="995">SUM(F422:W422)</f>
        <v>255</v>
      </c>
      <c r="F422" s="16">
        <f>SUMIFS([0]!VOTOS2,[0]!TURNO1,F$31,[0]!CANDIDATO1,$C422,[0]!MUNICIPIO1,$B$422)</f>
        <v>8</v>
      </c>
      <c r="G422" s="16">
        <f>SUMIFS([0]!VOTOS2,[0]!TURNO1,G$31,[0]!CANDIDATO1,$C422,[0]!MUNICIPIO1,$B$422)</f>
        <v>38</v>
      </c>
      <c r="H422" s="16">
        <f>SUMIFS([0]!VOTOS2,[0]!TURNO1,H$31,[0]!CANDIDATO1,$C422,[0]!MUNICIPIO1,$B$422)</f>
        <v>34</v>
      </c>
      <c r="I422" s="16">
        <f>SUMIFS([0]!VOTOS2,[0]!TURNO1,I$31,[0]!CANDIDATO1,$C422,[0]!MUNICIPIO1,$B$422)</f>
        <v>39</v>
      </c>
      <c r="J422" s="16">
        <f>SUMIFS([0]!VOTOS2,[0]!TURNO1,J$31,[0]!CANDIDATO1,$C422,[0]!MUNICIPIO1,$B$422)</f>
        <v>45</v>
      </c>
      <c r="K422" s="16">
        <f>SUMIFS([0]!VOTOS2,[0]!TURNO1,K$31,[0]!CANDIDATO1,$C422,[0]!MUNICIPIO1,$B$422)</f>
        <v>14</v>
      </c>
      <c r="L422" s="16">
        <f>SUMIFS([0]!VOTOS2,[0]!TURNO1,L$31,[0]!CANDIDATO1,$C422,[0]!MUNICIPIO1,$B$422)</f>
        <v>30</v>
      </c>
      <c r="M422" s="16">
        <f>SUMIFS([0]!VOTOS2,[0]!TURNO1,M$31,[0]!CANDIDATO1,$C422,[0]!MUNICIPIO1,$B$422)</f>
        <v>15</v>
      </c>
      <c r="N422" s="16">
        <f>SUMIFS([0]!VOTOS2,[0]!TURNO1,N$31,[0]!CANDIDATO1,$C422,[0]!MUNICIPIO1,$B$422)</f>
        <v>16</v>
      </c>
      <c r="O422" s="16">
        <f>SUMIFS([0]!VOTOS2,[0]!TURNO1,O$31,[0]!CANDIDATO1,$C422,[0]!MUNICIPIO1,$B$422)</f>
        <v>16</v>
      </c>
      <c r="P422" s="16">
        <f>SUMIFS([0]!VOTOS2,[0]!TURNO1,P$31,[0]!CANDIDATO1,$C422,[0]!MUNICIPIO1,$B$422)</f>
        <v>0</v>
      </c>
      <c r="Q422" s="16">
        <f>SUMIFS([0]!VOTOS2,[0]!TURNO1,Q$31,[0]!CANDIDATO1,$C422,[0]!MUNICIPIO1,$B$422)</f>
        <v>0</v>
      </c>
      <c r="R422" s="16">
        <f>SUMIFS([0]!VOTOS2,[0]!TURNO1,R$31,[0]!CANDIDATO1,$C422,[0]!MUNICIPIO1,$B$422)</f>
        <v>0</v>
      </c>
      <c r="S422" s="16">
        <f>SUMIFS([0]!VOTOS2,[0]!TURNO1,S$31,[0]!CANDIDATO1,$C422,[0]!MUNICIPIO1,$B$422)</f>
        <v>0</v>
      </c>
      <c r="T422" s="16">
        <f>SUMIFS([0]!VOTOS2,[0]!TURNO1,T$31,[0]!CANDIDATO1,$C422,[0]!MUNICIPIO1,$B$422)</f>
        <v>0</v>
      </c>
      <c r="U422" s="16">
        <f>SUMIFS([0]!VOTOS2,[0]!TURNO1,U$31,[0]!CANDIDATO1,$C422,[0]!MUNICIPIO1,$B$422)</f>
        <v>0</v>
      </c>
      <c r="V422" s="16">
        <f>SUMIFS([0]!VOTOS2,[0]!TURNO1,V$31,[0]!CANDIDATO1,$C422,[0]!MUNICIPIO1,$B$422)</f>
        <v>0</v>
      </c>
      <c r="W422" s="16">
        <f>SUMIFS([0]!VOTOS2,[0]!TURNO1,W$31,[0]!CANDIDATO1,$C422,[0]!MUNICIPIO1,$B$422)</f>
        <v>0</v>
      </c>
      <c r="X422" s="24"/>
      <c r="Y422" s="18" t="str">
        <f t="shared" ref="Y422:Y428" si="996">D422</f>
        <v>EDGAR CARRASCO</v>
      </c>
      <c r="Z422" s="34">
        <f t="shared" ref="Z422:Z428" si="997">E422</f>
        <v>255</v>
      </c>
      <c r="AA422" s="34">
        <f t="shared" ref="AA422:AA428" si="998">F422</f>
        <v>8</v>
      </c>
      <c r="AB422" s="34">
        <f t="shared" ref="AB422:AR422" si="999">IF(SUM(G422:G434)=0,NA(),G422+AA422)</f>
        <v>46</v>
      </c>
      <c r="AC422" s="34">
        <f t="shared" si="999"/>
        <v>80</v>
      </c>
      <c r="AD422" s="34">
        <f t="shared" si="999"/>
        <v>119</v>
      </c>
      <c r="AE422" s="34">
        <f t="shared" si="999"/>
        <v>164</v>
      </c>
      <c r="AF422" s="34">
        <f t="shared" si="999"/>
        <v>178</v>
      </c>
      <c r="AG422" s="34">
        <f t="shared" si="999"/>
        <v>208</v>
      </c>
      <c r="AH422" s="34">
        <f t="shared" si="999"/>
        <v>223</v>
      </c>
      <c r="AI422" s="34">
        <f t="shared" si="999"/>
        <v>239</v>
      </c>
      <c r="AJ422" s="34">
        <f t="shared" si="999"/>
        <v>255</v>
      </c>
      <c r="AK422" s="34" t="e">
        <f t="shared" si="999"/>
        <v>#N/A</v>
      </c>
      <c r="AL422" s="34" t="e">
        <f t="shared" si="999"/>
        <v>#N/A</v>
      </c>
      <c r="AM422" s="34" t="e">
        <f t="shared" si="999"/>
        <v>#N/A</v>
      </c>
      <c r="AN422" s="34" t="e">
        <f t="shared" si="999"/>
        <v>#N/A</v>
      </c>
      <c r="AO422" s="34" t="e">
        <f t="shared" si="999"/>
        <v>#N/A</v>
      </c>
      <c r="AP422" s="34" t="e">
        <f t="shared" si="999"/>
        <v>#N/A</v>
      </c>
      <c r="AQ422" s="34" t="e">
        <f t="shared" si="999"/>
        <v>#N/A</v>
      </c>
      <c r="AR422" s="34" t="e">
        <f t="shared" si="999"/>
        <v>#N/A</v>
      </c>
      <c r="AS422" s="27"/>
      <c r="AT422" s="35" t="str">
        <f t="shared" ref="AT422:AT423" si="1000">Y422</f>
        <v>EDGAR CARRASCO</v>
      </c>
      <c r="AU422" s="36">
        <f t="shared" ref="AU422:BM422" si="1001">Z422/(Z422+Z423+Z435)</f>
        <v>0.32692307692307693</v>
      </c>
      <c r="AV422" s="36">
        <f t="shared" si="1001"/>
        <v>0.5</v>
      </c>
      <c r="AW422" s="36">
        <f t="shared" si="1001"/>
        <v>0.4946236559139785</v>
      </c>
      <c r="AX422" s="36">
        <f t="shared" si="1001"/>
        <v>0.38647342995169082</v>
      </c>
      <c r="AY422" s="36">
        <f t="shared" si="1001"/>
        <v>0.35311572700296734</v>
      </c>
      <c r="AZ422" s="36">
        <f t="shared" si="1001"/>
        <v>0.32539682539682541</v>
      </c>
      <c r="BA422" s="36">
        <f t="shared" si="1001"/>
        <v>0.32363636363636361</v>
      </c>
      <c r="BB422" s="36">
        <f t="shared" si="1001"/>
        <v>0.33386837881219905</v>
      </c>
      <c r="BC422" s="36">
        <f t="shared" si="1001"/>
        <v>0.33383233532934131</v>
      </c>
      <c r="BD422" s="36">
        <f t="shared" si="1001"/>
        <v>0.32428765264586162</v>
      </c>
      <c r="BE422" s="36">
        <f t="shared" si="1001"/>
        <v>0.32692307692307693</v>
      </c>
      <c r="BF422" s="36" t="e">
        <f t="shared" si="1001"/>
        <v>#N/A</v>
      </c>
      <c r="BG422" s="36" t="e">
        <f t="shared" si="1001"/>
        <v>#N/A</v>
      </c>
      <c r="BH422" s="36" t="e">
        <f t="shared" si="1001"/>
        <v>#N/A</v>
      </c>
      <c r="BI422" s="36" t="e">
        <f t="shared" si="1001"/>
        <v>#N/A</v>
      </c>
      <c r="BJ422" s="36" t="e">
        <f t="shared" si="1001"/>
        <v>#N/A</v>
      </c>
      <c r="BK422" s="36" t="e">
        <f t="shared" si="1001"/>
        <v>#N/A</v>
      </c>
      <c r="BL422" s="36" t="e">
        <f t="shared" si="1001"/>
        <v>#N/A</v>
      </c>
      <c r="BM422" s="36" t="e">
        <f t="shared" si="1001"/>
        <v>#N/A</v>
      </c>
      <c r="BN422" s="30"/>
    </row>
    <row r="423" spans="1:66" ht="11.25" customHeight="1" x14ac:dyDescent="0.2">
      <c r="A423" s="37"/>
      <c r="B423" s="73"/>
      <c r="C423" s="33">
        <v>2</v>
      </c>
      <c r="D423" s="13" t="s">
        <v>314</v>
      </c>
      <c r="E423" s="16">
        <f t="shared" si="995"/>
        <v>256</v>
      </c>
      <c r="F423" s="16">
        <f>SUMIFS([0]!VOTOS2,[0]!TURNO1,F$31,[0]!CANDIDATO1,$C423,[0]!MUNICIPIO1,$B$422)</f>
        <v>8</v>
      </c>
      <c r="G423" s="16">
        <f>SUMIFS([0]!VOTOS2,[0]!TURNO1,G$31,[0]!CANDIDATO1,$C423,[0]!MUNICIPIO1,$B$422)</f>
        <v>22</v>
      </c>
      <c r="H423" s="16">
        <f>SUMIFS([0]!VOTOS2,[0]!TURNO1,H$31,[0]!CANDIDATO1,$C423,[0]!MUNICIPIO1,$B$422)</f>
        <v>39</v>
      </c>
      <c r="I423" s="16">
        <f>SUMIFS([0]!VOTOS2,[0]!TURNO1,I$31,[0]!CANDIDATO1,$C423,[0]!MUNICIPIO1,$B$422)</f>
        <v>44</v>
      </c>
      <c r="J423" s="16">
        <f>SUMIFS([0]!VOTOS2,[0]!TURNO1,J$31,[0]!CANDIDATO1,$C423,[0]!MUNICIPIO1,$B$422)</f>
        <v>51</v>
      </c>
      <c r="K423" s="16">
        <f>SUMIFS([0]!VOTOS2,[0]!TURNO1,K$31,[0]!CANDIDATO1,$C423,[0]!MUNICIPIO1,$B$422)</f>
        <v>9</v>
      </c>
      <c r="L423" s="16">
        <f>SUMIFS([0]!VOTOS2,[0]!TURNO1,L$31,[0]!CANDIDATO1,$C423,[0]!MUNICIPIO1,$B$422)</f>
        <v>24</v>
      </c>
      <c r="M423" s="16">
        <f>SUMIFS([0]!VOTOS2,[0]!TURNO1,M$31,[0]!CANDIDATO1,$C423,[0]!MUNICIPIO1,$B$422)</f>
        <v>13</v>
      </c>
      <c r="N423" s="16">
        <f>SUMIFS([0]!VOTOS2,[0]!TURNO1,N$31,[0]!CANDIDATO1,$C423,[0]!MUNICIPIO1,$B$422)</f>
        <v>30</v>
      </c>
      <c r="O423" s="16">
        <f>SUMIFS([0]!VOTOS2,[0]!TURNO1,O$31,[0]!CANDIDATO1,$C423,[0]!MUNICIPIO1,$B$422)</f>
        <v>16</v>
      </c>
      <c r="P423" s="16">
        <f>SUMIFS([0]!VOTOS2,[0]!TURNO1,P$31,[0]!CANDIDATO1,$C423,[0]!MUNICIPIO1,$B$422)</f>
        <v>0</v>
      </c>
      <c r="Q423" s="16">
        <f>SUMIFS([0]!VOTOS2,[0]!TURNO1,Q$31,[0]!CANDIDATO1,$C423,[0]!MUNICIPIO1,$B$422)</f>
        <v>0</v>
      </c>
      <c r="R423" s="16">
        <f>SUMIFS([0]!VOTOS2,[0]!TURNO1,R$31,[0]!CANDIDATO1,$C423,[0]!MUNICIPIO1,$B$422)</f>
        <v>0</v>
      </c>
      <c r="S423" s="16">
        <f>SUMIFS([0]!VOTOS2,[0]!TURNO1,S$31,[0]!CANDIDATO1,$C423,[0]!MUNICIPIO1,$B$422)</f>
        <v>0</v>
      </c>
      <c r="T423" s="16">
        <f>SUMIFS([0]!VOTOS2,[0]!TURNO1,T$31,[0]!CANDIDATO1,$C423,[0]!MUNICIPIO1,$B$422)</f>
        <v>0</v>
      </c>
      <c r="U423" s="16">
        <f>SUMIFS([0]!VOTOS2,[0]!TURNO1,U$31,[0]!CANDIDATO1,$C423,[0]!MUNICIPIO1,$B$422)</f>
        <v>0</v>
      </c>
      <c r="V423" s="16">
        <f>SUMIFS([0]!VOTOS2,[0]!TURNO1,V$31,[0]!CANDIDATO1,$C423,[0]!MUNICIPIO1,$B$422)</f>
        <v>0</v>
      </c>
      <c r="W423" s="16">
        <f>SUMIFS([0]!VOTOS2,[0]!TURNO1,W$31,[0]!CANDIDATO1,$C423,[0]!MUNICIPIO1,$B$422)</f>
        <v>0</v>
      </c>
      <c r="X423" s="24"/>
      <c r="Y423" s="18" t="str">
        <f t="shared" si="996"/>
        <v>JESUS GUILLERMO</v>
      </c>
      <c r="Z423" s="34">
        <f t="shared" si="997"/>
        <v>256</v>
      </c>
      <c r="AA423" s="34">
        <f t="shared" si="998"/>
        <v>8</v>
      </c>
      <c r="AB423" s="34">
        <f t="shared" ref="AB423:AR423" si="1002">IF(SUM(G422:G434)=0,NA(),G423+AA423)</f>
        <v>30</v>
      </c>
      <c r="AC423" s="34">
        <f t="shared" si="1002"/>
        <v>69</v>
      </c>
      <c r="AD423" s="34">
        <f t="shared" si="1002"/>
        <v>113</v>
      </c>
      <c r="AE423" s="34">
        <f t="shared" si="1002"/>
        <v>164</v>
      </c>
      <c r="AF423" s="34">
        <f t="shared" si="1002"/>
        <v>173</v>
      </c>
      <c r="AG423" s="34">
        <f t="shared" si="1002"/>
        <v>197</v>
      </c>
      <c r="AH423" s="34">
        <f t="shared" si="1002"/>
        <v>210</v>
      </c>
      <c r="AI423" s="34">
        <f t="shared" si="1002"/>
        <v>240</v>
      </c>
      <c r="AJ423" s="34">
        <f t="shared" si="1002"/>
        <v>256</v>
      </c>
      <c r="AK423" s="34" t="e">
        <f t="shared" si="1002"/>
        <v>#N/A</v>
      </c>
      <c r="AL423" s="34" t="e">
        <f t="shared" si="1002"/>
        <v>#N/A</v>
      </c>
      <c r="AM423" s="34" t="e">
        <f t="shared" si="1002"/>
        <v>#N/A</v>
      </c>
      <c r="AN423" s="34" t="e">
        <f t="shared" si="1002"/>
        <v>#N/A</v>
      </c>
      <c r="AO423" s="34" t="e">
        <f t="shared" si="1002"/>
        <v>#N/A</v>
      </c>
      <c r="AP423" s="34" t="e">
        <f t="shared" si="1002"/>
        <v>#N/A</v>
      </c>
      <c r="AQ423" s="34" t="e">
        <f t="shared" si="1002"/>
        <v>#N/A</v>
      </c>
      <c r="AR423" s="34" t="e">
        <f t="shared" si="1002"/>
        <v>#N/A</v>
      </c>
      <c r="AS423" s="27"/>
      <c r="AT423" s="35" t="str">
        <f t="shared" si="1000"/>
        <v>JESUS GUILLERMO</v>
      </c>
      <c r="AU423" s="36">
        <f t="shared" ref="AU423:BM423" si="1003">Z423/(Z422+Z423+Z435)</f>
        <v>0.3282051282051282</v>
      </c>
      <c r="AV423" s="36">
        <f t="shared" si="1003"/>
        <v>0.5</v>
      </c>
      <c r="AW423" s="36">
        <f t="shared" si="1003"/>
        <v>0.32258064516129031</v>
      </c>
      <c r="AX423" s="36">
        <f t="shared" si="1003"/>
        <v>0.33333333333333331</v>
      </c>
      <c r="AY423" s="36">
        <f t="shared" si="1003"/>
        <v>0.33531157270029671</v>
      </c>
      <c r="AZ423" s="36">
        <f t="shared" si="1003"/>
        <v>0.32539682539682541</v>
      </c>
      <c r="BA423" s="36">
        <f t="shared" si="1003"/>
        <v>0.31454545454545457</v>
      </c>
      <c r="BB423" s="36">
        <f t="shared" si="1003"/>
        <v>0.3162118780096308</v>
      </c>
      <c r="BC423" s="36">
        <f t="shared" si="1003"/>
        <v>0.31437125748502992</v>
      </c>
      <c r="BD423" s="36">
        <f t="shared" si="1003"/>
        <v>0.32564450474898238</v>
      </c>
      <c r="BE423" s="36">
        <f t="shared" si="1003"/>
        <v>0.3282051282051282</v>
      </c>
      <c r="BF423" s="36" t="e">
        <f t="shared" si="1003"/>
        <v>#N/A</v>
      </c>
      <c r="BG423" s="36" t="e">
        <f t="shared" si="1003"/>
        <v>#N/A</v>
      </c>
      <c r="BH423" s="36" t="e">
        <f t="shared" si="1003"/>
        <v>#N/A</v>
      </c>
      <c r="BI423" s="36" t="e">
        <f t="shared" si="1003"/>
        <v>#N/A</v>
      </c>
      <c r="BJ423" s="36" t="e">
        <f t="shared" si="1003"/>
        <v>#N/A</v>
      </c>
      <c r="BK423" s="36" t="e">
        <f t="shared" si="1003"/>
        <v>#N/A</v>
      </c>
      <c r="BL423" s="36" t="e">
        <f t="shared" si="1003"/>
        <v>#N/A</v>
      </c>
      <c r="BM423" s="36" t="e">
        <f t="shared" si="1003"/>
        <v>#N/A</v>
      </c>
      <c r="BN423" s="30"/>
    </row>
    <row r="424" spans="1:66" ht="11.25" customHeight="1" x14ac:dyDescent="0.2">
      <c r="A424" s="38" t="s">
        <v>31</v>
      </c>
      <c r="B424" s="73"/>
      <c r="C424" s="33">
        <v>3</v>
      </c>
      <c r="D424" s="13" t="s">
        <v>315</v>
      </c>
      <c r="E424" s="16">
        <f t="shared" si="995"/>
        <v>20</v>
      </c>
      <c r="F424" s="16">
        <f>SUMIFS([0]!VOTOS2,[0]!TURNO1,F$31,[0]!CANDIDATO1,$C424,[0]!MUNICIPIO1,$B$422)</f>
        <v>0</v>
      </c>
      <c r="G424" s="16">
        <f>SUMIFS([0]!VOTOS2,[0]!TURNO1,G$31,[0]!CANDIDATO1,$C424,[0]!MUNICIPIO1,$B$422)</f>
        <v>10</v>
      </c>
      <c r="H424" s="16">
        <f>SUMIFS([0]!VOTOS2,[0]!TURNO1,H$31,[0]!CANDIDATO1,$C424,[0]!MUNICIPIO1,$B$422)</f>
        <v>5</v>
      </c>
      <c r="I424" s="16">
        <f>SUMIFS([0]!VOTOS2,[0]!TURNO1,I$31,[0]!CANDIDATO1,$C424,[0]!MUNICIPIO1,$B$422)</f>
        <v>0</v>
      </c>
      <c r="J424" s="16">
        <f>SUMIFS([0]!VOTOS2,[0]!TURNO1,J$31,[0]!CANDIDATO1,$C424,[0]!MUNICIPIO1,$B$422)</f>
        <v>0</v>
      </c>
      <c r="K424" s="16">
        <f>SUMIFS([0]!VOTOS2,[0]!TURNO1,K$31,[0]!CANDIDATO1,$C424,[0]!MUNICIPIO1,$B$422)</f>
        <v>2</v>
      </c>
      <c r="L424" s="16">
        <f>SUMIFS([0]!VOTOS2,[0]!TURNO1,L$31,[0]!CANDIDATO1,$C424,[0]!MUNICIPIO1,$B$422)</f>
        <v>2</v>
      </c>
      <c r="M424" s="16">
        <f>SUMIFS([0]!VOTOS2,[0]!TURNO1,M$31,[0]!CANDIDATO1,$C424,[0]!MUNICIPIO1,$B$422)</f>
        <v>0</v>
      </c>
      <c r="N424" s="16">
        <f>SUMIFS([0]!VOTOS2,[0]!TURNO1,N$31,[0]!CANDIDATO1,$C424,[0]!MUNICIPIO1,$B$422)</f>
        <v>1</v>
      </c>
      <c r="O424" s="16">
        <f>SUMIFS([0]!VOTOS2,[0]!TURNO1,O$31,[0]!CANDIDATO1,$C424,[0]!MUNICIPIO1,$B$422)</f>
        <v>0</v>
      </c>
      <c r="P424" s="16">
        <f>SUMIFS([0]!VOTOS2,[0]!TURNO1,P$31,[0]!CANDIDATO1,$C424,[0]!MUNICIPIO1,$B$422)</f>
        <v>0</v>
      </c>
      <c r="Q424" s="16">
        <f>SUMIFS([0]!VOTOS2,[0]!TURNO1,Q$31,[0]!CANDIDATO1,$C424,[0]!MUNICIPIO1,$B$422)</f>
        <v>0</v>
      </c>
      <c r="R424" s="16">
        <f>SUMIFS([0]!VOTOS2,[0]!TURNO1,R$31,[0]!CANDIDATO1,$C424,[0]!MUNICIPIO1,$B$422)</f>
        <v>0</v>
      </c>
      <c r="S424" s="16">
        <f>SUMIFS([0]!VOTOS2,[0]!TURNO1,S$31,[0]!CANDIDATO1,$C424,[0]!MUNICIPIO1,$B$422)</f>
        <v>0</v>
      </c>
      <c r="T424" s="16">
        <f>SUMIFS([0]!VOTOS2,[0]!TURNO1,T$31,[0]!CANDIDATO1,$C424,[0]!MUNICIPIO1,$B$422)</f>
        <v>0</v>
      </c>
      <c r="U424" s="16">
        <f>SUMIFS([0]!VOTOS2,[0]!TURNO1,U$31,[0]!CANDIDATO1,$C424,[0]!MUNICIPIO1,$B$422)</f>
        <v>0</v>
      </c>
      <c r="V424" s="16">
        <f>SUMIFS([0]!VOTOS2,[0]!TURNO1,V$31,[0]!CANDIDATO1,$C424,[0]!MUNICIPIO1,$B$422)</f>
        <v>0</v>
      </c>
      <c r="W424" s="16">
        <f>SUMIFS([0]!VOTOS2,[0]!TURNO1,W$31,[0]!CANDIDATO1,$C424,[0]!MUNICIPIO1,$B$422)</f>
        <v>0</v>
      </c>
      <c r="X424" s="24"/>
      <c r="Y424" s="18" t="str">
        <f t="shared" si="996"/>
        <v>NOLIBER GIL</v>
      </c>
      <c r="Z424" s="34">
        <f t="shared" si="997"/>
        <v>20</v>
      </c>
      <c r="AA424" s="34">
        <f t="shared" si="998"/>
        <v>0</v>
      </c>
      <c r="AB424" s="34">
        <f t="shared" ref="AB424:AR424" si="1004">IF(SUM(G422:G434)=0,NA(),G424+AA424)</f>
        <v>10</v>
      </c>
      <c r="AC424" s="34">
        <f t="shared" si="1004"/>
        <v>15</v>
      </c>
      <c r="AD424" s="34">
        <f t="shared" si="1004"/>
        <v>15</v>
      </c>
      <c r="AE424" s="34">
        <f t="shared" si="1004"/>
        <v>15</v>
      </c>
      <c r="AF424" s="34">
        <f t="shared" si="1004"/>
        <v>17</v>
      </c>
      <c r="AG424" s="34">
        <f t="shared" si="1004"/>
        <v>19</v>
      </c>
      <c r="AH424" s="34">
        <f t="shared" si="1004"/>
        <v>19</v>
      </c>
      <c r="AI424" s="34">
        <f t="shared" si="1004"/>
        <v>20</v>
      </c>
      <c r="AJ424" s="34">
        <f t="shared" si="1004"/>
        <v>20</v>
      </c>
      <c r="AK424" s="34" t="e">
        <f t="shared" si="1004"/>
        <v>#N/A</v>
      </c>
      <c r="AL424" s="34" t="e">
        <f t="shared" si="1004"/>
        <v>#N/A</v>
      </c>
      <c r="AM424" s="34" t="e">
        <f t="shared" si="1004"/>
        <v>#N/A</v>
      </c>
      <c r="AN424" s="34" t="e">
        <f t="shared" si="1004"/>
        <v>#N/A</v>
      </c>
      <c r="AO424" s="34" t="e">
        <f t="shared" si="1004"/>
        <v>#N/A</v>
      </c>
      <c r="AP424" s="34" t="e">
        <f t="shared" si="1004"/>
        <v>#N/A</v>
      </c>
      <c r="AQ424" s="34" t="e">
        <f t="shared" si="1004"/>
        <v>#N/A</v>
      </c>
      <c r="AR424" s="34" t="e">
        <f t="shared" si="1004"/>
        <v>#N/A</v>
      </c>
      <c r="AS424" s="27"/>
      <c r="AT424" s="35" t="str">
        <f t="shared" ref="AT424" si="1005">Y435</f>
        <v>Otros</v>
      </c>
      <c r="AU424" s="36">
        <f t="shared" ref="AU424:BM424" si="1006">Z435/(Z422+Z423+Z435)</f>
        <v>0.34487179487179487</v>
      </c>
      <c r="AV424" s="36">
        <f t="shared" si="1006"/>
        <v>0</v>
      </c>
      <c r="AW424" s="36">
        <f t="shared" si="1006"/>
        <v>0.18279569892473119</v>
      </c>
      <c r="AX424" s="36">
        <f t="shared" si="1006"/>
        <v>0.28019323671497587</v>
      </c>
      <c r="AY424" s="36">
        <f t="shared" si="1006"/>
        <v>0.31157270029673589</v>
      </c>
      <c r="AZ424" s="36">
        <f t="shared" si="1006"/>
        <v>0.34920634920634919</v>
      </c>
      <c r="BA424" s="36">
        <f t="shared" si="1006"/>
        <v>0.36181818181818182</v>
      </c>
      <c r="BB424" s="36">
        <f t="shared" si="1006"/>
        <v>0.34991974317817015</v>
      </c>
      <c r="BC424" s="36">
        <f t="shared" si="1006"/>
        <v>0.35179640718562877</v>
      </c>
      <c r="BD424" s="36">
        <f t="shared" si="1006"/>
        <v>0.35006784260515605</v>
      </c>
      <c r="BE424" s="36">
        <f t="shared" si="1006"/>
        <v>0.34487179487179487</v>
      </c>
      <c r="BF424" s="36" t="e">
        <f t="shared" si="1006"/>
        <v>#N/A</v>
      </c>
      <c r="BG424" s="36" t="e">
        <f t="shared" si="1006"/>
        <v>#N/A</v>
      </c>
      <c r="BH424" s="36" t="e">
        <f t="shared" si="1006"/>
        <v>#N/A</v>
      </c>
      <c r="BI424" s="36" t="e">
        <f t="shared" si="1006"/>
        <v>#N/A</v>
      </c>
      <c r="BJ424" s="36" t="e">
        <f t="shared" si="1006"/>
        <v>#N/A</v>
      </c>
      <c r="BK424" s="36" t="e">
        <f t="shared" si="1006"/>
        <v>#N/A</v>
      </c>
      <c r="BL424" s="36" t="e">
        <f t="shared" si="1006"/>
        <v>#N/A</v>
      </c>
      <c r="BM424" s="36" t="e">
        <f t="shared" si="1006"/>
        <v>#N/A</v>
      </c>
      <c r="BN424" s="30"/>
    </row>
    <row r="425" spans="1:66" ht="11.25" customHeight="1" x14ac:dyDescent="0.2">
      <c r="A425" s="38" t="s">
        <v>35</v>
      </c>
      <c r="B425" s="73"/>
      <c r="C425" s="33">
        <v>4</v>
      </c>
      <c r="D425" s="13" t="s">
        <v>316</v>
      </c>
      <c r="E425" s="16">
        <f t="shared" si="995"/>
        <v>60</v>
      </c>
      <c r="F425" s="16">
        <f>SUMIFS([0]!VOTOS2,[0]!TURNO1,F$31,[0]!CANDIDATO1,$C425,[0]!MUNICIPIO1,$B$422)</f>
        <v>0</v>
      </c>
      <c r="G425" s="16">
        <f>SUMIFS([0]!VOTOS2,[0]!TURNO1,G$31,[0]!CANDIDATO1,$C425,[0]!MUNICIPIO1,$B$422)</f>
        <v>4</v>
      </c>
      <c r="H425" s="16">
        <f>SUMIFS([0]!VOTOS2,[0]!TURNO1,H$31,[0]!CANDIDATO1,$C425,[0]!MUNICIPIO1,$B$422)</f>
        <v>11</v>
      </c>
      <c r="I425" s="16">
        <f>SUMIFS([0]!VOTOS2,[0]!TURNO1,I$31,[0]!CANDIDATO1,$C425,[0]!MUNICIPIO1,$B$422)</f>
        <v>11</v>
      </c>
      <c r="J425" s="16">
        <f>SUMIFS([0]!VOTOS2,[0]!TURNO1,J$31,[0]!CANDIDATO1,$C425,[0]!MUNICIPIO1,$B$422)</f>
        <v>20</v>
      </c>
      <c r="K425" s="16">
        <f>SUMIFS([0]!VOTOS2,[0]!TURNO1,K$31,[0]!CANDIDATO1,$C425,[0]!MUNICIPIO1,$B$422)</f>
        <v>3</v>
      </c>
      <c r="L425" s="16">
        <f>SUMIFS([0]!VOTOS2,[0]!TURNO1,L$31,[0]!CANDIDATO1,$C425,[0]!MUNICIPIO1,$B$422)</f>
        <v>8</v>
      </c>
      <c r="M425" s="16">
        <f>SUMIFS([0]!VOTOS2,[0]!TURNO1,M$31,[0]!CANDIDATO1,$C425,[0]!MUNICIPIO1,$B$422)</f>
        <v>2</v>
      </c>
      <c r="N425" s="16">
        <f>SUMIFS([0]!VOTOS2,[0]!TURNO1,N$31,[0]!CANDIDATO1,$C425,[0]!MUNICIPIO1,$B$422)</f>
        <v>1</v>
      </c>
      <c r="O425" s="16">
        <f>SUMIFS([0]!VOTOS2,[0]!TURNO1,O$31,[0]!CANDIDATO1,$C425,[0]!MUNICIPIO1,$B$422)</f>
        <v>0</v>
      </c>
      <c r="P425" s="16">
        <f>SUMIFS([0]!VOTOS2,[0]!TURNO1,P$31,[0]!CANDIDATO1,$C425,[0]!MUNICIPIO1,$B$422)</f>
        <v>0</v>
      </c>
      <c r="Q425" s="16">
        <f>SUMIFS([0]!VOTOS2,[0]!TURNO1,Q$31,[0]!CANDIDATO1,$C425,[0]!MUNICIPIO1,$B$422)</f>
        <v>0</v>
      </c>
      <c r="R425" s="16">
        <f>SUMIFS([0]!VOTOS2,[0]!TURNO1,R$31,[0]!CANDIDATO1,$C425,[0]!MUNICIPIO1,$B$422)</f>
        <v>0</v>
      </c>
      <c r="S425" s="16">
        <f>SUMIFS([0]!VOTOS2,[0]!TURNO1,S$31,[0]!CANDIDATO1,$C425,[0]!MUNICIPIO1,$B$422)</f>
        <v>0</v>
      </c>
      <c r="T425" s="16">
        <f>SUMIFS([0]!VOTOS2,[0]!TURNO1,T$31,[0]!CANDIDATO1,$C425,[0]!MUNICIPIO1,$B$422)</f>
        <v>0</v>
      </c>
      <c r="U425" s="16">
        <f>SUMIFS([0]!VOTOS2,[0]!TURNO1,U$31,[0]!CANDIDATO1,$C425,[0]!MUNICIPIO1,$B$422)</f>
        <v>0</v>
      </c>
      <c r="V425" s="16">
        <f>SUMIFS([0]!VOTOS2,[0]!TURNO1,V$31,[0]!CANDIDATO1,$C425,[0]!MUNICIPIO1,$B$422)</f>
        <v>0</v>
      </c>
      <c r="W425" s="16">
        <f>SUMIFS([0]!VOTOS2,[0]!TURNO1,W$31,[0]!CANDIDATO1,$C425,[0]!MUNICIPIO1,$B$422)</f>
        <v>0</v>
      </c>
      <c r="X425" s="24"/>
      <c r="Y425" s="18" t="str">
        <f t="shared" si="996"/>
        <v>MARIO QUERALES</v>
      </c>
      <c r="Z425" s="34">
        <f t="shared" si="997"/>
        <v>60</v>
      </c>
      <c r="AA425" s="34">
        <f t="shared" si="998"/>
        <v>0</v>
      </c>
      <c r="AB425" s="34">
        <f t="shared" ref="AB425:AR425" si="1007">IF(SUM(G422:G434)=0,NA(),G425+AA425)</f>
        <v>4</v>
      </c>
      <c r="AC425" s="34">
        <f t="shared" si="1007"/>
        <v>15</v>
      </c>
      <c r="AD425" s="34">
        <f t="shared" si="1007"/>
        <v>26</v>
      </c>
      <c r="AE425" s="34">
        <f t="shared" si="1007"/>
        <v>46</v>
      </c>
      <c r="AF425" s="34">
        <f t="shared" si="1007"/>
        <v>49</v>
      </c>
      <c r="AG425" s="34">
        <f t="shared" si="1007"/>
        <v>57</v>
      </c>
      <c r="AH425" s="34">
        <f t="shared" si="1007"/>
        <v>59</v>
      </c>
      <c r="AI425" s="34">
        <f t="shared" si="1007"/>
        <v>60</v>
      </c>
      <c r="AJ425" s="34">
        <f t="shared" si="1007"/>
        <v>60</v>
      </c>
      <c r="AK425" s="34" t="e">
        <f t="shared" si="1007"/>
        <v>#N/A</v>
      </c>
      <c r="AL425" s="34" t="e">
        <f t="shared" si="1007"/>
        <v>#N/A</v>
      </c>
      <c r="AM425" s="34" t="e">
        <f t="shared" si="1007"/>
        <v>#N/A</v>
      </c>
      <c r="AN425" s="34" t="e">
        <f t="shared" si="1007"/>
        <v>#N/A</v>
      </c>
      <c r="AO425" s="34" t="e">
        <f t="shared" si="1007"/>
        <v>#N/A</v>
      </c>
      <c r="AP425" s="34" t="e">
        <f t="shared" si="1007"/>
        <v>#N/A</v>
      </c>
      <c r="AQ425" s="34" t="e">
        <f t="shared" si="1007"/>
        <v>#N/A</v>
      </c>
      <c r="AR425" s="34" t="e">
        <f t="shared" si="1007"/>
        <v>#N/A</v>
      </c>
      <c r="AS425" s="27"/>
      <c r="AT425" s="39"/>
      <c r="AU425" s="39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30"/>
    </row>
    <row r="426" spans="1:66" ht="11.25" customHeight="1" x14ac:dyDescent="0.2">
      <c r="A426" s="37"/>
      <c r="B426" s="73"/>
      <c r="C426" s="33">
        <v>5</v>
      </c>
      <c r="D426" s="13" t="s">
        <v>317</v>
      </c>
      <c r="E426" s="16">
        <f t="shared" si="995"/>
        <v>174</v>
      </c>
      <c r="F426" s="16">
        <f>SUMIFS([0]!VOTOS2,[0]!TURNO1,F$31,[0]!CANDIDATO1,$C426,[0]!MUNICIPIO1,$B$422)</f>
        <v>0</v>
      </c>
      <c r="G426" s="16">
        <f>SUMIFS([0]!VOTOS2,[0]!TURNO1,G$31,[0]!CANDIDATO1,$C426,[0]!MUNICIPIO1,$B$422)</f>
        <v>3</v>
      </c>
      <c r="H426" s="16">
        <f>SUMIFS([0]!VOTOS2,[0]!TURNO1,H$31,[0]!CANDIDATO1,$C426,[0]!MUNICIPIO1,$B$422)</f>
        <v>25</v>
      </c>
      <c r="I426" s="16">
        <f>SUMIFS([0]!VOTOS2,[0]!TURNO1,I$31,[0]!CANDIDATO1,$C426,[0]!MUNICIPIO1,$B$422)</f>
        <v>36</v>
      </c>
      <c r="J426" s="16">
        <f>SUMIFS([0]!VOTOS2,[0]!TURNO1,J$31,[0]!CANDIDATO1,$C426,[0]!MUNICIPIO1,$B$422)</f>
        <v>41</v>
      </c>
      <c r="K426" s="16">
        <f>SUMIFS([0]!VOTOS2,[0]!TURNO1,K$31,[0]!CANDIDATO1,$C426,[0]!MUNICIPIO1,$B$422)</f>
        <v>18</v>
      </c>
      <c r="L426" s="16">
        <f>SUMIFS([0]!VOTOS2,[0]!TURNO1,L$31,[0]!CANDIDATO1,$C426,[0]!MUNICIPIO1,$B$422)</f>
        <v>9</v>
      </c>
      <c r="M426" s="16">
        <f>SUMIFS([0]!VOTOS2,[0]!TURNO1,M$31,[0]!CANDIDATO1,$C426,[0]!MUNICIPIO1,$B$422)</f>
        <v>15</v>
      </c>
      <c r="N426" s="16">
        <f>SUMIFS([0]!VOTOS2,[0]!TURNO1,N$31,[0]!CANDIDATO1,$C426,[0]!MUNICIPIO1,$B$422)</f>
        <v>17</v>
      </c>
      <c r="O426" s="16">
        <f>SUMIFS([0]!VOTOS2,[0]!TURNO1,O$31,[0]!CANDIDATO1,$C426,[0]!MUNICIPIO1,$B$422)</f>
        <v>10</v>
      </c>
      <c r="P426" s="16">
        <f>SUMIFS([0]!VOTOS2,[0]!TURNO1,P$31,[0]!CANDIDATO1,$C426,[0]!MUNICIPIO1,$B$422)</f>
        <v>0</v>
      </c>
      <c r="Q426" s="16">
        <f>SUMIFS([0]!VOTOS2,[0]!TURNO1,Q$31,[0]!CANDIDATO1,$C426,[0]!MUNICIPIO1,$B$422)</f>
        <v>0</v>
      </c>
      <c r="R426" s="16">
        <f>SUMIFS([0]!VOTOS2,[0]!TURNO1,R$31,[0]!CANDIDATO1,$C426,[0]!MUNICIPIO1,$B$422)</f>
        <v>0</v>
      </c>
      <c r="S426" s="16">
        <f>SUMIFS([0]!VOTOS2,[0]!TURNO1,S$31,[0]!CANDIDATO1,$C426,[0]!MUNICIPIO1,$B$422)</f>
        <v>0</v>
      </c>
      <c r="T426" s="16">
        <f>SUMIFS([0]!VOTOS2,[0]!TURNO1,T$31,[0]!CANDIDATO1,$C426,[0]!MUNICIPIO1,$B$422)</f>
        <v>0</v>
      </c>
      <c r="U426" s="16">
        <f>SUMIFS([0]!VOTOS2,[0]!TURNO1,U$31,[0]!CANDIDATO1,$C426,[0]!MUNICIPIO1,$B$422)</f>
        <v>0</v>
      </c>
      <c r="V426" s="16">
        <f>SUMIFS([0]!VOTOS2,[0]!TURNO1,V$31,[0]!CANDIDATO1,$C426,[0]!MUNICIPIO1,$B$422)</f>
        <v>0</v>
      </c>
      <c r="W426" s="16">
        <f>SUMIFS([0]!VOTOS2,[0]!TURNO1,W$31,[0]!CANDIDATO1,$C426,[0]!MUNICIPIO1,$B$422)</f>
        <v>0</v>
      </c>
      <c r="X426" s="24"/>
      <c r="Y426" s="18" t="str">
        <f t="shared" si="996"/>
        <v>EDWIN JUAREZ</v>
      </c>
      <c r="Z426" s="34">
        <f t="shared" si="997"/>
        <v>174</v>
      </c>
      <c r="AA426" s="34">
        <f t="shared" si="998"/>
        <v>0</v>
      </c>
      <c r="AB426" s="34">
        <f t="shared" ref="AB426:AR426" si="1008">IF(SUM(G422:G434)=0,NA(),G426+AA426)</f>
        <v>3</v>
      </c>
      <c r="AC426" s="34">
        <f t="shared" si="1008"/>
        <v>28</v>
      </c>
      <c r="AD426" s="34">
        <f t="shared" si="1008"/>
        <v>64</v>
      </c>
      <c r="AE426" s="34">
        <f t="shared" si="1008"/>
        <v>105</v>
      </c>
      <c r="AF426" s="34">
        <f t="shared" si="1008"/>
        <v>123</v>
      </c>
      <c r="AG426" s="34">
        <f t="shared" si="1008"/>
        <v>132</v>
      </c>
      <c r="AH426" s="34">
        <f t="shared" si="1008"/>
        <v>147</v>
      </c>
      <c r="AI426" s="34">
        <f t="shared" si="1008"/>
        <v>164</v>
      </c>
      <c r="AJ426" s="34">
        <f t="shared" si="1008"/>
        <v>174</v>
      </c>
      <c r="AK426" s="34" t="e">
        <f t="shared" si="1008"/>
        <v>#N/A</v>
      </c>
      <c r="AL426" s="34" t="e">
        <f t="shared" si="1008"/>
        <v>#N/A</v>
      </c>
      <c r="AM426" s="34" t="e">
        <f t="shared" si="1008"/>
        <v>#N/A</v>
      </c>
      <c r="AN426" s="34" t="e">
        <f t="shared" si="1008"/>
        <v>#N/A</v>
      </c>
      <c r="AO426" s="34" t="e">
        <f t="shared" si="1008"/>
        <v>#N/A</v>
      </c>
      <c r="AP426" s="34" t="e">
        <f t="shared" si="1008"/>
        <v>#N/A</v>
      </c>
      <c r="AQ426" s="34" t="e">
        <f t="shared" si="1008"/>
        <v>#N/A</v>
      </c>
      <c r="AR426" s="34" t="e">
        <f t="shared" si="1008"/>
        <v>#N/A</v>
      </c>
      <c r="AS426" s="27"/>
      <c r="AT426" s="39"/>
      <c r="AU426" s="39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30"/>
    </row>
    <row r="427" spans="1:66" ht="11.25" customHeight="1" x14ac:dyDescent="0.2">
      <c r="A427" s="37"/>
      <c r="B427" s="73"/>
      <c r="C427" s="33">
        <v>6</v>
      </c>
      <c r="D427" s="13" t="s">
        <v>318</v>
      </c>
      <c r="E427" s="16">
        <f t="shared" si="995"/>
        <v>10</v>
      </c>
      <c r="F427" s="16">
        <f>SUMIFS([0]!VOTOS2,[0]!TURNO1,F$31,[0]!CANDIDATO1,$C427,[0]!MUNICIPIO1,$B$422)</f>
        <v>0</v>
      </c>
      <c r="G427" s="16">
        <f>SUMIFS([0]!VOTOS2,[0]!TURNO1,G$31,[0]!CANDIDATO1,$C427,[0]!MUNICIPIO1,$B$422)</f>
        <v>0</v>
      </c>
      <c r="H427" s="16">
        <f>SUMIFS([0]!VOTOS2,[0]!TURNO1,H$31,[0]!CANDIDATO1,$C427,[0]!MUNICIPIO1,$B$422)</f>
        <v>0</v>
      </c>
      <c r="I427" s="16">
        <f>SUMIFS([0]!VOTOS2,[0]!TURNO1,I$31,[0]!CANDIDATO1,$C427,[0]!MUNICIPIO1,$B$422)</f>
        <v>0</v>
      </c>
      <c r="J427" s="16">
        <f>SUMIFS([0]!VOTOS2,[0]!TURNO1,J$31,[0]!CANDIDATO1,$C427,[0]!MUNICIPIO1,$B$422)</f>
        <v>9</v>
      </c>
      <c r="K427" s="16">
        <f>SUMIFS([0]!VOTOS2,[0]!TURNO1,K$31,[0]!CANDIDATO1,$C427,[0]!MUNICIPIO1,$B$422)</f>
        <v>0</v>
      </c>
      <c r="L427" s="16">
        <f>SUMIFS([0]!VOTOS2,[0]!TURNO1,L$31,[0]!CANDIDATO1,$C427,[0]!MUNICIPIO1,$B$422)</f>
        <v>0</v>
      </c>
      <c r="M427" s="16">
        <f>SUMIFS([0]!VOTOS2,[0]!TURNO1,M$31,[0]!CANDIDATO1,$C427,[0]!MUNICIPIO1,$B$422)</f>
        <v>0</v>
      </c>
      <c r="N427" s="16">
        <f>SUMIFS([0]!VOTOS2,[0]!TURNO1,N$31,[0]!CANDIDATO1,$C427,[0]!MUNICIPIO1,$B$422)</f>
        <v>1</v>
      </c>
      <c r="O427" s="16">
        <f>SUMIFS([0]!VOTOS2,[0]!TURNO1,O$31,[0]!CANDIDATO1,$C427,[0]!MUNICIPIO1,$B$422)</f>
        <v>0</v>
      </c>
      <c r="P427" s="16">
        <f>SUMIFS([0]!VOTOS2,[0]!TURNO1,P$31,[0]!CANDIDATO1,$C427,[0]!MUNICIPIO1,$B$422)</f>
        <v>0</v>
      </c>
      <c r="Q427" s="16">
        <f>SUMIFS([0]!VOTOS2,[0]!TURNO1,Q$31,[0]!CANDIDATO1,$C427,[0]!MUNICIPIO1,$B$422)</f>
        <v>0</v>
      </c>
      <c r="R427" s="16">
        <f>SUMIFS([0]!VOTOS2,[0]!TURNO1,R$31,[0]!CANDIDATO1,$C427,[0]!MUNICIPIO1,$B$422)</f>
        <v>0</v>
      </c>
      <c r="S427" s="16">
        <f>SUMIFS([0]!VOTOS2,[0]!TURNO1,S$31,[0]!CANDIDATO1,$C427,[0]!MUNICIPIO1,$B$422)</f>
        <v>0</v>
      </c>
      <c r="T427" s="16">
        <f>SUMIFS([0]!VOTOS2,[0]!TURNO1,T$31,[0]!CANDIDATO1,$C427,[0]!MUNICIPIO1,$B$422)</f>
        <v>0</v>
      </c>
      <c r="U427" s="16">
        <f>SUMIFS([0]!VOTOS2,[0]!TURNO1,U$31,[0]!CANDIDATO1,$C427,[0]!MUNICIPIO1,$B$422)</f>
        <v>0</v>
      </c>
      <c r="V427" s="16">
        <f>SUMIFS([0]!VOTOS2,[0]!TURNO1,V$31,[0]!CANDIDATO1,$C427,[0]!MUNICIPIO1,$B$422)</f>
        <v>0</v>
      </c>
      <c r="W427" s="16">
        <f>SUMIFS([0]!VOTOS2,[0]!TURNO1,W$31,[0]!CANDIDATO1,$C427,[0]!MUNICIPIO1,$B$422)</f>
        <v>0</v>
      </c>
      <c r="X427" s="24"/>
      <c r="Y427" s="18" t="str">
        <f t="shared" si="996"/>
        <v>RICARDO CORONEL</v>
      </c>
      <c r="Z427" s="34">
        <f t="shared" si="997"/>
        <v>10</v>
      </c>
      <c r="AA427" s="34">
        <f t="shared" si="998"/>
        <v>0</v>
      </c>
      <c r="AB427" s="34">
        <f t="shared" ref="AB427:AR427" si="1009">IF(SUM(G422:G434)=0,NA(),G427+AA427)</f>
        <v>0</v>
      </c>
      <c r="AC427" s="34">
        <f t="shared" si="1009"/>
        <v>0</v>
      </c>
      <c r="AD427" s="34">
        <f t="shared" si="1009"/>
        <v>0</v>
      </c>
      <c r="AE427" s="34">
        <f t="shared" si="1009"/>
        <v>9</v>
      </c>
      <c r="AF427" s="34">
        <f t="shared" si="1009"/>
        <v>9</v>
      </c>
      <c r="AG427" s="34">
        <f t="shared" si="1009"/>
        <v>9</v>
      </c>
      <c r="AH427" s="34">
        <f t="shared" si="1009"/>
        <v>9</v>
      </c>
      <c r="AI427" s="34">
        <f t="shared" si="1009"/>
        <v>10</v>
      </c>
      <c r="AJ427" s="34">
        <f t="shared" si="1009"/>
        <v>10</v>
      </c>
      <c r="AK427" s="34" t="e">
        <f t="shared" si="1009"/>
        <v>#N/A</v>
      </c>
      <c r="AL427" s="34" t="e">
        <f t="shared" si="1009"/>
        <v>#N/A</v>
      </c>
      <c r="AM427" s="34" t="e">
        <f t="shared" si="1009"/>
        <v>#N/A</v>
      </c>
      <c r="AN427" s="34" t="e">
        <f t="shared" si="1009"/>
        <v>#N/A</v>
      </c>
      <c r="AO427" s="34" t="e">
        <f t="shared" si="1009"/>
        <v>#N/A</v>
      </c>
      <c r="AP427" s="34" t="e">
        <f t="shared" si="1009"/>
        <v>#N/A</v>
      </c>
      <c r="AQ427" s="34" t="e">
        <f t="shared" si="1009"/>
        <v>#N/A</v>
      </c>
      <c r="AR427" s="34" t="e">
        <f t="shared" si="1009"/>
        <v>#N/A</v>
      </c>
      <c r="AS427" s="27"/>
      <c r="AT427" s="39"/>
      <c r="AU427" s="39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30"/>
    </row>
    <row r="428" spans="1:66" ht="11.25" customHeight="1" x14ac:dyDescent="0.2">
      <c r="A428" s="42"/>
      <c r="B428" s="74"/>
      <c r="C428" s="33">
        <v>7</v>
      </c>
      <c r="D428" s="13" t="s">
        <v>319</v>
      </c>
      <c r="E428" s="16">
        <f t="shared" si="995"/>
        <v>5</v>
      </c>
      <c r="F428" s="16">
        <f>SUMIFS([0]!VOTOS2,[0]!TURNO1,F$31,[0]!CANDIDATO1,$C428,[0]!MUNICIPIO1,$B$422)</f>
        <v>0</v>
      </c>
      <c r="G428" s="16">
        <f>SUMIFS([0]!VOTOS2,[0]!TURNO1,G$31,[0]!CANDIDATO1,$C428,[0]!MUNICIPIO1,$B$422)</f>
        <v>0</v>
      </c>
      <c r="H428" s="16">
        <f>SUMIFS([0]!VOTOS2,[0]!TURNO1,H$31,[0]!CANDIDATO1,$C428,[0]!MUNICIPIO1,$B$422)</f>
        <v>0</v>
      </c>
      <c r="I428" s="16">
        <f>SUMIFS([0]!VOTOS2,[0]!TURNO1,I$31,[0]!CANDIDATO1,$C428,[0]!MUNICIPIO1,$B$422)</f>
        <v>0</v>
      </c>
      <c r="J428" s="16">
        <f>SUMIFS([0]!VOTOS2,[0]!TURNO1,J$31,[0]!CANDIDATO1,$C428,[0]!MUNICIPIO1,$B$422)</f>
        <v>1</v>
      </c>
      <c r="K428" s="16">
        <f>SUMIFS([0]!VOTOS2,[0]!TURNO1,K$31,[0]!CANDIDATO1,$C428,[0]!MUNICIPIO1,$B$422)</f>
        <v>0</v>
      </c>
      <c r="L428" s="16">
        <f>SUMIFS([0]!VOTOS2,[0]!TURNO1,L$31,[0]!CANDIDATO1,$C428,[0]!MUNICIPIO1,$B$422)</f>
        <v>0</v>
      </c>
      <c r="M428" s="16">
        <f>SUMIFS([0]!VOTOS2,[0]!TURNO1,M$31,[0]!CANDIDATO1,$C428,[0]!MUNICIPIO1,$B$422)</f>
        <v>0</v>
      </c>
      <c r="N428" s="16">
        <f>SUMIFS([0]!VOTOS2,[0]!TURNO1,N$31,[0]!CANDIDATO1,$C428,[0]!MUNICIPIO1,$B$422)</f>
        <v>3</v>
      </c>
      <c r="O428" s="16">
        <f>SUMIFS([0]!VOTOS2,[0]!TURNO1,O$31,[0]!CANDIDATO1,$C428,[0]!MUNICIPIO1,$B$422)</f>
        <v>1</v>
      </c>
      <c r="P428" s="16">
        <f>SUMIFS([0]!VOTOS2,[0]!TURNO1,P$31,[0]!CANDIDATO1,$C428,[0]!MUNICIPIO1,$B$422)</f>
        <v>0</v>
      </c>
      <c r="Q428" s="16">
        <f>SUMIFS([0]!VOTOS2,[0]!TURNO1,Q$31,[0]!CANDIDATO1,$C428,[0]!MUNICIPIO1,$B$422)</f>
        <v>0</v>
      </c>
      <c r="R428" s="16">
        <f>SUMIFS([0]!VOTOS2,[0]!TURNO1,R$31,[0]!CANDIDATO1,$C428,[0]!MUNICIPIO1,$B$422)</f>
        <v>0</v>
      </c>
      <c r="S428" s="16">
        <f>SUMIFS([0]!VOTOS2,[0]!TURNO1,S$31,[0]!CANDIDATO1,$C428,[0]!MUNICIPIO1,$B$422)</f>
        <v>0</v>
      </c>
      <c r="T428" s="16">
        <f>SUMIFS([0]!VOTOS2,[0]!TURNO1,T$31,[0]!CANDIDATO1,$C428,[0]!MUNICIPIO1,$B$422)</f>
        <v>0</v>
      </c>
      <c r="U428" s="16">
        <f>SUMIFS([0]!VOTOS2,[0]!TURNO1,U$31,[0]!CANDIDATO1,$C428,[0]!MUNICIPIO1,$B$422)</f>
        <v>0</v>
      </c>
      <c r="V428" s="16">
        <f>SUMIFS([0]!VOTOS2,[0]!TURNO1,V$31,[0]!CANDIDATO1,$C428,[0]!MUNICIPIO1,$B$422)</f>
        <v>0</v>
      </c>
      <c r="W428" s="16">
        <f>SUMIFS([0]!VOTOS2,[0]!TURNO1,W$31,[0]!CANDIDATO1,$C428,[0]!MUNICIPIO1,$B$422)</f>
        <v>0</v>
      </c>
      <c r="X428" s="24"/>
      <c r="Y428" s="18" t="str">
        <f t="shared" si="996"/>
        <v>FELIPE LOPEZ</v>
      </c>
      <c r="Z428" s="34">
        <f t="shared" si="997"/>
        <v>5</v>
      </c>
      <c r="AA428" s="34">
        <f t="shared" si="998"/>
        <v>0</v>
      </c>
      <c r="AB428" s="34">
        <f t="shared" ref="AB428:AR428" si="1010">IF(SUM(G422:G434)=0,NA(),G428+AA428)</f>
        <v>0</v>
      </c>
      <c r="AC428" s="34">
        <f t="shared" si="1010"/>
        <v>0</v>
      </c>
      <c r="AD428" s="34">
        <f t="shared" si="1010"/>
        <v>0</v>
      </c>
      <c r="AE428" s="34">
        <f t="shared" si="1010"/>
        <v>1</v>
      </c>
      <c r="AF428" s="34">
        <f t="shared" si="1010"/>
        <v>1</v>
      </c>
      <c r="AG428" s="34">
        <f t="shared" si="1010"/>
        <v>1</v>
      </c>
      <c r="AH428" s="34">
        <f t="shared" si="1010"/>
        <v>1</v>
      </c>
      <c r="AI428" s="34">
        <f t="shared" si="1010"/>
        <v>4</v>
      </c>
      <c r="AJ428" s="34">
        <f t="shared" si="1010"/>
        <v>5</v>
      </c>
      <c r="AK428" s="34" t="e">
        <f t="shared" si="1010"/>
        <v>#N/A</v>
      </c>
      <c r="AL428" s="34" t="e">
        <f t="shared" si="1010"/>
        <v>#N/A</v>
      </c>
      <c r="AM428" s="34" t="e">
        <f t="shared" si="1010"/>
        <v>#N/A</v>
      </c>
      <c r="AN428" s="34" t="e">
        <f t="shared" si="1010"/>
        <v>#N/A</v>
      </c>
      <c r="AO428" s="34" t="e">
        <f t="shared" si="1010"/>
        <v>#N/A</v>
      </c>
      <c r="AP428" s="34" t="e">
        <f t="shared" si="1010"/>
        <v>#N/A</v>
      </c>
      <c r="AQ428" s="34" t="e">
        <f t="shared" si="1010"/>
        <v>#N/A</v>
      </c>
      <c r="AR428" s="34" t="e">
        <f t="shared" si="1010"/>
        <v>#N/A</v>
      </c>
      <c r="AS428" s="27"/>
      <c r="AT428" s="39"/>
      <c r="AU428" s="39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30"/>
    </row>
    <row r="429" spans="1:66" ht="11.25" customHeight="1" x14ac:dyDescent="0.2">
      <c r="A429" s="44"/>
      <c r="B429" s="45"/>
      <c r="C429" s="46">
        <v>8</v>
      </c>
      <c r="D429" s="14" t="s">
        <v>76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24"/>
      <c r="Y429" s="18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27"/>
      <c r="AT429" s="41"/>
      <c r="AU429" s="41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30"/>
    </row>
    <row r="430" spans="1:66" ht="11.25" customHeight="1" x14ac:dyDescent="0.2">
      <c r="A430" s="44"/>
      <c r="B430" s="45"/>
      <c r="C430" s="46">
        <v>9</v>
      </c>
      <c r="D430" s="14" t="s">
        <v>76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24"/>
      <c r="Y430" s="18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27"/>
      <c r="AT430" s="41"/>
      <c r="AU430" s="41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30"/>
    </row>
    <row r="431" spans="1:66" ht="11.25" customHeight="1" x14ac:dyDescent="0.2">
      <c r="A431" s="44"/>
      <c r="B431" s="45"/>
      <c r="C431" s="46">
        <v>10</v>
      </c>
      <c r="D431" s="14" t="s">
        <v>76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24"/>
      <c r="Y431" s="18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27"/>
      <c r="AT431" s="41"/>
      <c r="AU431" s="41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30"/>
    </row>
    <row r="432" spans="1:66" ht="11.25" customHeight="1" x14ac:dyDescent="0.2">
      <c r="A432" s="44"/>
      <c r="B432" s="45"/>
      <c r="C432" s="46">
        <v>11</v>
      </c>
      <c r="D432" s="14" t="s">
        <v>76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24"/>
      <c r="Y432" s="18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27"/>
      <c r="AT432" s="41"/>
      <c r="AU432" s="41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30"/>
    </row>
    <row r="433" spans="1:66" ht="11.25" customHeight="1" x14ac:dyDescent="0.2">
      <c r="A433" s="44"/>
      <c r="B433" s="45"/>
      <c r="C433" s="46">
        <v>12</v>
      </c>
      <c r="D433" s="14" t="s">
        <v>76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24"/>
      <c r="Y433" s="18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27"/>
      <c r="AT433" s="41"/>
      <c r="AU433" s="41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30"/>
    </row>
    <row r="434" spans="1:66" ht="11.25" customHeight="1" x14ac:dyDescent="0.2">
      <c r="A434" s="44"/>
      <c r="B434" s="45"/>
      <c r="C434" s="46">
        <v>13</v>
      </c>
      <c r="D434" s="14" t="s">
        <v>76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24"/>
      <c r="Y434" s="18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27"/>
      <c r="AT434" s="41"/>
      <c r="AU434" s="41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30"/>
    </row>
    <row r="435" spans="1:66" ht="11.25" customHeight="1" x14ac:dyDescent="0.2">
      <c r="X435" s="24"/>
      <c r="Y435" s="19" t="s">
        <v>79</v>
      </c>
      <c r="Z435" s="34">
        <f t="shared" ref="Z435" si="1011">SUM(Z424:Z434)</f>
        <v>269</v>
      </c>
      <c r="AA435" s="34">
        <f t="shared" ref="AA435" si="1012">SUM(AA424:AA434)</f>
        <v>0</v>
      </c>
      <c r="AB435" s="34">
        <f t="shared" ref="AB435" si="1013">SUM(AB424:AB434)</f>
        <v>17</v>
      </c>
      <c r="AC435" s="34">
        <f t="shared" ref="AC435" si="1014">SUM(AC424:AC434)</f>
        <v>58</v>
      </c>
      <c r="AD435" s="34">
        <f t="shared" ref="AD435" si="1015">SUM(AD424:AD434)</f>
        <v>105</v>
      </c>
      <c r="AE435" s="34">
        <f t="shared" ref="AE435" si="1016">SUM(AE424:AE434)</f>
        <v>176</v>
      </c>
      <c r="AF435" s="34">
        <f t="shared" ref="AF435" si="1017">SUM(AF424:AF434)</f>
        <v>199</v>
      </c>
      <c r="AG435" s="34">
        <f t="shared" ref="AG435" si="1018">SUM(AG424:AG434)</f>
        <v>218</v>
      </c>
      <c r="AH435" s="34">
        <f t="shared" ref="AH435" si="1019">SUM(AH424:AH434)</f>
        <v>235</v>
      </c>
      <c r="AI435" s="34">
        <f t="shared" ref="AI435" si="1020">SUM(AI424:AI434)</f>
        <v>258</v>
      </c>
      <c r="AJ435" s="34">
        <f t="shared" ref="AJ435" si="1021">SUM(AJ424:AJ434)</f>
        <v>269</v>
      </c>
      <c r="AK435" s="34" t="e">
        <f t="shared" ref="AK435" si="1022">SUM(AK424:AK434)</f>
        <v>#N/A</v>
      </c>
      <c r="AL435" s="34" t="e">
        <f t="shared" ref="AL435" si="1023">SUM(AL424:AL434)</f>
        <v>#N/A</v>
      </c>
      <c r="AM435" s="34" t="e">
        <f t="shared" ref="AM435" si="1024">SUM(AM424:AM434)</f>
        <v>#N/A</v>
      </c>
      <c r="AN435" s="34" t="e">
        <f t="shared" ref="AN435" si="1025">SUM(AN424:AN434)</f>
        <v>#N/A</v>
      </c>
      <c r="AO435" s="34" t="e">
        <f t="shared" ref="AO435" si="1026">SUM(AO424:AO434)</f>
        <v>#N/A</v>
      </c>
      <c r="AP435" s="34" t="e">
        <f t="shared" ref="AP435" si="1027">SUM(AP424:AP434)</f>
        <v>#N/A</v>
      </c>
      <c r="AQ435" s="34" t="e">
        <f t="shared" ref="AQ435" si="1028">SUM(AQ424:AQ434)</f>
        <v>#N/A</v>
      </c>
      <c r="AR435" s="34" t="e">
        <f t="shared" ref="AR435" si="1029">SUM(AR424:AR434)</f>
        <v>#N/A</v>
      </c>
      <c r="AS435" s="27"/>
      <c r="AT435" s="41"/>
      <c r="AU435" s="41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30"/>
    </row>
    <row r="436" spans="1:66" ht="11.25" customHeight="1" x14ac:dyDescent="0.2">
      <c r="A436" s="75" t="s">
        <v>63</v>
      </c>
      <c r="B436" s="76"/>
      <c r="C436" s="21"/>
      <c r="D436" s="22" t="s">
        <v>75</v>
      </c>
      <c r="E436" s="23" t="s">
        <v>70</v>
      </c>
      <c r="F436" s="23">
        <v>0</v>
      </c>
      <c r="G436" s="23">
        <v>1</v>
      </c>
      <c r="H436" s="23">
        <v>2</v>
      </c>
      <c r="I436" s="23">
        <v>3</v>
      </c>
      <c r="J436" s="23">
        <v>4</v>
      </c>
      <c r="K436" s="23">
        <v>5</v>
      </c>
      <c r="L436" s="23">
        <v>6</v>
      </c>
      <c r="M436" s="23">
        <v>7</v>
      </c>
      <c r="N436" s="23">
        <v>8</v>
      </c>
      <c r="O436" s="23">
        <v>9</v>
      </c>
      <c r="P436" s="23">
        <v>10</v>
      </c>
      <c r="Q436" s="23">
        <v>11</v>
      </c>
      <c r="R436" s="23">
        <v>12</v>
      </c>
      <c r="S436" s="23">
        <v>13</v>
      </c>
      <c r="T436" s="23">
        <v>14</v>
      </c>
      <c r="U436" s="23">
        <v>15</v>
      </c>
      <c r="V436" s="23">
        <v>16</v>
      </c>
      <c r="W436" s="23">
        <v>17</v>
      </c>
      <c r="X436" s="24"/>
      <c r="Y436" s="17"/>
      <c r="Z436" s="25" t="s">
        <v>64</v>
      </c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7"/>
      <c r="AT436" s="28"/>
      <c r="AU436" s="28" t="s">
        <v>64</v>
      </c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30"/>
    </row>
    <row r="437" spans="1:66" ht="11.25" customHeight="1" x14ac:dyDescent="0.2">
      <c r="A437" s="32"/>
      <c r="B437" s="72">
        <v>30</v>
      </c>
      <c r="C437" s="33">
        <v>1</v>
      </c>
      <c r="D437" s="13" t="s">
        <v>320</v>
      </c>
      <c r="E437" s="16">
        <f t="shared" ref="E437:E443" si="1030">SUM(F437:W437)</f>
        <v>1159</v>
      </c>
      <c r="F437" s="16">
        <f>SUMIFS([0]!VOTOS2,[0]!TURNO1,F$31,[0]!CANDIDATO1,$C437,[0]!MUNICIPIO1,$B$437)</f>
        <v>10</v>
      </c>
      <c r="G437" s="16">
        <f>SUMIFS([0]!VOTOS2,[0]!TURNO1,G$31,[0]!CANDIDATO1,$C437,[0]!MUNICIPIO1,$B$437)</f>
        <v>120</v>
      </c>
      <c r="H437" s="16">
        <f>SUMIFS([0]!VOTOS2,[0]!TURNO1,H$31,[0]!CANDIDATO1,$C437,[0]!MUNICIPIO1,$B$437)</f>
        <v>100</v>
      </c>
      <c r="I437" s="16">
        <f>SUMIFS([0]!VOTOS2,[0]!TURNO1,I$31,[0]!CANDIDATO1,$C437,[0]!MUNICIPIO1,$B$437)</f>
        <v>108</v>
      </c>
      <c r="J437" s="16">
        <f>SUMIFS([0]!VOTOS2,[0]!TURNO1,J$31,[0]!CANDIDATO1,$C437,[0]!MUNICIPIO1,$B$437)</f>
        <v>113</v>
      </c>
      <c r="K437" s="16">
        <f>SUMIFS([0]!VOTOS2,[0]!TURNO1,K$31,[0]!CANDIDATO1,$C437,[0]!MUNICIPIO1,$B$437)</f>
        <v>154</v>
      </c>
      <c r="L437" s="16">
        <f>SUMIFS([0]!VOTOS2,[0]!TURNO1,L$31,[0]!CANDIDATO1,$C437,[0]!MUNICIPIO1,$B$437)</f>
        <v>173</v>
      </c>
      <c r="M437" s="16">
        <f>SUMIFS([0]!VOTOS2,[0]!TURNO1,M$31,[0]!CANDIDATO1,$C437,[0]!MUNICIPIO1,$B$437)</f>
        <v>167</v>
      </c>
      <c r="N437" s="16">
        <f>SUMIFS([0]!VOTOS2,[0]!TURNO1,N$31,[0]!CANDIDATO1,$C437,[0]!MUNICIPIO1,$B$437)</f>
        <v>121</v>
      </c>
      <c r="O437" s="16">
        <f>SUMIFS([0]!VOTOS2,[0]!TURNO1,O$31,[0]!CANDIDATO1,$C437,[0]!MUNICIPIO1,$B$437)</f>
        <v>93</v>
      </c>
      <c r="P437" s="16">
        <f>SUMIFS([0]!VOTOS2,[0]!TURNO1,P$31,[0]!CANDIDATO1,$C437,[0]!MUNICIPIO1,$B$437)</f>
        <v>0</v>
      </c>
      <c r="Q437" s="16">
        <f>SUMIFS([0]!VOTOS2,[0]!TURNO1,Q$31,[0]!CANDIDATO1,$C437,[0]!MUNICIPIO1,$B$437)</f>
        <v>0</v>
      </c>
      <c r="R437" s="16">
        <f>SUMIFS([0]!VOTOS2,[0]!TURNO1,R$31,[0]!CANDIDATO1,$C437,[0]!MUNICIPIO1,$B$437)</f>
        <v>0</v>
      </c>
      <c r="S437" s="16">
        <f>SUMIFS([0]!VOTOS2,[0]!TURNO1,S$31,[0]!CANDIDATO1,$C437,[0]!MUNICIPIO1,$B$437)</f>
        <v>0</v>
      </c>
      <c r="T437" s="16">
        <f>SUMIFS([0]!VOTOS2,[0]!TURNO1,T$31,[0]!CANDIDATO1,$C437,[0]!MUNICIPIO1,$B$437)</f>
        <v>0</v>
      </c>
      <c r="U437" s="16">
        <f>SUMIFS([0]!VOTOS2,[0]!TURNO1,U$31,[0]!CANDIDATO1,$C437,[0]!MUNICIPIO1,$B$437)</f>
        <v>0</v>
      </c>
      <c r="V437" s="16">
        <f>SUMIFS([0]!VOTOS2,[0]!TURNO1,V$31,[0]!CANDIDATO1,$C437,[0]!MUNICIPIO1,$B$437)</f>
        <v>0</v>
      </c>
      <c r="W437" s="16">
        <f>SUMIFS([0]!VOTOS2,[0]!TURNO1,W$31,[0]!CANDIDATO1,$C437,[0]!MUNICIPIO1,$B$437)</f>
        <v>0</v>
      </c>
      <c r="X437" s="24"/>
      <c r="Y437" s="18" t="str">
        <f t="shared" ref="Y437:Y443" si="1031">D437</f>
        <v>MARIA CASTILLO</v>
      </c>
      <c r="Z437" s="34">
        <f t="shared" ref="Z437:Z443" si="1032">E437</f>
        <v>1159</v>
      </c>
      <c r="AA437" s="34">
        <f t="shared" ref="AA437:AA443" si="1033">F437</f>
        <v>10</v>
      </c>
      <c r="AB437" s="34">
        <f t="shared" ref="AB437:AR437" si="1034">IF(SUM(G437:G449)=0,NA(),G437+AA437)</f>
        <v>130</v>
      </c>
      <c r="AC437" s="34">
        <f t="shared" si="1034"/>
        <v>230</v>
      </c>
      <c r="AD437" s="34">
        <f t="shared" si="1034"/>
        <v>338</v>
      </c>
      <c r="AE437" s="34">
        <f t="shared" si="1034"/>
        <v>451</v>
      </c>
      <c r="AF437" s="34">
        <f t="shared" si="1034"/>
        <v>605</v>
      </c>
      <c r="AG437" s="34">
        <f t="shared" si="1034"/>
        <v>778</v>
      </c>
      <c r="AH437" s="34">
        <f t="shared" si="1034"/>
        <v>945</v>
      </c>
      <c r="AI437" s="34">
        <f t="shared" si="1034"/>
        <v>1066</v>
      </c>
      <c r="AJ437" s="34">
        <f t="shared" si="1034"/>
        <v>1159</v>
      </c>
      <c r="AK437" s="34" t="e">
        <f t="shared" si="1034"/>
        <v>#N/A</v>
      </c>
      <c r="AL437" s="34" t="e">
        <f t="shared" si="1034"/>
        <v>#N/A</v>
      </c>
      <c r="AM437" s="34" t="e">
        <f t="shared" si="1034"/>
        <v>#N/A</v>
      </c>
      <c r="AN437" s="34" t="e">
        <f t="shared" si="1034"/>
        <v>#N/A</v>
      </c>
      <c r="AO437" s="34" t="e">
        <f t="shared" si="1034"/>
        <v>#N/A</v>
      </c>
      <c r="AP437" s="34" t="e">
        <f t="shared" si="1034"/>
        <v>#N/A</v>
      </c>
      <c r="AQ437" s="34" t="e">
        <f t="shared" si="1034"/>
        <v>#N/A</v>
      </c>
      <c r="AR437" s="34" t="e">
        <f t="shared" si="1034"/>
        <v>#N/A</v>
      </c>
      <c r="AS437" s="27"/>
      <c r="AT437" s="35" t="str">
        <f t="shared" ref="AT437:AT438" si="1035">Y437</f>
        <v>MARIA CASTILLO</v>
      </c>
      <c r="AU437" s="36">
        <f t="shared" ref="AU437:BM437" si="1036">Z437/(Z437+Z438+Z450)</f>
        <v>0.44576923076923075</v>
      </c>
      <c r="AV437" s="36">
        <f t="shared" si="1036"/>
        <v>0.5</v>
      </c>
      <c r="AW437" s="36">
        <f t="shared" si="1036"/>
        <v>0.4024767801857585</v>
      </c>
      <c r="AX437" s="36">
        <f t="shared" si="1036"/>
        <v>0.38590604026845637</v>
      </c>
      <c r="AY437" s="36">
        <f t="shared" si="1036"/>
        <v>0.38850574712643676</v>
      </c>
      <c r="AZ437" s="36">
        <f t="shared" si="1036"/>
        <v>0.39423076923076922</v>
      </c>
      <c r="BA437" s="36">
        <f t="shared" si="1036"/>
        <v>0.40989159891598914</v>
      </c>
      <c r="BB437" s="36">
        <f t="shared" si="1036"/>
        <v>0.42490442381212451</v>
      </c>
      <c r="BC437" s="36">
        <f t="shared" si="1036"/>
        <v>0.43548387096774194</v>
      </c>
      <c r="BD437" s="36">
        <f t="shared" si="1036"/>
        <v>0.44379683597002501</v>
      </c>
      <c r="BE437" s="36">
        <f t="shared" si="1036"/>
        <v>0.44576923076923075</v>
      </c>
      <c r="BF437" s="36" t="e">
        <f t="shared" si="1036"/>
        <v>#N/A</v>
      </c>
      <c r="BG437" s="36" t="e">
        <f t="shared" si="1036"/>
        <v>#N/A</v>
      </c>
      <c r="BH437" s="36" t="e">
        <f t="shared" si="1036"/>
        <v>#N/A</v>
      </c>
      <c r="BI437" s="36" t="e">
        <f t="shared" si="1036"/>
        <v>#N/A</v>
      </c>
      <c r="BJ437" s="36" t="e">
        <f t="shared" si="1036"/>
        <v>#N/A</v>
      </c>
      <c r="BK437" s="36" t="e">
        <f t="shared" si="1036"/>
        <v>#N/A</v>
      </c>
      <c r="BL437" s="36" t="e">
        <f t="shared" si="1036"/>
        <v>#N/A</v>
      </c>
      <c r="BM437" s="36" t="e">
        <f t="shared" si="1036"/>
        <v>#N/A</v>
      </c>
      <c r="BN437" s="30"/>
    </row>
    <row r="438" spans="1:66" ht="11.25" customHeight="1" x14ac:dyDescent="0.2">
      <c r="A438" s="37"/>
      <c r="B438" s="73"/>
      <c r="C438" s="33">
        <v>2</v>
      </c>
      <c r="D438" s="13" t="s">
        <v>321</v>
      </c>
      <c r="E438" s="16">
        <f t="shared" si="1030"/>
        <v>1351</v>
      </c>
      <c r="F438" s="16">
        <f>SUMIFS([0]!VOTOS2,[0]!TURNO1,F$31,[0]!CANDIDATO1,$C438,[0]!MUNICIPIO1,$B$437)</f>
        <v>10</v>
      </c>
      <c r="G438" s="16">
        <f>SUMIFS([0]!VOTOS2,[0]!TURNO1,G$31,[0]!CANDIDATO1,$C438,[0]!MUNICIPIO1,$B$437)</f>
        <v>163</v>
      </c>
      <c r="H438" s="16">
        <f>SUMIFS([0]!VOTOS2,[0]!TURNO1,H$31,[0]!CANDIDATO1,$C438,[0]!MUNICIPIO1,$B$437)</f>
        <v>158</v>
      </c>
      <c r="I438" s="16">
        <f>SUMIFS([0]!VOTOS2,[0]!TURNO1,I$31,[0]!CANDIDATO1,$C438,[0]!MUNICIPIO1,$B$437)</f>
        <v>150</v>
      </c>
      <c r="J438" s="16">
        <f>SUMIFS([0]!VOTOS2,[0]!TURNO1,J$31,[0]!CANDIDATO1,$C438,[0]!MUNICIPIO1,$B$437)</f>
        <v>151</v>
      </c>
      <c r="K438" s="16">
        <f>SUMIFS([0]!VOTOS2,[0]!TURNO1,K$31,[0]!CANDIDATO1,$C438,[0]!MUNICIPIO1,$B$437)</f>
        <v>172</v>
      </c>
      <c r="L438" s="16">
        <f>SUMIFS([0]!VOTOS2,[0]!TURNO1,L$31,[0]!CANDIDATO1,$C438,[0]!MUNICIPIO1,$B$437)</f>
        <v>173</v>
      </c>
      <c r="M438" s="16">
        <f>SUMIFS([0]!VOTOS2,[0]!TURNO1,M$31,[0]!CANDIDATO1,$C438,[0]!MUNICIPIO1,$B$437)</f>
        <v>165</v>
      </c>
      <c r="N438" s="16">
        <f>SUMIFS([0]!VOTOS2,[0]!TURNO1,N$31,[0]!CANDIDATO1,$C438,[0]!MUNICIPIO1,$B$437)</f>
        <v>109</v>
      </c>
      <c r="O438" s="16">
        <f>SUMIFS([0]!VOTOS2,[0]!TURNO1,O$31,[0]!CANDIDATO1,$C438,[0]!MUNICIPIO1,$B$437)</f>
        <v>100</v>
      </c>
      <c r="P438" s="16">
        <f>SUMIFS([0]!VOTOS2,[0]!TURNO1,P$31,[0]!CANDIDATO1,$C438,[0]!MUNICIPIO1,$B$437)</f>
        <v>0</v>
      </c>
      <c r="Q438" s="16">
        <f>SUMIFS([0]!VOTOS2,[0]!TURNO1,Q$31,[0]!CANDIDATO1,$C438,[0]!MUNICIPIO1,$B$437)</f>
        <v>0</v>
      </c>
      <c r="R438" s="16">
        <f>SUMIFS([0]!VOTOS2,[0]!TURNO1,R$31,[0]!CANDIDATO1,$C438,[0]!MUNICIPIO1,$B$437)</f>
        <v>0</v>
      </c>
      <c r="S438" s="16">
        <f>SUMIFS([0]!VOTOS2,[0]!TURNO1,S$31,[0]!CANDIDATO1,$C438,[0]!MUNICIPIO1,$B$437)</f>
        <v>0</v>
      </c>
      <c r="T438" s="16">
        <f>SUMIFS([0]!VOTOS2,[0]!TURNO1,T$31,[0]!CANDIDATO1,$C438,[0]!MUNICIPIO1,$B$437)</f>
        <v>0</v>
      </c>
      <c r="U438" s="16">
        <f>SUMIFS([0]!VOTOS2,[0]!TURNO1,U$31,[0]!CANDIDATO1,$C438,[0]!MUNICIPIO1,$B$437)</f>
        <v>0</v>
      </c>
      <c r="V438" s="16">
        <f>SUMIFS([0]!VOTOS2,[0]!TURNO1,V$31,[0]!CANDIDATO1,$C438,[0]!MUNICIPIO1,$B$437)</f>
        <v>0</v>
      </c>
      <c r="W438" s="16">
        <f>SUMIFS([0]!VOTOS2,[0]!TURNO1,W$31,[0]!CANDIDATO1,$C438,[0]!MUNICIPIO1,$B$437)</f>
        <v>0</v>
      </c>
      <c r="X438" s="24"/>
      <c r="Y438" s="18" t="str">
        <f t="shared" si="1031"/>
        <v>CARLOS GARCIA</v>
      </c>
      <c r="Z438" s="34">
        <f t="shared" si="1032"/>
        <v>1351</v>
      </c>
      <c r="AA438" s="34">
        <f t="shared" si="1033"/>
        <v>10</v>
      </c>
      <c r="AB438" s="34">
        <f t="shared" ref="AB438:AR438" si="1037">IF(SUM(G437:G449)=0,NA(),G438+AA438)</f>
        <v>173</v>
      </c>
      <c r="AC438" s="34">
        <f t="shared" si="1037"/>
        <v>331</v>
      </c>
      <c r="AD438" s="34">
        <f t="shared" si="1037"/>
        <v>481</v>
      </c>
      <c r="AE438" s="34">
        <f t="shared" si="1037"/>
        <v>632</v>
      </c>
      <c r="AF438" s="34">
        <f t="shared" si="1037"/>
        <v>804</v>
      </c>
      <c r="AG438" s="34">
        <f t="shared" si="1037"/>
        <v>977</v>
      </c>
      <c r="AH438" s="34">
        <f t="shared" si="1037"/>
        <v>1142</v>
      </c>
      <c r="AI438" s="34">
        <f t="shared" si="1037"/>
        <v>1251</v>
      </c>
      <c r="AJ438" s="34">
        <f t="shared" si="1037"/>
        <v>1351</v>
      </c>
      <c r="AK438" s="34" t="e">
        <f t="shared" si="1037"/>
        <v>#N/A</v>
      </c>
      <c r="AL438" s="34" t="e">
        <f t="shared" si="1037"/>
        <v>#N/A</v>
      </c>
      <c r="AM438" s="34" t="e">
        <f t="shared" si="1037"/>
        <v>#N/A</v>
      </c>
      <c r="AN438" s="34" t="e">
        <f t="shared" si="1037"/>
        <v>#N/A</v>
      </c>
      <c r="AO438" s="34" t="e">
        <f t="shared" si="1037"/>
        <v>#N/A</v>
      </c>
      <c r="AP438" s="34" t="e">
        <f t="shared" si="1037"/>
        <v>#N/A</v>
      </c>
      <c r="AQ438" s="34" t="e">
        <f t="shared" si="1037"/>
        <v>#N/A</v>
      </c>
      <c r="AR438" s="34" t="e">
        <f t="shared" si="1037"/>
        <v>#N/A</v>
      </c>
      <c r="AS438" s="27"/>
      <c r="AT438" s="35" t="str">
        <f t="shared" si="1035"/>
        <v>CARLOS GARCIA</v>
      </c>
      <c r="AU438" s="36">
        <f t="shared" ref="AU438:BM438" si="1038">Z438/(Z437+Z438+Z450)</f>
        <v>0.51961538461538459</v>
      </c>
      <c r="AV438" s="36">
        <f t="shared" si="1038"/>
        <v>0.5</v>
      </c>
      <c r="AW438" s="36">
        <f t="shared" si="1038"/>
        <v>0.5356037151702786</v>
      </c>
      <c r="AX438" s="36">
        <f t="shared" si="1038"/>
        <v>0.55536912751677847</v>
      </c>
      <c r="AY438" s="36">
        <f t="shared" si="1038"/>
        <v>0.55287356321839076</v>
      </c>
      <c r="AZ438" s="36">
        <f t="shared" si="1038"/>
        <v>0.55244755244755239</v>
      </c>
      <c r="BA438" s="36">
        <f t="shared" si="1038"/>
        <v>0.54471544715447151</v>
      </c>
      <c r="BB438" s="36">
        <f t="shared" si="1038"/>
        <v>0.53358820316766797</v>
      </c>
      <c r="BC438" s="36">
        <f t="shared" si="1038"/>
        <v>0.52626728110599075</v>
      </c>
      <c r="BD438" s="36">
        <f t="shared" si="1038"/>
        <v>0.52081598667776852</v>
      </c>
      <c r="BE438" s="36">
        <f t="shared" si="1038"/>
        <v>0.51961538461538459</v>
      </c>
      <c r="BF438" s="36" t="e">
        <f t="shared" si="1038"/>
        <v>#N/A</v>
      </c>
      <c r="BG438" s="36" t="e">
        <f t="shared" si="1038"/>
        <v>#N/A</v>
      </c>
      <c r="BH438" s="36" t="e">
        <f t="shared" si="1038"/>
        <v>#N/A</v>
      </c>
      <c r="BI438" s="36" t="e">
        <f t="shared" si="1038"/>
        <v>#N/A</v>
      </c>
      <c r="BJ438" s="36" t="e">
        <f t="shared" si="1038"/>
        <v>#N/A</v>
      </c>
      <c r="BK438" s="36" t="e">
        <f t="shared" si="1038"/>
        <v>#N/A</v>
      </c>
      <c r="BL438" s="36" t="e">
        <f t="shared" si="1038"/>
        <v>#N/A</v>
      </c>
      <c r="BM438" s="36" t="e">
        <f t="shared" si="1038"/>
        <v>#N/A</v>
      </c>
      <c r="BN438" s="30"/>
    </row>
    <row r="439" spans="1:66" ht="11.25" customHeight="1" x14ac:dyDescent="0.2">
      <c r="A439" s="37"/>
      <c r="B439" s="73"/>
      <c r="C439" s="33">
        <v>3</v>
      </c>
      <c r="D439" s="13" t="s">
        <v>322</v>
      </c>
      <c r="E439" s="16">
        <f t="shared" si="1030"/>
        <v>75</v>
      </c>
      <c r="F439" s="16">
        <f>SUMIFS([0]!VOTOS2,[0]!TURNO1,F$31,[0]!CANDIDATO1,$C439,[0]!MUNICIPIO1,$B$437)</f>
        <v>0</v>
      </c>
      <c r="G439" s="16">
        <f>SUMIFS([0]!VOTOS2,[0]!TURNO1,G$31,[0]!CANDIDATO1,$C439,[0]!MUNICIPIO1,$B$437)</f>
        <v>17</v>
      </c>
      <c r="H439" s="16">
        <f>SUMIFS([0]!VOTOS2,[0]!TURNO1,H$31,[0]!CANDIDATO1,$C439,[0]!MUNICIPIO1,$B$437)</f>
        <v>8</v>
      </c>
      <c r="I439" s="16">
        <f>SUMIFS([0]!VOTOS2,[0]!TURNO1,I$31,[0]!CANDIDATO1,$C439,[0]!MUNICIPIO1,$B$437)</f>
        <v>16</v>
      </c>
      <c r="J439" s="16">
        <f>SUMIFS([0]!VOTOS2,[0]!TURNO1,J$31,[0]!CANDIDATO1,$C439,[0]!MUNICIPIO1,$B$437)</f>
        <v>8</v>
      </c>
      <c r="K439" s="16">
        <f>SUMIFS([0]!VOTOS2,[0]!TURNO1,K$31,[0]!CANDIDATO1,$C439,[0]!MUNICIPIO1,$B$437)</f>
        <v>5</v>
      </c>
      <c r="L439" s="16">
        <f>SUMIFS([0]!VOTOS2,[0]!TURNO1,L$31,[0]!CANDIDATO1,$C439,[0]!MUNICIPIO1,$B$437)</f>
        <v>8</v>
      </c>
      <c r="M439" s="16">
        <f>SUMIFS([0]!VOTOS2,[0]!TURNO1,M$31,[0]!CANDIDATO1,$C439,[0]!MUNICIPIO1,$B$437)</f>
        <v>6</v>
      </c>
      <c r="N439" s="16">
        <f>SUMIFS([0]!VOTOS2,[0]!TURNO1,N$31,[0]!CANDIDATO1,$C439,[0]!MUNICIPIO1,$B$437)</f>
        <v>2</v>
      </c>
      <c r="O439" s="16">
        <f>SUMIFS([0]!VOTOS2,[0]!TURNO1,O$31,[0]!CANDIDATO1,$C439,[0]!MUNICIPIO1,$B$437)</f>
        <v>5</v>
      </c>
      <c r="P439" s="16">
        <f>SUMIFS([0]!VOTOS2,[0]!TURNO1,P$31,[0]!CANDIDATO1,$C439,[0]!MUNICIPIO1,$B$437)</f>
        <v>0</v>
      </c>
      <c r="Q439" s="16">
        <f>SUMIFS([0]!VOTOS2,[0]!TURNO1,Q$31,[0]!CANDIDATO1,$C439,[0]!MUNICIPIO1,$B$437)</f>
        <v>0</v>
      </c>
      <c r="R439" s="16">
        <f>SUMIFS([0]!VOTOS2,[0]!TURNO1,R$31,[0]!CANDIDATO1,$C439,[0]!MUNICIPIO1,$B$437)</f>
        <v>0</v>
      </c>
      <c r="S439" s="16">
        <f>SUMIFS([0]!VOTOS2,[0]!TURNO1,S$31,[0]!CANDIDATO1,$C439,[0]!MUNICIPIO1,$B$437)</f>
        <v>0</v>
      </c>
      <c r="T439" s="16">
        <f>SUMIFS([0]!VOTOS2,[0]!TURNO1,T$31,[0]!CANDIDATO1,$C439,[0]!MUNICIPIO1,$B$437)</f>
        <v>0</v>
      </c>
      <c r="U439" s="16">
        <f>SUMIFS([0]!VOTOS2,[0]!TURNO1,U$31,[0]!CANDIDATO1,$C439,[0]!MUNICIPIO1,$B$437)</f>
        <v>0</v>
      </c>
      <c r="V439" s="16">
        <f>SUMIFS([0]!VOTOS2,[0]!TURNO1,V$31,[0]!CANDIDATO1,$C439,[0]!MUNICIPIO1,$B$437)</f>
        <v>0</v>
      </c>
      <c r="W439" s="16">
        <f>SUMIFS([0]!VOTOS2,[0]!TURNO1,W$31,[0]!CANDIDATO1,$C439,[0]!MUNICIPIO1,$B$437)</f>
        <v>0</v>
      </c>
      <c r="X439" s="24"/>
      <c r="Y439" s="18" t="str">
        <f t="shared" si="1031"/>
        <v>RAMON GALVIS</v>
      </c>
      <c r="Z439" s="34">
        <f t="shared" si="1032"/>
        <v>75</v>
      </c>
      <c r="AA439" s="34">
        <f t="shared" si="1033"/>
        <v>0</v>
      </c>
      <c r="AB439" s="34">
        <f t="shared" ref="AB439:AR439" si="1039">IF(SUM(G437:G449)=0,NA(),G439+AA439)</f>
        <v>17</v>
      </c>
      <c r="AC439" s="34">
        <f t="shared" si="1039"/>
        <v>25</v>
      </c>
      <c r="AD439" s="34">
        <f t="shared" si="1039"/>
        <v>41</v>
      </c>
      <c r="AE439" s="34">
        <f t="shared" si="1039"/>
        <v>49</v>
      </c>
      <c r="AF439" s="34">
        <f t="shared" si="1039"/>
        <v>54</v>
      </c>
      <c r="AG439" s="34">
        <f t="shared" si="1039"/>
        <v>62</v>
      </c>
      <c r="AH439" s="34">
        <f t="shared" si="1039"/>
        <v>68</v>
      </c>
      <c r="AI439" s="34">
        <f t="shared" si="1039"/>
        <v>70</v>
      </c>
      <c r="AJ439" s="34">
        <f t="shared" si="1039"/>
        <v>75</v>
      </c>
      <c r="AK439" s="34" t="e">
        <f t="shared" si="1039"/>
        <v>#N/A</v>
      </c>
      <c r="AL439" s="34" t="e">
        <f t="shared" si="1039"/>
        <v>#N/A</v>
      </c>
      <c r="AM439" s="34" t="e">
        <f t="shared" si="1039"/>
        <v>#N/A</v>
      </c>
      <c r="AN439" s="34" t="e">
        <f t="shared" si="1039"/>
        <v>#N/A</v>
      </c>
      <c r="AO439" s="34" t="e">
        <f t="shared" si="1039"/>
        <v>#N/A</v>
      </c>
      <c r="AP439" s="34" t="e">
        <f t="shared" si="1039"/>
        <v>#N/A</v>
      </c>
      <c r="AQ439" s="34" t="e">
        <f t="shared" si="1039"/>
        <v>#N/A</v>
      </c>
      <c r="AR439" s="34" t="e">
        <f t="shared" si="1039"/>
        <v>#N/A</v>
      </c>
      <c r="AS439" s="27"/>
      <c r="AT439" s="35" t="str">
        <f t="shared" ref="AT439" si="1040">Y450</f>
        <v>Otros</v>
      </c>
      <c r="AU439" s="36">
        <f t="shared" ref="AU439:BM439" si="1041">Z450/(Z437+Z438+Z450)</f>
        <v>3.4615384615384617E-2</v>
      </c>
      <c r="AV439" s="36">
        <f t="shared" si="1041"/>
        <v>0</v>
      </c>
      <c r="AW439" s="36">
        <f t="shared" si="1041"/>
        <v>6.1919504643962849E-2</v>
      </c>
      <c r="AX439" s="36">
        <f t="shared" si="1041"/>
        <v>5.8724832214765099E-2</v>
      </c>
      <c r="AY439" s="36">
        <f t="shared" si="1041"/>
        <v>5.8620689655172413E-2</v>
      </c>
      <c r="AZ439" s="36">
        <f t="shared" si="1041"/>
        <v>5.332167832167832E-2</v>
      </c>
      <c r="BA439" s="36">
        <f t="shared" si="1041"/>
        <v>4.5392953929539293E-2</v>
      </c>
      <c r="BB439" s="36">
        <f t="shared" si="1041"/>
        <v>4.1507373020207537E-2</v>
      </c>
      <c r="BC439" s="36">
        <f t="shared" si="1041"/>
        <v>3.8248847926267281E-2</v>
      </c>
      <c r="BD439" s="36">
        <f t="shared" si="1041"/>
        <v>3.5387177352206492E-2</v>
      </c>
      <c r="BE439" s="36">
        <f t="shared" si="1041"/>
        <v>3.4615384615384617E-2</v>
      </c>
      <c r="BF439" s="36" t="e">
        <f t="shared" si="1041"/>
        <v>#N/A</v>
      </c>
      <c r="BG439" s="36" t="e">
        <f t="shared" si="1041"/>
        <v>#N/A</v>
      </c>
      <c r="BH439" s="36" t="e">
        <f t="shared" si="1041"/>
        <v>#N/A</v>
      </c>
      <c r="BI439" s="36" t="e">
        <f t="shared" si="1041"/>
        <v>#N/A</v>
      </c>
      <c r="BJ439" s="36" t="e">
        <f t="shared" si="1041"/>
        <v>#N/A</v>
      </c>
      <c r="BK439" s="36" t="e">
        <f t="shared" si="1041"/>
        <v>#N/A</v>
      </c>
      <c r="BL439" s="36" t="e">
        <f t="shared" si="1041"/>
        <v>#N/A</v>
      </c>
      <c r="BM439" s="36" t="e">
        <f t="shared" si="1041"/>
        <v>#N/A</v>
      </c>
      <c r="BN439" s="30"/>
    </row>
    <row r="440" spans="1:66" ht="11.25" customHeight="1" x14ac:dyDescent="0.2">
      <c r="A440" s="38" t="s">
        <v>36</v>
      </c>
      <c r="B440" s="73"/>
      <c r="C440" s="33">
        <v>4</v>
      </c>
      <c r="D440" s="13" t="s">
        <v>323</v>
      </c>
      <c r="E440" s="16">
        <f t="shared" si="1030"/>
        <v>15</v>
      </c>
      <c r="F440" s="16">
        <f>SUMIFS([0]!VOTOS2,[0]!TURNO1,F$31,[0]!CANDIDATO1,$C440,[0]!MUNICIPIO1,$B$437)</f>
        <v>0</v>
      </c>
      <c r="G440" s="16">
        <f>SUMIFS([0]!VOTOS2,[0]!TURNO1,G$31,[0]!CANDIDATO1,$C440,[0]!MUNICIPIO1,$B$437)</f>
        <v>3</v>
      </c>
      <c r="H440" s="16">
        <f>SUMIFS([0]!VOTOS2,[0]!TURNO1,H$31,[0]!CANDIDATO1,$C440,[0]!MUNICIPIO1,$B$437)</f>
        <v>7</v>
      </c>
      <c r="I440" s="16">
        <f>SUMIFS([0]!VOTOS2,[0]!TURNO1,I$31,[0]!CANDIDATO1,$C440,[0]!MUNICIPIO1,$B$437)</f>
        <v>0</v>
      </c>
      <c r="J440" s="16">
        <f>SUMIFS([0]!VOTOS2,[0]!TURNO1,J$31,[0]!CANDIDATO1,$C440,[0]!MUNICIPIO1,$B$437)</f>
        <v>2</v>
      </c>
      <c r="K440" s="16">
        <f>SUMIFS([0]!VOTOS2,[0]!TURNO1,K$31,[0]!CANDIDATO1,$C440,[0]!MUNICIPIO1,$B$437)</f>
        <v>1</v>
      </c>
      <c r="L440" s="16">
        <f>SUMIFS([0]!VOTOS2,[0]!TURNO1,L$31,[0]!CANDIDATO1,$C440,[0]!MUNICIPIO1,$B$437)</f>
        <v>1</v>
      </c>
      <c r="M440" s="16">
        <f>SUMIFS([0]!VOTOS2,[0]!TURNO1,M$31,[0]!CANDIDATO1,$C440,[0]!MUNICIPIO1,$B$437)</f>
        <v>1</v>
      </c>
      <c r="N440" s="16">
        <f>SUMIFS([0]!VOTOS2,[0]!TURNO1,N$31,[0]!CANDIDATO1,$C440,[0]!MUNICIPIO1,$B$437)</f>
        <v>0</v>
      </c>
      <c r="O440" s="16">
        <f>SUMIFS([0]!VOTOS2,[0]!TURNO1,O$31,[0]!CANDIDATO1,$C440,[0]!MUNICIPIO1,$B$437)</f>
        <v>0</v>
      </c>
      <c r="P440" s="16">
        <f>SUMIFS([0]!VOTOS2,[0]!TURNO1,P$31,[0]!CANDIDATO1,$C440,[0]!MUNICIPIO1,$B$437)</f>
        <v>0</v>
      </c>
      <c r="Q440" s="16">
        <f>SUMIFS([0]!VOTOS2,[0]!TURNO1,Q$31,[0]!CANDIDATO1,$C440,[0]!MUNICIPIO1,$B$437)</f>
        <v>0</v>
      </c>
      <c r="R440" s="16">
        <f>SUMIFS([0]!VOTOS2,[0]!TURNO1,R$31,[0]!CANDIDATO1,$C440,[0]!MUNICIPIO1,$B$437)</f>
        <v>0</v>
      </c>
      <c r="S440" s="16">
        <f>SUMIFS([0]!VOTOS2,[0]!TURNO1,S$31,[0]!CANDIDATO1,$C440,[0]!MUNICIPIO1,$B$437)</f>
        <v>0</v>
      </c>
      <c r="T440" s="16">
        <f>SUMIFS([0]!VOTOS2,[0]!TURNO1,T$31,[0]!CANDIDATO1,$C440,[0]!MUNICIPIO1,$B$437)</f>
        <v>0</v>
      </c>
      <c r="U440" s="16">
        <f>SUMIFS([0]!VOTOS2,[0]!TURNO1,U$31,[0]!CANDIDATO1,$C440,[0]!MUNICIPIO1,$B$437)</f>
        <v>0</v>
      </c>
      <c r="V440" s="16">
        <f>SUMIFS([0]!VOTOS2,[0]!TURNO1,V$31,[0]!CANDIDATO1,$C440,[0]!MUNICIPIO1,$B$437)</f>
        <v>0</v>
      </c>
      <c r="W440" s="16">
        <f>SUMIFS([0]!VOTOS2,[0]!TURNO1,W$31,[0]!CANDIDATO1,$C440,[0]!MUNICIPIO1,$B$437)</f>
        <v>0</v>
      </c>
      <c r="X440" s="24"/>
      <c r="Y440" s="18" t="str">
        <f t="shared" si="1031"/>
        <v>ELIECER MONSALVE</v>
      </c>
      <c r="Z440" s="34">
        <f t="shared" si="1032"/>
        <v>15</v>
      </c>
      <c r="AA440" s="34">
        <f t="shared" si="1033"/>
        <v>0</v>
      </c>
      <c r="AB440" s="34">
        <f t="shared" ref="AB440:AR440" si="1042">IF(SUM(G437:G449)=0,NA(),G440+AA440)</f>
        <v>3</v>
      </c>
      <c r="AC440" s="34">
        <f t="shared" si="1042"/>
        <v>10</v>
      </c>
      <c r="AD440" s="34">
        <f t="shared" si="1042"/>
        <v>10</v>
      </c>
      <c r="AE440" s="34">
        <f t="shared" si="1042"/>
        <v>12</v>
      </c>
      <c r="AF440" s="34">
        <f t="shared" si="1042"/>
        <v>13</v>
      </c>
      <c r="AG440" s="34">
        <f t="shared" si="1042"/>
        <v>14</v>
      </c>
      <c r="AH440" s="34">
        <f t="shared" si="1042"/>
        <v>15</v>
      </c>
      <c r="AI440" s="34">
        <f t="shared" si="1042"/>
        <v>15</v>
      </c>
      <c r="AJ440" s="34">
        <f t="shared" si="1042"/>
        <v>15</v>
      </c>
      <c r="AK440" s="34" t="e">
        <f t="shared" si="1042"/>
        <v>#N/A</v>
      </c>
      <c r="AL440" s="34" t="e">
        <f t="shared" si="1042"/>
        <v>#N/A</v>
      </c>
      <c r="AM440" s="34" t="e">
        <f t="shared" si="1042"/>
        <v>#N/A</v>
      </c>
      <c r="AN440" s="34" t="e">
        <f t="shared" si="1042"/>
        <v>#N/A</v>
      </c>
      <c r="AO440" s="34" t="e">
        <f t="shared" si="1042"/>
        <v>#N/A</v>
      </c>
      <c r="AP440" s="34" t="e">
        <f t="shared" si="1042"/>
        <v>#N/A</v>
      </c>
      <c r="AQ440" s="34" t="e">
        <f t="shared" si="1042"/>
        <v>#N/A</v>
      </c>
      <c r="AR440" s="34" t="e">
        <f t="shared" si="1042"/>
        <v>#N/A</v>
      </c>
      <c r="AS440" s="27"/>
      <c r="AT440" s="39"/>
      <c r="AU440" s="39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30"/>
    </row>
    <row r="441" spans="1:66" ht="11.25" customHeight="1" x14ac:dyDescent="0.2">
      <c r="A441" s="38" t="s">
        <v>12</v>
      </c>
      <c r="B441" s="73"/>
      <c r="C441" s="33">
        <v>5</v>
      </c>
      <c r="D441" s="13" t="s">
        <v>324</v>
      </c>
      <c r="E441" s="16">
        <f t="shared" si="1030"/>
        <v>0</v>
      </c>
      <c r="F441" s="16">
        <f>SUMIFS([0]!VOTOS2,[0]!TURNO1,F$31,[0]!CANDIDATO1,$C441,[0]!MUNICIPIO1,$B$437)</f>
        <v>0</v>
      </c>
      <c r="G441" s="16">
        <f>SUMIFS([0]!VOTOS2,[0]!TURNO1,G$31,[0]!CANDIDATO1,$C441,[0]!MUNICIPIO1,$B$437)</f>
        <v>0</v>
      </c>
      <c r="H441" s="16">
        <f>SUMIFS([0]!VOTOS2,[0]!TURNO1,H$31,[0]!CANDIDATO1,$C441,[0]!MUNICIPIO1,$B$437)</f>
        <v>0</v>
      </c>
      <c r="I441" s="16">
        <f>SUMIFS([0]!VOTOS2,[0]!TURNO1,I$31,[0]!CANDIDATO1,$C441,[0]!MUNICIPIO1,$B$437)</f>
        <v>0</v>
      </c>
      <c r="J441" s="16">
        <f>SUMIFS([0]!VOTOS2,[0]!TURNO1,J$31,[0]!CANDIDATO1,$C441,[0]!MUNICIPIO1,$B$437)</f>
        <v>0</v>
      </c>
      <c r="K441" s="16">
        <f>SUMIFS([0]!VOTOS2,[0]!TURNO1,K$31,[0]!CANDIDATO1,$C441,[0]!MUNICIPIO1,$B$437)</f>
        <v>0</v>
      </c>
      <c r="L441" s="16">
        <f>SUMIFS([0]!VOTOS2,[0]!TURNO1,L$31,[0]!CANDIDATO1,$C441,[0]!MUNICIPIO1,$B$437)</f>
        <v>0</v>
      </c>
      <c r="M441" s="16">
        <f>SUMIFS([0]!VOTOS2,[0]!TURNO1,M$31,[0]!CANDIDATO1,$C441,[0]!MUNICIPIO1,$B$437)</f>
        <v>0</v>
      </c>
      <c r="N441" s="16">
        <f>SUMIFS([0]!VOTOS2,[0]!TURNO1,N$31,[0]!CANDIDATO1,$C441,[0]!MUNICIPIO1,$B$437)</f>
        <v>0</v>
      </c>
      <c r="O441" s="16">
        <f>SUMIFS([0]!VOTOS2,[0]!TURNO1,O$31,[0]!CANDIDATO1,$C441,[0]!MUNICIPIO1,$B$437)</f>
        <v>0</v>
      </c>
      <c r="P441" s="16">
        <f>SUMIFS([0]!VOTOS2,[0]!TURNO1,P$31,[0]!CANDIDATO1,$C441,[0]!MUNICIPIO1,$B$437)</f>
        <v>0</v>
      </c>
      <c r="Q441" s="16">
        <f>SUMIFS([0]!VOTOS2,[0]!TURNO1,Q$31,[0]!CANDIDATO1,$C441,[0]!MUNICIPIO1,$B$437)</f>
        <v>0</v>
      </c>
      <c r="R441" s="16">
        <f>SUMIFS([0]!VOTOS2,[0]!TURNO1,R$31,[0]!CANDIDATO1,$C441,[0]!MUNICIPIO1,$B$437)</f>
        <v>0</v>
      </c>
      <c r="S441" s="16">
        <f>SUMIFS([0]!VOTOS2,[0]!TURNO1,S$31,[0]!CANDIDATO1,$C441,[0]!MUNICIPIO1,$B$437)</f>
        <v>0</v>
      </c>
      <c r="T441" s="16">
        <f>SUMIFS([0]!VOTOS2,[0]!TURNO1,T$31,[0]!CANDIDATO1,$C441,[0]!MUNICIPIO1,$B$437)</f>
        <v>0</v>
      </c>
      <c r="U441" s="16">
        <f>SUMIFS([0]!VOTOS2,[0]!TURNO1,U$31,[0]!CANDIDATO1,$C441,[0]!MUNICIPIO1,$B$437)</f>
        <v>0</v>
      </c>
      <c r="V441" s="16">
        <f>SUMIFS([0]!VOTOS2,[0]!TURNO1,V$31,[0]!CANDIDATO1,$C441,[0]!MUNICIPIO1,$B$437)</f>
        <v>0</v>
      </c>
      <c r="W441" s="16">
        <f>SUMIFS([0]!VOTOS2,[0]!TURNO1,W$31,[0]!CANDIDATO1,$C441,[0]!MUNICIPIO1,$B$437)</f>
        <v>0</v>
      </c>
      <c r="X441" s="24"/>
      <c r="Y441" s="18" t="str">
        <f t="shared" si="1031"/>
        <v>GABRIEL GARCIA</v>
      </c>
      <c r="Z441" s="34">
        <f t="shared" si="1032"/>
        <v>0</v>
      </c>
      <c r="AA441" s="34">
        <f t="shared" si="1033"/>
        <v>0</v>
      </c>
      <c r="AB441" s="34">
        <f t="shared" ref="AB441:AR441" si="1043">IF(SUM(G437:G449)=0,NA(),G441+AA441)</f>
        <v>0</v>
      </c>
      <c r="AC441" s="34">
        <f t="shared" si="1043"/>
        <v>0</v>
      </c>
      <c r="AD441" s="34">
        <f t="shared" si="1043"/>
        <v>0</v>
      </c>
      <c r="AE441" s="34">
        <f t="shared" si="1043"/>
        <v>0</v>
      </c>
      <c r="AF441" s="34">
        <f t="shared" si="1043"/>
        <v>0</v>
      </c>
      <c r="AG441" s="34">
        <f t="shared" si="1043"/>
        <v>0</v>
      </c>
      <c r="AH441" s="34">
        <f t="shared" si="1043"/>
        <v>0</v>
      </c>
      <c r="AI441" s="34">
        <f t="shared" si="1043"/>
        <v>0</v>
      </c>
      <c r="AJ441" s="34">
        <f t="shared" si="1043"/>
        <v>0</v>
      </c>
      <c r="AK441" s="34" t="e">
        <f t="shared" si="1043"/>
        <v>#N/A</v>
      </c>
      <c r="AL441" s="34" t="e">
        <f t="shared" si="1043"/>
        <v>#N/A</v>
      </c>
      <c r="AM441" s="34" t="e">
        <f t="shared" si="1043"/>
        <v>#N/A</v>
      </c>
      <c r="AN441" s="34" t="e">
        <f t="shared" si="1043"/>
        <v>#N/A</v>
      </c>
      <c r="AO441" s="34" t="e">
        <f t="shared" si="1043"/>
        <v>#N/A</v>
      </c>
      <c r="AP441" s="34" t="e">
        <f t="shared" si="1043"/>
        <v>#N/A</v>
      </c>
      <c r="AQ441" s="34" t="e">
        <f t="shared" si="1043"/>
        <v>#N/A</v>
      </c>
      <c r="AR441" s="34" t="e">
        <f t="shared" si="1043"/>
        <v>#N/A</v>
      </c>
      <c r="AS441" s="27"/>
      <c r="AT441" s="39"/>
      <c r="AU441" s="39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30"/>
    </row>
    <row r="442" spans="1:66" ht="11.25" customHeight="1" x14ac:dyDescent="0.2">
      <c r="A442" s="37"/>
      <c r="B442" s="73"/>
      <c r="C442" s="33">
        <v>6</v>
      </c>
      <c r="D442" s="13" t="s">
        <v>325</v>
      </c>
      <c r="E442" s="16">
        <f t="shared" si="1030"/>
        <v>0</v>
      </c>
      <c r="F442" s="16">
        <f>SUMIFS([0]!VOTOS2,[0]!TURNO1,F$31,[0]!CANDIDATO1,$C442,[0]!MUNICIPIO1,$B$437)</f>
        <v>0</v>
      </c>
      <c r="G442" s="16">
        <f>SUMIFS([0]!VOTOS2,[0]!TURNO1,G$31,[0]!CANDIDATO1,$C442,[0]!MUNICIPIO1,$B$437)</f>
        <v>0</v>
      </c>
      <c r="H442" s="16">
        <f>SUMIFS([0]!VOTOS2,[0]!TURNO1,H$31,[0]!CANDIDATO1,$C442,[0]!MUNICIPIO1,$B$437)</f>
        <v>0</v>
      </c>
      <c r="I442" s="16">
        <f>SUMIFS([0]!VOTOS2,[0]!TURNO1,I$31,[0]!CANDIDATO1,$C442,[0]!MUNICIPIO1,$B$437)</f>
        <v>0</v>
      </c>
      <c r="J442" s="16">
        <f>SUMIFS([0]!VOTOS2,[0]!TURNO1,J$31,[0]!CANDIDATO1,$C442,[0]!MUNICIPIO1,$B$437)</f>
        <v>0</v>
      </c>
      <c r="K442" s="16">
        <f>SUMIFS([0]!VOTOS2,[0]!TURNO1,K$31,[0]!CANDIDATO1,$C442,[0]!MUNICIPIO1,$B$437)</f>
        <v>0</v>
      </c>
      <c r="L442" s="16">
        <f>SUMIFS([0]!VOTOS2,[0]!TURNO1,L$31,[0]!CANDIDATO1,$C442,[0]!MUNICIPIO1,$B$437)</f>
        <v>0</v>
      </c>
      <c r="M442" s="16">
        <f>SUMIFS([0]!VOTOS2,[0]!TURNO1,M$31,[0]!CANDIDATO1,$C442,[0]!MUNICIPIO1,$B$437)</f>
        <v>0</v>
      </c>
      <c r="N442" s="16">
        <f>SUMIFS([0]!VOTOS2,[0]!TURNO1,N$31,[0]!CANDIDATO1,$C442,[0]!MUNICIPIO1,$B$437)</f>
        <v>0</v>
      </c>
      <c r="O442" s="16">
        <f>SUMIFS([0]!VOTOS2,[0]!TURNO1,O$31,[0]!CANDIDATO1,$C442,[0]!MUNICIPIO1,$B$437)</f>
        <v>0</v>
      </c>
      <c r="P442" s="16">
        <f>SUMIFS([0]!VOTOS2,[0]!TURNO1,P$31,[0]!CANDIDATO1,$C442,[0]!MUNICIPIO1,$B$437)</f>
        <v>0</v>
      </c>
      <c r="Q442" s="16">
        <f>SUMIFS([0]!VOTOS2,[0]!TURNO1,Q$31,[0]!CANDIDATO1,$C442,[0]!MUNICIPIO1,$B$437)</f>
        <v>0</v>
      </c>
      <c r="R442" s="16">
        <f>SUMIFS([0]!VOTOS2,[0]!TURNO1,R$31,[0]!CANDIDATO1,$C442,[0]!MUNICIPIO1,$B$437)</f>
        <v>0</v>
      </c>
      <c r="S442" s="16">
        <f>SUMIFS([0]!VOTOS2,[0]!TURNO1,S$31,[0]!CANDIDATO1,$C442,[0]!MUNICIPIO1,$B$437)</f>
        <v>0</v>
      </c>
      <c r="T442" s="16">
        <f>SUMIFS([0]!VOTOS2,[0]!TURNO1,T$31,[0]!CANDIDATO1,$C442,[0]!MUNICIPIO1,$B$437)</f>
        <v>0</v>
      </c>
      <c r="U442" s="16">
        <f>SUMIFS([0]!VOTOS2,[0]!TURNO1,U$31,[0]!CANDIDATO1,$C442,[0]!MUNICIPIO1,$B$437)</f>
        <v>0</v>
      </c>
      <c r="V442" s="16">
        <f>SUMIFS([0]!VOTOS2,[0]!TURNO1,V$31,[0]!CANDIDATO1,$C442,[0]!MUNICIPIO1,$B$437)</f>
        <v>0</v>
      </c>
      <c r="W442" s="16">
        <f>SUMIFS([0]!VOTOS2,[0]!TURNO1,W$31,[0]!CANDIDATO1,$C442,[0]!MUNICIPIO1,$B$437)</f>
        <v>0</v>
      </c>
      <c r="X442" s="24"/>
      <c r="Y442" s="18" t="str">
        <f t="shared" si="1031"/>
        <v>SIMON RODRIGUEZ P</v>
      </c>
      <c r="Z442" s="34">
        <f t="shared" si="1032"/>
        <v>0</v>
      </c>
      <c r="AA442" s="34">
        <f t="shared" si="1033"/>
        <v>0</v>
      </c>
      <c r="AB442" s="34">
        <f t="shared" ref="AB442:AR442" si="1044">IF(SUM(G437:G449)=0,NA(),G442+AA442)</f>
        <v>0</v>
      </c>
      <c r="AC442" s="34">
        <f t="shared" si="1044"/>
        <v>0</v>
      </c>
      <c r="AD442" s="34">
        <f t="shared" si="1044"/>
        <v>0</v>
      </c>
      <c r="AE442" s="34">
        <f t="shared" si="1044"/>
        <v>0</v>
      </c>
      <c r="AF442" s="34">
        <f t="shared" si="1044"/>
        <v>0</v>
      </c>
      <c r="AG442" s="34">
        <f t="shared" si="1044"/>
        <v>0</v>
      </c>
      <c r="AH442" s="34">
        <f t="shared" si="1044"/>
        <v>0</v>
      </c>
      <c r="AI442" s="34">
        <f t="shared" si="1044"/>
        <v>0</v>
      </c>
      <c r="AJ442" s="34">
        <f t="shared" si="1044"/>
        <v>0</v>
      </c>
      <c r="AK442" s="34" t="e">
        <f t="shared" si="1044"/>
        <v>#N/A</v>
      </c>
      <c r="AL442" s="34" t="e">
        <f t="shared" si="1044"/>
        <v>#N/A</v>
      </c>
      <c r="AM442" s="34" t="e">
        <f t="shared" si="1044"/>
        <v>#N/A</v>
      </c>
      <c r="AN442" s="34" t="e">
        <f t="shared" si="1044"/>
        <v>#N/A</v>
      </c>
      <c r="AO442" s="34" t="e">
        <f t="shared" si="1044"/>
        <v>#N/A</v>
      </c>
      <c r="AP442" s="34" t="e">
        <f t="shared" si="1044"/>
        <v>#N/A</v>
      </c>
      <c r="AQ442" s="34" t="e">
        <f t="shared" si="1044"/>
        <v>#N/A</v>
      </c>
      <c r="AR442" s="34" t="e">
        <f t="shared" si="1044"/>
        <v>#N/A</v>
      </c>
      <c r="AS442" s="27"/>
      <c r="AT442" s="39"/>
      <c r="AU442" s="39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30"/>
    </row>
    <row r="443" spans="1:66" ht="11.25" customHeight="1" x14ac:dyDescent="0.2">
      <c r="A443" s="42"/>
      <c r="B443" s="74"/>
      <c r="C443" s="33">
        <v>7</v>
      </c>
      <c r="D443" s="13" t="s">
        <v>326</v>
      </c>
      <c r="E443" s="16">
        <f t="shared" si="1030"/>
        <v>0</v>
      </c>
      <c r="F443" s="16">
        <f>SUMIFS([0]!VOTOS2,[0]!TURNO1,F$31,[0]!CANDIDATO1,$C443,[0]!MUNICIPIO1,$B$437)</f>
        <v>0</v>
      </c>
      <c r="G443" s="16">
        <f>SUMIFS([0]!VOTOS2,[0]!TURNO1,G$31,[0]!CANDIDATO1,$C443,[0]!MUNICIPIO1,$B$437)</f>
        <v>0</v>
      </c>
      <c r="H443" s="16">
        <f>SUMIFS([0]!VOTOS2,[0]!TURNO1,H$31,[0]!CANDIDATO1,$C443,[0]!MUNICIPIO1,$B$437)</f>
        <v>0</v>
      </c>
      <c r="I443" s="16">
        <f>SUMIFS([0]!VOTOS2,[0]!TURNO1,I$31,[0]!CANDIDATO1,$C443,[0]!MUNICIPIO1,$B$437)</f>
        <v>0</v>
      </c>
      <c r="J443" s="16">
        <f>SUMIFS([0]!VOTOS2,[0]!TURNO1,J$31,[0]!CANDIDATO1,$C443,[0]!MUNICIPIO1,$B$437)</f>
        <v>0</v>
      </c>
      <c r="K443" s="16">
        <f>SUMIFS([0]!VOTOS2,[0]!TURNO1,K$31,[0]!CANDIDATO1,$C443,[0]!MUNICIPIO1,$B$437)</f>
        <v>0</v>
      </c>
      <c r="L443" s="16">
        <f>SUMIFS([0]!VOTOS2,[0]!TURNO1,L$31,[0]!CANDIDATO1,$C443,[0]!MUNICIPIO1,$B$437)</f>
        <v>0</v>
      </c>
      <c r="M443" s="16">
        <f>SUMIFS([0]!VOTOS2,[0]!TURNO1,M$31,[0]!CANDIDATO1,$C443,[0]!MUNICIPIO1,$B$437)</f>
        <v>0</v>
      </c>
      <c r="N443" s="16">
        <f>SUMIFS([0]!VOTOS2,[0]!TURNO1,N$31,[0]!CANDIDATO1,$C443,[0]!MUNICIPIO1,$B$437)</f>
        <v>0</v>
      </c>
      <c r="O443" s="16">
        <f>SUMIFS([0]!VOTOS2,[0]!TURNO1,O$31,[0]!CANDIDATO1,$C443,[0]!MUNICIPIO1,$B$437)</f>
        <v>0</v>
      </c>
      <c r="P443" s="16">
        <f>SUMIFS([0]!VOTOS2,[0]!TURNO1,P$31,[0]!CANDIDATO1,$C443,[0]!MUNICIPIO1,$B$437)</f>
        <v>0</v>
      </c>
      <c r="Q443" s="16">
        <f>SUMIFS([0]!VOTOS2,[0]!TURNO1,Q$31,[0]!CANDIDATO1,$C443,[0]!MUNICIPIO1,$B$437)</f>
        <v>0</v>
      </c>
      <c r="R443" s="16">
        <f>SUMIFS([0]!VOTOS2,[0]!TURNO1,R$31,[0]!CANDIDATO1,$C443,[0]!MUNICIPIO1,$B$437)</f>
        <v>0</v>
      </c>
      <c r="S443" s="16">
        <f>SUMIFS([0]!VOTOS2,[0]!TURNO1,S$31,[0]!CANDIDATO1,$C443,[0]!MUNICIPIO1,$B$437)</f>
        <v>0</v>
      </c>
      <c r="T443" s="16">
        <f>SUMIFS([0]!VOTOS2,[0]!TURNO1,T$31,[0]!CANDIDATO1,$C443,[0]!MUNICIPIO1,$B$437)</f>
        <v>0</v>
      </c>
      <c r="U443" s="16">
        <f>SUMIFS([0]!VOTOS2,[0]!TURNO1,U$31,[0]!CANDIDATO1,$C443,[0]!MUNICIPIO1,$B$437)</f>
        <v>0</v>
      </c>
      <c r="V443" s="16">
        <f>SUMIFS([0]!VOTOS2,[0]!TURNO1,V$31,[0]!CANDIDATO1,$C443,[0]!MUNICIPIO1,$B$437)</f>
        <v>0</v>
      </c>
      <c r="W443" s="16">
        <f>SUMIFS([0]!VOTOS2,[0]!TURNO1,W$31,[0]!CANDIDATO1,$C443,[0]!MUNICIPIO1,$B$437)</f>
        <v>0</v>
      </c>
      <c r="X443" s="24"/>
      <c r="Y443" s="18" t="str">
        <f t="shared" si="1031"/>
        <v>JOSE LUIS PRADO</v>
      </c>
      <c r="Z443" s="34">
        <f t="shared" si="1032"/>
        <v>0</v>
      </c>
      <c r="AA443" s="34">
        <f t="shared" si="1033"/>
        <v>0</v>
      </c>
      <c r="AB443" s="34">
        <f t="shared" ref="AB443:AR443" si="1045">IF(SUM(G437:G449)=0,NA(),G443+AA443)</f>
        <v>0</v>
      </c>
      <c r="AC443" s="34">
        <f t="shared" si="1045"/>
        <v>0</v>
      </c>
      <c r="AD443" s="34">
        <f t="shared" si="1045"/>
        <v>0</v>
      </c>
      <c r="AE443" s="34">
        <f t="shared" si="1045"/>
        <v>0</v>
      </c>
      <c r="AF443" s="34">
        <f t="shared" si="1045"/>
        <v>0</v>
      </c>
      <c r="AG443" s="34">
        <f t="shared" si="1045"/>
        <v>0</v>
      </c>
      <c r="AH443" s="34">
        <f t="shared" si="1045"/>
        <v>0</v>
      </c>
      <c r="AI443" s="34">
        <f t="shared" si="1045"/>
        <v>0</v>
      </c>
      <c r="AJ443" s="34">
        <f t="shared" si="1045"/>
        <v>0</v>
      </c>
      <c r="AK443" s="34" t="e">
        <f t="shared" si="1045"/>
        <v>#N/A</v>
      </c>
      <c r="AL443" s="34" t="e">
        <f t="shared" si="1045"/>
        <v>#N/A</v>
      </c>
      <c r="AM443" s="34" t="e">
        <f t="shared" si="1045"/>
        <v>#N/A</v>
      </c>
      <c r="AN443" s="34" t="e">
        <f t="shared" si="1045"/>
        <v>#N/A</v>
      </c>
      <c r="AO443" s="34" t="e">
        <f t="shared" si="1045"/>
        <v>#N/A</v>
      </c>
      <c r="AP443" s="34" t="e">
        <f t="shared" si="1045"/>
        <v>#N/A</v>
      </c>
      <c r="AQ443" s="34" t="e">
        <f t="shared" si="1045"/>
        <v>#N/A</v>
      </c>
      <c r="AR443" s="34" t="e">
        <f t="shared" si="1045"/>
        <v>#N/A</v>
      </c>
      <c r="AS443" s="27"/>
      <c r="AT443" s="39"/>
      <c r="AU443" s="39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30"/>
    </row>
    <row r="444" spans="1:66" ht="11.25" customHeight="1" x14ac:dyDescent="0.2">
      <c r="A444" s="44"/>
      <c r="B444" s="45"/>
      <c r="C444" s="46">
        <v>8</v>
      </c>
      <c r="D444" s="14" t="s">
        <v>76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24"/>
      <c r="Y444" s="18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27"/>
      <c r="AT444" s="41"/>
      <c r="AU444" s="41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30"/>
    </row>
    <row r="445" spans="1:66" ht="11.25" customHeight="1" x14ac:dyDescent="0.2">
      <c r="A445" s="44"/>
      <c r="B445" s="45"/>
      <c r="C445" s="46">
        <v>9</v>
      </c>
      <c r="D445" s="14" t="s">
        <v>76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24"/>
      <c r="Y445" s="18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27"/>
      <c r="AT445" s="41"/>
      <c r="AU445" s="41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30"/>
    </row>
    <row r="446" spans="1:66" ht="11.25" customHeight="1" x14ac:dyDescent="0.2">
      <c r="A446" s="44"/>
      <c r="B446" s="45"/>
      <c r="C446" s="46">
        <v>10</v>
      </c>
      <c r="D446" s="14" t="s">
        <v>76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24"/>
      <c r="Y446" s="18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27"/>
      <c r="AT446" s="41"/>
      <c r="AU446" s="41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30"/>
    </row>
    <row r="447" spans="1:66" ht="11.25" customHeight="1" x14ac:dyDescent="0.2">
      <c r="A447" s="44"/>
      <c r="B447" s="45"/>
      <c r="C447" s="46">
        <v>11</v>
      </c>
      <c r="D447" s="14" t="s">
        <v>76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24"/>
      <c r="Y447" s="18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27"/>
      <c r="AT447" s="41"/>
      <c r="AU447" s="41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/>
      <c r="BN447" s="30"/>
    </row>
    <row r="448" spans="1:66" ht="11.25" customHeight="1" x14ac:dyDescent="0.2">
      <c r="A448" s="44"/>
      <c r="B448" s="45"/>
      <c r="C448" s="46">
        <v>12</v>
      </c>
      <c r="D448" s="14" t="s">
        <v>76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24"/>
      <c r="Y448" s="18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27"/>
      <c r="AT448" s="41"/>
      <c r="AU448" s="41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/>
      <c r="BN448" s="30"/>
    </row>
    <row r="449" spans="1:66" ht="11.25" customHeight="1" x14ac:dyDescent="0.2">
      <c r="A449" s="44"/>
      <c r="B449" s="45"/>
      <c r="C449" s="46">
        <v>13</v>
      </c>
      <c r="D449" s="14" t="s">
        <v>76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24"/>
      <c r="Y449" s="18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27"/>
      <c r="AT449" s="41"/>
      <c r="AU449" s="41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/>
      <c r="BN449" s="30"/>
    </row>
    <row r="450" spans="1:66" ht="11.25" customHeight="1" x14ac:dyDescent="0.2">
      <c r="X450" s="24"/>
      <c r="Y450" s="19" t="s">
        <v>79</v>
      </c>
      <c r="Z450" s="34">
        <f t="shared" ref="Z450" si="1046">SUM(Z439:Z449)</f>
        <v>90</v>
      </c>
      <c r="AA450" s="34">
        <f t="shared" ref="AA450" si="1047">SUM(AA439:AA449)</f>
        <v>0</v>
      </c>
      <c r="AB450" s="34">
        <f t="shared" ref="AB450" si="1048">SUM(AB439:AB449)</f>
        <v>20</v>
      </c>
      <c r="AC450" s="34">
        <f t="shared" ref="AC450" si="1049">SUM(AC439:AC449)</f>
        <v>35</v>
      </c>
      <c r="AD450" s="34">
        <f t="shared" ref="AD450" si="1050">SUM(AD439:AD449)</f>
        <v>51</v>
      </c>
      <c r="AE450" s="34">
        <f t="shared" ref="AE450" si="1051">SUM(AE439:AE449)</f>
        <v>61</v>
      </c>
      <c r="AF450" s="34">
        <f t="shared" ref="AF450" si="1052">SUM(AF439:AF449)</f>
        <v>67</v>
      </c>
      <c r="AG450" s="34">
        <f t="shared" ref="AG450" si="1053">SUM(AG439:AG449)</f>
        <v>76</v>
      </c>
      <c r="AH450" s="34">
        <f t="shared" ref="AH450" si="1054">SUM(AH439:AH449)</f>
        <v>83</v>
      </c>
      <c r="AI450" s="34">
        <f t="shared" ref="AI450" si="1055">SUM(AI439:AI449)</f>
        <v>85</v>
      </c>
      <c r="AJ450" s="34">
        <f t="shared" ref="AJ450" si="1056">SUM(AJ439:AJ449)</f>
        <v>90</v>
      </c>
      <c r="AK450" s="34" t="e">
        <f t="shared" ref="AK450" si="1057">SUM(AK439:AK449)</f>
        <v>#N/A</v>
      </c>
      <c r="AL450" s="34" t="e">
        <f t="shared" ref="AL450" si="1058">SUM(AL439:AL449)</f>
        <v>#N/A</v>
      </c>
      <c r="AM450" s="34" t="e">
        <f t="shared" ref="AM450" si="1059">SUM(AM439:AM449)</f>
        <v>#N/A</v>
      </c>
      <c r="AN450" s="34" t="e">
        <f t="shared" ref="AN450" si="1060">SUM(AN439:AN449)</f>
        <v>#N/A</v>
      </c>
      <c r="AO450" s="34" t="e">
        <f t="shared" ref="AO450" si="1061">SUM(AO439:AO449)</f>
        <v>#N/A</v>
      </c>
      <c r="AP450" s="34" t="e">
        <f t="shared" ref="AP450" si="1062">SUM(AP439:AP449)</f>
        <v>#N/A</v>
      </c>
      <c r="AQ450" s="34" t="e">
        <f t="shared" ref="AQ450" si="1063">SUM(AQ439:AQ449)</f>
        <v>#N/A</v>
      </c>
      <c r="AR450" s="34" t="e">
        <f t="shared" ref="AR450" si="1064">SUM(AR439:AR449)</f>
        <v>#N/A</v>
      </c>
      <c r="AS450" s="27"/>
      <c r="AT450" s="41"/>
      <c r="AU450" s="41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/>
      <c r="BN450" s="30"/>
    </row>
    <row r="451" spans="1:66" ht="11.25" customHeight="1" x14ac:dyDescent="0.2">
      <c r="A451" s="75" t="s">
        <v>63</v>
      </c>
      <c r="B451" s="76"/>
      <c r="C451" s="21"/>
      <c r="D451" s="22" t="s">
        <v>75</v>
      </c>
      <c r="E451" s="23" t="s">
        <v>70</v>
      </c>
      <c r="F451" s="23">
        <v>0</v>
      </c>
      <c r="G451" s="23">
        <v>1</v>
      </c>
      <c r="H451" s="23">
        <v>2</v>
      </c>
      <c r="I451" s="23">
        <v>3</v>
      </c>
      <c r="J451" s="23">
        <v>4</v>
      </c>
      <c r="K451" s="23">
        <v>5</v>
      </c>
      <c r="L451" s="23">
        <v>6</v>
      </c>
      <c r="M451" s="23">
        <v>7</v>
      </c>
      <c r="N451" s="23">
        <v>8</v>
      </c>
      <c r="O451" s="23">
        <v>9</v>
      </c>
      <c r="P451" s="23">
        <v>10</v>
      </c>
      <c r="Q451" s="23">
        <v>11</v>
      </c>
      <c r="R451" s="23">
        <v>12</v>
      </c>
      <c r="S451" s="23">
        <v>13</v>
      </c>
      <c r="T451" s="23">
        <v>14</v>
      </c>
      <c r="U451" s="23">
        <v>15</v>
      </c>
      <c r="V451" s="23">
        <v>16</v>
      </c>
      <c r="W451" s="23">
        <v>17</v>
      </c>
      <c r="X451" s="24"/>
      <c r="Y451" s="17"/>
      <c r="Z451" s="25" t="s">
        <v>64</v>
      </c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7"/>
      <c r="AT451" s="28"/>
      <c r="AU451" s="28" t="s">
        <v>64</v>
      </c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30"/>
    </row>
    <row r="452" spans="1:66" ht="11.25" customHeight="1" x14ac:dyDescent="0.2">
      <c r="A452" s="32"/>
      <c r="B452" s="72">
        <v>31</v>
      </c>
      <c r="C452" s="33">
        <v>1</v>
      </c>
      <c r="D452" s="13" t="s">
        <v>327</v>
      </c>
      <c r="E452" s="16">
        <f t="shared" ref="E452:E461" si="1065">SUM(F452:W452)</f>
        <v>10</v>
      </c>
      <c r="F452" s="16">
        <f>SUMIFS([0]!VOTOS2,[0]!TURNO1,F$31,[0]!CANDIDATO1,$C452,[0]!MUNICIPIO1,$B$452)</f>
        <v>10</v>
      </c>
      <c r="G452" s="16">
        <f>SUMIFS([0]!VOTOS2,[0]!TURNO1,G$31,[0]!CANDIDATO1,$C452,[0]!MUNICIPIO1,$B$452)</f>
        <v>0</v>
      </c>
      <c r="H452" s="16">
        <f>SUMIFS([0]!VOTOS2,[0]!TURNO1,H$31,[0]!CANDIDATO1,$C452,[0]!MUNICIPIO1,$B$452)</f>
        <v>0</v>
      </c>
      <c r="I452" s="16">
        <f>SUMIFS([0]!VOTOS2,[0]!TURNO1,I$31,[0]!CANDIDATO1,$C452,[0]!MUNICIPIO1,$B$452)</f>
        <v>0</v>
      </c>
      <c r="J452" s="16">
        <f>SUMIFS([0]!VOTOS2,[0]!TURNO1,J$31,[0]!CANDIDATO1,$C452,[0]!MUNICIPIO1,$B$452)</f>
        <v>0</v>
      </c>
      <c r="K452" s="16">
        <f>SUMIFS([0]!VOTOS2,[0]!TURNO1,K$31,[0]!CANDIDATO1,$C452,[0]!MUNICIPIO1,$B$452)</f>
        <v>0</v>
      </c>
      <c r="L452" s="16">
        <f>SUMIFS([0]!VOTOS2,[0]!TURNO1,L$31,[0]!CANDIDATO1,$C452,[0]!MUNICIPIO1,$B$452)</f>
        <v>0</v>
      </c>
      <c r="M452" s="16">
        <f>SUMIFS([0]!VOTOS2,[0]!TURNO1,M$31,[0]!CANDIDATO1,$C452,[0]!MUNICIPIO1,$B$452)</f>
        <v>0</v>
      </c>
      <c r="N452" s="16">
        <f>SUMIFS([0]!VOTOS2,[0]!TURNO1,N$31,[0]!CANDIDATO1,$C452,[0]!MUNICIPIO1,$B$452)</f>
        <v>0</v>
      </c>
      <c r="O452" s="16">
        <f>SUMIFS([0]!VOTOS2,[0]!TURNO1,O$31,[0]!CANDIDATO1,$C452,[0]!MUNICIPIO1,$B$452)</f>
        <v>0</v>
      </c>
      <c r="P452" s="16">
        <f>SUMIFS([0]!VOTOS2,[0]!TURNO1,P$31,[0]!CANDIDATO1,$C452,[0]!MUNICIPIO1,$B$452)</f>
        <v>0</v>
      </c>
      <c r="Q452" s="16">
        <f>SUMIFS([0]!VOTOS2,[0]!TURNO1,Q$31,[0]!CANDIDATO1,$C452,[0]!MUNICIPIO1,$B$452)</f>
        <v>0</v>
      </c>
      <c r="R452" s="16">
        <f>SUMIFS([0]!VOTOS2,[0]!TURNO1,R$31,[0]!CANDIDATO1,$C452,[0]!MUNICIPIO1,$B$452)</f>
        <v>0</v>
      </c>
      <c r="S452" s="16">
        <f>SUMIFS([0]!VOTOS2,[0]!TURNO1,S$31,[0]!CANDIDATO1,$C452,[0]!MUNICIPIO1,$B$452)</f>
        <v>0</v>
      </c>
      <c r="T452" s="16">
        <f>SUMIFS([0]!VOTOS2,[0]!TURNO1,T$31,[0]!CANDIDATO1,$C452,[0]!MUNICIPIO1,$B$452)</f>
        <v>0</v>
      </c>
      <c r="U452" s="16">
        <f>SUMIFS([0]!VOTOS2,[0]!TURNO1,U$31,[0]!CANDIDATO1,$C452,[0]!MUNICIPIO1,$B$452)</f>
        <v>0</v>
      </c>
      <c r="V452" s="16">
        <f>SUMIFS([0]!VOTOS2,[0]!TURNO1,V$31,[0]!CANDIDATO1,$C452,[0]!MUNICIPIO1,$B$452)</f>
        <v>0</v>
      </c>
      <c r="W452" s="16">
        <f>SUMIFS([0]!VOTOS2,[0]!TURNO1,W$31,[0]!CANDIDATO1,$C452,[0]!MUNICIPIO1,$B$452)</f>
        <v>0</v>
      </c>
      <c r="X452" s="24"/>
      <c r="Y452" s="18" t="str">
        <f t="shared" ref="Y452:Y461" si="1066">D452</f>
        <v>WINSTON VALLENILLA</v>
      </c>
      <c r="Z452" s="34">
        <f t="shared" ref="Z452:Z461" si="1067">E452</f>
        <v>10</v>
      </c>
      <c r="AA452" s="34">
        <f t="shared" ref="AA452:AA461" si="1068">F452</f>
        <v>10</v>
      </c>
      <c r="AB452" s="34" t="e">
        <f t="shared" ref="AB452:AR452" si="1069">IF(SUM(G452:G464)=0,NA(),G452+AA452)</f>
        <v>#N/A</v>
      </c>
      <c r="AC452" s="34" t="e">
        <f t="shared" si="1069"/>
        <v>#N/A</v>
      </c>
      <c r="AD452" s="34" t="e">
        <f t="shared" si="1069"/>
        <v>#N/A</v>
      </c>
      <c r="AE452" s="34" t="e">
        <f t="shared" si="1069"/>
        <v>#N/A</v>
      </c>
      <c r="AF452" s="34" t="e">
        <f t="shared" si="1069"/>
        <v>#N/A</v>
      </c>
      <c r="AG452" s="34" t="e">
        <f t="shared" si="1069"/>
        <v>#N/A</v>
      </c>
      <c r="AH452" s="34" t="e">
        <f t="shared" si="1069"/>
        <v>#N/A</v>
      </c>
      <c r="AI452" s="34" t="e">
        <f t="shared" si="1069"/>
        <v>#N/A</v>
      </c>
      <c r="AJ452" s="34" t="e">
        <f t="shared" si="1069"/>
        <v>#N/A</v>
      </c>
      <c r="AK452" s="34" t="e">
        <f t="shared" si="1069"/>
        <v>#N/A</v>
      </c>
      <c r="AL452" s="34" t="e">
        <f t="shared" si="1069"/>
        <v>#N/A</v>
      </c>
      <c r="AM452" s="34" t="e">
        <f t="shared" si="1069"/>
        <v>#N/A</v>
      </c>
      <c r="AN452" s="34" t="e">
        <f t="shared" si="1069"/>
        <v>#N/A</v>
      </c>
      <c r="AO452" s="34" t="e">
        <f t="shared" si="1069"/>
        <v>#N/A</v>
      </c>
      <c r="AP452" s="34" t="e">
        <f t="shared" si="1069"/>
        <v>#N/A</v>
      </c>
      <c r="AQ452" s="34" t="e">
        <f t="shared" si="1069"/>
        <v>#N/A</v>
      </c>
      <c r="AR452" s="34" t="e">
        <f t="shared" si="1069"/>
        <v>#N/A</v>
      </c>
      <c r="AS452" s="27"/>
      <c r="AT452" s="35" t="str">
        <f t="shared" ref="AT452:AT453" si="1070">Y452</f>
        <v>WINSTON VALLENILLA</v>
      </c>
      <c r="AU452" s="36">
        <f t="shared" ref="AU452:BM452" si="1071">Z452/(Z452+Z453+Z465)</f>
        <v>0.5</v>
      </c>
      <c r="AV452" s="36">
        <f t="shared" si="1071"/>
        <v>0.5</v>
      </c>
      <c r="AW452" s="36" t="e">
        <f t="shared" si="1071"/>
        <v>#N/A</v>
      </c>
      <c r="AX452" s="36" t="e">
        <f t="shared" si="1071"/>
        <v>#N/A</v>
      </c>
      <c r="AY452" s="36" t="e">
        <f t="shared" si="1071"/>
        <v>#N/A</v>
      </c>
      <c r="AZ452" s="36" t="e">
        <f t="shared" si="1071"/>
        <v>#N/A</v>
      </c>
      <c r="BA452" s="36" t="e">
        <f t="shared" si="1071"/>
        <v>#N/A</v>
      </c>
      <c r="BB452" s="36" t="e">
        <f t="shared" si="1071"/>
        <v>#N/A</v>
      </c>
      <c r="BC452" s="36" t="e">
        <f t="shared" si="1071"/>
        <v>#N/A</v>
      </c>
      <c r="BD452" s="36" t="e">
        <f t="shared" si="1071"/>
        <v>#N/A</v>
      </c>
      <c r="BE452" s="36" t="e">
        <f t="shared" si="1071"/>
        <v>#N/A</v>
      </c>
      <c r="BF452" s="36" t="e">
        <f t="shared" si="1071"/>
        <v>#N/A</v>
      </c>
      <c r="BG452" s="36" t="e">
        <f t="shared" si="1071"/>
        <v>#N/A</v>
      </c>
      <c r="BH452" s="36" t="e">
        <f t="shared" si="1071"/>
        <v>#N/A</v>
      </c>
      <c r="BI452" s="36" t="e">
        <f t="shared" si="1071"/>
        <v>#N/A</v>
      </c>
      <c r="BJ452" s="36" t="e">
        <f t="shared" si="1071"/>
        <v>#N/A</v>
      </c>
      <c r="BK452" s="36" t="e">
        <f t="shared" si="1071"/>
        <v>#N/A</v>
      </c>
      <c r="BL452" s="36" t="e">
        <f t="shared" si="1071"/>
        <v>#N/A</v>
      </c>
      <c r="BM452" s="36" t="e">
        <f t="shared" si="1071"/>
        <v>#N/A</v>
      </c>
      <c r="BN452" s="30"/>
    </row>
    <row r="453" spans="1:66" ht="11.25" customHeight="1" x14ac:dyDescent="0.2">
      <c r="A453" s="37"/>
      <c r="B453" s="73"/>
      <c r="C453" s="33">
        <v>2</v>
      </c>
      <c r="D453" s="13" t="s">
        <v>328</v>
      </c>
      <c r="E453" s="16">
        <f t="shared" si="1065"/>
        <v>10</v>
      </c>
      <c r="F453" s="16">
        <f>SUMIFS([0]!VOTOS2,[0]!TURNO1,F$31,[0]!CANDIDATO1,$C453,[0]!MUNICIPIO1,$B$452)</f>
        <v>10</v>
      </c>
      <c r="G453" s="16">
        <f>SUMIFS([0]!VOTOS2,[0]!TURNO1,G$31,[0]!CANDIDATO1,$C453,[0]!MUNICIPIO1,$B$452)</f>
        <v>0</v>
      </c>
      <c r="H453" s="16">
        <f>SUMIFS([0]!VOTOS2,[0]!TURNO1,H$31,[0]!CANDIDATO1,$C453,[0]!MUNICIPIO1,$B$452)</f>
        <v>0</v>
      </c>
      <c r="I453" s="16">
        <f>SUMIFS([0]!VOTOS2,[0]!TURNO1,I$31,[0]!CANDIDATO1,$C453,[0]!MUNICIPIO1,$B$452)</f>
        <v>0</v>
      </c>
      <c r="J453" s="16">
        <f>SUMIFS([0]!VOTOS2,[0]!TURNO1,J$31,[0]!CANDIDATO1,$C453,[0]!MUNICIPIO1,$B$452)</f>
        <v>0</v>
      </c>
      <c r="K453" s="16">
        <f>SUMIFS([0]!VOTOS2,[0]!TURNO1,K$31,[0]!CANDIDATO1,$C453,[0]!MUNICIPIO1,$B$452)</f>
        <v>0</v>
      </c>
      <c r="L453" s="16">
        <f>SUMIFS([0]!VOTOS2,[0]!TURNO1,L$31,[0]!CANDIDATO1,$C453,[0]!MUNICIPIO1,$B$452)</f>
        <v>0</v>
      </c>
      <c r="M453" s="16">
        <f>SUMIFS([0]!VOTOS2,[0]!TURNO1,M$31,[0]!CANDIDATO1,$C453,[0]!MUNICIPIO1,$B$452)</f>
        <v>0</v>
      </c>
      <c r="N453" s="16">
        <f>SUMIFS([0]!VOTOS2,[0]!TURNO1,N$31,[0]!CANDIDATO1,$C453,[0]!MUNICIPIO1,$B$452)</f>
        <v>0</v>
      </c>
      <c r="O453" s="16">
        <f>SUMIFS([0]!VOTOS2,[0]!TURNO1,O$31,[0]!CANDIDATO1,$C453,[0]!MUNICIPIO1,$B$452)</f>
        <v>0</v>
      </c>
      <c r="P453" s="16">
        <f>SUMIFS([0]!VOTOS2,[0]!TURNO1,P$31,[0]!CANDIDATO1,$C453,[0]!MUNICIPIO1,$B$452)</f>
        <v>0</v>
      </c>
      <c r="Q453" s="16">
        <f>SUMIFS([0]!VOTOS2,[0]!TURNO1,Q$31,[0]!CANDIDATO1,$C453,[0]!MUNICIPIO1,$B$452)</f>
        <v>0</v>
      </c>
      <c r="R453" s="16">
        <f>SUMIFS([0]!VOTOS2,[0]!TURNO1,R$31,[0]!CANDIDATO1,$C453,[0]!MUNICIPIO1,$B$452)</f>
        <v>0</v>
      </c>
      <c r="S453" s="16">
        <f>SUMIFS([0]!VOTOS2,[0]!TURNO1,S$31,[0]!CANDIDATO1,$C453,[0]!MUNICIPIO1,$B$452)</f>
        <v>0</v>
      </c>
      <c r="T453" s="16">
        <f>SUMIFS([0]!VOTOS2,[0]!TURNO1,T$31,[0]!CANDIDATO1,$C453,[0]!MUNICIPIO1,$B$452)</f>
        <v>0</v>
      </c>
      <c r="U453" s="16">
        <f>SUMIFS([0]!VOTOS2,[0]!TURNO1,U$31,[0]!CANDIDATO1,$C453,[0]!MUNICIPIO1,$B$452)</f>
        <v>0</v>
      </c>
      <c r="V453" s="16">
        <f>SUMIFS([0]!VOTOS2,[0]!TURNO1,V$31,[0]!CANDIDATO1,$C453,[0]!MUNICIPIO1,$B$452)</f>
        <v>0</v>
      </c>
      <c r="W453" s="16">
        <f>SUMIFS([0]!VOTOS2,[0]!TURNO1,W$31,[0]!CANDIDATO1,$C453,[0]!MUNICIPIO1,$B$452)</f>
        <v>0</v>
      </c>
      <c r="X453" s="24"/>
      <c r="Y453" s="18" t="str">
        <f t="shared" si="1066"/>
        <v>DAVID UZCATEGUI</v>
      </c>
      <c r="Z453" s="34">
        <f t="shared" si="1067"/>
        <v>10</v>
      </c>
      <c r="AA453" s="34">
        <f t="shared" si="1068"/>
        <v>10</v>
      </c>
      <c r="AB453" s="34" t="e">
        <f t="shared" ref="AB453:AR453" si="1072">IF(SUM(G452:G464)=0,NA(),G453+AA453)</f>
        <v>#N/A</v>
      </c>
      <c r="AC453" s="34" t="e">
        <f t="shared" si="1072"/>
        <v>#N/A</v>
      </c>
      <c r="AD453" s="34" t="e">
        <f t="shared" si="1072"/>
        <v>#N/A</v>
      </c>
      <c r="AE453" s="34" t="e">
        <f t="shared" si="1072"/>
        <v>#N/A</v>
      </c>
      <c r="AF453" s="34" t="e">
        <f t="shared" si="1072"/>
        <v>#N/A</v>
      </c>
      <c r="AG453" s="34" t="e">
        <f t="shared" si="1072"/>
        <v>#N/A</v>
      </c>
      <c r="AH453" s="34" t="e">
        <f t="shared" si="1072"/>
        <v>#N/A</v>
      </c>
      <c r="AI453" s="34" t="e">
        <f t="shared" si="1072"/>
        <v>#N/A</v>
      </c>
      <c r="AJ453" s="34" t="e">
        <f t="shared" si="1072"/>
        <v>#N/A</v>
      </c>
      <c r="AK453" s="34" t="e">
        <f t="shared" si="1072"/>
        <v>#N/A</v>
      </c>
      <c r="AL453" s="34" t="e">
        <f t="shared" si="1072"/>
        <v>#N/A</v>
      </c>
      <c r="AM453" s="34" t="e">
        <f t="shared" si="1072"/>
        <v>#N/A</v>
      </c>
      <c r="AN453" s="34" t="e">
        <f t="shared" si="1072"/>
        <v>#N/A</v>
      </c>
      <c r="AO453" s="34" t="e">
        <f t="shared" si="1072"/>
        <v>#N/A</v>
      </c>
      <c r="AP453" s="34" t="e">
        <f t="shared" si="1072"/>
        <v>#N/A</v>
      </c>
      <c r="AQ453" s="34" t="e">
        <f t="shared" si="1072"/>
        <v>#N/A</v>
      </c>
      <c r="AR453" s="34" t="e">
        <f t="shared" si="1072"/>
        <v>#N/A</v>
      </c>
      <c r="AS453" s="27"/>
      <c r="AT453" s="35" t="str">
        <f t="shared" si="1070"/>
        <v>DAVID UZCATEGUI</v>
      </c>
      <c r="AU453" s="36">
        <f t="shared" ref="AU453:BM453" si="1073">Z453/(Z452+Z453+Z465)</f>
        <v>0.5</v>
      </c>
      <c r="AV453" s="36">
        <f t="shared" si="1073"/>
        <v>0.5</v>
      </c>
      <c r="AW453" s="36" t="e">
        <f t="shared" si="1073"/>
        <v>#N/A</v>
      </c>
      <c r="AX453" s="36" t="e">
        <f t="shared" si="1073"/>
        <v>#N/A</v>
      </c>
      <c r="AY453" s="36" t="e">
        <f t="shared" si="1073"/>
        <v>#N/A</v>
      </c>
      <c r="AZ453" s="36" t="e">
        <f t="shared" si="1073"/>
        <v>#N/A</v>
      </c>
      <c r="BA453" s="36" t="e">
        <f t="shared" si="1073"/>
        <v>#N/A</v>
      </c>
      <c r="BB453" s="36" t="e">
        <f t="shared" si="1073"/>
        <v>#N/A</v>
      </c>
      <c r="BC453" s="36" t="e">
        <f t="shared" si="1073"/>
        <v>#N/A</v>
      </c>
      <c r="BD453" s="36" t="e">
        <f t="shared" si="1073"/>
        <v>#N/A</v>
      </c>
      <c r="BE453" s="36" t="e">
        <f t="shared" si="1073"/>
        <v>#N/A</v>
      </c>
      <c r="BF453" s="36" t="e">
        <f t="shared" si="1073"/>
        <v>#N/A</v>
      </c>
      <c r="BG453" s="36" t="e">
        <f t="shared" si="1073"/>
        <v>#N/A</v>
      </c>
      <c r="BH453" s="36" t="e">
        <f t="shared" si="1073"/>
        <v>#N/A</v>
      </c>
      <c r="BI453" s="36" t="e">
        <f t="shared" si="1073"/>
        <v>#N/A</v>
      </c>
      <c r="BJ453" s="36" t="e">
        <f t="shared" si="1073"/>
        <v>#N/A</v>
      </c>
      <c r="BK453" s="36" t="e">
        <f t="shared" si="1073"/>
        <v>#N/A</v>
      </c>
      <c r="BL453" s="36" t="e">
        <f t="shared" si="1073"/>
        <v>#N/A</v>
      </c>
      <c r="BM453" s="36" t="e">
        <f t="shared" si="1073"/>
        <v>#N/A</v>
      </c>
      <c r="BN453" s="30"/>
    </row>
    <row r="454" spans="1:66" ht="11.25" customHeight="1" x14ac:dyDescent="0.2">
      <c r="A454" s="37"/>
      <c r="B454" s="73"/>
      <c r="C454" s="33">
        <v>3</v>
      </c>
      <c r="D454" s="13" t="s">
        <v>329</v>
      </c>
      <c r="E454" s="16">
        <f t="shared" si="1065"/>
        <v>0</v>
      </c>
      <c r="F454" s="16">
        <f>SUMIFS([0]!VOTOS2,[0]!TURNO1,F$31,[0]!CANDIDATO1,$C454,[0]!MUNICIPIO1,$B$452)</f>
        <v>0</v>
      </c>
      <c r="G454" s="16">
        <f>SUMIFS([0]!VOTOS2,[0]!TURNO1,G$31,[0]!CANDIDATO1,$C454,[0]!MUNICIPIO1,$B$452)</f>
        <v>0</v>
      </c>
      <c r="H454" s="16">
        <f>SUMIFS([0]!VOTOS2,[0]!TURNO1,H$31,[0]!CANDIDATO1,$C454,[0]!MUNICIPIO1,$B$452)</f>
        <v>0</v>
      </c>
      <c r="I454" s="16">
        <f>SUMIFS([0]!VOTOS2,[0]!TURNO1,I$31,[0]!CANDIDATO1,$C454,[0]!MUNICIPIO1,$B$452)</f>
        <v>0</v>
      </c>
      <c r="J454" s="16">
        <f>SUMIFS([0]!VOTOS2,[0]!TURNO1,J$31,[0]!CANDIDATO1,$C454,[0]!MUNICIPIO1,$B$452)</f>
        <v>0</v>
      </c>
      <c r="K454" s="16">
        <f>SUMIFS([0]!VOTOS2,[0]!TURNO1,K$31,[0]!CANDIDATO1,$C454,[0]!MUNICIPIO1,$B$452)</f>
        <v>0</v>
      </c>
      <c r="L454" s="16">
        <f>SUMIFS([0]!VOTOS2,[0]!TURNO1,L$31,[0]!CANDIDATO1,$C454,[0]!MUNICIPIO1,$B$452)</f>
        <v>0</v>
      </c>
      <c r="M454" s="16">
        <f>SUMIFS([0]!VOTOS2,[0]!TURNO1,M$31,[0]!CANDIDATO1,$C454,[0]!MUNICIPIO1,$B$452)</f>
        <v>0</v>
      </c>
      <c r="N454" s="16">
        <f>SUMIFS([0]!VOTOS2,[0]!TURNO1,N$31,[0]!CANDIDATO1,$C454,[0]!MUNICIPIO1,$B$452)</f>
        <v>0</v>
      </c>
      <c r="O454" s="16">
        <f>SUMIFS([0]!VOTOS2,[0]!TURNO1,O$31,[0]!CANDIDATO1,$C454,[0]!MUNICIPIO1,$B$452)</f>
        <v>0</v>
      </c>
      <c r="P454" s="16">
        <f>SUMIFS([0]!VOTOS2,[0]!TURNO1,P$31,[0]!CANDIDATO1,$C454,[0]!MUNICIPIO1,$B$452)</f>
        <v>0</v>
      </c>
      <c r="Q454" s="16">
        <f>SUMIFS([0]!VOTOS2,[0]!TURNO1,Q$31,[0]!CANDIDATO1,$C454,[0]!MUNICIPIO1,$B$452)</f>
        <v>0</v>
      </c>
      <c r="R454" s="16">
        <f>SUMIFS([0]!VOTOS2,[0]!TURNO1,R$31,[0]!CANDIDATO1,$C454,[0]!MUNICIPIO1,$B$452)</f>
        <v>0</v>
      </c>
      <c r="S454" s="16">
        <f>SUMIFS([0]!VOTOS2,[0]!TURNO1,S$31,[0]!CANDIDATO1,$C454,[0]!MUNICIPIO1,$B$452)</f>
        <v>0</v>
      </c>
      <c r="T454" s="16">
        <f>SUMIFS([0]!VOTOS2,[0]!TURNO1,T$31,[0]!CANDIDATO1,$C454,[0]!MUNICIPIO1,$B$452)</f>
        <v>0</v>
      </c>
      <c r="U454" s="16">
        <f>SUMIFS([0]!VOTOS2,[0]!TURNO1,U$31,[0]!CANDIDATO1,$C454,[0]!MUNICIPIO1,$B$452)</f>
        <v>0</v>
      </c>
      <c r="V454" s="16">
        <f>SUMIFS([0]!VOTOS2,[0]!TURNO1,V$31,[0]!CANDIDATO1,$C454,[0]!MUNICIPIO1,$B$452)</f>
        <v>0</v>
      </c>
      <c r="W454" s="16">
        <f>SUMIFS([0]!VOTOS2,[0]!TURNO1,W$31,[0]!CANDIDATO1,$C454,[0]!MUNICIPIO1,$B$452)</f>
        <v>0</v>
      </c>
      <c r="X454" s="24"/>
      <c r="Y454" s="18" t="str">
        <f t="shared" si="1066"/>
        <v xml:space="preserve">MARIA VERDEAL </v>
      </c>
      <c r="Z454" s="34">
        <f t="shared" si="1067"/>
        <v>0</v>
      </c>
      <c r="AA454" s="34">
        <f t="shared" si="1068"/>
        <v>0</v>
      </c>
      <c r="AB454" s="34" t="e">
        <f t="shared" ref="AB454:AR454" si="1074">IF(SUM(G452:G464)=0,NA(),G454+AA454)</f>
        <v>#N/A</v>
      </c>
      <c r="AC454" s="34" t="e">
        <f t="shared" si="1074"/>
        <v>#N/A</v>
      </c>
      <c r="AD454" s="34" t="e">
        <f t="shared" si="1074"/>
        <v>#N/A</v>
      </c>
      <c r="AE454" s="34" t="e">
        <f t="shared" si="1074"/>
        <v>#N/A</v>
      </c>
      <c r="AF454" s="34" t="e">
        <f t="shared" si="1074"/>
        <v>#N/A</v>
      </c>
      <c r="AG454" s="34" t="e">
        <f t="shared" si="1074"/>
        <v>#N/A</v>
      </c>
      <c r="AH454" s="34" t="e">
        <f t="shared" si="1074"/>
        <v>#N/A</v>
      </c>
      <c r="AI454" s="34" t="e">
        <f t="shared" si="1074"/>
        <v>#N/A</v>
      </c>
      <c r="AJ454" s="34" t="e">
        <f t="shared" si="1074"/>
        <v>#N/A</v>
      </c>
      <c r="AK454" s="34" t="e">
        <f t="shared" si="1074"/>
        <v>#N/A</v>
      </c>
      <c r="AL454" s="34" t="e">
        <f t="shared" si="1074"/>
        <v>#N/A</v>
      </c>
      <c r="AM454" s="34" t="e">
        <f t="shared" si="1074"/>
        <v>#N/A</v>
      </c>
      <c r="AN454" s="34" t="e">
        <f t="shared" si="1074"/>
        <v>#N/A</v>
      </c>
      <c r="AO454" s="34" t="e">
        <f t="shared" si="1074"/>
        <v>#N/A</v>
      </c>
      <c r="AP454" s="34" t="e">
        <f t="shared" si="1074"/>
        <v>#N/A</v>
      </c>
      <c r="AQ454" s="34" t="e">
        <f t="shared" si="1074"/>
        <v>#N/A</v>
      </c>
      <c r="AR454" s="34" t="e">
        <f t="shared" si="1074"/>
        <v>#N/A</v>
      </c>
      <c r="AS454" s="27"/>
      <c r="AT454" s="35" t="str">
        <f t="shared" ref="AT454" si="1075">Y465</f>
        <v>Otros</v>
      </c>
      <c r="AU454" s="36">
        <f t="shared" ref="AU454:BM454" si="1076">Z465/(Z452+Z453+Z465)</f>
        <v>0</v>
      </c>
      <c r="AV454" s="36">
        <f t="shared" si="1076"/>
        <v>0</v>
      </c>
      <c r="AW454" s="36" t="e">
        <f t="shared" si="1076"/>
        <v>#N/A</v>
      </c>
      <c r="AX454" s="36" t="e">
        <f t="shared" si="1076"/>
        <v>#N/A</v>
      </c>
      <c r="AY454" s="36" t="e">
        <f t="shared" si="1076"/>
        <v>#N/A</v>
      </c>
      <c r="AZ454" s="36" t="e">
        <f t="shared" si="1076"/>
        <v>#N/A</v>
      </c>
      <c r="BA454" s="36" t="e">
        <f t="shared" si="1076"/>
        <v>#N/A</v>
      </c>
      <c r="BB454" s="36" t="e">
        <f t="shared" si="1076"/>
        <v>#N/A</v>
      </c>
      <c r="BC454" s="36" t="e">
        <f t="shared" si="1076"/>
        <v>#N/A</v>
      </c>
      <c r="BD454" s="36" t="e">
        <f t="shared" si="1076"/>
        <v>#N/A</v>
      </c>
      <c r="BE454" s="36" t="e">
        <f t="shared" si="1076"/>
        <v>#N/A</v>
      </c>
      <c r="BF454" s="36" t="e">
        <f t="shared" si="1076"/>
        <v>#N/A</v>
      </c>
      <c r="BG454" s="36" t="e">
        <f t="shared" si="1076"/>
        <v>#N/A</v>
      </c>
      <c r="BH454" s="36" t="e">
        <f t="shared" si="1076"/>
        <v>#N/A</v>
      </c>
      <c r="BI454" s="36" t="e">
        <f t="shared" si="1076"/>
        <v>#N/A</v>
      </c>
      <c r="BJ454" s="36" t="e">
        <f t="shared" si="1076"/>
        <v>#N/A</v>
      </c>
      <c r="BK454" s="36" t="e">
        <f t="shared" si="1076"/>
        <v>#N/A</v>
      </c>
      <c r="BL454" s="36" t="e">
        <f t="shared" si="1076"/>
        <v>#N/A</v>
      </c>
      <c r="BM454" s="36" t="e">
        <f t="shared" si="1076"/>
        <v>#N/A</v>
      </c>
      <c r="BN454" s="30"/>
    </row>
    <row r="455" spans="1:66" ht="11.25" customHeight="1" x14ac:dyDescent="0.2">
      <c r="A455" s="38" t="s">
        <v>4</v>
      </c>
      <c r="B455" s="73"/>
      <c r="C455" s="33">
        <v>4</v>
      </c>
      <c r="D455" s="13" t="s">
        <v>330</v>
      </c>
      <c r="E455" s="16">
        <f t="shared" si="1065"/>
        <v>0</v>
      </c>
      <c r="F455" s="16">
        <f>SUMIFS([0]!VOTOS2,[0]!TURNO1,F$31,[0]!CANDIDATO1,$C455,[0]!MUNICIPIO1,$B$452)</f>
        <v>0</v>
      </c>
      <c r="G455" s="16">
        <f>SUMIFS([0]!VOTOS2,[0]!TURNO1,G$31,[0]!CANDIDATO1,$C455,[0]!MUNICIPIO1,$B$452)</f>
        <v>0</v>
      </c>
      <c r="H455" s="16">
        <f>SUMIFS([0]!VOTOS2,[0]!TURNO1,H$31,[0]!CANDIDATO1,$C455,[0]!MUNICIPIO1,$B$452)</f>
        <v>0</v>
      </c>
      <c r="I455" s="16">
        <f>SUMIFS([0]!VOTOS2,[0]!TURNO1,I$31,[0]!CANDIDATO1,$C455,[0]!MUNICIPIO1,$B$452)</f>
        <v>0</v>
      </c>
      <c r="J455" s="16">
        <f>SUMIFS([0]!VOTOS2,[0]!TURNO1,J$31,[0]!CANDIDATO1,$C455,[0]!MUNICIPIO1,$B$452)</f>
        <v>0</v>
      </c>
      <c r="K455" s="16">
        <f>SUMIFS([0]!VOTOS2,[0]!TURNO1,K$31,[0]!CANDIDATO1,$C455,[0]!MUNICIPIO1,$B$452)</f>
        <v>0</v>
      </c>
      <c r="L455" s="16">
        <f>SUMIFS([0]!VOTOS2,[0]!TURNO1,L$31,[0]!CANDIDATO1,$C455,[0]!MUNICIPIO1,$B$452)</f>
        <v>0</v>
      </c>
      <c r="M455" s="16">
        <f>SUMIFS([0]!VOTOS2,[0]!TURNO1,M$31,[0]!CANDIDATO1,$C455,[0]!MUNICIPIO1,$B$452)</f>
        <v>0</v>
      </c>
      <c r="N455" s="16">
        <f>SUMIFS([0]!VOTOS2,[0]!TURNO1,N$31,[0]!CANDIDATO1,$C455,[0]!MUNICIPIO1,$B$452)</f>
        <v>0</v>
      </c>
      <c r="O455" s="16">
        <f>SUMIFS([0]!VOTOS2,[0]!TURNO1,O$31,[0]!CANDIDATO1,$C455,[0]!MUNICIPIO1,$B$452)</f>
        <v>0</v>
      </c>
      <c r="P455" s="16">
        <f>SUMIFS([0]!VOTOS2,[0]!TURNO1,P$31,[0]!CANDIDATO1,$C455,[0]!MUNICIPIO1,$B$452)</f>
        <v>0</v>
      </c>
      <c r="Q455" s="16">
        <f>SUMIFS([0]!VOTOS2,[0]!TURNO1,Q$31,[0]!CANDIDATO1,$C455,[0]!MUNICIPIO1,$B$452)</f>
        <v>0</v>
      </c>
      <c r="R455" s="16">
        <f>SUMIFS([0]!VOTOS2,[0]!TURNO1,R$31,[0]!CANDIDATO1,$C455,[0]!MUNICIPIO1,$B$452)</f>
        <v>0</v>
      </c>
      <c r="S455" s="16">
        <f>SUMIFS([0]!VOTOS2,[0]!TURNO1,S$31,[0]!CANDIDATO1,$C455,[0]!MUNICIPIO1,$B$452)</f>
        <v>0</v>
      </c>
      <c r="T455" s="16">
        <f>SUMIFS([0]!VOTOS2,[0]!TURNO1,T$31,[0]!CANDIDATO1,$C455,[0]!MUNICIPIO1,$B$452)</f>
        <v>0</v>
      </c>
      <c r="U455" s="16">
        <f>SUMIFS([0]!VOTOS2,[0]!TURNO1,U$31,[0]!CANDIDATO1,$C455,[0]!MUNICIPIO1,$B$452)</f>
        <v>0</v>
      </c>
      <c r="V455" s="16">
        <f>SUMIFS([0]!VOTOS2,[0]!TURNO1,V$31,[0]!CANDIDATO1,$C455,[0]!MUNICIPIO1,$B$452)</f>
        <v>0</v>
      </c>
      <c r="W455" s="16">
        <f>SUMIFS([0]!VOTOS2,[0]!TURNO1,W$31,[0]!CANDIDATO1,$C455,[0]!MUNICIPIO1,$B$452)</f>
        <v>0</v>
      </c>
      <c r="X455" s="24"/>
      <c r="Y455" s="18" t="str">
        <f t="shared" si="1066"/>
        <v>DAVID FORY</v>
      </c>
      <c r="Z455" s="34">
        <f t="shared" si="1067"/>
        <v>0</v>
      </c>
      <c r="AA455" s="34">
        <f t="shared" si="1068"/>
        <v>0</v>
      </c>
      <c r="AB455" s="34" t="e">
        <f t="shared" ref="AB455:AR455" si="1077">IF(SUM(G452:G464)=0,NA(),G455+AA455)</f>
        <v>#N/A</v>
      </c>
      <c r="AC455" s="34" t="e">
        <f t="shared" si="1077"/>
        <v>#N/A</v>
      </c>
      <c r="AD455" s="34" t="e">
        <f t="shared" si="1077"/>
        <v>#N/A</v>
      </c>
      <c r="AE455" s="34" t="e">
        <f t="shared" si="1077"/>
        <v>#N/A</v>
      </c>
      <c r="AF455" s="34" t="e">
        <f t="shared" si="1077"/>
        <v>#N/A</v>
      </c>
      <c r="AG455" s="34" t="e">
        <f t="shared" si="1077"/>
        <v>#N/A</v>
      </c>
      <c r="AH455" s="34" t="e">
        <f t="shared" si="1077"/>
        <v>#N/A</v>
      </c>
      <c r="AI455" s="34" t="e">
        <f t="shared" si="1077"/>
        <v>#N/A</v>
      </c>
      <c r="AJ455" s="34" t="e">
        <f t="shared" si="1077"/>
        <v>#N/A</v>
      </c>
      <c r="AK455" s="34" t="e">
        <f t="shared" si="1077"/>
        <v>#N/A</v>
      </c>
      <c r="AL455" s="34" t="e">
        <f t="shared" si="1077"/>
        <v>#N/A</v>
      </c>
      <c r="AM455" s="34" t="e">
        <f t="shared" si="1077"/>
        <v>#N/A</v>
      </c>
      <c r="AN455" s="34" t="e">
        <f t="shared" si="1077"/>
        <v>#N/A</v>
      </c>
      <c r="AO455" s="34" t="e">
        <f t="shared" si="1077"/>
        <v>#N/A</v>
      </c>
      <c r="AP455" s="34" t="e">
        <f t="shared" si="1077"/>
        <v>#N/A</v>
      </c>
      <c r="AQ455" s="34" t="e">
        <f t="shared" si="1077"/>
        <v>#N/A</v>
      </c>
      <c r="AR455" s="34" t="e">
        <f t="shared" si="1077"/>
        <v>#N/A</v>
      </c>
      <c r="AS455" s="27"/>
      <c r="AT455" s="39"/>
      <c r="AU455" s="39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30"/>
    </row>
    <row r="456" spans="1:66" ht="11.25" customHeight="1" x14ac:dyDescent="0.2">
      <c r="A456" s="38" t="s">
        <v>37</v>
      </c>
      <c r="B456" s="73"/>
      <c r="C456" s="33">
        <v>5</v>
      </c>
      <c r="D456" s="13" t="s">
        <v>331</v>
      </c>
      <c r="E456" s="16">
        <f t="shared" si="1065"/>
        <v>0</v>
      </c>
      <c r="F456" s="16">
        <f>SUMIFS([0]!VOTOS2,[0]!TURNO1,F$31,[0]!CANDIDATO1,$C456,[0]!MUNICIPIO1,$B$452)</f>
        <v>0</v>
      </c>
      <c r="G456" s="16">
        <f>SUMIFS([0]!VOTOS2,[0]!TURNO1,G$31,[0]!CANDIDATO1,$C456,[0]!MUNICIPIO1,$B$452)</f>
        <v>0</v>
      </c>
      <c r="H456" s="16">
        <f>SUMIFS([0]!VOTOS2,[0]!TURNO1,H$31,[0]!CANDIDATO1,$C456,[0]!MUNICIPIO1,$B$452)</f>
        <v>0</v>
      </c>
      <c r="I456" s="16">
        <f>SUMIFS([0]!VOTOS2,[0]!TURNO1,I$31,[0]!CANDIDATO1,$C456,[0]!MUNICIPIO1,$B$452)</f>
        <v>0</v>
      </c>
      <c r="J456" s="16">
        <f>SUMIFS([0]!VOTOS2,[0]!TURNO1,J$31,[0]!CANDIDATO1,$C456,[0]!MUNICIPIO1,$B$452)</f>
        <v>0</v>
      </c>
      <c r="K456" s="16">
        <f>SUMIFS([0]!VOTOS2,[0]!TURNO1,K$31,[0]!CANDIDATO1,$C456,[0]!MUNICIPIO1,$B$452)</f>
        <v>0</v>
      </c>
      <c r="L456" s="16">
        <f>SUMIFS([0]!VOTOS2,[0]!TURNO1,L$31,[0]!CANDIDATO1,$C456,[0]!MUNICIPIO1,$B$452)</f>
        <v>0</v>
      </c>
      <c r="M456" s="16">
        <f>SUMIFS([0]!VOTOS2,[0]!TURNO1,M$31,[0]!CANDIDATO1,$C456,[0]!MUNICIPIO1,$B$452)</f>
        <v>0</v>
      </c>
      <c r="N456" s="16">
        <f>SUMIFS([0]!VOTOS2,[0]!TURNO1,N$31,[0]!CANDIDATO1,$C456,[0]!MUNICIPIO1,$B$452)</f>
        <v>0</v>
      </c>
      <c r="O456" s="16">
        <f>SUMIFS([0]!VOTOS2,[0]!TURNO1,O$31,[0]!CANDIDATO1,$C456,[0]!MUNICIPIO1,$B$452)</f>
        <v>0</v>
      </c>
      <c r="P456" s="16">
        <f>SUMIFS([0]!VOTOS2,[0]!TURNO1,P$31,[0]!CANDIDATO1,$C456,[0]!MUNICIPIO1,$B$452)</f>
        <v>0</v>
      </c>
      <c r="Q456" s="16">
        <f>SUMIFS([0]!VOTOS2,[0]!TURNO1,Q$31,[0]!CANDIDATO1,$C456,[0]!MUNICIPIO1,$B$452)</f>
        <v>0</v>
      </c>
      <c r="R456" s="16">
        <f>SUMIFS([0]!VOTOS2,[0]!TURNO1,R$31,[0]!CANDIDATO1,$C456,[0]!MUNICIPIO1,$B$452)</f>
        <v>0</v>
      </c>
      <c r="S456" s="16">
        <f>SUMIFS([0]!VOTOS2,[0]!TURNO1,S$31,[0]!CANDIDATO1,$C456,[0]!MUNICIPIO1,$B$452)</f>
        <v>0</v>
      </c>
      <c r="T456" s="16">
        <f>SUMIFS([0]!VOTOS2,[0]!TURNO1,T$31,[0]!CANDIDATO1,$C456,[0]!MUNICIPIO1,$B$452)</f>
        <v>0</v>
      </c>
      <c r="U456" s="16">
        <f>SUMIFS([0]!VOTOS2,[0]!TURNO1,U$31,[0]!CANDIDATO1,$C456,[0]!MUNICIPIO1,$B$452)</f>
        <v>0</v>
      </c>
      <c r="V456" s="16">
        <f>SUMIFS([0]!VOTOS2,[0]!TURNO1,V$31,[0]!CANDIDATO1,$C456,[0]!MUNICIPIO1,$B$452)</f>
        <v>0</v>
      </c>
      <c r="W456" s="16">
        <f>SUMIFS([0]!VOTOS2,[0]!TURNO1,W$31,[0]!CANDIDATO1,$C456,[0]!MUNICIPIO1,$B$452)</f>
        <v>0</v>
      </c>
      <c r="X456" s="24"/>
      <c r="Y456" s="18" t="str">
        <f t="shared" si="1066"/>
        <v>JOSE CONTRERAS</v>
      </c>
      <c r="Z456" s="34">
        <f t="shared" si="1067"/>
        <v>0</v>
      </c>
      <c r="AA456" s="34">
        <f t="shared" si="1068"/>
        <v>0</v>
      </c>
      <c r="AB456" s="34" t="e">
        <f t="shared" ref="AB456:AR456" si="1078">IF(SUM(G452:G464)=0,NA(),G456+AA456)</f>
        <v>#N/A</v>
      </c>
      <c r="AC456" s="34" t="e">
        <f t="shared" si="1078"/>
        <v>#N/A</v>
      </c>
      <c r="AD456" s="34" t="e">
        <f t="shared" si="1078"/>
        <v>#N/A</v>
      </c>
      <c r="AE456" s="34" t="e">
        <f t="shared" si="1078"/>
        <v>#N/A</v>
      </c>
      <c r="AF456" s="34" t="e">
        <f t="shared" si="1078"/>
        <v>#N/A</v>
      </c>
      <c r="AG456" s="34" t="e">
        <f t="shared" si="1078"/>
        <v>#N/A</v>
      </c>
      <c r="AH456" s="34" t="e">
        <f t="shared" si="1078"/>
        <v>#N/A</v>
      </c>
      <c r="AI456" s="34" t="e">
        <f t="shared" si="1078"/>
        <v>#N/A</v>
      </c>
      <c r="AJ456" s="34" t="e">
        <f t="shared" si="1078"/>
        <v>#N/A</v>
      </c>
      <c r="AK456" s="34" t="e">
        <f t="shared" si="1078"/>
        <v>#N/A</v>
      </c>
      <c r="AL456" s="34" t="e">
        <f t="shared" si="1078"/>
        <v>#N/A</v>
      </c>
      <c r="AM456" s="34" t="e">
        <f t="shared" si="1078"/>
        <v>#N/A</v>
      </c>
      <c r="AN456" s="34" t="e">
        <f t="shared" si="1078"/>
        <v>#N/A</v>
      </c>
      <c r="AO456" s="34" t="e">
        <f t="shared" si="1078"/>
        <v>#N/A</v>
      </c>
      <c r="AP456" s="34" t="e">
        <f t="shared" si="1078"/>
        <v>#N/A</v>
      </c>
      <c r="AQ456" s="34" t="e">
        <f t="shared" si="1078"/>
        <v>#N/A</v>
      </c>
      <c r="AR456" s="34" t="e">
        <f t="shared" si="1078"/>
        <v>#N/A</v>
      </c>
      <c r="AS456" s="27"/>
      <c r="AT456" s="39"/>
      <c r="AU456" s="39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30"/>
    </row>
    <row r="457" spans="1:66" ht="11.25" customHeight="1" x14ac:dyDescent="0.2">
      <c r="A457" s="37"/>
      <c r="B457" s="73"/>
      <c r="C457" s="33">
        <v>6</v>
      </c>
      <c r="D457" s="13" t="s">
        <v>332</v>
      </c>
      <c r="E457" s="16">
        <f t="shared" si="1065"/>
        <v>0</v>
      </c>
      <c r="F457" s="16">
        <f>SUMIFS([0]!VOTOS2,[0]!TURNO1,F$31,[0]!CANDIDATO1,$C457,[0]!MUNICIPIO1,$B$452)</f>
        <v>0</v>
      </c>
      <c r="G457" s="16">
        <f>SUMIFS([0]!VOTOS2,[0]!TURNO1,G$31,[0]!CANDIDATO1,$C457,[0]!MUNICIPIO1,$B$452)</f>
        <v>0</v>
      </c>
      <c r="H457" s="16">
        <f>SUMIFS([0]!VOTOS2,[0]!TURNO1,H$31,[0]!CANDIDATO1,$C457,[0]!MUNICIPIO1,$B$452)</f>
        <v>0</v>
      </c>
      <c r="I457" s="16">
        <f>SUMIFS([0]!VOTOS2,[0]!TURNO1,I$31,[0]!CANDIDATO1,$C457,[0]!MUNICIPIO1,$B$452)</f>
        <v>0</v>
      </c>
      <c r="J457" s="16">
        <f>SUMIFS([0]!VOTOS2,[0]!TURNO1,J$31,[0]!CANDIDATO1,$C457,[0]!MUNICIPIO1,$B$452)</f>
        <v>0</v>
      </c>
      <c r="K457" s="16">
        <f>SUMIFS([0]!VOTOS2,[0]!TURNO1,K$31,[0]!CANDIDATO1,$C457,[0]!MUNICIPIO1,$B$452)</f>
        <v>0</v>
      </c>
      <c r="L457" s="16">
        <f>SUMIFS([0]!VOTOS2,[0]!TURNO1,L$31,[0]!CANDIDATO1,$C457,[0]!MUNICIPIO1,$B$452)</f>
        <v>0</v>
      </c>
      <c r="M457" s="16">
        <f>SUMIFS([0]!VOTOS2,[0]!TURNO1,M$31,[0]!CANDIDATO1,$C457,[0]!MUNICIPIO1,$B$452)</f>
        <v>0</v>
      </c>
      <c r="N457" s="16">
        <f>SUMIFS([0]!VOTOS2,[0]!TURNO1,N$31,[0]!CANDIDATO1,$C457,[0]!MUNICIPIO1,$B$452)</f>
        <v>0</v>
      </c>
      <c r="O457" s="16">
        <f>SUMIFS([0]!VOTOS2,[0]!TURNO1,O$31,[0]!CANDIDATO1,$C457,[0]!MUNICIPIO1,$B$452)</f>
        <v>0</v>
      </c>
      <c r="P457" s="16">
        <f>SUMIFS([0]!VOTOS2,[0]!TURNO1,P$31,[0]!CANDIDATO1,$C457,[0]!MUNICIPIO1,$B$452)</f>
        <v>0</v>
      </c>
      <c r="Q457" s="16">
        <f>SUMIFS([0]!VOTOS2,[0]!TURNO1,Q$31,[0]!CANDIDATO1,$C457,[0]!MUNICIPIO1,$B$452)</f>
        <v>0</v>
      </c>
      <c r="R457" s="16">
        <f>SUMIFS([0]!VOTOS2,[0]!TURNO1,R$31,[0]!CANDIDATO1,$C457,[0]!MUNICIPIO1,$B$452)</f>
        <v>0</v>
      </c>
      <c r="S457" s="16">
        <f>SUMIFS([0]!VOTOS2,[0]!TURNO1,S$31,[0]!CANDIDATO1,$C457,[0]!MUNICIPIO1,$B$452)</f>
        <v>0</v>
      </c>
      <c r="T457" s="16">
        <f>SUMIFS([0]!VOTOS2,[0]!TURNO1,T$31,[0]!CANDIDATO1,$C457,[0]!MUNICIPIO1,$B$452)</f>
        <v>0</v>
      </c>
      <c r="U457" s="16">
        <f>SUMIFS([0]!VOTOS2,[0]!TURNO1,U$31,[0]!CANDIDATO1,$C457,[0]!MUNICIPIO1,$B$452)</f>
        <v>0</v>
      </c>
      <c r="V457" s="16">
        <f>SUMIFS([0]!VOTOS2,[0]!TURNO1,V$31,[0]!CANDIDATO1,$C457,[0]!MUNICIPIO1,$B$452)</f>
        <v>0</v>
      </c>
      <c r="W457" s="16">
        <f>SUMIFS([0]!VOTOS2,[0]!TURNO1,W$31,[0]!CANDIDATO1,$C457,[0]!MUNICIPIO1,$B$452)</f>
        <v>0</v>
      </c>
      <c r="X457" s="24"/>
      <c r="Y457" s="18" t="str">
        <f t="shared" si="1066"/>
        <v>GUILLERMO SAAVEDRA</v>
      </c>
      <c r="Z457" s="34">
        <f t="shared" si="1067"/>
        <v>0</v>
      </c>
      <c r="AA457" s="34">
        <f t="shared" si="1068"/>
        <v>0</v>
      </c>
      <c r="AB457" s="34" t="e">
        <f t="shared" ref="AB457:AR457" si="1079">IF(SUM(G452:G464)=0,NA(),G457+AA457)</f>
        <v>#N/A</v>
      </c>
      <c r="AC457" s="34" t="e">
        <f t="shared" si="1079"/>
        <v>#N/A</v>
      </c>
      <c r="AD457" s="34" t="e">
        <f t="shared" si="1079"/>
        <v>#N/A</v>
      </c>
      <c r="AE457" s="34" t="e">
        <f t="shared" si="1079"/>
        <v>#N/A</v>
      </c>
      <c r="AF457" s="34" t="e">
        <f t="shared" si="1079"/>
        <v>#N/A</v>
      </c>
      <c r="AG457" s="34" t="e">
        <f t="shared" si="1079"/>
        <v>#N/A</v>
      </c>
      <c r="AH457" s="34" t="e">
        <f t="shared" si="1079"/>
        <v>#N/A</v>
      </c>
      <c r="AI457" s="34" t="e">
        <f t="shared" si="1079"/>
        <v>#N/A</v>
      </c>
      <c r="AJ457" s="34" t="e">
        <f t="shared" si="1079"/>
        <v>#N/A</v>
      </c>
      <c r="AK457" s="34" t="e">
        <f t="shared" si="1079"/>
        <v>#N/A</v>
      </c>
      <c r="AL457" s="34" t="e">
        <f t="shared" si="1079"/>
        <v>#N/A</v>
      </c>
      <c r="AM457" s="34" t="e">
        <f t="shared" si="1079"/>
        <v>#N/A</v>
      </c>
      <c r="AN457" s="34" t="e">
        <f t="shared" si="1079"/>
        <v>#N/A</v>
      </c>
      <c r="AO457" s="34" t="e">
        <f t="shared" si="1079"/>
        <v>#N/A</v>
      </c>
      <c r="AP457" s="34" t="e">
        <f t="shared" si="1079"/>
        <v>#N/A</v>
      </c>
      <c r="AQ457" s="34" t="e">
        <f t="shared" si="1079"/>
        <v>#N/A</v>
      </c>
      <c r="AR457" s="34" t="e">
        <f t="shared" si="1079"/>
        <v>#N/A</v>
      </c>
      <c r="AS457" s="27"/>
      <c r="AT457" s="39"/>
      <c r="AU457" s="39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30"/>
    </row>
    <row r="458" spans="1:66" ht="11.25" customHeight="1" x14ac:dyDescent="0.2">
      <c r="A458" s="37"/>
      <c r="B458" s="73"/>
      <c r="C458" s="33">
        <v>7</v>
      </c>
      <c r="D458" s="13" t="s">
        <v>333</v>
      </c>
      <c r="E458" s="16">
        <f t="shared" si="1065"/>
        <v>0</v>
      </c>
      <c r="F458" s="16">
        <f>SUMIFS([0]!VOTOS2,[0]!TURNO1,F$31,[0]!CANDIDATO1,$C458,[0]!MUNICIPIO1,$B$452)</f>
        <v>0</v>
      </c>
      <c r="G458" s="16">
        <f>SUMIFS([0]!VOTOS2,[0]!TURNO1,G$31,[0]!CANDIDATO1,$C458,[0]!MUNICIPIO1,$B$452)</f>
        <v>0</v>
      </c>
      <c r="H458" s="16">
        <f>SUMIFS([0]!VOTOS2,[0]!TURNO1,H$31,[0]!CANDIDATO1,$C458,[0]!MUNICIPIO1,$B$452)</f>
        <v>0</v>
      </c>
      <c r="I458" s="16">
        <f>SUMIFS([0]!VOTOS2,[0]!TURNO1,I$31,[0]!CANDIDATO1,$C458,[0]!MUNICIPIO1,$B$452)</f>
        <v>0</v>
      </c>
      <c r="J458" s="16">
        <f>SUMIFS([0]!VOTOS2,[0]!TURNO1,J$31,[0]!CANDIDATO1,$C458,[0]!MUNICIPIO1,$B$452)</f>
        <v>0</v>
      </c>
      <c r="K458" s="16">
        <f>SUMIFS([0]!VOTOS2,[0]!TURNO1,K$31,[0]!CANDIDATO1,$C458,[0]!MUNICIPIO1,$B$452)</f>
        <v>0</v>
      </c>
      <c r="L458" s="16">
        <f>SUMIFS([0]!VOTOS2,[0]!TURNO1,L$31,[0]!CANDIDATO1,$C458,[0]!MUNICIPIO1,$B$452)</f>
        <v>0</v>
      </c>
      <c r="M458" s="16">
        <f>SUMIFS([0]!VOTOS2,[0]!TURNO1,M$31,[0]!CANDIDATO1,$C458,[0]!MUNICIPIO1,$B$452)</f>
        <v>0</v>
      </c>
      <c r="N458" s="16">
        <f>SUMIFS([0]!VOTOS2,[0]!TURNO1,N$31,[0]!CANDIDATO1,$C458,[0]!MUNICIPIO1,$B$452)</f>
        <v>0</v>
      </c>
      <c r="O458" s="16">
        <f>SUMIFS([0]!VOTOS2,[0]!TURNO1,O$31,[0]!CANDIDATO1,$C458,[0]!MUNICIPIO1,$B$452)</f>
        <v>0</v>
      </c>
      <c r="P458" s="16">
        <f>SUMIFS([0]!VOTOS2,[0]!TURNO1,P$31,[0]!CANDIDATO1,$C458,[0]!MUNICIPIO1,$B$452)</f>
        <v>0</v>
      </c>
      <c r="Q458" s="16">
        <f>SUMIFS([0]!VOTOS2,[0]!TURNO1,Q$31,[0]!CANDIDATO1,$C458,[0]!MUNICIPIO1,$B$452)</f>
        <v>0</v>
      </c>
      <c r="R458" s="16">
        <f>SUMIFS([0]!VOTOS2,[0]!TURNO1,R$31,[0]!CANDIDATO1,$C458,[0]!MUNICIPIO1,$B$452)</f>
        <v>0</v>
      </c>
      <c r="S458" s="16">
        <f>SUMIFS([0]!VOTOS2,[0]!TURNO1,S$31,[0]!CANDIDATO1,$C458,[0]!MUNICIPIO1,$B$452)</f>
        <v>0</v>
      </c>
      <c r="T458" s="16">
        <f>SUMIFS([0]!VOTOS2,[0]!TURNO1,T$31,[0]!CANDIDATO1,$C458,[0]!MUNICIPIO1,$B$452)</f>
        <v>0</v>
      </c>
      <c r="U458" s="16">
        <f>SUMIFS([0]!VOTOS2,[0]!TURNO1,U$31,[0]!CANDIDATO1,$C458,[0]!MUNICIPIO1,$B$452)</f>
        <v>0</v>
      </c>
      <c r="V458" s="16">
        <f>SUMIFS([0]!VOTOS2,[0]!TURNO1,V$31,[0]!CANDIDATO1,$C458,[0]!MUNICIPIO1,$B$452)</f>
        <v>0</v>
      </c>
      <c r="W458" s="16">
        <f>SUMIFS([0]!VOTOS2,[0]!TURNO1,W$31,[0]!CANDIDATO1,$C458,[0]!MUNICIPIO1,$B$452)</f>
        <v>0</v>
      </c>
      <c r="X458" s="24"/>
      <c r="Y458" s="18" t="str">
        <f t="shared" si="1066"/>
        <v>DANIELLA CASTRO</v>
      </c>
      <c r="Z458" s="34">
        <f t="shared" si="1067"/>
        <v>0</v>
      </c>
      <c r="AA458" s="34">
        <f t="shared" si="1068"/>
        <v>0</v>
      </c>
      <c r="AB458" s="34" t="e">
        <f t="shared" ref="AB458:AR458" si="1080">IF(SUM(G452:G464)=0,NA(),G458+AA458)</f>
        <v>#N/A</v>
      </c>
      <c r="AC458" s="34" t="e">
        <f t="shared" si="1080"/>
        <v>#N/A</v>
      </c>
      <c r="AD458" s="34" t="e">
        <f t="shared" si="1080"/>
        <v>#N/A</v>
      </c>
      <c r="AE458" s="34" t="e">
        <f t="shared" si="1080"/>
        <v>#N/A</v>
      </c>
      <c r="AF458" s="34" t="e">
        <f t="shared" si="1080"/>
        <v>#N/A</v>
      </c>
      <c r="AG458" s="34" t="e">
        <f t="shared" si="1080"/>
        <v>#N/A</v>
      </c>
      <c r="AH458" s="34" t="e">
        <f t="shared" si="1080"/>
        <v>#N/A</v>
      </c>
      <c r="AI458" s="34" t="e">
        <f t="shared" si="1080"/>
        <v>#N/A</v>
      </c>
      <c r="AJ458" s="34" t="e">
        <f t="shared" si="1080"/>
        <v>#N/A</v>
      </c>
      <c r="AK458" s="34" t="e">
        <f t="shared" si="1080"/>
        <v>#N/A</v>
      </c>
      <c r="AL458" s="34" t="e">
        <f t="shared" si="1080"/>
        <v>#N/A</v>
      </c>
      <c r="AM458" s="34" t="e">
        <f t="shared" si="1080"/>
        <v>#N/A</v>
      </c>
      <c r="AN458" s="34" t="e">
        <f t="shared" si="1080"/>
        <v>#N/A</v>
      </c>
      <c r="AO458" s="34" t="e">
        <f t="shared" si="1080"/>
        <v>#N/A</v>
      </c>
      <c r="AP458" s="34" t="e">
        <f t="shared" si="1080"/>
        <v>#N/A</v>
      </c>
      <c r="AQ458" s="34" t="e">
        <f t="shared" si="1080"/>
        <v>#N/A</v>
      </c>
      <c r="AR458" s="34" t="e">
        <f t="shared" si="1080"/>
        <v>#N/A</v>
      </c>
      <c r="AS458" s="27"/>
      <c r="AT458" s="39"/>
      <c r="AU458" s="39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30"/>
    </row>
    <row r="459" spans="1:66" ht="11.25" customHeight="1" x14ac:dyDescent="0.2">
      <c r="A459" s="37"/>
      <c r="B459" s="73"/>
      <c r="C459" s="33">
        <v>8</v>
      </c>
      <c r="D459" s="13" t="s">
        <v>334</v>
      </c>
      <c r="E459" s="16">
        <f t="shared" si="1065"/>
        <v>0</v>
      </c>
      <c r="F459" s="16">
        <f>SUMIFS([0]!VOTOS2,[0]!TURNO1,F$31,[0]!CANDIDATO1,$C459,[0]!MUNICIPIO1,$B$452)</f>
        <v>0</v>
      </c>
      <c r="G459" s="16">
        <f>SUMIFS([0]!VOTOS2,[0]!TURNO1,G$31,[0]!CANDIDATO1,$C459,[0]!MUNICIPIO1,$B$452)</f>
        <v>0</v>
      </c>
      <c r="H459" s="16">
        <f>SUMIFS([0]!VOTOS2,[0]!TURNO1,H$31,[0]!CANDIDATO1,$C459,[0]!MUNICIPIO1,$B$452)</f>
        <v>0</v>
      </c>
      <c r="I459" s="16">
        <f>SUMIFS([0]!VOTOS2,[0]!TURNO1,I$31,[0]!CANDIDATO1,$C459,[0]!MUNICIPIO1,$B$452)</f>
        <v>0</v>
      </c>
      <c r="J459" s="16">
        <f>SUMIFS([0]!VOTOS2,[0]!TURNO1,J$31,[0]!CANDIDATO1,$C459,[0]!MUNICIPIO1,$B$452)</f>
        <v>0</v>
      </c>
      <c r="K459" s="16">
        <f>SUMIFS([0]!VOTOS2,[0]!TURNO1,K$31,[0]!CANDIDATO1,$C459,[0]!MUNICIPIO1,$B$452)</f>
        <v>0</v>
      </c>
      <c r="L459" s="16">
        <f>SUMIFS([0]!VOTOS2,[0]!TURNO1,L$31,[0]!CANDIDATO1,$C459,[0]!MUNICIPIO1,$B$452)</f>
        <v>0</v>
      </c>
      <c r="M459" s="16">
        <f>SUMIFS([0]!VOTOS2,[0]!TURNO1,M$31,[0]!CANDIDATO1,$C459,[0]!MUNICIPIO1,$B$452)</f>
        <v>0</v>
      </c>
      <c r="N459" s="16">
        <f>SUMIFS([0]!VOTOS2,[0]!TURNO1,N$31,[0]!CANDIDATO1,$C459,[0]!MUNICIPIO1,$B$452)</f>
        <v>0</v>
      </c>
      <c r="O459" s="16">
        <f>SUMIFS([0]!VOTOS2,[0]!TURNO1,O$31,[0]!CANDIDATO1,$C459,[0]!MUNICIPIO1,$B$452)</f>
        <v>0</v>
      </c>
      <c r="P459" s="16">
        <f>SUMIFS([0]!VOTOS2,[0]!TURNO1,P$31,[0]!CANDIDATO1,$C459,[0]!MUNICIPIO1,$B$452)</f>
        <v>0</v>
      </c>
      <c r="Q459" s="16">
        <f>SUMIFS([0]!VOTOS2,[0]!TURNO1,Q$31,[0]!CANDIDATO1,$C459,[0]!MUNICIPIO1,$B$452)</f>
        <v>0</v>
      </c>
      <c r="R459" s="16">
        <f>SUMIFS([0]!VOTOS2,[0]!TURNO1,R$31,[0]!CANDIDATO1,$C459,[0]!MUNICIPIO1,$B$452)</f>
        <v>0</v>
      </c>
      <c r="S459" s="16">
        <f>SUMIFS([0]!VOTOS2,[0]!TURNO1,S$31,[0]!CANDIDATO1,$C459,[0]!MUNICIPIO1,$B$452)</f>
        <v>0</v>
      </c>
      <c r="T459" s="16">
        <f>SUMIFS([0]!VOTOS2,[0]!TURNO1,T$31,[0]!CANDIDATO1,$C459,[0]!MUNICIPIO1,$B$452)</f>
        <v>0</v>
      </c>
      <c r="U459" s="16">
        <f>SUMIFS([0]!VOTOS2,[0]!TURNO1,U$31,[0]!CANDIDATO1,$C459,[0]!MUNICIPIO1,$B$452)</f>
        <v>0</v>
      </c>
      <c r="V459" s="16">
        <f>SUMIFS([0]!VOTOS2,[0]!TURNO1,V$31,[0]!CANDIDATO1,$C459,[0]!MUNICIPIO1,$B$452)</f>
        <v>0</v>
      </c>
      <c r="W459" s="16">
        <f>SUMIFS([0]!VOTOS2,[0]!TURNO1,W$31,[0]!CANDIDATO1,$C459,[0]!MUNICIPIO1,$B$452)</f>
        <v>0</v>
      </c>
      <c r="X459" s="24"/>
      <c r="Y459" s="18" t="str">
        <f t="shared" si="1066"/>
        <v>MARIA LONGART</v>
      </c>
      <c r="Z459" s="34">
        <f t="shared" si="1067"/>
        <v>0</v>
      </c>
      <c r="AA459" s="34">
        <f t="shared" si="1068"/>
        <v>0</v>
      </c>
      <c r="AB459" s="34" t="e">
        <f t="shared" ref="AB459:AR459" si="1081">IF(SUM(G452:G464)=0,NA(),G459+AA459)</f>
        <v>#N/A</v>
      </c>
      <c r="AC459" s="34" t="e">
        <f t="shared" si="1081"/>
        <v>#N/A</v>
      </c>
      <c r="AD459" s="34" t="e">
        <f t="shared" si="1081"/>
        <v>#N/A</v>
      </c>
      <c r="AE459" s="34" t="e">
        <f t="shared" si="1081"/>
        <v>#N/A</v>
      </c>
      <c r="AF459" s="34" t="e">
        <f t="shared" si="1081"/>
        <v>#N/A</v>
      </c>
      <c r="AG459" s="34" t="e">
        <f t="shared" si="1081"/>
        <v>#N/A</v>
      </c>
      <c r="AH459" s="34" t="e">
        <f t="shared" si="1081"/>
        <v>#N/A</v>
      </c>
      <c r="AI459" s="34" t="e">
        <f t="shared" si="1081"/>
        <v>#N/A</v>
      </c>
      <c r="AJ459" s="34" t="e">
        <f t="shared" si="1081"/>
        <v>#N/A</v>
      </c>
      <c r="AK459" s="34" t="e">
        <f t="shared" si="1081"/>
        <v>#N/A</v>
      </c>
      <c r="AL459" s="34" t="e">
        <f t="shared" si="1081"/>
        <v>#N/A</v>
      </c>
      <c r="AM459" s="34" t="e">
        <f t="shared" si="1081"/>
        <v>#N/A</v>
      </c>
      <c r="AN459" s="34" t="e">
        <f t="shared" si="1081"/>
        <v>#N/A</v>
      </c>
      <c r="AO459" s="34" t="e">
        <f t="shared" si="1081"/>
        <v>#N/A</v>
      </c>
      <c r="AP459" s="34" t="e">
        <f t="shared" si="1081"/>
        <v>#N/A</v>
      </c>
      <c r="AQ459" s="34" t="e">
        <f t="shared" si="1081"/>
        <v>#N/A</v>
      </c>
      <c r="AR459" s="34" t="e">
        <f t="shared" si="1081"/>
        <v>#N/A</v>
      </c>
      <c r="AS459" s="27"/>
      <c r="AT459" s="41"/>
      <c r="AU459" s="41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30"/>
    </row>
    <row r="460" spans="1:66" ht="11.25" customHeight="1" x14ac:dyDescent="0.2">
      <c r="A460" s="37"/>
      <c r="B460" s="73"/>
      <c r="C460" s="33">
        <v>9</v>
      </c>
      <c r="D460" s="13" t="s">
        <v>335</v>
      </c>
      <c r="E460" s="16">
        <f t="shared" si="1065"/>
        <v>0</v>
      </c>
      <c r="F460" s="16">
        <f>SUMIFS([0]!VOTOS2,[0]!TURNO1,F$31,[0]!CANDIDATO1,$C460,[0]!MUNICIPIO1,$B$452)</f>
        <v>0</v>
      </c>
      <c r="G460" s="16">
        <f>SUMIFS([0]!VOTOS2,[0]!TURNO1,G$31,[0]!CANDIDATO1,$C460,[0]!MUNICIPIO1,$B$452)</f>
        <v>0</v>
      </c>
      <c r="H460" s="16">
        <f>SUMIFS([0]!VOTOS2,[0]!TURNO1,H$31,[0]!CANDIDATO1,$C460,[0]!MUNICIPIO1,$B$452)</f>
        <v>0</v>
      </c>
      <c r="I460" s="16">
        <f>SUMIFS([0]!VOTOS2,[0]!TURNO1,I$31,[0]!CANDIDATO1,$C460,[0]!MUNICIPIO1,$B$452)</f>
        <v>0</v>
      </c>
      <c r="J460" s="16">
        <f>SUMIFS([0]!VOTOS2,[0]!TURNO1,J$31,[0]!CANDIDATO1,$C460,[0]!MUNICIPIO1,$B$452)</f>
        <v>0</v>
      </c>
      <c r="K460" s="16">
        <f>SUMIFS([0]!VOTOS2,[0]!TURNO1,K$31,[0]!CANDIDATO1,$C460,[0]!MUNICIPIO1,$B$452)</f>
        <v>0</v>
      </c>
      <c r="L460" s="16">
        <f>SUMIFS([0]!VOTOS2,[0]!TURNO1,L$31,[0]!CANDIDATO1,$C460,[0]!MUNICIPIO1,$B$452)</f>
        <v>0</v>
      </c>
      <c r="M460" s="16">
        <f>SUMIFS([0]!VOTOS2,[0]!TURNO1,M$31,[0]!CANDIDATO1,$C460,[0]!MUNICIPIO1,$B$452)</f>
        <v>0</v>
      </c>
      <c r="N460" s="16">
        <f>SUMIFS([0]!VOTOS2,[0]!TURNO1,N$31,[0]!CANDIDATO1,$C460,[0]!MUNICIPIO1,$B$452)</f>
        <v>0</v>
      </c>
      <c r="O460" s="16">
        <f>SUMIFS([0]!VOTOS2,[0]!TURNO1,O$31,[0]!CANDIDATO1,$C460,[0]!MUNICIPIO1,$B$452)</f>
        <v>0</v>
      </c>
      <c r="P460" s="16">
        <f>SUMIFS([0]!VOTOS2,[0]!TURNO1,P$31,[0]!CANDIDATO1,$C460,[0]!MUNICIPIO1,$B$452)</f>
        <v>0</v>
      </c>
      <c r="Q460" s="16">
        <f>SUMIFS([0]!VOTOS2,[0]!TURNO1,Q$31,[0]!CANDIDATO1,$C460,[0]!MUNICIPIO1,$B$452)</f>
        <v>0</v>
      </c>
      <c r="R460" s="16">
        <f>SUMIFS([0]!VOTOS2,[0]!TURNO1,R$31,[0]!CANDIDATO1,$C460,[0]!MUNICIPIO1,$B$452)</f>
        <v>0</v>
      </c>
      <c r="S460" s="16">
        <f>SUMIFS([0]!VOTOS2,[0]!TURNO1,S$31,[0]!CANDIDATO1,$C460,[0]!MUNICIPIO1,$B$452)</f>
        <v>0</v>
      </c>
      <c r="T460" s="16">
        <f>SUMIFS([0]!VOTOS2,[0]!TURNO1,T$31,[0]!CANDIDATO1,$C460,[0]!MUNICIPIO1,$B$452)</f>
        <v>0</v>
      </c>
      <c r="U460" s="16">
        <f>SUMIFS([0]!VOTOS2,[0]!TURNO1,U$31,[0]!CANDIDATO1,$C460,[0]!MUNICIPIO1,$B$452)</f>
        <v>0</v>
      </c>
      <c r="V460" s="16">
        <f>SUMIFS([0]!VOTOS2,[0]!TURNO1,V$31,[0]!CANDIDATO1,$C460,[0]!MUNICIPIO1,$B$452)</f>
        <v>0</v>
      </c>
      <c r="W460" s="16">
        <f>SUMIFS([0]!VOTOS2,[0]!TURNO1,W$31,[0]!CANDIDATO1,$C460,[0]!MUNICIPIO1,$B$452)</f>
        <v>0</v>
      </c>
      <c r="X460" s="24"/>
      <c r="Y460" s="18" t="str">
        <f t="shared" si="1066"/>
        <v>LUIS APARICIO</v>
      </c>
      <c r="Z460" s="34">
        <f t="shared" si="1067"/>
        <v>0</v>
      </c>
      <c r="AA460" s="34">
        <f t="shared" si="1068"/>
        <v>0</v>
      </c>
      <c r="AB460" s="34" t="e">
        <f t="shared" ref="AB460:AR460" si="1082">IF(SUM(G452:G464)=0,NA(),G460+AA460)</f>
        <v>#N/A</v>
      </c>
      <c r="AC460" s="34" t="e">
        <f t="shared" si="1082"/>
        <v>#N/A</v>
      </c>
      <c r="AD460" s="34" t="e">
        <f t="shared" si="1082"/>
        <v>#N/A</v>
      </c>
      <c r="AE460" s="34" t="e">
        <f t="shared" si="1082"/>
        <v>#N/A</v>
      </c>
      <c r="AF460" s="34" t="e">
        <f t="shared" si="1082"/>
        <v>#N/A</v>
      </c>
      <c r="AG460" s="34" t="e">
        <f t="shared" si="1082"/>
        <v>#N/A</v>
      </c>
      <c r="AH460" s="34" t="e">
        <f t="shared" si="1082"/>
        <v>#N/A</v>
      </c>
      <c r="AI460" s="34" t="e">
        <f t="shared" si="1082"/>
        <v>#N/A</v>
      </c>
      <c r="AJ460" s="34" t="e">
        <f t="shared" si="1082"/>
        <v>#N/A</v>
      </c>
      <c r="AK460" s="34" t="e">
        <f t="shared" si="1082"/>
        <v>#N/A</v>
      </c>
      <c r="AL460" s="34" t="e">
        <f t="shared" si="1082"/>
        <v>#N/A</v>
      </c>
      <c r="AM460" s="34" t="e">
        <f t="shared" si="1082"/>
        <v>#N/A</v>
      </c>
      <c r="AN460" s="34" t="e">
        <f t="shared" si="1082"/>
        <v>#N/A</v>
      </c>
      <c r="AO460" s="34" t="e">
        <f t="shared" si="1082"/>
        <v>#N/A</v>
      </c>
      <c r="AP460" s="34" t="e">
        <f t="shared" si="1082"/>
        <v>#N/A</v>
      </c>
      <c r="AQ460" s="34" t="e">
        <f t="shared" si="1082"/>
        <v>#N/A</v>
      </c>
      <c r="AR460" s="34" t="e">
        <f t="shared" si="1082"/>
        <v>#N/A</v>
      </c>
      <c r="AS460" s="27"/>
      <c r="AT460" s="41"/>
      <c r="AU460" s="41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/>
      <c r="BN460" s="30"/>
    </row>
    <row r="461" spans="1:66" ht="11.25" customHeight="1" x14ac:dyDescent="0.2">
      <c r="A461" s="42"/>
      <c r="B461" s="74"/>
      <c r="C461" s="33">
        <v>10</v>
      </c>
      <c r="D461" s="13" t="s">
        <v>336</v>
      </c>
      <c r="E461" s="16">
        <f t="shared" si="1065"/>
        <v>0</v>
      </c>
      <c r="F461" s="16">
        <f>SUMIFS([0]!VOTOS2,[0]!TURNO1,F$31,[0]!CANDIDATO1,$C461,[0]!MUNICIPIO1,$B$452)</f>
        <v>0</v>
      </c>
      <c r="G461" s="16">
        <f>SUMIFS([0]!VOTOS2,[0]!TURNO1,G$31,[0]!CANDIDATO1,$C461,[0]!MUNICIPIO1,$B$452)</f>
        <v>0</v>
      </c>
      <c r="H461" s="16">
        <f>SUMIFS([0]!VOTOS2,[0]!TURNO1,H$31,[0]!CANDIDATO1,$C461,[0]!MUNICIPIO1,$B$452)</f>
        <v>0</v>
      </c>
      <c r="I461" s="16">
        <f>SUMIFS([0]!VOTOS2,[0]!TURNO1,I$31,[0]!CANDIDATO1,$C461,[0]!MUNICIPIO1,$B$452)</f>
        <v>0</v>
      </c>
      <c r="J461" s="16">
        <f>SUMIFS([0]!VOTOS2,[0]!TURNO1,J$31,[0]!CANDIDATO1,$C461,[0]!MUNICIPIO1,$B$452)</f>
        <v>0</v>
      </c>
      <c r="K461" s="16">
        <f>SUMIFS([0]!VOTOS2,[0]!TURNO1,K$31,[0]!CANDIDATO1,$C461,[0]!MUNICIPIO1,$B$452)</f>
        <v>0</v>
      </c>
      <c r="L461" s="16">
        <f>SUMIFS([0]!VOTOS2,[0]!TURNO1,L$31,[0]!CANDIDATO1,$C461,[0]!MUNICIPIO1,$B$452)</f>
        <v>0</v>
      </c>
      <c r="M461" s="16">
        <f>SUMIFS([0]!VOTOS2,[0]!TURNO1,M$31,[0]!CANDIDATO1,$C461,[0]!MUNICIPIO1,$B$452)</f>
        <v>0</v>
      </c>
      <c r="N461" s="16">
        <f>SUMIFS([0]!VOTOS2,[0]!TURNO1,N$31,[0]!CANDIDATO1,$C461,[0]!MUNICIPIO1,$B$452)</f>
        <v>0</v>
      </c>
      <c r="O461" s="16">
        <f>SUMIFS([0]!VOTOS2,[0]!TURNO1,O$31,[0]!CANDIDATO1,$C461,[0]!MUNICIPIO1,$B$452)</f>
        <v>0</v>
      </c>
      <c r="P461" s="16">
        <f>SUMIFS([0]!VOTOS2,[0]!TURNO1,P$31,[0]!CANDIDATO1,$C461,[0]!MUNICIPIO1,$B$452)</f>
        <v>0</v>
      </c>
      <c r="Q461" s="16">
        <f>SUMIFS([0]!VOTOS2,[0]!TURNO1,Q$31,[0]!CANDIDATO1,$C461,[0]!MUNICIPIO1,$B$452)</f>
        <v>0</v>
      </c>
      <c r="R461" s="16">
        <f>SUMIFS([0]!VOTOS2,[0]!TURNO1,R$31,[0]!CANDIDATO1,$C461,[0]!MUNICIPIO1,$B$452)</f>
        <v>0</v>
      </c>
      <c r="S461" s="16">
        <f>SUMIFS([0]!VOTOS2,[0]!TURNO1,S$31,[0]!CANDIDATO1,$C461,[0]!MUNICIPIO1,$B$452)</f>
        <v>0</v>
      </c>
      <c r="T461" s="16">
        <f>SUMIFS([0]!VOTOS2,[0]!TURNO1,T$31,[0]!CANDIDATO1,$C461,[0]!MUNICIPIO1,$B$452)</f>
        <v>0</v>
      </c>
      <c r="U461" s="16">
        <f>SUMIFS([0]!VOTOS2,[0]!TURNO1,U$31,[0]!CANDIDATO1,$C461,[0]!MUNICIPIO1,$B$452)</f>
        <v>0</v>
      </c>
      <c r="V461" s="16">
        <f>SUMIFS([0]!VOTOS2,[0]!TURNO1,V$31,[0]!CANDIDATO1,$C461,[0]!MUNICIPIO1,$B$452)</f>
        <v>0</v>
      </c>
      <c r="W461" s="16">
        <f>SUMIFS([0]!VOTOS2,[0]!TURNO1,W$31,[0]!CANDIDATO1,$C461,[0]!MUNICIPIO1,$B$452)</f>
        <v>0</v>
      </c>
      <c r="X461" s="24"/>
      <c r="Y461" s="18" t="str">
        <f t="shared" si="1066"/>
        <v>ROGERIO SUAREZ</v>
      </c>
      <c r="Z461" s="34">
        <f t="shared" si="1067"/>
        <v>0</v>
      </c>
      <c r="AA461" s="34">
        <f t="shared" si="1068"/>
        <v>0</v>
      </c>
      <c r="AB461" s="34" t="e">
        <f t="shared" ref="AB461:AR461" si="1083">IF(SUM(G452:G464)=0,NA(),G461+AA461)</f>
        <v>#N/A</v>
      </c>
      <c r="AC461" s="34" t="e">
        <f t="shared" si="1083"/>
        <v>#N/A</v>
      </c>
      <c r="AD461" s="34" t="e">
        <f t="shared" si="1083"/>
        <v>#N/A</v>
      </c>
      <c r="AE461" s="34" t="e">
        <f t="shared" si="1083"/>
        <v>#N/A</v>
      </c>
      <c r="AF461" s="34" t="e">
        <f t="shared" si="1083"/>
        <v>#N/A</v>
      </c>
      <c r="AG461" s="34" t="e">
        <f t="shared" si="1083"/>
        <v>#N/A</v>
      </c>
      <c r="AH461" s="34" t="e">
        <f t="shared" si="1083"/>
        <v>#N/A</v>
      </c>
      <c r="AI461" s="34" t="e">
        <f t="shared" si="1083"/>
        <v>#N/A</v>
      </c>
      <c r="AJ461" s="34" t="e">
        <f t="shared" si="1083"/>
        <v>#N/A</v>
      </c>
      <c r="AK461" s="34" t="e">
        <f t="shared" si="1083"/>
        <v>#N/A</v>
      </c>
      <c r="AL461" s="34" t="e">
        <f t="shared" si="1083"/>
        <v>#N/A</v>
      </c>
      <c r="AM461" s="34" t="e">
        <f t="shared" si="1083"/>
        <v>#N/A</v>
      </c>
      <c r="AN461" s="34" t="e">
        <f t="shared" si="1083"/>
        <v>#N/A</v>
      </c>
      <c r="AO461" s="34" t="e">
        <f t="shared" si="1083"/>
        <v>#N/A</v>
      </c>
      <c r="AP461" s="34" t="e">
        <f t="shared" si="1083"/>
        <v>#N/A</v>
      </c>
      <c r="AQ461" s="34" t="e">
        <f t="shared" si="1083"/>
        <v>#N/A</v>
      </c>
      <c r="AR461" s="34" t="e">
        <f t="shared" si="1083"/>
        <v>#N/A</v>
      </c>
      <c r="AS461" s="27"/>
      <c r="AT461" s="41"/>
      <c r="AU461" s="41"/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/>
      <c r="BN461" s="30"/>
    </row>
    <row r="462" spans="1:66" ht="11.25" customHeight="1" x14ac:dyDescent="0.2">
      <c r="A462" s="44"/>
      <c r="B462" s="45"/>
      <c r="C462" s="46">
        <v>11</v>
      </c>
      <c r="D462" s="14" t="s">
        <v>76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24"/>
      <c r="Y462" s="18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27"/>
      <c r="AT462" s="41"/>
      <c r="AU462" s="41"/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  <c r="BL462" s="43"/>
      <c r="BM462" s="43"/>
      <c r="BN462" s="30"/>
    </row>
    <row r="463" spans="1:66" ht="11.25" customHeight="1" x14ac:dyDescent="0.2">
      <c r="A463" s="44"/>
      <c r="B463" s="45"/>
      <c r="C463" s="46">
        <v>12</v>
      </c>
      <c r="D463" s="14" t="s">
        <v>76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24"/>
      <c r="Y463" s="18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27"/>
      <c r="AT463" s="41"/>
      <c r="AU463" s="41"/>
      <c r="AV463" s="43"/>
      <c r="AW463" s="43"/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  <c r="BL463" s="43"/>
      <c r="BM463" s="43"/>
      <c r="BN463" s="30"/>
    </row>
    <row r="464" spans="1:66" ht="11.25" customHeight="1" x14ac:dyDescent="0.2">
      <c r="A464" s="44"/>
      <c r="B464" s="45"/>
      <c r="C464" s="46">
        <v>13</v>
      </c>
      <c r="D464" s="14" t="s">
        <v>76</v>
      </c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24"/>
      <c r="Y464" s="18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27"/>
      <c r="AT464" s="41"/>
      <c r="AU464" s="41"/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  <c r="BL464" s="43"/>
      <c r="BM464" s="43"/>
      <c r="BN464" s="30"/>
    </row>
    <row r="465" spans="1:66" ht="11.25" customHeight="1" x14ac:dyDescent="0.2">
      <c r="X465" s="24"/>
      <c r="Y465" s="19" t="s">
        <v>79</v>
      </c>
      <c r="Z465" s="34">
        <f t="shared" ref="Z465" si="1084">SUM(Z454:Z464)</f>
        <v>0</v>
      </c>
      <c r="AA465" s="34">
        <f t="shared" ref="AA465" si="1085">SUM(AA454:AA464)</f>
        <v>0</v>
      </c>
      <c r="AB465" s="34" t="e">
        <f t="shared" ref="AB465" si="1086">SUM(AB454:AB464)</f>
        <v>#N/A</v>
      </c>
      <c r="AC465" s="34" t="e">
        <f t="shared" ref="AC465" si="1087">SUM(AC454:AC464)</f>
        <v>#N/A</v>
      </c>
      <c r="AD465" s="34" t="e">
        <f t="shared" ref="AD465" si="1088">SUM(AD454:AD464)</f>
        <v>#N/A</v>
      </c>
      <c r="AE465" s="34" t="e">
        <f t="shared" ref="AE465" si="1089">SUM(AE454:AE464)</f>
        <v>#N/A</v>
      </c>
      <c r="AF465" s="34" t="e">
        <f t="shared" ref="AF465" si="1090">SUM(AF454:AF464)</f>
        <v>#N/A</v>
      </c>
      <c r="AG465" s="34" t="e">
        <f t="shared" ref="AG465" si="1091">SUM(AG454:AG464)</f>
        <v>#N/A</v>
      </c>
      <c r="AH465" s="34" t="e">
        <f t="shared" ref="AH465" si="1092">SUM(AH454:AH464)</f>
        <v>#N/A</v>
      </c>
      <c r="AI465" s="34" t="e">
        <f t="shared" ref="AI465" si="1093">SUM(AI454:AI464)</f>
        <v>#N/A</v>
      </c>
      <c r="AJ465" s="34" t="e">
        <f t="shared" ref="AJ465" si="1094">SUM(AJ454:AJ464)</f>
        <v>#N/A</v>
      </c>
      <c r="AK465" s="34" t="e">
        <f t="shared" ref="AK465" si="1095">SUM(AK454:AK464)</f>
        <v>#N/A</v>
      </c>
      <c r="AL465" s="34" t="e">
        <f t="shared" ref="AL465" si="1096">SUM(AL454:AL464)</f>
        <v>#N/A</v>
      </c>
      <c r="AM465" s="34" t="e">
        <f t="shared" ref="AM465" si="1097">SUM(AM454:AM464)</f>
        <v>#N/A</v>
      </c>
      <c r="AN465" s="34" t="e">
        <f t="shared" ref="AN465" si="1098">SUM(AN454:AN464)</f>
        <v>#N/A</v>
      </c>
      <c r="AO465" s="34" t="e">
        <f t="shared" ref="AO465" si="1099">SUM(AO454:AO464)</f>
        <v>#N/A</v>
      </c>
      <c r="AP465" s="34" t="e">
        <f t="shared" ref="AP465" si="1100">SUM(AP454:AP464)</f>
        <v>#N/A</v>
      </c>
      <c r="AQ465" s="34" t="e">
        <f t="shared" ref="AQ465" si="1101">SUM(AQ454:AQ464)</f>
        <v>#N/A</v>
      </c>
      <c r="AR465" s="34" t="e">
        <f t="shared" ref="AR465" si="1102">SUM(AR454:AR464)</f>
        <v>#N/A</v>
      </c>
      <c r="AS465" s="27"/>
      <c r="AT465" s="41"/>
      <c r="AU465" s="41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/>
      <c r="BN465" s="30"/>
    </row>
    <row r="466" spans="1:66" ht="11.25" customHeight="1" x14ac:dyDescent="0.2">
      <c r="A466" s="75" t="s">
        <v>63</v>
      </c>
      <c r="B466" s="76"/>
      <c r="C466" s="21"/>
      <c r="D466" s="22" t="s">
        <v>75</v>
      </c>
      <c r="E466" s="23" t="s">
        <v>70</v>
      </c>
      <c r="F466" s="23">
        <v>0</v>
      </c>
      <c r="G466" s="23">
        <v>1</v>
      </c>
      <c r="H466" s="23">
        <v>2</v>
      </c>
      <c r="I466" s="23">
        <v>3</v>
      </c>
      <c r="J466" s="23">
        <v>4</v>
      </c>
      <c r="K466" s="23">
        <v>5</v>
      </c>
      <c r="L466" s="23">
        <v>6</v>
      </c>
      <c r="M466" s="23">
        <v>7</v>
      </c>
      <c r="N466" s="23">
        <v>8</v>
      </c>
      <c r="O466" s="23">
        <v>9</v>
      </c>
      <c r="P466" s="23">
        <v>10</v>
      </c>
      <c r="Q466" s="23">
        <v>11</v>
      </c>
      <c r="R466" s="23">
        <v>12</v>
      </c>
      <c r="S466" s="23">
        <v>13</v>
      </c>
      <c r="T466" s="23">
        <v>14</v>
      </c>
      <c r="U466" s="23">
        <v>15</v>
      </c>
      <c r="V466" s="23">
        <v>16</v>
      </c>
      <c r="W466" s="23">
        <v>17</v>
      </c>
      <c r="X466" s="24"/>
      <c r="Y466" s="17"/>
      <c r="Z466" s="25" t="s">
        <v>64</v>
      </c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7"/>
      <c r="AT466" s="28"/>
      <c r="AU466" s="28" t="s">
        <v>64</v>
      </c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30"/>
    </row>
    <row r="467" spans="1:66" ht="11.25" customHeight="1" x14ac:dyDescent="0.2">
      <c r="A467" s="32"/>
      <c r="B467" s="72">
        <v>32</v>
      </c>
      <c r="C467" s="33">
        <v>1</v>
      </c>
      <c r="D467" s="13" t="s">
        <v>337</v>
      </c>
      <c r="E467" s="16">
        <f t="shared" ref="E467:E473" si="1103">SUM(F467:W467)</f>
        <v>10</v>
      </c>
      <c r="F467" s="16">
        <f>SUMIFS([0]!VOTOS2,[0]!TURNO1,F$31,[0]!CANDIDATO1,$C467,[0]!MUNICIPIO1,$B$467)</f>
        <v>10</v>
      </c>
      <c r="G467" s="16">
        <f>SUMIFS([0]!VOTOS2,[0]!TURNO1,G$31,[0]!CANDIDATO1,$C467,[0]!MUNICIPIO1,$B$467)</f>
        <v>0</v>
      </c>
      <c r="H467" s="16">
        <f>SUMIFS([0]!VOTOS2,[0]!TURNO1,H$31,[0]!CANDIDATO1,$C467,[0]!MUNICIPIO1,$B$467)</f>
        <v>0</v>
      </c>
      <c r="I467" s="16">
        <f>SUMIFS([0]!VOTOS2,[0]!TURNO1,I$31,[0]!CANDIDATO1,$C467,[0]!MUNICIPIO1,$B$467)</f>
        <v>0</v>
      </c>
      <c r="J467" s="16">
        <f>SUMIFS([0]!VOTOS2,[0]!TURNO1,J$31,[0]!CANDIDATO1,$C467,[0]!MUNICIPIO1,$B$467)</f>
        <v>0</v>
      </c>
      <c r="K467" s="16">
        <f>SUMIFS([0]!VOTOS2,[0]!TURNO1,K$31,[0]!CANDIDATO1,$C467,[0]!MUNICIPIO1,$B$467)</f>
        <v>0</v>
      </c>
      <c r="L467" s="16">
        <f>SUMIFS([0]!VOTOS2,[0]!TURNO1,L$31,[0]!CANDIDATO1,$C467,[0]!MUNICIPIO1,$B$467)</f>
        <v>0</v>
      </c>
      <c r="M467" s="16">
        <f>SUMIFS([0]!VOTOS2,[0]!TURNO1,M$31,[0]!CANDIDATO1,$C467,[0]!MUNICIPIO1,$B$467)</f>
        <v>0</v>
      </c>
      <c r="N467" s="16">
        <f>SUMIFS([0]!VOTOS2,[0]!TURNO1,N$31,[0]!CANDIDATO1,$C467,[0]!MUNICIPIO1,$B$467)</f>
        <v>0</v>
      </c>
      <c r="O467" s="16">
        <f>SUMIFS([0]!VOTOS2,[0]!TURNO1,O$31,[0]!CANDIDATO1,$C467,[0]!MUNICIPIO1,$B$467)</f>
        <v>0</v>
      </c>
      <c r="P467" s="16">
        <f>SUMIFS([0]!VOTOS2,[0]!TURNO1,P$31,[0]!CANDIDATO1,$C467,[0]!MUNICIPIO1,$B$467)</f>
        <v>0</v>
      </c>
      <c r="Q467" s="16">
        <f>SUMIFS([0]!VOTOS2,[0]!TURNO1,Q$31,[0]!CANDIDATO1,$C467,[0]!MUNICIPIO1,$B$467)</f>
        <v>0</v>
      </c>
      <c r="R467" s="16">
        <f>SUMIFS([0]!VOTOS2,[0]!TURNO1,R$31,[0]!CANDIDATO1,$C467,[0]!MUNICIPIO1,$B$467)</f>
        <v>0</v>
      </c>
      <c r="S467" s="16">
        <f>SUMIFS([0]!VOTOS2,[0]!TURNO1,S$31,[0]!CANDIDATO1,$C467,[0]!MUNICIPIO1,$B$467)</f>
        <v>0</v>
      </c>
      <c r="T467" s="16">
        <f>SUMIFS([0]!VOTOS2,[0]!TURNO1,T$31,[0]!CANDIDATO1,$C467,[0]!MUNICIPIO1,$B$467)</f>
        <v>0</v>
      </c>
      <c r="U467" s="16">
        <f>SUMIFS([0]!VOTOS2,[0]!TURNO1,U$31,[0]!CANDIDATO1,$C467,[0]!MUNICIPIO1,$B$467)</f>
        <v>0</v>
      </c>
      <c r="V467" s="16">
        <f>SUMIFS([0]!VOTOS2,[0]!TURNO1,V$31,[0]!CANDIDATO1,$C467,[0]!MUNICIPIO1,$B$467)</f>
        <v>0</v>
      </c>
      <c r="W467" s="16">
        <f>SUMIFS([0]!VOTOS2,[0]!TURNO1,W$31,[0]!CANDIDATO1,$C467,[0]!MUNICIPIO1,$B$467)</f>
        <v>0</v>
      </c>
      <c r="X467" s="24"/>
      <c r="Y467" s="18" t="str">
        <f t="shared" ref="Y467:Y473" si="1104">D467</f>
        <v>FRANCISCO GARCES</v>
      </c>
      <c r="Z467" s="34">
        <f t="shared" ref="Z467:Z473" si="1105">E467</f>
        <v>10</v>
      </c>
      <c r="AA467" s="34">
        <f t="shared" ref="AA467:AA473" si="1106">F467</f>
        <v>10</v>
      </c>
      <c r="AB467" s="34" t="e">
        <f t="shared" ref="AB467:AR467" si="1107">IF(SUM(G467:G479)=0,NA(),G467+AA467)</f>
        <v>#N/A</v>
      </c>
      <c r="AC467" s="34" t="e">
        <f t="shared" si="1107"/>
        <v>#N/A</v>
      </c>
      <c r="AD467" s="34" t="e">
        <f t="shared" si="1107"/>
        <v>#N/A</v>
      </c>
      <c r="AE467" s="34" t="e">
        <f t="shared" si="1107"/>
        <v>#N/A</v>
      </c>
      <c r="AF467" s="34" t="e">
        <f t="shared" si="1107"/>
        <v>#N/A</v>
      </c>
      <c r="AG467" s="34" t="e">
        <f t="shared" si="1107"/>
        <v>#N/A</v>
      </c>
      <c r="AH467" s="34" t="e">
        <f t="shared" si="1107"/>
        <v>#N/A</v>
      </c>
      <c r="AI467" s="34" t="e">
        <f t="shared" si="1107"/>
        <v>#N/A</v>
      </c>
      <c r="AJ467" s="34" t="e">
        <f t="shared" si="1107"/>
        <v>#N/A</v>
      </c>
      <c r="AK467" s="34" t="e">
        <f t="shared" si="1107"/>
        <v>#N/A</v>
      </c>
      <c r="AL467" s="34" t="e">
        <f t="shared" si="1107"/>
        <v>#N/A</v>
      </c>
      <c r="AM467" s="34" t="e">
        <f t="shared" si="1107"/>
        <v>#N/A</v>
      </c>
      <c r="AN467" s="34" t="e">
        <f t="shared" si="1107"/>
        <v>#N/A</v>
      </c>
      <c r="AO467" s="34" t="e">
        <f t="shared" si="1107"/>
        <v>#N/A</v>
      </c>
      <c r="AP467" s="34" t="e">
        <f t="shared" si="1107"/>
        <v>#N/A</v>
      </c>
      <c r="AQ467" s="34" t="e">
        <f t="shared" si="1107"/>
        <v>#N/A</v>
      </c>
      <c r="AR467" s="34" t="e">
        <f t="shared" si="1107"/>
        <v>#N/A</v>
      </c>
      <c r="AS467" s="27"/>
      <c r="AT467" s="35" t="str">
        <f t="shared" ref="AT467:AT468" si="1108">Y467</f>
        <v>FRANCISCO GARCES</v>
      </c>
      <c r="AU467" s="36">
        <f t="shared" ref="AU467:BM467" si="1109">Z467/(Z467+Z468+Z480)</f>
        <v>0.5</v>
      </c>
      <c r="AV467" s="36">
        <f t="shared" si="1109"/>
        <v>0.5</v>
      </c>
      <c r="AW467" s="36" t="e">
        <f t="shared" si="1109"/>
        <v>#N/A</v>
      </c>
      <c r="AX467" s="36" t="e">
        <f t="shared" si="1109"/>
        <v>#N/A</v>
      </c>
      <c r="AY467" s="36" t="e">
        <f t="shared" si="1109"/>
        <v>#N/A</v>
      </c>
      <c r="AZ467" s="36" t="e">
        <f t="shared" si="1109"/>
        <v>#N/A</v>
      </c>
      <c r="BA467" s="36" t="e">
        <f t="shared" si="1109"/>
        <v>#N/A</v>
      </c>
      <c r="BB467" s="36" t="e">
        <f t="shared" si="1109"/>
        <v>#N/A</v>
      </c>
      <c r="BC467" s="36" t="e">
        <f t="shared" si="1109"/>
        <v>#N/A</v>
      </c>
      <c r="BD467" s="36" t="e">
        <f t="shared" si="1109"/>
        <v>#N/A</v>
      </c>
      <c r="BE467" s="36" t="e">
        <f t="shared" si="1109"/>
        <v>#N/A</v>
      </c>
      <c r="BF467" s="36" t="e">
        <f t="shared" si="1109"/>
        <v>#N/A</v>
      </c>
      <c r="BG467" s="36" t="e">
        <f t="shared" si="1109"/>
        <v>#N/A</v>
      </c>
      <c r="BH467" s="36" t="e">
        <f t="shared" si="1109"/>
        <v>#N/A</v>
      </c>
      <c r="BI467" s="36" t="e">
        <f t="shared" si="1109"/>
        <v>#N/A</v>
      </c>
      <c r="BJ467" s="36" t="e">
        <f t="shared" si="1109"/>
        <v>#N/A</v>
      </c>
      <c r="BK467" s="36" t="e">
        <f t="shared" si="1109"/>
        <v>#N/A</v>
      </c>
      <c r="BL467" s="36" t="e">
        <f t="shared" si="1109"/>
        <v>#N/A</v>
      </c>
      <c r="BM467" s="36" t="e">
        <f t="shared" si="1109"/>
        <v>#N/A</v>
      </c>
      <c r="BN467" s="30"/>
    </row>
    <row r="468" spans="1:66" ht="11.25" customHeight="1" x14ac:dyDescent="0.2">
      <c r="A468" s="37"/>
      <c r="B468" s="73"/>
      <c r="C468" s="33">
        <v>2</v>
      </c>
      <c r="D468" s="13" t="s">
        <v>338</v>
      </c>
      <c r="E468" s="16">
        <f t="shared" si="1103"/>
        <v>10</v>
      </c>
      <c r="F468" s="16">
        <f>SUMIFS([0]!VOTOS2,[0]!TURNO1,F$31,[0]!CANDIDATO1,$C468,[0]!MUNICIPIO1,$B$467)</f>
        <v>10</v>
      </c>
      <c r="G468" s="16">
        <f>SUMIFS([0]!VOTOS2,[0]!TURNO1,G$31,[0]!CANDIDATO1,$C468,[0]!MUNICIPIO1,$B$467)</f>
        <v>0</v>
      </c>
      <c r="H468" s="16">
        <f>SUMIFS([0]!VOTOS2,[0]!TURNO1,H$31,[0]!CANDIDATO1,$C468,[0]!MUNICIPIO1,$B$467)</f>
        <v>0</v>
      </c>
      <c r="I468" s="16">
        <f>SUMIFS([0]!VOTOS2,[0]!TURNO1,I$31,[0]!CANDIDATO1,$C468,[0]!MUNICIPIO1,$B$467)</f>
        <v>0</v>
      </c>
      <c r="J468" s="16">
        <f>SUMIFS([0]!VOTOS2,[0]!TURNO1,J$31,[0]!CANDIDATO1,$C468,[0]!MUNICIPIO1,$B$467)</f>
        <v>0</v>
      </c>
      <c r="K468" s="16">
        <f>SUMIFS([0]!VOTOS2,[0]!TURNO1,K$31,[0]!CANDIDATO1,$C468,[0]!MUNICIPIO1,$B$467)</f>
        <v>0</v>
      </c>
      <c r="L468" s="16">
        <f>SUMIFS([0]!VOTOS2,[0]!TURNO1,L$31,[0]!CANDIDATO1,$C468,[0]!MUNICIPIO1,$B$467)</f>
        <v>0</v>
      </c>
      <c r="M468" s="16">
        <f>SUMIFS([0]!VOTOS2,[0]!TURNO1,M$31,[0]!CANDIDATO1,$C468,[0]!MUNICIPIO1,$B$467)</f>
        <v>0</v>
      </c>
      <c r="N468" s="16">
        <f>SUMIFS([0]!VOTOS2,[0]!TURNO1,N$31,[0]!CANDIDATO1,$C468,[0]!MUNICIPIO1,$B$467)</f>
        <v>0</v>
      </c>
      <c r="O468" s="16">
        <f>SUMIFS([0]!VOTOS2,[0]!TURNO1,O$31,[0]!CANDIDATO1,$C468,[0]!MUNICIPIO1,$B$467)</f>
        <v>0</v>
      </c>
      <c r="P468" s="16">
        <f>SUMIFS([0]!VOTOS2,[0]!TURNO1,P$31,[0]!CANDIDATO1,$C468,[0]!MUNICIPIO1,$B$467)</f>
        <v>0</v>
      </c>
      <c r="Q468" s="16">
        <f>SUMIFS([0]!VOTOS2,[0]!TURNO1,Q$31,[0]!CANDIDATO1,$C468,[0]!MUNICIPIO1,$B$467)</f>
        <v>0</v>
      </c>
      <c r="R468" s="16">
        <f>SUMIFS([0]!VOTOS2,[0]!TURNO1,R$31,[0]!CANDIDATO1,$C468,[0]!MUNICIPIO1,$B$467)</f>
        <v>0</v>
      </c>
      <c r="S468" s="16">
        <f>SUMIFS([0]!VOTOS2,[0]!TURNO1,S$31,[0]!CANDIDATO1,$C468,[0]!MUNICIPIO1,$B$467)</f>
        <v>0</v>
      </c>
      <c r="T468" s="16">
        <f>SUMIFS([0]!VOTOS2,[0]!TURNO1,T$31,[0]!CANDIDATO1,$C468,[0]!MUNICIPIO1,$B$467)</f>
        <v>0</v>
      </c>
      <c r="U468" s="16">
        <f>SUMIFS([0]!VOTOS2,[0]!TURNO1,U$31,[0]!CANDIDATO1,$C468,[0]!MUNICIPIO1,$B$467)</f>
        <v>0</v>
      </c>
      <c r="V468" s="16">
        <f>SUMIFS([0]!VOTOS2,[0]!TURNO1,V$31,[0]!CANDIDATO1,$C468,[0]!MUNICIPIO1,$B$467)</f>
        <v>0</v>
      </c>
      <c r="W468" s="16">
        <f>SUMIFS([0]!VOTOS2,[0]!TURNO1,W$31,[0]!CANDIDATO1,$C468,[0]!MUNICIPIO1,$B$467)</f>
        <v>0</v>
      </c>
      <c r="X468" s="24"/>
      <c r="Y468" s="18" t="str">
        <f t="shared" si="1104"/>
        <v>ROMULO HERRERA</v>
      </c>
      <c r="Z468" s="34">
        <f t="shared" si="1105"/>
        <v>10</v>
      </c>
      <c r="AA468" s="34">
        <f t="shared" si="1106"/>
        <v>10</v>
      </c>
      <c r="AB468" s="34" t="e">
        <f t="shared" ref="AB468:AR468" si="1110">IF(SUM(G467:G479)=0,NA(),G468+AA468)</f>
        <v>#N/A</v>
      </c>
      <c r="AC468" s="34" t="e">
        <f t="shared" si="1110"/>
        <v>#N/A</v>
      </c>
      <c r="AD468" s="34" t="e">
        <f t="shared" si="1110"/>
        <v>#N/A</v>
      </c>
      <c r="AE468" s="34" t="e">
        <f t="shared" si="1110"/>
        <v>#N/A</v>
      </c>
      <c r="AF468" s="34" t="e">
        <f t="shared" si="1110"/>
        <v>#N/A</v>
      </c>
      <c r="AG468" s="34" t="e">
        <f t="shared" si="1110"/>
        <v>#N/A</v>
      </c>
      <c r="AH468" s="34" t="e">
        <f t="shared" si="1110"/>
        <v>#N/A</v>
      </c>
      <c r="AI468" s="34" t="e">
        <f t="shared" si="1110"/>
        <v>#N/A</v>
      </c>
      <c r="AJ468" s="34" t="e">
        <f t="shared" si="1110"/>
        <v>#N/A</v>
      </c>
      <c r="AK468" s="34" t="e">
        <f t="shared" si="1110"/>
        <v>#N/A</v>
      </c>
      <c r="AL468" s="34" t="e">
        <f t="shared" si="1110"/>
        <v>#N/A</v>
      </c>
      <c r="AM468" s="34" t="e">
        <f t="shared" si="1110"/>
        <v>#N/A</v>
      </c>
      <c r="AN468" s="34" t="e">
        <f t="shared" si="1110"/>
        <v>#N/A</v>
      </c>
      <c r="AO468" s="34" t="e">
        <f t="shared" si="1110"/>
        <v>#N/A</v>
      </c>
      <c r="AP468" s="34" t="e">
        <f t="shared" si="1110"/>
        <v>#N/A</v>
      </c>
      <c r="AQ468" s="34" t="e">
        <f t="shared" si="1110"/>
        <v>#N/A</v>
      </c>
      <c r="AR468" s="34" t="e">
        <f t="shared" si="1110"/>
        <v>#N/A</v>
      </c>
      <c r="AS468" s="27"/>
      <c r="AT468" s="35" t="str">
        <f t="shared" si="1108"/>
        <v>ROMULO HERRERA</v>
      </c>
      <c r="AU468" s="36">
        <f t="shared" ref="AU468:BM468" si="1111">Z468/(Z467+Z468+Z480)</f>
        <v>0.5</v>
      </c>
      <c r="AV468" s="36">
        <f t="shared" si="1111"/>
        <v>0.5</v>
      </c>
      <c r="AW468" s="36" t="e">
        <f t="shared" si="1111"/>
        <v>#N/A</v>
      </c>
      <c r="AX468" s="36" t="e">
        <f t="shared" si="1111"/>
        <v>#N/A</v>
      </c>
      <c r="AY468" s="36" t="e">
        <f t="shared" si="1111"/>
        <v>#N/A</v>
      </c>
      <c r="AZ468" s="36" t="e">
        <f t="shared" si="1111"/>
        <v>#N/A</v>
      </c>
      <c r="BA468" s="36" t="e">
        <f t="shared" si="1111"/>
        <v>#N/A</v>
      </c>
      <c r="BB468" s="36" t="e">
        <f t="shared" si="1111"/>
        <v>#N/A</v>
      </c>
      <c r="BC468" s="36" t="e">
        <f t="shared" si="1111"/>
        <v>#N/A</v>
      </c>
      <c r="BD468" s="36" t="e">
        <f t="shared" si="1111"/>
        <v>#N/A</v>
      </c>
      <c r="BE468" s="36" t="e">
        <f t="shared" si="1111"/>
        <v>#N/A</v>
      </c>
      <c r="BF468" s="36" t="e">
        <f t="shared" si="1111"/>
        <v>#N/A</v>
      </c>
      <c r="BG468" s="36" t="e">
        <f t="shared" si="1111"/>
        <v>#N/A</v>
      </c>
      <c r="BH468" s="36" t="e">
        <f t="shared" si="1111"/>
        <v>#N/A</v>
      </c>
      <c r="BI468" s="36" t="e">
        <f t="shared" si="1111"/>
        <v>#N/A</v>
      </c>
      <c r="BJ468" s="36" t="e">
        <f t="shared" si="1111"/>
        <v>#N/A</v>
      </c>
      <c r="BK468" s="36" t="e">
        <f t="shared" si="1111"/>
        <v>#N/A</v>
      </c>
      <c r="BL468" s="36" t="e">
        <f t="shared" si="1111"/>
        <v>#N/A</v>
      </c>
      <c r="BM468" s="36" t="e">
        <f t="shared" si="1111"/>
        <v>#N/A</v>
      </c>
      <c r="BN468" s="30"/>
    </row>
    <row r="469" spans="1:66" ht="11.25" customHeight="1" x14ac:dyDescent="0.2">
      <c r="A469" s="37"/>
      <c r="B469" s="73"/>
      <c r="C469" s="33">
        <v>3</v>
      </c>
      <c r="D469" s="13" t="s">
        <v>339</v>
      </c>
      <c r="E469" s="16">
        <f t="shared" si="1103"/>
        <v>0</v>
      </c>
      <c r="F469" s="16">
        <f>SUMIFS([0]!VOTOS2,[0]!TURNO1,F$31,[0]!CANDIDATO1,$C469,[0]!MUNICIPIO1,$B$467)</f>
        <v>0</v>
      </c>
      <c r="G469" s="16">
        <f>SUMIFS([0]!VOTOS2,[0]!TURNO1,G$31,[0]!CANDIDATO1,$C469,[0]!MUNICIPIO1,$B$467)</f>
        <v>0</v>
      </c>
      <c r="H469" s="16">
        <f>SUMIFS([0]!VOTOS2,[0]!TURNO1,H$31,[0]!CANDIDATO1,$C469,[0]!MUNICIPIO1,$B$467)</f>
        <v>0</v>
      </c>
      <c r="I469" s="16">
        <f>SUMIFS([0]!VOTOS2,[0]!TURNO1,I$31,[0]!CANDIDATO1,$C469,[0]!MUNICIPIO1,$B$467)</f>
        <v>0</v>
      </c>
      <c r="J469" s="16">
        <f>SUMIFS([0]!VOTOS2,[0]!TURNO1,J$31,[0]!CANDIDATO1,$C469,[0]!MUNICIPIO1,$B$467)</f>
        <v>0</v>
      </c>
      <c r="K469" s="16">
        <f>SUMIFS([0]!VOTOS2,[0]!TURNO1,K$31,[0]!CANDIDATO1,$C469,[0]!MUNICIPIO1,$B$467)</f>
        <v>0</v>
      </c>
      <c r="L469" s="16">
        <f>SUMIFS([0]!VOTOS2,[0]!TURNO1,L$31,[0]!CANDIDATO1,$C469,[0]!MUNICIPIO1,$B$467)</f>
        <v>0</v>
      </c>
      <c r="M469" s="16">
        <f>SUMIFS([0]!VOTOS2,[0]!TURNO1,M$31,[0]!CANDIDATO1,$C469,[0]!MUNICIPIO1,$B$467)</f>
        <v>0</v>
      </c>
      <c r="N469" s="16">
        <f>SUMIFS([0]!VOTOS2,[0]!TURNO1,N$31,[0]!CANDIDATO1,$C469,[0]!MUNICIPIO1,$B$467)</f>
        <v>0</v>
      </c>
      <c r="O469" s="16">
        <f>SUMIFS([0]!VOTOS2,[0]!TURNO1,O$31,[0]!CANDIDATO1,$C469,[0]!MUNICIPIO1,$B$467)</f>
        <v>0</v>
      </c>
      <c r="P469" s="16">
        <f>SUMIFS([0]!VOTOS2,[0]!TURNO1,P$31,[0]!CANDIDATO1,$C469,[0]!MUNICIPIO1,$B$467)</f>
        <v>0</v>
      </c>
      <c r="Q469" s="16">
        <f>SUMIFS([0]!VOTOS2,[0]!TURNO1,Q$31,[0]!CANDIDATO1,$C469,[0]!MUNICIPIO1,$B$467)</f>
        <v>0</v>
      </c>
      <c r="R469" s="16">
        <f>SUMIFS([0]!VOTOS2,[0]!TURNO1,R$31,[0]!CANDIDATO1,$C469,[0]!MUNICIPIO1,$B$467)</f>
        <v>0</v>
      </c>
      <c r="S469" s="16">
        <f>SUMIFS([0]!VOTOS2,[0]!TURNO1,S$31,[0]!CANDIDATO1,$C469,[0]!MUNICIPIO1,$B$467)</f>
        <v>0</v>
      </c>
      <c r="T469" s="16">
        <f>SUMIFS([0]!VOTOS2,[0]!TURNO1,T$31,[0]!CANDIDATO1,$C469,[0]!MUNICIPIO1,$B$467)</f>
        <v>0</v>
      </c>
      <c r="U469" s="16">
        <f>SUMIFS([0]!VOTOS2,[0]!TURNO1,U$31,[0]!CANDIDATO1,$C469,[0]!MUNICIPIO1,$B$467)</f>
        <v>0</v>
      </c>
      <c r="V469" s="16">
        <f>SUMIFS([0]!VOTOS2,[0]!TURNO1,V$31,[0]!CANDIDATO1,$C469,[0]!MUNICIPIO1,$B$467)</f>
        <v>0</v>
      </c>
      <c r="W469" s="16">
        <f>SUMIFS([0]!VOTOS2,[0]!TURNO1,W$31,[0]!CANDIDATO1,$C469,[0]!MUNICIPIO1,$B$467)</f>
        <v>0</v>
      </c>
      <c r="X469" s="24"/>
      <c r="Y469" s="18" t="str">
        <f t="shared" si="1104"/>
        <v>PEDRO DELGADO</v>
      </c>
      <c r="Z469" s="34">
        <f t="shared" si="1105"/>
        <v>0</v>
      </c>
      <c r="AA469" s="34">
        <f t="shared" si="1106"/>
        <v>0</v>
      </c>
      <c r="AB469" s="34" t="e">
        <f t="shared" ref="AB469:AR469" si="1112">IF(SUM(G467:G479)=0,NA(),G469+AA469)</f>
        <v>#N/A</v>
      </c>
      <c r="AC469" s="34" t="e">
        <f t="shared" si="1112"/>
        <v>#N/A</v>
      </c>
      <c r="AD469" s="34" t="e">
        <f t="shared" si="1112"/>
        <v>#N/A</v>
      </c>
      <c r="AE469" s="34" t="e">
        <f t="shared" si="1112"/>
        <v>#N/A</v>
      </c>
      <c r="AF469" s="34" t="e">
        <f t="shared" si="1112"/>
        <v>#N/A</v>
      </c>
      <c r="AG469" s="34" t="e">
        <f t="shared" si="1112"/>
        <v>#N/A</v>
      </c>
      <c r="AH469" s="34" t="e">
        <f t="shared" si="1112"/>
        <v>#N/A</v>
      </c>
      <c r="AI469" s="34" t="e">
        <f t="shared" si="1112"/>
        <v>#N/A</v>
      </c>
      <c r="AJ469" s="34" t="e">
        <f t="shared" si="1112"/>
        <v>#N/A</v>
      </c>
      <c r="AK469" s="34" t="e">
        <f t="shared" si="1112"/>
        <v>#N/A</v>
      </c>
      <c r="AL469" s="34" t="e">
        <f t="shared" si="1112"/>
        <v>#N/A</v>
      </c>
      <c r="AM469" s="34" t="e">
        <f t="shared" si="1112"/>
        <v>#N/A</v>
      </c>
      <c r="AN469" s="34" t="e">
        <f t="shared" si="1112"/>
        <v>#N/A</v>
      </c>
      <c r="AO469" s="34" t="e">
        <f t="shared" si="1112"/>
        <v>#N/A</v>
      </c>
      <c r="AP469" s="34" t="e">
        <f t="shared" si="1112"/>
        <v>#N/A</v>
      </c>
      <c r="AQ469" s="34" t="e">
        <f t="shared" si="1112"/>
        <v>#N/A</v>
      </c>
      <c r="AR469" s="34" t="e">
        <f t="shared" si="1112"/>
        <v>#N/A</v>
      </c>
      <c r="AS469" s="27"/>
      <c r="AT469" s="35" t="str">
        <f t="shared" ref="AT469" si="1113">Y480</f>
        <v>Otros</v>
      </c>
      <c r="AU469" s="36">
        <f t="shared" ref="AU469:BM469" si="1114">Z480/(Z467+Z468+Z480)</f>
        <v>0</v>
      </c>
      <c r="AV469" s="36">
        <f t="shared" si="1114"/>
        <v>0</v>
      </c>
      <c r="AW469" s="36" t="e">
        <f t="shared" si="1114"/>
        <v>#N/A</v>
      </c>
      <c r="AX469" s="36" t="e">
        <f t="shared" si="1114"/>
        <v>#N/A</v>
      </c>
      <c r="AY469" s="36" t="e">
        <f t="shared" si="1114"/>
        <v>#N/A</v>
      </c>
      <c r="AZ469" s="36" t="e">
        <f t="shared" si="1114"/>
        <v>#N/A</v>
      </c>
      <c r="BA469" s="36" t="e">
        <f t="shared" si="1114"/>
        <v>#N/A</v>
      </c>
      <c r="BB469" s="36" t="e">
        <f t="shared" si="1114"/>
        <v>#N/A</v>
      </c>
      <c r="BC469" s="36" t="e">
        <f t="shared" si="1114"/>
        <v>#N/A</v>
      </c>
      <c r="BD469" s="36" t="e">
        <f t="shared" si="1114"/>
        <v>#N/A</v>
      </c>
      <c r="BE469" s="36" t="e">
        <f t="shared" si="1114"/>
        <v>#N/A</v>
      </c>
      <c r="BF469" s="36" t="e">
        <f t="shared" si="1114"/>
        <v>#N/A</v>
      </c>
      <c r="BG469" s="36" t="e">
        <f t="shared" si="1114"/>
        <v>#N/A</v>
      </c>
      <c r="BH469" s="36" t="e">
        <f t="shared" si="1114"/>
        <v>#N/A</v>
      </c>
      <c r="BI469" s="36" t="e">
        <f t="shared" si="1114"/>
        <v>#N/A</v>
      </c>
      <c r="BJ469" s="36" t="e">
        <f t="shared" si="1114"/>
        <v>#N/A</v>
      </c>
      <c r="BK469" s="36" t="e">
        <f t="shared" si="1114"/>
        <v>#N/A</v>
      </c>
      <c r="BL469" s="36" t="e">
        <f t="shared" si="1114"/>
        <v>#N/A</v>
      </c>
      <c r="BM469" s="36" t="e">
        <f t="shared" si="1114"/>
        <v>#N/A</v>
      </c>
      <c r="BN469" s="30"/>
    </row>
    <row r="470" spans="1:66" ht="11.25" customHeight="1" x14ac:dyDescent="0.2">
      <c r="A470" s="38" t="s">
        <v>4</v>
      </c>
      <c r="B470" s="73"/>
      <c r="C470" s="33">
        <v>4</v>
      </c>
      <c r="D470" s="13" t="s">
        <v>340</v>
      </c>
      <c r="E470" s="16">
        <f t="shared" si="1103"/>
        <v>0</v>
      </c>
      <c r="F470" s="16">
        <f>SUMIFS([0]!VOTOS2,[0]!TURNO1,F$31,[0]!CANDIDATO1,$C470,[0]!MUNICIPIO1,$B$467)</f>
        <v>0</v>
      </c>
      <c r="G470" s="16">
        <f>SUMIFS([0]!VOTOS2,[0]!TURNO1,G$31,[0]!CANDIDATO1,$C470,[0]!MUNICIPIO1,$B$467)</f>
        <v>0</v>
      </c>
      <c r="H470" s="16">
        <f>SUMIFS([0]!VOTOS2,[0]!TURNO1,H$31,[0]!CANDIDATO1,$C470,[0]!MUNICIPIO1,$B$467)</f>
        <v>0</v>
      </c>
      <c r="I470" s="16">
        <f>SUMIFS([0]!VOTOS2,[0]!TURNO1,I$31,[0]!CANDIDATO1,$C470,[0]!MUNICIPIO1,$B$467)</f>
        <v>0</v>
      </c>
      <c r="J470" s="16">
        <f>SUMIFS([0]!VOTOS2,[0]!TURNO1,J$31,[0]!CANDIDATO1,$C470,[0]!MUNICIPIO1,$B$467)</f>
        <v>0</v>
      </c>
      <c r="K470" s="16">
        <f>SUMIFS([0]!VOTOS2,[0]!TURNO1,K$31,[0]!CANDIDATO1,$C470,[0]!MUNICIPIO1,$B$467)</f>
        <v>0</v>
      </c>
      <c r="L470" s="16">
        <f>SUMIFS([0]!VOTOS2,[0]!TURNO1,L$31,[0]!CANDIDATO1,$C470,[0]!MUNICIPIO1,$B$467)</f>
        <v>0</v>
      </c>
      <c r="M470" s="16">
        <f>SUMIFS([0]!VOTOS2,[0]!TURNO1,M$31,[0]!CANDIDATO1,$C470,[0]!MUNICIPIO1,$B$467)</f>
        <v>0</v>
      </c>
      <c r="N470" s="16">
        <f>SUMIFS([0]!VOTOS2,[0]!TURNO1,N$31,[0]!CANDIDATO1,$C470,[0]!MUNICIPIO1,$B$467)</f>
        <v>0</v>
      </c>
      <c r="O470" s="16">
        <f>SUMIFS([0]!VOTOS2,[0]!TURNO1,O$31,[0]!CANDIDATO1,$C470,[0]!MUNICIPIO1,$B$467)</f>
        <v>0</v>
      </c>
      <c r="P470" s="16">
        <f>SUMIFS([0]!VOTOS2,[0]!TURNO1,P$31,[0]!CANDIDATO1,$C470,[0]!MUNICIPIO1,$B$467)</f>
        <v>0</v>
      </c>
      <c r="Q470" s="16">
        <f>SUMIFS([0]!VOTOS2,[0]!TURNO1,Q$31,[0]!CANDIDATO1,$C470,[0]!MUNICIPIO1,$B$467)</f>
        <v>0</v>
      </c>
      <c r="R470" s="16">
        <f>SUMIFS([0]!VOTOS2,[0]!TURNO1,R$31,[0]!CANDIDATO1,$C470,[0]!MUNICIPIO1,$B$467)</f>
        <v>0</v>
      </c>
      <c r="S470" s="16">
        <f>SUMIFS([0]!VOTOS2,[0]!TURNO1,S$31,[0]!CANDIDATO1,$C470,[0]!MUNICIPIO1,$B$467)</f>
        <v>0</v>
      </c>
      <c r="T470" s="16">
        <f>SUMIFS([0]!VOTOS2,[0]!TURNO1,T$31,[0]!CANDIDATO1,$C470,[0]!MUNICIPIO1,$B$467)</f>
        <v>0</v>
      </c>
      <c r="U470" s="16">
        <f>SUMIFS([0]!VOTOS2,[0]!TURNO1,U$31,[0]!CANDIDATO1,$C470,[0]!MUNICIPIO1,$B$467)</f>
        <v>0</v>
      </c>
      <c r="V470" s="16">
        <f>SUMIFS([0]!VOTOS2,[0]!TURNO1,V$31,[0]!CANDIDATO1,$C470,[0]!MUNICIPIO1,$B$467)</f>
        <v>0</v>
      </c>
      <c r="W470" s="16">
        <f>SUMIFS([0]!VOTOS2,[0]!TURNO1,W$31,[0]!CANDIDATO1,$C470,[0]!MUNICIPIO1,$B$467)</f>
        <v>0</v>
      </c>
      <c r="X470" s="24"/>
      <c r="Y470" s="18" t="str">
        <f t="shared" si="1104"/>
        <v>JULIO SCIVOLETTO</v>
      </c>
      <c r="Z470" s="34">
        <f t="shared" si="1105"/>
        <v>0</v>
      </c>
      <c r="AA470" s="34">
        <f t="shared" si="1106"/>
        <v>0</v>
      </c>
      <c r="AB470" s="34" t="e">
        <f t="shared" ref="AB470:AR470" si="1115">IF(SUM(G467:G479)=0,NA(),G470+AA470)</f>
        <v>#N/A</v>
      </c>
      <c r="AC470" s="34" t="e">
        <f t="shared" si="1115"/>
        <v>#N/A</v>
      </c>
      <c r="AD470" s="34" t="e">
        <f t="shared" si="1115"/>
        <v>#N/A</v>
      </c>
      <c r="AE470" s="34" t="e">
        <f t="shared" si="1115"/>
        <v>#N/A</v>
      </c>
      <c r="AF470" s="34" t="e">
        <f t="shared" si="1115"/>
        <v>#N/A</v>
      </c>
      <c r="AG470" s="34" t="e">
        <f t="shared" si="1115"/>
        <v>#N/A</v>
      </c>
      <c r="AH470" s="34" t="e">
        <f t="shared" si="1115"/>
        <v>#N/A</v>
      </c>
      <c r="AI470" s="34" t="e">
        <f t="shared" si="1115"/>
        <v>#N/A</v>
      </c>
      <c r="AJ470" s="34" t="e">
        <f t="shared" si="1115"/>
        <v>#N/A</v>
      </c>
      <c r="AK470" s="34" t="e">
        <f t="shared" si="1115"/>
        <v>#N/A</v>
      </c>
      <c r="AL470" s="34" t="e">
        <f t="shared" si="1115"/>
        <v>#N/A</v>
      </c>
      <c r="AM470" s="34" t="e">
        <f t="shared" si="1115"/>
        <v>#N/A</v>
      </c>
      <c r="AN470" s="34" t="e">
        <f t="shared" si="1115"/>
        <v>#N/A</v>
      </c>
      <c r="AO470" s="34" t="e">
        <f t="shared" si="1115"/>
        <v>#N/A</v>
      </c>
      <c r="AP470" s="34" t="e">
        <f t="shared" si="1115"/>
        <v>#N/A</v>
      </c>
      <c r="AQ470" s="34" t="e">
        <f t="shared" si="1115"/>
        <v>#N/A</v>
      </c>
      <c r="AR470" s="34" t="e">
        <f t="shared" si="1115"/>
        <v>#N/A</v>
      </c>
      <c r="AS470" s="27"/>
      <c r="AT470" s="39"/>
      <c r="AU470" s="39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30"/>
    </row>
    <row r="471" spans="1:66" ht="11.25" customHeight="1" x14ac:dyDescent="0.2">
      <c r="A471" s="38" t="s">
        <v>38</v>
      </c>
      <c r="B471" s="73"/>
      <c r="C471" s="33">
        <v>5</v>
      </c>
      <c r="D471" s="13" t="s">
        <v>341</v>
      </c>
      <c r="E471" s="16">
        <f t="shared" si="1103"/>
        <v>0</v>
      </c>
      <c r="F471" s="16">
        <f>SUMIFS([0]!VOTOS2,[0]!TURNO1,F$31,[0]!CANDIDATO1,$C471,[0]!MUNICIPIO1,$B$467)</f>
        <v>0</v>
      </c>
      <c r="G471" s="16">
        <f>SUMIFS([0]!VOTOS2,[0]!TURNO1,G$31,[0]!CANDIDATO1,$C471,[0]!MUNICIPIO1,$B$467)</f>
        <v>0</v>
      </c>
      <c r="H471" s="16">
        <f>SUMIFS([0]!VOTOS2,[0]!TURNO1,H$31,[0]!CANDIDATO1,$C471,[0]!MUNICIPIO1,$B$467)</f>
        <v>0</v>
      </c>
      <c r="I471" s="16">
        <f>SUMIFS([0]!VOTOS2,[0]!TURNO1,I$31,[0]!CANDIDATO1,$C471,[0]!MUNICIPIO1,$B$467)</f>
        <v>0</v>
      </c>
      <c r="J471" s="16">
        <f>SUMIFS([0]!VOTOS2,[0]!TURNO1,J$31,[0]!CANDIDATO1,$C471,[0]!MUNICIPIO1,$B$467)</f>
        <v>0</v>
      </c>
      <c r="K471" s="16">
        <f>SUMIFS([0]!VOTOS2,[0]!TURNO1,K$31,[0]!CANDIDATO1,$C471,[0]!MUNICIPIO1,$B$467)</f>
        <v>0</v>
      </c>
      <c r="L471" s="16">
        <f>SUMIFS([0]!VOTOS2,[0]!TURNO1,L$31,[0]!CANDIDATO1,$C471,[0]!MUNICIPIO1,$B$467)</f>
        <v>0</v>
      </c>
      <c r="M471" s="16">
        <f>SUMIFS([0]!VOTOS2,[0]!TURNO1,M$31,[0]!CANDIDATO1,$C471,[0]!MUNICIPIO1,$B$467)</f>
        <v>0</v>
      </c>
      <c r="N471" s="16">
        <f>SUMIFS([0]!VOTOS2,[0]!TURNO1,N$31,[0]!CANDIDATO1,$C471,[0]!MUNICIPIO1,$B$467)</f>
        <v>0</v>
      </c>
      <c r="O471" s="16">
        <f>SUMIFS([0]!VOTOS2,[0]!TURNO1,O$31,[0]!CANDIDATO1,$C471,[0]!MUNICIPIO1,$B$467)</f>
        <v>0</v>
      </c>
      <c r="P471" s="16">
        <f>SUMIFS([0]!VOTOS2,[0]!TURNO1,P$31,[0]!CANDIDATO1,$C471,[0]!MUNICIPIO1,$B$467)</f>
        <v>0</v>
      </c>
      <c r="Q471" s="16">
        <f>SUMIFS([0]!VOTOS2,[0]!TURNO1,Q$31,[0]!CANDIDATO1,$C471,[0]!MUNICIPIO1,$B$467)</f>
        <v>0</v>
      </c>
      <c r="R471" s="16">
        <f>SUMIFS([0]!VOTOS2,[0]!TURNO1,R$31,[0]!CANDIDATO1,$C471,[0]!MUNICIPIO1,$B$467)</f>
        <v>0</v>
      </c>
      <c r="S471" s="16">
        <f>SUMIFS([0]!VOTOS2,[0]!TURNO1,S$31,[0]!CANDIDATO1,$C471,[0]!MUNICIPIO1,$B$467)</f>
        <v>0</v>
      </c>
      <c r="T471" s="16">
        <f>SUMIFS([0]!VOTOS2,[0]!TURNO1,T$31,[0]!CANDIDATO1,$C471,[0]!MUNICIPIO1,$B$467)</f>
        <v>0</v>
      </c>
      <c r="U471" s="16">
        <f>SUMIFS([0]!VOTOS2,[0]!TURNO1,U$31,[0]!CANDIDATO1,$C471,[0]!MUNICIPIO1,$B$467)</f>
        <v>0</v>
      </c>
      <c r="V471" s="16">
        <f>SUMIFS([0]!VOTOS2,[0]!TURNO1,V$31,[0]!CANDIDATO1,$C471,[0]!MUNICIPIO1,$B$467)</f>
        <v>0</v>
      </c>
      <c r="W471" s="16">
        <f>SUMIFS([0]!VOTOS2,[0]!TURNO1,W$31,[0]!CANDIDATO1,$C471,[0]!MUNICIPIO1,$B$467)</f>
        <v>0</v>
      </c>
      <c r="X471" s="24"/>
      <c r="Y471" s="18" t="str">
        <f t="shared" si="1104"/>
        <v>PEDRO LABRADOR</v>
      </c>
      <c r="Z471" s="34">
        <f t="shared" si="1105"/>
        <v>0</v>
      </c>
      <c r="AA471" s="34">
        <f t="shared" si="1106"/>
        <v>0</v>
      </c>
      <c r="AB471" s="34" t="e">
        <f t="shared" ref="AB471:AR471" si="1116">IF(SUM(G467:G479)=0,NA(),G471+AA471)</f>
        <v>#N/A</v>
      </c>
      <c r="AC471" s="34" t="e">
        <f t="shared" si="1116"/>
        <v>#N/A</v>
      </c>
      <c r="AD471" s="34" t="e">
        <f t="shared" si="1116"/>
        <v>#N/A</v>
      </c>
      <c r="AE471" s="34" t="e">
        <f t="shared" si="1116"/>
        <v>#N/A</v>
      </c>
      <c r="AF471" s="34" t="e">
        <f t="shared" si="1116"/>
        <v>#N/A</v>
      </c>
      <c r="AG471" s="34" t="e">
        <f t="shared" si="1116"/>
        <v>#N/A</v>
      </c>
      <c r="AH471" s="34" t="e">
        <f t="shared" si="1116"/>
        <v>#N/A</v>
      </c>
      <c r="AI471" s="34" t="e">
        <f t="shared" si="1116"/>
        <v>#N/A</v>
      </c>
      <c r="AJ471" s="34" t="e">
        <f t="shared" si="1116"/>
        <v>#N/A</v>
      </c>
      <c r="AK471" s="34" t="e">
        <f t="shared" si="1116"/>
        <v>#N/A</v>
      </c>
      <c r="AL471" s="34" t="e">
        <f t="shared" si="1116"/>
        <v>#N/A</v>
      </c>
      <c r="AM471" s="34" t="e">
        <f t="shared" si="1116"/>
        <v>#N/A</v>
      </c>
      <c r="AN471" s="34" t="e">
        <f t="shared" si="1116"/>
        <v>#N/A</v>
      </c>
      <c r="AO471" s="34" t="e">
        <f t="shared" si="1116"/>
        <v>#N/A</v>
      </c>
      <c r="AP471" s="34" t="e">
        <f t="shared" si="1116"/>
        <v>#N/A</v>
      </c>
      <c r="AQ471" s="34" t="e">
        <f t="shared" si="1116"/>
        <v>#N/A</v>
      </c>
      <c r="AR471" s="34" t="e">
        <f t="shared" si="1116"/>
        <v>#N/A</v>
      </c>
      <c r="AS471" s="27"/>
      <c r="AT471" s="39"/>
      <c r="AU471" s="39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30"/>
    </row>
    <row r="472" spans="1:66" ht="11.25" customHeight="1" x14ac:dyDescent="0.2">
      <c r="A472" s="37"/>
      <c r="B472" s="73"/>
      <c r="C472" s="33">
        <v>6</v>
      </c>
      <c r="D472" s="13" t="s">
        <v>342</v>
      </c>
      <c r="E472" s="16">
        <f t="shared" si="1103"/>
        <v>0</v>
      </c>
      <c r="F472" s="16">
        <f>SUMIFS([0]!VOTOS2,[0]!TURNO1,F$31,[0]!CANDIDATO1,$C472,[0]!MUNICIPIO1,$B$467)</f>
        <v>0</v>
      </c>
      <c r="G472" s="16">
        <f>SUMIFS([0]!VOTOS2,[0]!TURNO1,G$31,[0]!CANDIDATO1,$C472,[0]!MUNICIPIO1,$B$467)</f>
        <v>0</v>
      </c>
      <c r="H472" s="16">
        <f>SUMIFS([0]!VOTOS2,[0]!TURNO1,H$31,[0]!CANDIDATO1,$C472,[0]!MUNICIPIO1,$B$467)</f>
        <v>0</v>
      </c>
      <c r="I472" s="16">
        <f>SUMIFS([0]!VOTOS2,[0]!TURNO1,I$31,[0]!CANDIDATO1,$C472,[0]!MUNICIPIO1,$B$467)</f>
        <v>0</v>
      </c>
      <c r="J472" s="16">
        <f>SUMIFS([0]!VOTOS2,[0]!TURNO1,J$31,[0]!CANDIDATO1,$C472,[0]!MUNICIPIO1,$B$467)</f>
        <v>0</v>
      </c>
      <c r="K472" s="16">
        <f>SUMIFS([0]!VOTOS2,[0]!TURNO1,K$31,[0]!CANDIDATO1,$C472,[0]!MUNICIPIO1,$B$467)</f>
        <v>0</v>
      </c>
      <c r="L472" s="16">
        <f>SUMIFS([0]!VOTOS2,[0]!TURNO1,L$31,[0]!CANDIDATO1,$C472,[0]!MUNICIPIO1,$B$467)</f>
        <v>0</v>
      </c>
      <c r="M472" s="16">
        <f>SUMIFS([0]!VOTOS2,[0]!TURNO1,M$31,[0]!CANDIDATO1,$C472,[0]!MUNICIPIO1,$B$467)</f>
        <v>0</v>
      </c>
      <c r="N472" s="16">
        <f>SUMIFS([0]!VOTOS2,[0]!TURNO1,N$31,[0]!CANDIDATO1,$C472,[0]!MUNICIPIO1,$B$467)</f>
        <v>0</v>
      </c>
      <c r="O472" s="16">
        <f>SUMIFS([0]!VOTOS2,[0]!TURNO1,O$31,[0]!CANDIDATO1,$C472,[0]!MUNICIPIO1,$B$467)</f>
        <v>0</v>
      </c>
      <c r="P472" s="16">
        <f>SUMIFS([0]!VOTOS2,[0]!TURNO1,P$31,[0]!CANDIDATO1,$C472,[0]!MUNICIPIO1,$B$467)</f>
        <v>0</v>
      </c>
      <c r="Q472" s="16">
        <f>SUMIFS([0]!VOTOS2,[0]!TURNO1,Q$31,[0]!CANDIDATO1,$C472,[0]!MUNICIPIO1,$B$467)</f>
        <v>0</v>
      </c>
      <c r="R472" s="16">
        <f>SUMIFS([0]!VOTOS2,[0]!TURNO1,R$31,[0]!CANDIDATO1,$C472,[0]!MUNICIPIO1,$B$467)</f>
        <v>0</v>
      </c>
      <c r="S472" s="16">
        <f>SUMIFS([0]!VOTOS2,[0]!TURNO1,S$31,[0]!CANDIDATO1,$C472,[0]!MUNICIPIO1,$B$467)</f>
        <v>0</v>
      </c>
      <c r="T472" s="16">
        <f>SUMIFS([0]!VOTOS2,[0]!TURNO1,T$31,[0]!CANDIDATO1,$C472,[0]!MUNICIPIO1,$B$467)</f>
        <v>0</v>
      </c>
      <c r="U472" s="16">
        <f>SUMIFS([0]!VOTOS2,[0]!TURNO1,U$31,[0]!CANDIDATO1,$C472,[0]!MUNICIPIO1,$B$467)</f>
        <v>0</v>
      </c>
      <c r="V472" s="16">
        <f>SUMIFS([0]!VOTOS2,[0]!TURNO1,V$31,[0]!CANDIDATO1,$C472,[0]!MUNICIPIO1,$B$467)</f>
        <v>0</v>
      </c>
      <c r="W472" s="16">
        <f>SUMIFS([0]!VOTOS2,[0]!TURNO1,W$31,[0]!CANDIDATO1,$C472,[0]!MUNICIPIO1,$B$467)</f>
        <v>0</v>
      </c>
      <c r="X472" s="24"/>
      <c r="Y472" s="18" t="str">
        <f t="shared" si="1104"/>
        <v>JOSE PRIETO</v>
      </c>
      <c r="Z472" s="34">
        <f t="shared" si="1105"/>
        <v>0</v>
      </c>
      <c r="AA472" s="34">
        <f t="shared" si="1106"/>
        <v>0</v>
      </c>
      <c r="AB472" s="34" t="e">
        <f t="shared" ref="AB472:AR472" si="1117">IF(SUM(G467:G479)=0,NA(),G472+AA472)</f>
        <v>#N/A</v>
      </c>
      <c r="AC472" s="34" t="e">
        <f t="shared" si="1117"/>
        <v>#N/A</v>
      </c>
      <c r="AD472" s="34" t="e">
        <f t="shared" si="1117"/>
        <v>#N/A</v>
      </c>
      <c r="AE472" s="34" t="e">
        <f t="shared" si="1117"/>
        <v>#N/A</v>
      </c>
      <c r="AF472" s="34" t="e">
        <f t="shared" si="1117"/>
        <v>#N/A</v>
      </c>
      <c r="AG472" s="34" t="e">
        <f t="shared" si="1117"/>
        <v>#N/A</v>
      </c>
      <c r="AH472" s="34" t="e">
        <f t="shared" si="1117"/>
        <v>#N/A</v>
      </c>
      <c r="AI472" s="34" t="e">
        <f t="shared" si="1117"/>
        <v>#N/A</v>
      </c>
      <c r="AJ472" s="34" t="e">
        <f t="shared" si="1117"/>
        <v>#N/A</v>
      </c>
      <c r="AK472" s="34" t="e">
        <f t="shared" si="1117"/>
        <v>#N/A</v>
      </c>
      <c r="AL472" s="34" t="e">
        <f t="shared" si="1117"/>
        <v>#N/A</v>
      </c>
      <c r="AM472" s="34" t="e">
        <f t="shared" si="1117"/>
        <v>#N/A</v>
      </c>
      <c r="AN472" s="34" t="e">
        <f t="shared" si="1117"/>
        <v>#N/A</v>
      </c>
      <c r="AO472" s="34" t="e">
        <f t="shared" si="1117"/>
        <v>#N/A</v>
      </c>
      <c r="AP472" s="34" t="e">
        <f t="shared" si="1117"/>
        <v>#N/A</v>
      </c>
      <c r="AQ472" s="34" t="e">
        <f t="shared" si="1117"/>
        <v>#N/A</v>
      </c>
      <c r="AR472" s="34" t="e">
        <f t="shared" si="1117"/>
        <v>#N/A</v>
      </c>
      <c r="AS472" s="27"/>
      <c r="AT472" s="39"/>
      <c r="AU472" s="39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30"/>
    </row>
    <row r="473" spans="1:66" ht="11.25" customHeight="1" x14ac:dyDescent="0.2">
      <c r="A473" s="42"/>
      <c r="B473" s="74"/>
      <c r="C473" s="33">
        <v>7</v>
      </c>
      <c r="D473" s="13" t="s">
        <v>343</v>
      </c>
      <c r="E473" s="16">
        <f t="shared" si="1103"/>
        <v>0</v>
      </c>
      <c r="F473" s="16">
        <f>SUMIFS([0]!VOTOS2,[0]!TURNO1,F$31,[0]!CANDIDATO1,$C473,[0]!MUNICIPIO1,$B$467)</f>
        <v>0</v>
      </c>
      <c r="G473" s="16">
        <f>SUMIFS([0]!VOTOS2,[0]!TURNO1,G$31,[0]!CANDIDATO1,$C473,[0]!MUNICIPIO1,$B$467)</f>
        <v>0</v>
      </c>
      <c r="H473" s="16">
        <f>SUMIFS([0]!VOTOS2,[0]!TURNO1,H$31,[0]!CANDIDATO1,$C473,[0]!MUNICIPIO1,$B$467)</f>
        <v>0</v>
      </c>
      <c r="I473" s="16">
        <f>SUMIFS([0]!VOTOS2,[0]!TURNO1,I$31,[0]!CANDIDATO1,$C473,[0]!MUNICIPIO1,$B$467)</f>
        <v>0</v>
      </c>
      <c r="J473" s="16">
        <f>SUMIFS([0]!VOTOS2,[0]!TURNO1,J$31,[0]!CANDIDATO1,$C473,[0]!MUNICIPIO1,$B$467)</f>
        <v>0</v>
      </c>
      <c r="K473" s="16">
        <f>SUMIFS([0]!VOTOS2,[0]!TURNO1,K$31,[0]!CANDIDATO1,$C473,[0]!MUNICIPIO1,$B$467)</f>
        <v>0</v>
      </c>
      <c r="L473" s="16">
        <f>SUMIFS([0]!VOTOS2,[0]!TURNO1,L$31,[0]!CANDIDATO1,$C473,[0]!MUNICIPIO1,$B$467)</f>
        <v>0</v>
      </c>
      <c r="M473" s="16">
        <f>SUMIFS([0]!VOTOS2,[0]!TURNO1,M$31,[0]!CANDIDATO1,$C473,[0]!MUNICIPIO1,$B$467)</f>
        <v>0</v>
      </c>
      <c r="N473" s="16">
        <f>SUMIFS([0]!VOTOS2,[0]!TURNO1,N$31,[0]!CANDIDATO1,$C473,[0]!MUNICIPIO1,$B$467)</f>
        <v>0</v>
      </c>
      <c r="O473" s="16">
        <f>SUMIFS([0]!VOTOS2,[0]!TURNO1,O$31,[0]!CANDIDATO1,$C473,[0]!MUNICIPIO1,$B$467)</f>
        <v>0</v>
      </c>
      <c r="P473" s="16">
        <f>SUMIFS([0]!VOTOS2,[0]!TURNO1,P$31,[0]!CANDIDATO1,$C473,[0]!MUNICIPIO1,$B$467)</f>
        <v>0</v>
      </c>
      <c r="Q473" s="16">
        <f>SUMIFS([0]!VOTOS2,[0]!TURNO1,Q$31,[0]!CANDIDATO1,$C473,[0]!MUNICIPIO1,$B$467)</f>
        <v>0</v>
      </c>
      <c r="R473" s="16">
        <f>SUMIFS([0]!VOTOS2,[0]!TURNO1,R$31,[0]!CANDIDATO1,$C473,[0]!MUNICIPIO1,$B$467)</f>
        <v>0</v>
      </c>
      <c r="S473" s="16">
        <f>SUMIFS([0]!VOTOS2,[0]!TURNO1,S$31,[0]!CANDIDATO1,$C473,[0]!MUNICIPIO1,$B$467)</f>
        <v>0</v>
      </c>
      <c r="T473" s="16">
        <f>SUMIFS([0]!VOTOS2,[0]!TURNO1,T$31,[0]!CANDIDATO1,$C473,[0]!MUNICIPIO1,$B$467)</f>
        <v>0</v>
      </c>
      <c r="U473" s="16">
        <f>SUMIFS([0]!VOTOS2,[0]!TURNO1,U$31,[0]!CANDIDATO1,$C473,[0]!MUNICIPIO1,$B$467)</f>
        <v>0</v>
      </c>
      <c r="V473" s="16">
        <f>SUMIFS([0]!VOTOS2,[0]!TURNO1,V$31,[0]!CANDIDATO1,$C473,[0]!MUNICIPIO1,$B$467)</f>
        <v>0</v>
      </c>
      <c r="W473" s="16">
        <f>SUMIFS([0]!VOTOS2,[0]!TURNO1,W$31,[0]!CANDIDATO1,$C473,[0]!MUNICIPIO1,$B$467)</f>
        <v>0</v>
      </c>
      <c r="X473" s="24"/>
      <c r="Y473" s="18" t="str">
        <f t="shared" si="1104"/>
        <v>RICARDO FIORE</v>
      </c>
      <c r="Z473" s="34">
        <f t="shared" si="1105"/>
        <v>0</v>
      </c>
      <c r="AA473" s="34">
        <f t="shared" si="1106"/>
        <v>0</v>
      </c>
      <c r="AB473" s="34" t="e">
        <f t="shared" ref="AB473:AR473" si="1118">IF(SUM(G467:G479)=0,NA(),G473+AA473)</f>
        <v>#N/A</v>
      </c>
      <c r="AC473" s="34" t="e">
        <f t="shared" si="1118"/>
        <v>#N/A</v>
      </c>
      <c r="AD473" s="34" t="e">
        <f t="shared" si="1118"/>
        <v>#N/A</v>
      </c>
      <c r="AE473" s="34" t="e">
        <f t="shared" si="1118"/>
        <v>#N/A</v>
      </c>
      <c r="AF473" s="34" t="e">
        <f t="shared" si="1118"/>
        <v>#N/A</v>
      </c>
      <c r="AG473" s="34" t="e">
        <f t="shared" si="1118"/>
        <v>#N/A</v>
      </c>
      <c r="AH473" s="34" t="e">
        <f t="shared" si="1118"/>
        <v>#N/A</v>
      </c>
      <c r="AI473" s="34" t="e">
        <f t="shared" si="1118"/>
        <v>#N/A</v>
      </c>
      <c r="AJ473" s="34" t="e">
        <f t="shared" si="1118"/>
        <v>#N/A</v>
      </c>
      <c r="AK473" s="34" t="e">
        <f t="shared" si="1118"/>
        <v>#N/A</v>
      </c>
      <c r="AL473" s="34" t="e">
        <f t="shared" si="1118"/>
        <v>#N/A</v>
      </c>
      <c r="AM473" s="34" t="e">
        <f t="shared" si="1118"/>
        <v>#N/A</v>
      </c>
      <c r="AN473" s="34" t="e">
        <f t="shared" si="1118"/>
        <v>#N/A</v>
      </c>
      <c r="AO473" s="34" t="e">
        <f t="shared" si="1118"/>
        <v>#N/A</v>
      </c>
      <c r="AP473" s="34" t="e">
        <f t="shared" si="1118"/>
        <v>#N/A</v>
      </c>
      <c r="AQ473" s="34" t="e">
        <f t="shared" si="1118"/>
        <v>#N/A</v>
      </c>
      <c r="AR473" s="34" t="e">
        <f t="shared" si="1118"/>
        <v>#N/A</v>
      </c>
      <c r="AS473" s="27"/>
      <c r="AT473" s="39"/>
      <c r="AU473" s="39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30"/>
    </row>
    <row r="474" spans="1:66" ht="11.25" customHeight="1" x14ac:dyDescent="0.2">
      <c r="A474" s="44"/>
      <c r="B474" s="45"/>
      <c r="C474" s="46">
        <v>8</v>
      </c>
      <c r="D474" s="14" t="s">
        <v>76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24"/>
      <c r="Y474" s="18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27"/>
      <c r="AT474" s="41"/>
      <c r="AU474" s="41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30"/>
    </row>
    <row r="475" spans="1:66" ht="11.25" customHeight="1" x14ac:dyDescent="0.2">
      <c r="A475" s="44"/>
      <c r="B475" s="45"/>
      <c r="C475" s="46">
        <v>9</v>
      </c>
      <c r="D475" s="14" t="s">
        <v>76</v>
      </c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24"/>
      <c r="Y475" s="18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27"/>
      <c r="AT475" s="41"/>
      <c r="AU475" s="41"/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/>
      <c r="BN475" s="30"/>
    </row>
    <row r="476" spans="1:66" ht="11.25" customHeight="1" x14ac:dyDescent="0.2">
      <c r="A476" s="44"/>
      <c r="B476" s="45"/>
      <c r="C476" s="46">
        <v>10</v>
      </c>
      <c r="D476" s="14" t="s">
        <v>76</v>
      </c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24"/>
      <c r="Y476" s="18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27"/>
      <c r="AT476" s="41"/>
      <c r="AU476" s="41"/>
      <c r="AV476" s="43"/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  <c r="BL476" s="43"/>
      <c r="BM476" s="43"/>
      <c r="BN476" s="30"/>
    </row>
    <row r="477" spans="1:66" ht="11.25" customHeight="1" x14ac:dyDescent="0.2">
      <c r="A477" s="44"/>
      <c r="B477" s="45"/>
      <c r="C477" s="46">
        <v>11</v>
      </c>
      <c r="D477" s="14" t="s">
        <v>76</v>
      </c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24"/>
      <c r="Y477" s="18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27"/>
      <c r="AT477" s="41"/>
      <c r="AU477" s="41"/>
      <c r="AV477" s="43"/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/>
      <c r="BN477" s="30"/>
    </row>
    <row r="478" spans="1:66" ht="11.25" customHeight="1" x14ac:dyDescent="0.2">
      <c r="A478" s="44"/>
      <c r="B478" s="45"/>
      <c r="C478" s="46">
        <v>12</v>
      </c>
      <c r="D478" s="14" t="s">
        <v>76</v>
      </c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24"/>
      <c r="Y478" s="18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27"/>
      <c r="AT478" s="41"/>
      <c r="AU478" s="41"/>
      <c r="AV478" s="43"/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  <c r="BL478" s="43"/>
      <c r="BM478" s="43"/>
      <c r="BN478" s="30"/>
    </row>
    <row r="479" spans="1:66" ht="11.25" customHeight="1" x14ac:dyDescent="0.2">
      <c r="A479" s="44"/>
      <c r="B479" s="45"/>
      <c r="C479" s="46">
        <v>13</v>
      </c>
      <c r="D479" s="14" t="s">
        <v>76</v>
      </c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24"/>
      <c r="Y479" s="18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27"/>
      <c r="AT479" s="41"/>
      <c r="AU479" s="41"/>
      <c r="AV479" s="43"/>
      <c r="AW479" s="43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  <c r="BL479" s="43"/>
      <c r="BM479" s="43"/>
      <c r="BN479" s="30"/>
    </row>
    <row r="480" spans="1:66" ht="11.25" customHeight="1" x14ac:dyDescent="0.2">
      <c r="X480" s="24"/>
      <c r="Y480" s="19" t="s">
        <v>79</v>
      </c>
      <c r="Z480" s="34">
        <f t="shared" ref="Z480" si="1119">SUM(Z469:Z479)</f>
        <v>0</v>
      </c>
      <c r="AA480" s="34">
        <f t="shared" ref="AA480" si="1120">SUM(AA469:AA479)</f>
        <v>0</v>
      </c>
      <c r="AB480" s="34" t="e">
        <f t="shared" ref="AB480" si="1121">SUM(AB469:AB479)</f>
        <v>#N/A</v>
      </c>
      <c r="AC480" s="34" t="e">
        <f t="shared" ref="AC480" si="1122">SUM(AC469:AC479)</f>
        <v>#N/A</v>
      </c>
      <c r="AD480" s="34" t="e">
        <f t="shared" ref="AD480" si="1123">SUM(AD469:AD479)</f>
        <v>#N/A</v>
      </c>
      <c r="AE480" s="34" t="e">
        <f t="shared" ref="AE480" si="1124">SUM(AE469:AE479)</f>
        <v>#N/A</v>
      </c>
      <c r="AF480" s="34" t="e">
        <f t="shared" ref="AF480" si="1125">SUM(AF469:AF479)</f>
        <v>#N/A</v>
      </c>
      <c r="AG480" s="34" t="e">
        <f t="shared" ref="AG480" si="1126">SUM(AG469:AG479)</f>
        <v>#N/A</v>
      </c>
      <c r="AH480" s="34" t="e">
        <f t="shared" ref="AH480" si="1127">SUM(AH469:AH479)</f>
        <v>#N/A</v>
      </c>
      <c r="AI480" s="34" t="e">
        <f t="shared" ref="AI480" si="1128">SUM(AI469:AI479)</f>
        <v>#N/A</v>
      </c>
      <c r="AJ480" s="34" t="e">
        <f t="shared" ref="AJ480" si="1129">SUM(AJ469:AJ479)</f>
        <v>#N/A</v>
      </c>
      <c r="AK480" s="34" t="e">
        <f t="shared" ref="AK480" si="1130">SUM(AK469:AK479)</f>
        <v>#N/A</v>
      </c>
      <c r="AL480" s="34" t="e">
        <f t="shared" ref="AL480" si="1131">SUM(AL469:AL479)</f>
        <v>#N/A</v>
      </c>
      <c r="AM480" s="34" t="e">
        <f t="shared" ref="AM480" si="1132">SUM(AM469:AM479)</f>
        <v>#N/A</v>
      </c>
      <c r="AN480" s="34" t="e">
        <f t="shared" ref="AN480" si="1133">SUM(AN469:AN479)</f>
        <v>#N/A</v>
      </c>
      <c r="AO480" s="34" t="e">
        <f t="shared" ref="AO480" si="1134">SUM(AO469:AO479)</f>
        <v>#N/A</v>
      </c>
      <c r="AP480" s="34" t="e">
        <f t="shared" ref="AP480" si="1135">SUM(AP469:AP479)</f>
        <v>#N/A</v>
      </c>
      <c r="AQ480" s="34" t="e">
        <f t="shared" ref="AQ480" si="1136">SUM(AQ469:AQ479)</f>
        <v>#N/A</v>
      </c>
      <c r="AR480" s="34" t="e">
        <f t="shared" ref="AR480" si="1137">SUM(AR469:AR479)</f>
        <v>#N/A</v>
      </c>
      <c r="AS480" s="27"/>
      <c r="AT480" s="41"/>
      <c r="AU480" s="41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  <c r="BL480" s="43"/>
      <c r="BM480" s="43"/>
      <c r="BN480" s="30"/>
    </row>
    <row r="481" spans="1:66" ht="11.25" customHeight="1" x14ac:dyDescent="0.2">
      <c r="A481" s="75" t="s">
        <v>63</v>
      </c>
      <c r="B481" s="76"/>
      <c r="C481" s="21"/>
      <c r="D481" s="22" t="s">
        <v>75</v>
      </c>
      <c r="E481" s="23" t="s">
        <v>70</v>
      </c>
      <c r="F481" s="23">
        <v>0</v>
      </c>
      <c r="G481" s="23">
        <v>1</v>
      </c>
      <c r="H481" s="23">
        <v>2</v>
      </c>
      <c r="I481" s="23">
        <v>3</v>
      </c>
      <c r="J481" s="23">
        <v>4</v>
      </c>
      <c r="K481" s="23">
        <v>5</v>
      </c>
      <c r="L481" s="23">
        <v>6</v>
      </c>
      <c r="M481" s="23">
        <v>7</v>
      </c>
      <c r="N481" s="23">
        <v>8</v>
      </c>
      <c r="O481" s="23">
        <v>9</v>
      </c>
      <c r="P481" s="23">
        <v>10</v>
      </c>
      <c r="Q481" s="23">
        <v>11</v>
      </c>
      <c r="R481" s="23">
        <v>12</v>
      </c>
      <c r="S481" s="23">
        <v>13</v>
      </c>
      <c r="T481" s="23">
        <v>14</v>
      </c>
      <c r="U481" s="23">
        <v>15</v>
      </c>
      <c r="V481" s="23">
        <v>16</v>
      </c>
      <c r="W481" s="23">
        <v>17</v>
      </c>
      <c r="X481" s="24"/>
      <c r="Y481" s="17"/>
      <c r="Z481" s="25" t="s">
        <v>64</v>
      </c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7"/>
      <c r="AT481" s="28"/>
      <c r="AU481" s="28" t="s">
        <v>64</v>
      </c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30"/>
    </row>
    <row r="482" spans="1:66" ht="11.25" customHeight="1" x14ac:dyDescent="0.2">
      <c r="A482" s="32"/>
      <c r="B482" s="72">
        <v>33</v>
      </c>
      <c r="C482" s="33">
        <v>1</v>
      </c>
      <c r="D482" s="13" t="s">
        <v>344</v>
      </c>
      <c r="E482" s="16">
        <f t="shared" ref="E482:E487" si="1138">SUM(F482:W482)</f>
        <v>19</v>
      </c>
      <c r="F482" s="16">
        <f>SUMIFS([0]!VOTOS2,[0]!TURNO1,F$31,[0]!CANDIDATO1,$C482,[0]!MUNICIPIO1,$B$482)</f>
        <v>10</v>
      </c>
      <c r="G482" s="16">
        <f>SUMIFS([0]!VOTOS2,[0]!TURNO1,G$31,[0]!CANDIDATO1,$C482,[0]!MUNICIPIO1,$B$482)</f>
        <v>0</v>
      </c>
      <c r="H482" s="16">
        <f>SUMIFS([0]!VOTOS2,[0]!TURNO1,H$31,[0]!CANDIDATO1,$C482,[0]!MUNICIPIO1,$B$482)</f>
        <v>1</v>
      </c>
      <c r="I482" s="16">
        <f>SUMIFS([0]!VOTOS2,[0]!TURNO1,I$31,[0]!CANDIDATO1,$C482,[0]!MUNICIPIO1,$B$482)</f>
        <v>0</v>
      </c>
      <c r="J482" s="16">
        <f>SUMIFS([0]!VOTOS2,[0]!TURNO1,J$31,[0]!CANDIDATO1,$C482,[0]!MUNICIPIO1,$B$482)</f>
        <v>8</v>
      </c>
      <c r="K482" s="16">
        <f>SUMIFS([0]!VOTOS2,[0]!TURNO1,K$31,[0]!CANDIDATO1,$C482,[0]!MUNICIPIO1,$B$482)</f>
        <v>0</v>
      </c>
      <c r="L482" s="16">
        <f>SUMIFS([0]!VOTOS2,[0]!TURNO1,L$31,[0]!CANDIDATO1,$C482,[0]!MUNICIPIO1,$B$482)</f>
        <v>0</v>
      </c>
      <c r="M482" s="16">
        <f>SUMIFS([0]!VOTOS2,[0]!TURNO1,M$31,[0]!CANDIDATO1,$C482,[0]!MUNICIPIO1,$B$482)</f>
        <v>0</v>
      </c>
      <c r="N482" s="16">
        <f>SUMIFS([0]!VOTOS2,[0]!TURNO1,N$31,[0]!CANDIDATO1,$C482,[0]!MUNICIPIO1,$B$482)</f>
        <v>0</v>
      </c>
      <c r="O482" s="16">
        <f>SUMIFS([0]!VOTOS2,[0]!TURNO1,O$31,[0]!CANDIDATO1,$C482,[0]!MUNICIPIO1,$B$482)</f>
        <v>0</v>
      </c>
      <c r="P482" s="16">
        <f>SUMIFS([0]!VOTOS2,[0]!TURNO1,P$31,[0]!CANDIDATO1,$C482,[0]!MUNICIPIO1,$B$482)</f>
        <v>0</v>
      </c>
      <c r="Q482" s="16">
        <f>SUMIFS([0]!VOTOS2,[0]!TURNO1,Q$31,[0]!CANDIDATO1,$C482,[0]!MUNICIPIO1,$B$482)</f>
        <v>0</v>
      </c>
      <c r="R482" s="16">
        <f>SUMIFS([0]!VOTOS2,[0]!TURNO1,R$31,[0]!CANDIDATO1,$C482,[0]!MUNICIPIO1,$B$482)</f>
        <v>0</v>
      </c>
      <c r="S482" s="16">
        <f>SUMIFS([0]!VOTOS2,[0]!TURNO1,S$31,[0]!CANDIDATO1,$C482,[0]!MUNICIPIO1,$B$482)</f>
        <v>0</v>
      </c>
      <c r="T482" s="16">
        <f>SUMIFS([0]!VOTOS2,[0]!TURNO1,T$31,[0]!CANDIDATO1,$C482,[0]!MUNICIPIO1,$B$482)</f>
        <v>0</v>
      </c>
      <c r="U482" s="16">
        <f>SUMIFS([0]!VOTOS2,[0]!TURNO1,U$31,[0]!CANDIDATO1,$C482,[0]!MUNICIPIO1,$B$482)</f>
        <v>0</v>
      </c>
      <c r="V482" s="16">
        <f>SUMIFS([0]!VOTOS2,[0]!TURNO1,V$31,[0]!CANDIDATO1,$C482,[0]!MUNICIPIO1,$B$482)</f>
        <v>0</v>
      </c>
      <c r="W482" s="16">
        <f>SUMIFS([0]!VOTOS2,[0]!TURNO1,W$31,[0]!CANDIDATO1,$C482,[0]!MUNICIPIO1,$B$482)</f>
        <v>0</v>
      </c>
      <c r="X482" s="24"/>
      <c r="Y482" s="18" t="str">
        <f t="shared" ref="Y482:Y487" si="1139">D482</f>
        <v>RODOLFO SANZ</v>
      </c>
      <c r="Z482" s="34">
        <f t="shared" ref="Z482:Z487" si="1140">E482</f>
        <v>19</v>
      </c>
      <c r="AA482" s="34">
        <f t="shared" ref="AA482:AA487" si="1141">F482</f>
        <v>10</v>
      </c>
      <c r="AB482" s="34" t="e">
        <f t="shared" ref="AB482:AR482" si="1142">IF(SUM(G482:G494)=0,NA(),G482+AA482)</f>
        <v>#N/A</v>
      </c>
      <c r="AC482" s="34" t="e">
        <f t="shared" si="1142"/>
        <v>#N/A</v>
      </c>
      <c r="AD482" s="34" t="e">
        <f t="shared" si="1142"/>
        <v>#N/A</v>
      </c>
      <c r="AE482" s="34" t="e">
        <f t="shared" si="1142"/>
        <v>#N/A</v>
      </c>
      <c r="AF482" s="34" t="e">
        <f t="shared" si="1142"/>
        <v>#N/A</v>
      </c>
      <c r="AG482" s="34" t="e">
        <f t="shared" si="1142"/>
        <v>#N/A</v>
      </c>
      <c r="AH482" s="34" t="e">
        <f t="shared" si="1142"/>
        <v>#N/A</v>
      </c>
      <c r="AI482" s="34" t="e">
        <f t="shared" si="1142"/>
        <v>#N/A</v>
      </c>
      <c r="AJ482" s="34" t="e">
        <f t="shared" si="1142"/>
        <v>#N/A</v>
      </c>
      <c r="AK482" s="34" t="e">
        <f t="shared" si="1142"/>
        <v>#N/A</v>
      </c>
      <c r="AL482" s="34" t="e">
        <f t="shared" si="1142"/>
        <v>#N/A</v>
      </c>
      <c r="AM482" s="34" t="e">
        <f t="shared" si="1142"/>
        <v>#N/A</v>
      </c>
      <c r="AN482" s="34" t="e">
        <f t="shared" si="1142"/>
        <v>#N/A</v>
      </c>
      <c r="AO482" s="34" t="e">
        <f t="shared" si="1142"/>
        <v>#N/A</v>
      </c>
      <c r="AP482" s="34" t="e">
        <f t="shared" si="1142"/>
        <v>#N/A</v>
      </c>
      <c r="AQ482" s="34" t="e">
        <f t="shared" si="1142"/>
        <v>#N/A</v>
      </c>
      <c r="AR482" s="34" t="e">
        <f t="shared" si="1142"/>
        <v>#N/A</v>
      </c>
      <c r="AS482" s="27"/>
      <c r="AT482" s="35" t="str">
        <f t="shared" ref="AT482:AT483" si="1143">Y482</f>
        <v>RODOLFO SANZ</v>
      </c>
      <c r="AU482" s="36">
        <f t="shared" ref="AU482:BM482" si="1144">Z482/(Z482+Z483+Z495)</f>
        <v>0.32203389830508472</v>
      </c>
      <c r="AV482" s="36">
        <f t="shared" si="1144"/>
        <v>0.5</v>
      </c>
      <c r="AW482" s="36" t="e">
        <f t="shared" si="1144"/>
        <v>#N/A</v>
      </c>
      <c r="AX482" s="36" t="e">
        <f t="shared" si="1144"/>
        <v>#N/A</v>
      </c>
      <c r="AY482" s="36" t="e">
        <f t="shared" si="1144"/>
        <v>#N/A</v>
      </c>
      <c r="AZ482" s="36" t="e">
        <f t="shared" si="1144"/>
        <v>#N/A</v>
      </c>
      <c r="BA482" s="36" t="e">
        <f t="shared" si="1144"/>
        <v>#N/A</v>
      </c>
      <c r="BB482" s="36" t="e">
        <f t="shared" si="1144"/>
        <v>#N/A</v>
      </c>
      <c r="BC482" s="36" t="e">
        <f t="shared" si="1144"/>
        <v>#N/A</v>
      </c>
      <c r="BD482" s="36" t="e">
        <f t="shared" si="1144"/>
        <v>#N/A</v>
      </c>
      <c r="BE482" s="36" t="e">
        <f t="shared" si="1144"/>
        <v>#N/A</v>
      </c>
      <c r="BF482" s="36" t="e">
        <f t="shared" si="1144"/>
        <v>#N/A</v>
      </c>
      <c r="BG482" s="36" t="e">
        <f t="shared" si="1144"/>
        <v>#N/A</v>
      </c>
      <c r="BH482" s="36" t="e">
        <f t="shared" si="1144"/>
        <v>#N/A</v>
      </c>
      <c r="BI482" s="36" t="e">
        <f t="shared" si="1144"/>
        <v>#N/A</v>
      </c>
      <c r="BJ482" s="36" t="e">
        <f t="shared" si="1144"/>
        <v>#N/A</v>
      </c>
      <c r="BK482" s="36" t="e">
        <f t="shared" si="1144"/>
        <v>#N/A</v>
      </c>
      <c r="BL482" s="36" t="e">
        <f t="shared" si="1144"/>
        <v>#N/A</v>
      </c>
      <c r="BM482" s="36" t="e">
        <f t="shared" si="1144"/>
        <v>#N/A</v>
      </c>
      <c r="BN482" s="30"/>
    </row>
    <row r="483" spans="1:66" ht="11.25" customHeight="1" x14ac:dyDescent="0.2">
      <c r="A483" s="37"/>
      <c r="B483" s="73"/>
      <c r="C483" s="33">
        <v>2</v>
      </c>
      <c r="D483" s="13" t="s">
        <v>345</v>
      </c>
      <c r="E483" s="16">
        <f t="shared" si="1138"/>
        <v>39</v>
      </c>
      <c r="F483" s="16">
        <f>SUMIFS([0]!VOTOS2,[0]!TURNO1,F$31,[0]!CANDIDATO1,$C483,[0]!MUNICIPIO1,$B$482)</f>
        <v>10</v>
      </c>
      <c r="G483" s="16">
        <f>SUMIFS([0]!VOTOS2,[0]!TURNO1,G$31,[0]!CANDIDATO1,$C483,[0]!MUNICIPIO1,$B$482)</f>
        <v>0</v>
      </c>
      <c r="H483" s="16">
        <f>SUMIFS([0]!VOTOS2,[0]!TURNO1,H$31,[0]!CANDIDATO1,$C483,[0]!MUNICIPIO1,$B$482)</f>
        <v>25</v>
      </c>
      <c r="I483" s="16">
        <f>SUMIFS([0]!VOTOS2,[0]!TURNO1,I$31,[0]!CANDIDATO1,$C483,[0]!MUNICIPIO1,$B$482)</f>
        <v>0</v>
      </c>
      <c r="J483" s="16">
        <f>SUMIFS([0]!VOTOS2,[0]!TURNO1,J$31,[0]!CANDIDATO1,$C483,[0]!MUNICIPIO1,$B$482)</f>
        <v>4</v>
      </c>
      <c r="K483" s="16">
        <f>SUMIFS([0]!VOTOS2,[0]!TURNO1,K$31,[0]!CANDIDATO1,$C483,[0]!MUNICIPIO1,$B$482)</f>
        <v>0</v>
      </c>
      <c r="L483" s="16">
        <f>SUMIFS([0]!VOTOS2,[0]!TURNO1,L$31,[0]!CANDIDATO1,$C483,[0]!MUNICIPIO1,$B$482)</f>
        <v>0</v>
      </c>
      <c r="M483" s="16">
        <f>SUMIFS([0]!VOTOS2,[0]!TURNO1,M$31,[0]!CANDIDATO1,$C483,[0]!MUNICIPIO1,$B$482)</f>
        <v>0</v>
      </c>
      <c r="N483" s="16">
        <f>SUMIFS([0]!VOTOS2,[0]!TURNO1,N$31,[0]!CANDIDATO1,$C483,[0]!MUNICIPIO1,$B$482)</f>
        <v>0</v>
      </c>
      <c r="O483" s="16">
        <f>SUMIFS([0]!VOTOS2,[0]!TURNO1,O$31,[0]!CANDIDATO1,$C483,[0]!MUNICIPIO1,$B$482)</f>
        <v>0</v>
      </c>
      <c r="P483" s="16">
        <f>SUMIFS([0]!VOTOS2,[0]!TURNO1,P$31,[0]!CANDIDATO1,$C483,[0]!MUNICIPIO1,$B$482)</f>
        <v>0</v>
      </c>
      <c r="Q483" s="16">
        <f>SUMIFS([0]!VOTOS2,[0]!TURNO1,Q$31,[0]!CANDIDATO1,$C483,[0]!MUNICIPIO1,$B$482)</f>
        <v>0</v>
      </c>
      <c r="R483" s="16">
        <f>SUMIFS([0]!VOTOS2,[0]!TURNO1,R$31,[0]!CANDIDATO1,$C483,[0]!MUNICIPIO1,$B$482)</f>
        <v>0</v>
      </c>
      <c r="S483" s="16">
        <f>SUMIFS([0]!VOTOS2,[0]!TURNO1,S$31,[0]!CANDIDATO1,$C483,[0]!MUNICIPIO1,$B$482)</f>
        <v>0</v>
      </c>
      <c r="T483" s="16">
        <f>SUMIFS([0]!VOTOS2,[0]!TURNO1,T$31,[0]!CANDIDATO1,$C483,[0]!MUNICIPIO1,$B$482)</f>
        <v>0</v>
      </c>
      <c r="U483" s="16">
        <f>SUMIFS([0]!VOTOS2,[0]!TURNO1,U$31,[0]!CANDIDATO1,$C483,[0]!MUNICIPIO1,$B$482)</f>
        <v>0</v>
      </c>
      <c r="V483" s="16">
        <f>SUMIFS([0]!VOTOS2,[0]!TURNO1,V$31,[0]!CANDIDATO1,$C483,[0]!MUNICIPIO1,$B$482)</f>
        <v>0</v>
      </c>
      <c r="W483" s="16">
        <f>SUMIFS([0]!VOTOS2,[0]!TURNO1,W$31,[0]!CANDIDATO1,$C483,[0]!MUNICIPIO1,$B$482)</f>
        <v>0</v>
      </c>
      <c r="X483" s="24"/>
      <c r="Y483" s="18" t="str">
        <f t="shared" si="1139"/>
        <v>ORLANDO CEBALLOS</v>
      </c>
      <c r="Z483" s="34">
        <f t="shared" si="1140"/>
        <v>39</v>
      </c>
      <c r="AA483" s="34">
        <f t="shared" si="1141"/>
        <v>10</v>
      </c>
      <c r="AB483" s="34" t="e">
        <f t="shared" ref="AB483:AR483" si="1145">IF(SUM(G482:G494)=0,NA(),G483+AA483)</f>
        <v>#N/A</v>
      </c>
      <c r="AC483" s="34" t="e">
        <f t="shared" si="1145"/>
        <v>#N/A</v>
      </c>
      <c r="AD483" s="34" t="e">
        <f t="shared" si="1145"/>
        <v>#N/A</v>
      </c>
      <c r="AE483" s="34" t="e">
        <f t="shared" si="1145"/>
        <v>#N/A</v>
      </c>
      <c r="AF483" s="34" t="e">
        <f t="shared" si="1145"/>
        <v>#N/A</v>
      </c>
      <c r="AG483" s="34" t="e">
        <f t="shared" si="1145"/>
        <v>#N/A</v>
      </c>
      <c r="AH483" s="34" t="e">
        <f t="shared" si="1145"/>
        <v>#N/A</v>
      </c>
      <c r="AI483" s="34" t="e">
        <f t="shared" si="1145"/>
        <v>#N/A</v>
      </c>
      <c r="AJ483" s="34" t="e">
        <f t="shared" si="1145"/>
        <v>#N/A</v>
      </c>
      <c r="AK483" s="34" t="e">
        <f t="shared" si="1145"/>
        <v>#N/A</v>
      </c>
      <c r="AL483" s="34" t="e">
        <f t="shared" si="1145"/>
        <v>#N/A</v>
      </c>
      <c r="AM483" s="34" t="e">
        <f t="shared" si="1145"/>
        <v>#N/A</v>
      </c>
      <c r="AN483" s="34" t="e">
        <f t="shared" si="1145"/>
        <v>#N/A</v>
      </c>
      <c r="AO483" s="34" t="e">
        <f t="shared" si="1145"/>
        <v>#N/A</v>
      </c>
      <c r="AP483" s="34" t="e">
        <f t="shared" si="1145"/>
        <v>#N/A</v>
      </c>
      <c r="AQ483" s="34" t="e">
        <f t="shared" si="1145"/>
        <v>#N/A</v>
      </c>
      <c r="AR483" s="34" t="e">
        <f t="shared" si="1145"/>
        <v>#N/A</v>
      </c>
      <c r="AS483" s="27"/>
      <c r="AT483" s="35" t="str">
        <f t="shared" si="1143"/>
        <v>ORLANDO CEBALLOS</v>
      </c>
      <c r="AU483" s="36">
        <f t="shared" ref="AU483:BM483" si="1146">Z483/(Z482+Z483+Z495)</f>
        <v>0.66101694915254239</v>
      </c>
      <c r="AV483" s="36">
        <f t="shared" si="1146"/>
        <v>0.5</v>
      </c>
      <c r="AW483" s="36" t="e">
        <f t="shared" si="1146"/>
        <v>#N/A</v>
      </c>
      <c r="AX483" s="36" t="e">
        <f t="shared" si="1146"/>
        <v>#N/A</v>
      </c>
      <c r="AY483" s="36" t="e">
        <f t="shared" si="1146"/>
        <v>#N/A</v>
      </c>
      <c r="AZ483" s="36" t="e">
        <f t="shared" si="1146"/>
        <v>#N/A</v>
      </c>
      <c r="BA483" s="36" t="e">
        <f t="shared" si="1146"/>
        <v>#N/A</v>
      </c>
      <c r="BB483" s="36" t="e">
        <f t="shared" si="1146"/>
        <v>#N/A</v>
      </c>
      <c r="BC483" s="36" t="e">
        <f t="shared" si="1146"/>
        <v>#N/A</v>
      </c>
      <c r="BD483" s="36" t="e">
        <f t="shared" si="1146"/>
        <v>#N/A</v>
      </c>
      <c r="BE483" s="36" t="e">
        <f t="shared" si="1146"/>
        <v>#N/A</v>
      </c>
      <c r="BF483" s="36" t="e">
        <f t="shared" si="1146"/>
        <v>#N/A</v>
      </c>
      <c r="BG483" s="36" t="e">
        <f t="shared" si="1146"/>
        <v>#N/A</v>
      </c>
      <c r="BH483" s="36" t="e">
        <f t="shared" si="1146"/>
        <v>#N/A</v>
      </c>
      <c r="BI483" s="36" t="e">
        <f t="shared" si="1146"/>
        <v>#N/A</v>
      </c>
      <c r="BJ483" s="36" t="e">
        <f t="shared" si="1146"/>
        <v>#N/A</v>
      </c>
      <c r="BK483" s="36" t="e">
        <f t="shared" si="1146"/>
        <v>#N/A</v>
      </c>
      <c r="BL483" s="36" t="e">
        <f t="shared" si="1146"/>
        <v>#N/A</v>
      </c>
      <c r="BM483" s="36" t="e">
        <f t="shared" si="1146"/>
        <v>#N/A</v>
      </c>
      <c r="BN483" s="30"/>
    </row>
    <row r="484" spans="1:66" ht="11.25" customHeight="1" x14ac:dyDescent="0.2">
      <c r="A484" s="37"/>
      <c r="B484" s="73"/>
      <c r="C484" s="33">
        <v>3</v>
      </c>
      <c r="D484" s="13" t="s">
        <v>346</v>
      </c>
      <c r="E484" s="16">
        <f t="shared" si="1138"/>
        <v>1</v>
      </c>
      <c r="F484" s="16">
        <f>SUMIFS([0]!VOTOS2,[0]!TURNO1,F$31,[0]!CANDIDATO1,$C484,[0]!MUNICIPIO1,$B$482)</f>
        <v>0</v>
      </c>
      <c r="G484" s="16">
        <f>SUMIFS([0]!VOTOS2,[0]!TURNO1,G$31,[0]!CANDIDATO1,$C484,[0]!MUNICIPIO1,$B$482)</f>
        <v>0</v>
      </c>
      <c r="H484" s="16">
        <f>SUMIFS([0]!VOTOS2,[0]!TURNO1,H$31,[0]!CANDIDATO1,$C484,[0]!MUNICIPIO1,$B$482)</f>
        <v>1</v>
      </c>
      <c r="I484" s="16">
        <f>SUMIFS([0]!VOTOS2,[0]!TURNO1,I$31,[0]!CANDIDATO1,$C484,[0]!MUNICIPIO1,$B$482)</f>
        <v>0</v>
      </c>
      <c r="J484" s="16">
        <f>SUMIFS([0]!VOTOS2,[0]!TURNO1,J$31,[0]!CANDIDATO1,$C484,[0]!MUNICIPIO1,$B$482)</f>
        <v>0</v>
      </c>
      <c r="K484" s="16">
        <f>SUMIFS([0]!VOTOS2,[0]!TURNO1,K$31,[0]!CANDIDATO1,$C484,[0]!MUNICIPIO1,$B$482)</f>
        <v>0</v>
      </c>
      <c r="L484" s="16">
        <f>SUMIFS([0]!VOTOS2,[0]!TURNO1,L$31,[0]!CANDIDATO1,$C484,[0]!MUNICIPIO1,$B$482)</f>
        <v>0</v>
      </c>
      <c r="M484" s="16">
        <f>SUMIFS([0]!VOTOS2,[0]!TURNO1,M$31,[0]!CANDIDATO1,$C484,[0]!MUNICIPIO1,$B$482)</f>
        <v>0</v>
      </c>
      <c r="N484" s="16">
        <f>SUMIFS([0]!VOTOS2,[0]!TURNO1,N$31,[0]!CANDIDATO1,$C484,[0]!MUNICIPIO1,$B$482)</f>
        <v>0</v>
      </c>
      <c r="O484" s="16">
        <f>SUMIFS([0]!VOTOS2,[0]!TURNO1,O$31,[0]!CANDIDATO1,$C484,[0]!MUNICIPIO1,$B$482)</f>
        <v>0</v>
      </c>
      <c r="P484" s="16">
        <f>SUMIFS([0]!VOTOS2,[0]!TURNO1,P$31,[0]!CANDIDATO1,$C484,[0]!MUNICIPIO1,$B$482)</f>
        <v>0</v>
      </c>
      <c r="Q484" s="16">
        <f>SUMIFS([0]!VOTOS2,[0]!TURNO1,Q$31,[0]!CANDIDATO1,$C484,[0]!MUNICIPIO1,$B$482)</f>
        <v>0</v>
      </c>
      <c r="R484" s="16">
        <f>SUMIFS([0]!VOTOS2,[0]!TURNO1,R$31,[0]!CANDIDATO1,$C484,[0]!MUNICIPIO1,$B$482)</f>
        <v>0</v>
      </c>
      <c r="S484" s="16">
        <f>SUMIFS([0]!VOTOS2,[0]!TURNO1,S$31,[0]!CANDIDATO1,$C484,[0]!MUNICIPIO1,$B$482)</f>
        <v>0</v>
      </c>
      <c r="T484" s="16">
        <f>SUMIFS([0]!VOTOS2,[0]!TURNO1,T$31,[0]!CANDIDATO1,$C484,[0]!MUNICIPIO1,$B$482)</f>
        <v>0</v>
      </c>
      <c r="U484" s="16">
        <f>SUMIFS([0]!VOTOS2,[0]!TURNO1,U$31,[0]!CANDIDATO1,$C484,[0]!MUNICIPIO1,$B$482)</f>
        <v>0</v>
      </c>
      <c r="V484" s="16">
        <f>SUMIFS([0]!VOTOS2,[0]!TURNO1,V$31,[0]!CANDIDATO1,$C484,[0]!MUNICIPIO1,$B$482)</f>
        <v>0</v>
      </c>
      <c r="W484" s="16">
        <f>SUMIFS([0]!VOTOS2,[0]!TURNO1,W$31,[0]!CANDIDATO1,$C484,[0]!MUNICIPIO1,$B$482)</f>
        <v>0</v>
      </c>
      <c r="X484" s="24"/>
      <c r="Y484" s="18" t="str">
        <f t="shared" si="1139"/>
        <v>SANTO CEDEÑO</v>
      </c>
      <c r="Z484" s="34">
        <f t="shared" si="1140"/>
        <v>1</v>
      </c>
      <c r="AA484" s="34">
        <f t="shared" si="1141"/>
        <v>0</v>
      </c>
      <c r="AB484" s="34" t="e">
        <f t="shared" ref="AB484:AR484" si="1147">IF(SUM(G482:G494)=0,NA(),G484+AA484)</f>
        <v>#N/A</v>
      </c>
      <c r="AC484" s="34" t="e">
        <f t="shared" si="1147"/>
        <v>#N/A</v>
      </c>
      <c r="AD484" s="34" t="e">
        <f t="shared" si="1147"/>
        <v>#N/A</v>
      </c>
      <c r="AE484" s="34" t="e">
        <f t="shared" si="1147"/>
        <v>#N/A</v>
      </c>
      <c r="AF484" s="34" t="e">
        <f t="shared" si="1147"/>
        <v>#N/A</v>
      </c>
      <c r="AG484" s="34" t="e">
        <f t="shared" si="1147"/>
        <v>#N/A</v>
      </c>
      <c r="AH484" s="34" t="e">
        <f t="shared" si="1147"/>
        <v>#N/A</v>
      </c>
      <c r="AI484" s="34" t="e">
        <f t="shared" si="1147"/>
        <v>#N/A</v>
      </c>
      <c r="AJ484" s="34" t="e">
        <f t="shared" si="1147"/>
        <v>#N/A</v>
      </c>
      <c r="AK484" s="34" t="e">
        <f t="shared" si="1147"/>
        <v>#N/A</v>
      </c>
      <c r="AL484" s="34" t="e">
        <f t="shared" si="1147"/>
        <v>#N/A</v>
      </c>
      <c r="AM484" s="34" t="e">
        <f t="shared" si="1147"/>
        <v>#N/A</v>
      </c>
      <c r="AN484" s="34" t="e">
        <f t="shared" si="1147"/>
        <v>#N/A</v>
      </c>
      <c r="AO484" s="34" t="e">
        <f t="shared" si="1147"/>
        <v>#N/A</v>
      </c>
      <c r="AP484" s="34" t="e">
        <f t="shared" si="1147"/>
        <v>#N/A</v>
      </c>
      <c r="AQ484" s="34" t="e">
        <f t="shared" si="1147"/>
        <v>#N/A</v>
      </c>
      <c r="AR484" s="34" t="e">
        <f t="shared" si="1147"/>
        <v>#N/A</v>
      </c>
      <c r="AS484" s="27"/>
      <c r="AT484" s="35" t="str">
        <f t="shared" ref="AT484" si="1148">Y495</f>
        <v>Otros</v>
      </c>
      <c r="AU484" s="36">
        <f t="shared" ref="AU484:BM484" si="1149">Z495/(Z482+Z483+Z495)</f>
        <v>1.6949152542372881E-2</v>
      </c>
      <c r="AV484" s="36">
        <f t="shared" si="1149"/>
        <v>0</v>
      </c>
      <c r="AW484" s="36" t="e">
        <f t="shared" si="1149"/>
        <v>#N/A</v>
      </c>
      <c r="AX484" s="36" t="e">
        <f t="shared" si="1149"/>
        <v>#N/A</v>
      </c>
      <c r="AY484" s="36" t="e">
        <f t="shared" si="1149"/>
        <v>#N/A</v>
      </c>
      <c r="AZ484" s="36" t="e">
        <f t="shared" si="1149"/>
        <v>#N/A</v>
      </c>
      <c r="BA484" s="36" t="e">
        <f t="shared" si="1149"/>
        <v>#N/A</v>
      </c>
      <c r="BB484" s="36" t="e">
        <f t="shared" si="1149"/>
        <v>#N/A</v>
      </c>
      <c r="BC484" s="36" t="e">
        <f t="shared" si="1149"/>
        <v>#N/A</v>
      </c>
      <c r="BD484" s="36" t="e">
        <f t="shared" si="1149"/>
        <v>#N/A</v>
      </c>
      <c r="BE484" s="36" t="e">
        <f t="shared" si="1149"/>
        <v>#N/A</v>
      </c>
      <c r="BF484" s="36" t="e">
        <f t="shared" si="1149"/>
        <v>#N/A</v>
      </c>
      <c r="BG484" s="36" t="e">
        <f t="shared" si="1149"/>
        <v>#N/A</v>
      </c>
      <c r="BH484" s="36" t="e">
        <f t="shared" si="1149"/>
        <v>#N/A</v>
      </c>
      <c r="BI484" s="36" t="e">
        <f t="shared" si="1149"/>
        <v>#N/A</v>
      </c>
      <c r="BJ484" s="36" t="e">
        <f t="shared" si="1149"/>
        <v>#N/A</v>
      </c>
      <c r="BK484" s="36" t="e">
        <f t="shared" si="1149"/>
        <v>#N/A</v>
      </c>
      <c r="BL484" s="36" t="e">
        <f t="shared" si="1149"/>
        <v>#N/A</v>
      </c>
      <c r="BM484" s="36" t="e">
        <f t="shared" si="1149"/>
        <v>#N/A</v>
      </c>
      <c r="BN484" s="30"/>
    </row>
    <row r="485" spans="1:66" ht="11.25" customHeight="1" x14ac:dyDescent="0.2">
      <c r="A485" s="38" t="s">
        <v>4</v>
      </c>
      <c r="B485" s="73"/>
      <c r="C485" s="33">
        <v>4</v>
      </c>
      <c r="D485" s="13" t="s">
        <v>347</v>
      </c>
      <c r="E485" s="16">
        <f t="shared" si="1138"/>
        <v>0</v>
      </c>
      <c r="F485" s="16">
        <f>SUMIFS([0]!VOTOS2,[0]!TURNO1,F$31,[0]!CANDIDATO1,$C485,[0]!MUNICIPIO1,$B$482)</f>
        <v>0</v>
      </c>
      <c r="G485" s="16">
        <f>SUMIFS([0]!VOTOS2,[0]!TURNO1,G$31,[0]!CANDIDATO1,$C485,[0]!MUNICIPIO1,$B$482)</f>
        <v>0</v>
      </c>
      <c r="H485" s="16">
        <f>SUMIFS([0]!VOTOS2,[0]!TURNO1,H$31,[0]!CANDIDATO1,$C485,[0]!MUNICIPIO1,$B$482)</f>
        <v>0</v>
      </c>
      <c r="I485" s="16">
        <f>SUMIFS([0]!VOTOS2,[0]!TURNO1,I$31,[0]!CANDIDATO1,$C485,[0]!MUNICIPIO1,$B$482)</f>
        <v>0</v>
      </c>
      <c r="J485" s="16">
        <f>SUMIFS([0]!VOTOS2,[0]!TURNO1,J$31,[0]!CANDIDATO1,$C485,[0]!MUNICIPIO1,$B$482)</f>
        <v>0</v>
      </c>
      <c r="K485" s="16">
        <f>SUMIFS([0]!VOTOS2,[0]!TURNO1,K$31,[0]!CANDIDATO1,$C485,[0]!MUNICIPIO1,$B$482)</f>
        <v>0</v>
      </c>
      <c r="L485" s="16">
        <f>SUMIFS([0]!VOTOS2,[0]!TURNO1,L$31,[0]!CANDIDATO1,$C485,[0]!MUNICIPIO1,$B$482)</f>
        <v>0</v>
      </c>
      <c r="M485" s="16">
        <f>SUMIFS([0]!VOTOS2,[0]!TURNO1,M$31,[0]!CANDIDATO1,$C485,[0]!MUNICIPIO1,$B$482)</f>
        <v>0</v>
      </c>
      <c r="N485" s="16">
        <f>SUMIFS([0]!VOTOS2,[0]!TURNO1,N$31,[0]!CANDIDATO1,$C485,[0]!MUNICIPIO1,$B$482)</f>
        <v>0</v>
      </c>
      <c r="O485" s="16">
        <f>SUMIFS([0]!VOTOS2,[0]!TURNO1,O$31,[0]!CANDIDATO1,$C485,[0]!MUNICIPIO1,$B$482)</f>
        <v>0</v>
      </c>
      <c r="P485" s="16">
        <f>SUMIFS([0]!VOTOS2,[0]!TURNO1,P$31,[0]!CANDIDATO1,$C485,[0]!MUNICIPIO1,$B$482)</f>
        <v>0</v>
      </c>
      <c r="Q485" s="16">
        <f>SUMIFS([0]!VOTOS2,[0]!TURNO1,Q$31,[0]!CANDIDATO1,$C485,[0]!MUNICIPIO1,$B$482)</f>
        <v>0</v>
      </c>
      <c r="R485" s="16">
        <f>SUMIFS([0]!VOTOS2,[0]!TURNO1,R$31,[0]!CANDIDATO1,$C485,[0]!MUNICIPIO1,$B$482)</f>
        <v>0</v>
      </c>
      <c r="S485" s="16">
        <f>SUMIFS([0]!VOTOS2,[0]!TURNO1,S$31,[0]!CANDIDATO1,$C485,[0]!MUNICIPIO1,$B$482)</f>
        <v>0</v>
      </c>
      <c r="T485" s="16">
        <f>SUMIFS([0]!VOTOS2,[0]!TURNO1,T$31,[0]!CANDIDATO1,$C485,[0]!MUNICIPIO1,$B$482)</f>
        <v>0</v>
      </c>
      <c r="U485" s="16">
        <f>SUMIFS([0]!VOTOS2,[0]!TURNO1,U$31,[0]!CANDIDATO1,$C485,[0]!MUNICIPIO1,$B$482)</f>
        <v>0</v>
      </c>
      <c r="V485" s="16">
        <f>SUMIFS([0]!VOTOS2,[0]!TURNO1,V$31,[0]!CANDIDATO1,$C485,[0]!MUNICIPIO1,$B$482)</f>
        <v>0</v>
      </c>
      <c r="W485" s="16">
        <f>SUMIFS([0]!VOTOS2,[0]!TURNO1,W$31,[0]!CANDIDATO1,$C485,[0]!MUNICIPIO1,$B$482)</f>
        <v>0</v>
      </c>
      <c r="X485" s="24"/>
      <c r="Y485" s="18" t="str">
        <f t="shared" si="1139"/>
        <v>LUZ ARIAS</v>
      </c>
      <c r="Z485" s="34">
        <f t="shared" si="1140"/>
        <v>0</v>
      </c>
      <c r="AA485" s="34">
        <f t="shared" si="1141"/>
        <v>0</v>
      </c>
      <c r="AB485" s="34" t="e">
        <f t="shared" ref="AB485:AR485" si="1150">IF(SUM(G482:G494)=0,NA(),G485+AA485)</f>
        <v>#N/A</v>
      </c>
      <c r="AC485" s="34" t="e">
        <f t="shared" si="1150"/>
        <v>#N/A</v>
      </c>
      <c r="AD485" s="34" t="e">
        <f t="shared" si="1150"/>
        <v>#N/A</v>
      </c>
      <c r="AE485" s="34" t="e">
        <f t="shared" si="1150"/>
        <v>#N/A</v>
      </c>
      <c r="AF485" s="34" t="e">
        <f t="shared" si="1150"/>
        <v>#N/A</v>
      </c>
      <c r="AG485" s="34" t="e">
        <f t="shared" si="1150"/>
        <v>#N/A</v>
      </c>
      <c r="AH485" s="34" t="e">
        <f t="shared" si="1150"/>
        <v>#N/A</v>
      </c>
      <c r="AI485" s="34" t="e">
        <f t="shared" si="1150"/>
        <v>#N/A</v>
      </c>
      <c r="AJ485" s="34" t="e">
        <f t="shared" si="1150"/>
        <v>#N/A</v>
      </c>
      <c r="AK485" s="34" t="e">
        <f t="shared" si="1150"/>
        <v>#N/A</v>
      </c>
      <c r="AL485" s="34" t="e">
        <f t="shared" si="1150"/>
        <v>#N/A</v>
      </c>
      <c r="AM485" s="34" t="e">
        <f t="shared" si="1150"/>
        <v>#N/A</v>
      </c>
      <c r="AN485" s="34" t="e">
        <f t="shared" si="1150"/>
        <v>#N/A</v>
      </c>
      <c r="AO485" s="34" t="e">
        <f t="shared" si="1150"/>
        <v>#N/A</v>
      </c>
      <c r="AP485" s="34" t="e">
        <f t="shared" si="1150"/>
        <v>#N/A</v>
      </c>
      <c r="AQ485" s="34" t="e">
        <f t="shared" si="1150"/>
        <v>#N/A</v>
      </c>
      <c r="AR485" s="34" t="e">
        <f t="shared" si="1150"/>
        <v>#N/A</v>
      </c>
      <c r="AS485" s="27"/>
      <c r="AT485" s="39"/>
      <c r="AU485" s="39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30"/>
    </row>
    <row r="486" spans="1:66" ht="11.25" customHeight="1" x14ac:dyDescent="0.2">
      <c r="A486" s="38" t="s">
        <v>39</v>
      </c>
      <c r="B486" s="73"/>
      <c r="C486" s="33">
        <v>5</v>
      </c>
      <c r="D486" s="13" t="s">
        <v>348</v>
      </c>
      <c r="E486" s="16">
        <f t="shared" si="1138"/>
        <v>0</v>
      </c>
      <c r="F486" s="16">
        <f>SUMIFS([0]!VOTOS2,[0]!TURNO1,F$31,[0]!CANDIDATO1,$C486,[0]!MUNICIPIO1,$B$482)</f>
        <v>0</v>
      </c>
      <c r="G486" s="16">
        <f>SUMIFS([0]!VOTOS2,[0]!TURNO1,G$31,[0]!CANDIDATO1,$C486,[0]!MUNICIPIO1,$B$482)</f>
        <v>0</v>
      </c>
      <c r="H486" s="16">
        <f>SUMIFS([0]!VOTOS2,[0]!TURNO1,H$31,[0]!CANDIDATO1,$C486,[0]!MUNICIPIO1,$B$482)</f>
        <v>0</v>
      </c>
      <c r="I486" s="16">
        <f>SUMIFS([0]!VOTOS2,[0]!TURNO1,I$31,[0]!CANDIDATO1,$C486,[0]!MUNICIPIO1,$B$482)</f>
        <v>0</v>
      </c>
      <c r="J486" s="16">
        <f>SUMIFS([0]!VOTOS2,[0]!TURNO1,J$31,[0]!CANDIDATO1,$C486,[0]!MUNICIPIO1,$B$482)</f>
        <v>0</v>
      </c>
      <c r="K486" s="16">
        <f>SUMIFS([0]!VOTOS2,[0]!TURNO1,K$31,[0]!CANDIDATO1,$C486,[0]!MUNICIPIO1,$B$482)</f>
        <v>0</v>
      </c>
      <c r="L486" s="16">
        <f>SUMIFS([0]!VOTOS2,[0]!TURNO1,L$31,[0]!CANDIDATO1,$C486,[0]!MUNICIPIO1,$B$482)</f>
        <v>0</v>
      </c>
      <c r="M486" s="16">
        <f>SUMIFS([0]!VOTOS2,[0]!TURNO1,M$31,[0]!CANDIDATO1,$C486,[0]!MUNICIPIO1,$B$482)</f>
        <v>0</v>
      </c>
      <c r="N486" s="16">
        <f>SUMIFS([0]!VOTOS2,[0]!TURNO1,N$31,[0]!CANDIDATO1,$C486,[0]!MUNICIPIO1,$B$482)</f>
        <v>0</v>
      </c>
      <c r="O486" s="16">
        <f>SUMIFS([0]!VOTOS2,[0]!TURNO1,O$31,[0]!CANDIDATO1,$C486,[0]!MUNICIPIO1,$B$482)</f>
        <v>0</v>
      </c>
      <c r="P486" s="16">
        <f>SUMIFS([0]!VOTOS2,[0]!TURNO1,P$31,[0]!CANDIDATO1,$C486,[0]!MUNICIPIO1,$B$482)</f>
        <v>0</v>
      </c>
      <c r="Q486" s="16">
        <f>SUMIFS([0]!VOTOS2,[0]!TURNO1,Q$31,[0]!CANDIDATO1,$C486,[0]!MUNICIPIO1,$B$482)</f>
        <v>0</v>
      </c>
      <c r="R486" s="16">
        <f>SUMIFS([0]!VOTOS2,[0]!TURNO1,R$31,[0]!CANDIDATO1,$C486,[0]!MUNICIPIO1,$B$482)</f>
        <v>0</v>
      </c>
      <c r="S486" s="16">
        <f>SUMIFS([0]!VOTOS2,[0]!TURNO1,S$31,[0]!CANDIDATO1,$C486,[0]!MUNICIPIO1,$B$482)</f>
        <v>0</v>
      </c>
      <c r="T486" s="16">
        <f>SUMIFS([0]!VOTOS2,[0]!TURNO1,T$31,[0]!CANDIDATO1,$C486,[0]!MUNICIPIO1,$B$482)</f>
        <v>0</v>
      </c>
      <c r="U486" s="16">
        <f>SUMIFS([0]!VOTOS2,[0]!TURNO1,U$31,[0]!CANDIDATO1,$C486,[0]!MUNICIPIO1,$B$482)</f>
        <v>0</v>
      </c>
      <c r="V486" s="16">
        <f>SUMIFS([0]!VOTOS2,[0]!TURNO1,V$31,[0]!CANDIDATO1,$C486,[0]!MUNICIPIO1,$B$482)</f>
        <v>0</v>
      </c>
      <c r="W486" s="16">
        <f>SUMIFS([0]!VOTOS2,[0]!TURNO1,W$31,[0]!CANDIDATO1,$C486,[0]!MUNICIPIO1,$B$482)</f>
        <v>0</v>
      </c>
      <c r="X486" s="24"/>
      <c r="Y486" s="18" t="str">
        <f t="shared" si="1139"/>
        <v>CESAR DORTA</v>
      </c>
      <c r="Z486" s="34">
        <f t="shared" si="1140"/>
        <v>0</v>
      </c>
      <c r="AA486" s="34">
        <f t="shared" si="1141"/>
        <v>0</v>
      </c>
      <c r="AB486" s="34" t="e">
        <f t="shared" ref="AB486:AR486" si="1151">IF(SUM(G482:G494)=0,NA(),G486+AA486)</f>
        <v>#N/A</v>
      </c>
      <c r="AC486" s="34" t="e">
        <f t="shared" si="1151"/>
        <v>#N/A</v>
      </c>
      <c r="AD486" s="34" t="e">
        <f t="shared" si="1151"/>
        <v>#N/A</v>
      </c>
      <c r="AE486" s="34" t="e">
        <f t="shared" si="1151"/>
        <v>#N/A</v>
      </c>
      <c r="AF486" s="34" t="e">
        <f t="shared" si="1151"/>
        <v>#N/A</v>
      </c>
      <c r="AG486" s="34" t="e">
        <f t="shared" si="1151"/>
        <v>#N/A</v>
      </c>
      <c r="AH486" s="34" t="e">
        <f t="shared" si="1151"/>
        <v>#N/A</v>
      </c>
      <c r="AI486" s="34" t="e">
        <f t="shared" si="1151"/>
        <v>#N/A</v>
      </c>
      <c r="AJ486" s="34" t="e">
        <f t="shared" si="1151"/>
        <v>#N/A</v>
      </c>
      <c r="AK486" s="34" t="e">
        <f t="shared" si="1151"/>
        <v>#N/A</v>
      </c>
      <c r="AL486" s="34" t="e">
        <f t="shared" si="1151"/>
        <v>#N/A</v>
      </c>
      <c r="AM486" s="34" t="e">
        <f t="shared" si="1151"/>
        <v>#N/A</v>
      </c>
      <c r="AN486" s="34" t="e">
        <f t="shared" si="1151"/>
        <v>#N/A</v>
      </c>
      <c r="AO486" s="34" t="e">
        <f t="shared" si="1151"/>
        <v>#N/A</v>
      </c>
      <c r="AP486" s="34" t="e">
        <f t="shared" si="1151"/>
        <v>#N/A</v>
      </c>
      <c r="AQ486" s="34" t="e">
        <f t="shared" si="1151"/>
        <v>#N/A</v>
      </c>
      <c r="AR486" s="34" t="e">
        <f t="shared" si="1151"/>
        <v>#N/A</v>
      </c>
      <c r="AS486" s="27"/>
      <c r="AT486" s="39"/>
      <c r="AU486" s="39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30"/>
    </row>
    <row r="487" spans="1:66" ht="11.25" customHeight="1" x14ac:dyDescent="0.2">
      <c r="A487" s="42"/>
      <c r="B487" s="74"/>
      <c r="C487" s="33">
        <v>6</v>
      </c>
      <c r="D487" s="13" t="s">
        <v>349</v>
      </c>
      <c r="E487" s="16">
        <f t="shared" si="1138"/>
        <v>0</v>
      </c>
      <c r="F487" s="16">
        <f>SUMIFS([0]!VOTOS2,[0]!TURNO1,F$31,[0]!CANDIDATO1,$C487,[0]!MUNICIPIO1,$B$482)</f>
        <v>0</v>
      </c>
      <c r="G487" s="16">
        <f>SUMIFS([0]!VOTOS2,[0]!TURNO1,G$31,[0]!CANDIDATO1,$C487,[0]!MUNICIPIO1,$B$482)</f>
        <v>0</v>
      </c>
      <c r="H487" s="16">
        <f>SUMIFS([0]!VOTOS2,[0]!TURNO1,H$31,[0]!CANDIDATO1,$C487,[0]!MUNICIPIO1,$B$482)</f>
        <v>0</v>
      </c>
      <c r="I487" s="16">
        <f>SUMIFS([0]!VOTOS2,[0]!TURNO1,I$31,[0]!CANDIDATO1,$C487,[0]!MUNICIPIO1,$B$482)</f>
        <v>0</v>
      </c>
      <c r="J487" s="16">
        <f>SUMIFS([0]!VOTOS2,[0]!TURNO1,J$31,[0]!CANDIDATO1,$C487,[0]!MUNICIPIO1,$B$482)</f>
        <v>0</v>
      </c>
      <c r="K487" s="16">
        <f>SUMIFS([0]!VOTOS2,[0]!TURNO1,K$31,[0]!CANDIDATO1,$C487,[0]!MUNICIPIO1,$B$482)</f>
        <v>0</v>
      </c>
      <c r="L487" s="16">
        <f>SUMIFS([0]!VOTOS2,[0]!TURNO1,L$31,[0]!CANDIDATO1,$C487,[0]!MUNICIPIO1,$B$482)</f>
        <v>0</v>
      </c>
      <c r="M487" s="16">
        <f>SUMIFS([0]!VOTOS2,[0]!TURNO1,M$31,[0]!CANDIDATO1,$C487,[0]!MUNICIPIO1,$B$482)</f>
        <v>0</v>
      </c>
      <c r="N487" s="16">
        <f>SUMIFS([0]!VOTOS2,[0]!TURNO1,N$31,[0]!CANDIDATO1,$C487,[0]!MUNICIPIO1,$B$482)</f>
        <v>0</v>
      </c>
      <c r="O487" s="16">
        <f>SUMIFS([0]!VOTOS2,[0]!TURNO1,O$31,[0]!CANDIDATO1,$C487,[0]!MUNICIPIO1,$B$482)</f>
        <v>0</v>
      </c>
      <c r="P487" s="16">
        <f>SUMIFS([0]!VOTOS2,[0]!TURNO1,P$31,[0]!CANDIDATO1,$C487,[0]!MUNICIPIO1,$B$482)</f>
        <v>0</v>
      </c>
      <c r="Q487" s="16">
        <f>SUMIFS([0]!VOTOS2,[0]!TURNO1,Q$31,[0]!CANDIDATO1,$C487,[0]!MUNICIPIO1,$B$482)</f>
        <v>0</v>
      </c>
      <c r="R487" s="16">
        <f>SUMIFS([0]!VOTOS2,[0]!TURNO1,R$31,[0]!CANDIDATO1,$C487,[0]!MUNICIPIO1,$B$482)</f>
        <v>0</v>
      </c>
      <c r="S487" s="16">
        <f>SUMIFS([0]!VOTOS2,[0]!TURNO1,S$31,[0]!CANDIDATO1,$C487,[0]!MUNICIPIO1,$B$482)</f>
        <v>0</v>
      </c>
      <c r="T487" s="16">
        <f>SUMIFS([0]!VOTOS2,[0]!TURNO1,T$31,[0]!CANDIDATO1,$C487,[0]!MUNICIPIO1,$B$482)</f>
        <v>0</v>
      </c>
      <c r="U487" s="16">
        <f>SUMIFS([0]!VOTOS2,[0]!TURNO1,U$31,[0]!CANDIDATO1,$C487,[0]!MUNICIPIO1,$B$482)</f>
        <v>0</v>
      </c>
      <c r="V487" s="16">
        <f>SUMIFS([0]!VOTOS2,[0]!TURNO1,V$31,[0]!CANDIDATO1,$C487,[0]!MUNICIPIO1,$B$482)</f>
        <v>0</v>
      </c>
      <c r="W487" s="16">
        <f>SUMIFS([0]!VOTOS2,[0]!TURNO1,W$31,[0]!CANDIDATO1,$C487,[0]!MUNICIPIO1,$B$482)</f>
        <v>0</v>
      </c>
      <c r="X487" s="24"/>
      <c r="Y487" s="18" t="str">
        <f t="shared" si="1139"/>
        <v>ANGEL L. OLMO</v>
      </c>
      <c r="Z487" s="34">
        <f t="shared" si="1140"/>
        <v>0</v>
      </c>
      <c r="AA487" s="34">
        <f t="shared" si="1141"/>
        <v>0</v>
      </c>
      <c r="AB487" s="34" t="e">
        <f t="shared" ref="AB487:AR487" si="1152">IF(SUM(G482:G494)=0,NA(),G487+AA487)</f>
        <v>#N/A</v>
      </c>
      <c r="AC487" s="34" t="e">
        <f t="shared" si="1152"/>
        <v>#N/A</v>
      </c>
      <c r="AD487" s="34" t="e">
        <f t="shared" si="1152"/>
        <v>#N/A</v>
      </c>
      <c r="AE487" s="34" t="e">
        <f t="shared" si="1152"/>
        <v>#N/A</v>
      </c>
      <c r="AF487" s="34" t="e">
        <f t="shared" si="1152"/>
        <v>#N/A</v>
      </c>
      <c r="AG487" s="34" t="e">
        <f t="shared" si="1152"/>
        <v>#N/A</v>
      </c>
      <c r="AH487" s="34" t="e">
        <f t="shared" si="1152"/>
        <v>#N/A</v>
      </c>
      <c r="AI487" s="34" t="e">
        <f t="shared" si="1152"/>
        <v>#N/A</v>
      </c>
      <c r="AJ487" s="34" t="e">
        <f t="shared" si="1152"/>
        <v>#N/A</v>
      </c>
      <c r="AK487" s="34" t="e">
        <f t="shared" si="1152"/>
        <v>#N/A</v>
      </c>
      <c r="AL487" s="34" t="e">
        <f t="shared" si="1152"/>
        <v>#N/A</v>
      </c>
      <c r="AM487" s="34" t="e">
        <f t="shared" si="1152"/>
        <v>#N/A</v>
      </c>
      <c r="AN487" s="34" t="e">
        <f t="shared" si="1152"/>
        <v>#N/A</v>
      </c>
      <c r="AO487" s="34" t="e">
        <f t="shared" si="1152"/>
        <v>#N/A</v>
      </c>
      <c r="AP487" s="34" t="e">
        <f t="shared" si="1152"/>
        <v>#N/A</v>
      </c>
      <c r="AQ487" s="34" t="e">
        <f t="shared" si="1152"/>
        <v>#N/A</v>
      </c>
      <c r="AR487" s="34" t="e">
        <f t="shared" si="1152"/>
        <v>#N/A</v>
      </c>
      <c r="AS487" s="27"/>
      <c r="AT487" s="39"/>
      <c r="AU487" s="39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30"/>
    </row>
    <row r="488" spans="1:66" ht="11.25" customHeight="1" x14ac:dyDescent="0.2">
      <c r="A488" s="44"/>
      <c r="B488" s="45"/>
      <c r="C488" s="46">
        <v>7</v>
      </c>
      <c r="D488" s="14" t="s">
        <v>76</v>
      </c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24"/>
      <c r="Y488" s="18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27"/>
      <c r="AT488" s="39"/>
      <c r="AU488" s="39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30"/>
    </row>
    <row r="489" spans="1:66" ht="11.25" customHeight="1" x14ac:dyDescent="0.2">
      <c r="A489" s="44"/>
      <c r="B489" s="45"/>
      <c r="C489" s="46">
        <v>8</v>
      </c>
      <c r="D489" s="14" t="s">
        <v>76</v>
      </c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24"/>
      <c r="Y489" s="18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27"/>
      <c r="AT489" s="41"/>
      <c r="AU489" s="41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30"/>
    </row>
    <row r="490" spans="1:66" ht="11.25" customHeight="1" x14ac:dyDescent="0.2">
      <c r="A490" s="44"/>
      <c r="B490" s="45"/>
      <c r="C490" s="46">
        <v>9</v>
      </c>
      <c r="D490" s="14" t="s">
        <v>76</v>
      </c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24"/>
      <c r="Y490" s="18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27"/>
      <c r="AT490" s="41"/>
      <c r="AU490" s="41"/>
      <c r="AV490" s="43"/>
      <c r="AW490" s="43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  <c r="BL490" s="43"/>
      <c r="BM490" s="43"/>
      <c r="BN490" s="30"/>
    </row>
    <row r="491" spans="1:66" ht="11.25" customHeight="1" x14ac:dyDescent="0.2">
      <c r="A491" s="44"/>
      <c r="B491" s="45"/>
      <c r="C491" s="46">
        <v>10</v>
      </c>
      <c r="D491" s="14" t="s">
        <v>76</v>
      </c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24"/>
      <c r="Y491" s="18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27"/>
      <c r="AT491" s="41"/>
      <c r="AU491" s="41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  <c r="BL491" s="43"/>
      <c r="BM491" s="43"/>
      <c r="BN491" s="30"/>
    </row>
    <row r="492" spans="1:66" ht="11.25" customHeight="1" x14ac:dyDescent="0.2">
      <c r="A492" s="44"/>
      <c r="B492" s="45"/>
      <c r="C492" s="46">
        <v>11</v>
      </c>
      <c r="D492" s="14" t="s">
        <v>76</v>
      </c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24"/>
      <c r="Y492" s="18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27"/>
      <c r="AT492" s="41"/>
      <c r="AU492" s="41"/>
      <c r="AV492" s="43"/>
      <c r="AW492" s="43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/>
      <c r="BK492" s="43"/>
      <c r="BL492" s="43"/>
      <c r="BM492" s="43"/>
      <c r="BN492" s="30"/>
    </row>
    <row r="493" spans="1:66" ht="11.25" customHeight="1" x14ac:dyDescent="0.2">
      <c r="A493" s="44"/>
      <c r="B493" s="45"/>
      <c r="C493" s="46">
        <v>12</v>
      </c>
      <c r="D493" s="14" t="s">
        <v>76</v>
      </c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24"/>
      <c r="Y493" s="18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27"/>
      <c r="AT493" s="41"/>
      <c r="AU493" s="41"/>
      <c r="AV493" s="43"/>
      <c r="AW493" s="43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/>
      <c r="BK493" s="43"/>
      <c r="BL493" s="43"/>
      <c r="BM493" s="43"/>
      <c r="BN493" s="30"/>
    </row>
    <row r="494" spans="1:66" ht="11.25" customHeight="1" x14ac:dyDescent="0.2">
      <c r="A494" s="44"/>
      <c r="B494" s="45"/>
      <c r="C494" s="46">
        <v>13</v>
      </c>
      <c r="D494" s="14" t="s">
        <v>76</v>
      </c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24"/>
      <c r="Y494" s="18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27"/>
      <c r="AT494" s="41"/>
      <c r="AU494" s="41"/>
      <c r="AV494" s="43"/>
      <c r="AW494" s="43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/>
      <c r="BK494" s="43"/>
      <c r="BL494" s="43"/>
      <c r="BM494" s="43"/>
      <c r="BN494" s="30"/>
    </row>
    <row r="495" spans="1:66" ht="11.25" customHeight="1" x14ac:dyDescent="0.2">
      <c r="X495" s="24"/>
      <c r="Y495" s="19" t="s">
        <v>79</v>
      </c>
      <c r="Z495" s="34">
        <f t="shared" ref="Z495" si="1153">SUM(Z484:Z494)</f>
        <v>1</v>
      </c>
      <c r="AA495" s="34">
        <f t="shared" ref="AA495" si="1154">SUM(AA484:AA494)</f>
        <v>0</v>
      </c>
      <c r="AB495" s="34" t="e">
        <f t="shared" ref="AB495" si="1155">SUM(AB484:AB494)</f>
        <v>#N/A</v>
      </c>
      <c r="AC495" s="34" t="e">
        <f t="shared" ref="AC495" si="1156">SUM(AC484:AC494)</f>
        <v>#N/A</v>
      </c>
      <c r="AD495" s="34" t="e">
        <f t="shared" ref="AD495" si="1157">SUM(AD484:AD494)</f>
        <v>#N/A</v>
      </c>
      <c r="AE495" s="34" t="e">
        <f t="shared" ref="AE495" si="1158">SUM(AE484:AE494)</f>
        <v>#N/A</v>
      </c>
      <c r="AF495" s="34" t="e">
        <f t="shared" ref="AF495" si="1159">SUM(AF484:AF494)</f>
        <v>#N/A</v>
      </c>
      <c r="AG495" s="34" t="e">
        <f t="shared" ref="AG495" si="1160">SUM(AG484:AG494)</f>
        <v>#N/A</v>
      </c>
      <c r="AH495" s="34" t="e">
        <f t="shared" ref="AH495" si="1161">SUM(AH484:AH494)</f>
        <v>#N/A</v>
      </c>
      <c r="AI495" s="34" t="e">
        <f t="shared" ref="AI495" si="1162">SUM(AI484:AI494)</f>
        <v>#N/A</v>
      </c>
      <c r="AJ495" s="34" t="e">
        <f t="shared" ref="AJ495" si="1163">SUM(AJ484:AJ494)</f>
        <v>#N/A</v>
      </c>
      <c r="AK495" s="34" t="e">
        <f t="shared" ref="AK495" si="1164">SUM(AK484:AK494)</f>
        <v>#N/A</v>
      </c>
      <c r="AL495" s="34" t="e">
        <f t="shared" ref="AL495" si="1165">SUM(AL484:AL494)</f>
        <v>#N/A</v>
      </c>
      <c r="AM495" s="34" t="e">
        <f t="shared" ref="AM495" si="1166">SUM(AM484:AM494)</f>
        <v>#N/A</v>
      </c>
      <c r="AN495" s="34" t="e">
        <f t="shared" ref="AN495" si="1167">SUM(AN484:AN494)</f>
        <v>#N/A</v>
      </c>
      <c r="AO495" s="34" t="e">
        <f t="shared" ref="AO495" si="1168">SUM(AO484:AO494)</f>
        <v>#N/A</v>
      </c>
      <c r="AP495" s="34" t="e">
        <f t="shared" ref="AP495" si="1169">SUM(AP484:AP494)</f>
        <v>#N/A</v>
      </c>
      <c r="AQ495" s="34" t="e">
        <f t="shared" ref="AQ495" si="1170">SUM(AQ484:AQ494)</f>
        <v>#N/A</v>
      </c>
      <c r="AR495" s="34" t="e">
        <f t="shared" ref="AR495" si="1171">SUM(AR484:AR494)</f>
        <v>#N/A</v>
      </c>
      <c r="AS495" s="27"/>
      <c r="AT495" s="41"/>
      <c r="AU495" s="41"/>
      <c r="AV495" s="43"/>
      <c r="AW495" s="43"/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/>
      <c r="BK495" s="43"/>
      <c r="BL495" s="43"/>
      <c r="BM495" s="43"/>
      <c r="BN495" s="30"/>
    </row>
    <row r="496" spans="1:66" ht="11.25" customHeight="1" x14ac:dyDescent="0.2">
      <c r="A496" s="75" t="s">
        <v>63</v>
      </c>
      <c r="B496" s="76"/>
      <c r="C496" s="21"/>
      <c r="D496" s="22" t="s">
        <v>75</v>
      </c>
      <c r="E496" s="23" t="s">
        <v>70</v>
      </c>
      <c r="F496" s="23">
        <v>0</v>
      </c>
      <c r="G496" s="23">
        <v>1</v>
      </c>
      <c r="H496" s="23">
        <v>2</v>
      </c>
      <c r="I496" s="23">
        <v>3</v>
      </c>
      <c r="J496" s="23">
        <v>4</v>
      </c>
      <c r="K496" s="23">
        <v>5</v>
      </c>
      <c r="L496" s="23">
        <v>6</v>
      </c>
      <c r="M496" s="23">
        <v>7</v>
      </c>
      <c r="N496" s="23">
        <v>8</v>
      </c>
      <c r="O496" s="23">
        <v>9</v>
      </c>
      <c r="P496" s="23">
        <v>10</v>
      </c>
      <c r="Q496" s="23">
        <v>11</v>
      </c>
      <c r="R496" s="23">
        <v>12</v>
      </c>
      <c r="S496" s="23">
        <v>13</v>
      </c>
      <c r="T496" s="23">
        <v>14</v>
      </c>
      <c r="U496" s="23">
        <v>15</v>
      </c>
      <c r="V496" s="23">
        <v>16</v>
      </c>
      <c r="W496" s="23">
        <v>17</v>
      </c>
      <c r="X496" s="24"/>
      <c r="Y496" s="17"/>
      <c r="Z496" s="25" t="s">
        <v>64</v>
      </c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7"/>
      <c r="AT496" s="28"/>
      <c r="AU496" s="28" t="s">
        <v>64</v>
      </c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30"/>
    </row>
    <row r="497" spans="1:66" ht="11.25" customHeight="1" x14ac:dyDescent="0.2">
      <c r="A497" s="32"/>
      <c r="B497" s="72">
        <v>34</v>
      </c>
      <c r="C497" s="33">
        <v>1</v>
      </c>
      <c r="D497" s="13" t="s">
        <v>350</v>
      </c>
      <c r="E497" s="16">
        <f t="shared" ref="E497:E506" si="1172">SUM(F497:W497)</f>
        <v>663</v>
      </c>
      <c r="F497" s="16">
        <f>SUMIFS([0]!VOTOS2,[0]!TURNO1,F$31,[0]!CANDIDATO1,$C497,[0]!MUNICIPIO1,$B$497)</f>
        <v>10</v>
      </c>
      <c r="G497" s="16">
        <f>SUMIFS([0]!VOTOS2,[0]!TURNO1,G$31,[0]!CANDIDATO1,$C497,[0]!MUNICIPIO1,$B$497)</f>
        <v>65</v>
      </c>
      <c r="H497" s="16">
        <f>SUMIFS([0]!VOTOS2,[0]!TURNO1,H$31,[0]!CANDIDATO1,$C497,[0]!MUNICIPIO1,$B$497)</f>
        <v>78</v>
      </c>
      <c r="I497" s="16">
        <f>SUMIFS([0]!VOTOS2,[0]!TURNO1,I$31,[0]!CANDIDATO1,$C497,[0]!MUNICIPIO1,$B$497)</f>
        <v>89</v>
      </c>
      <c r="J497" s="16">
        <f>SUMIFS([0]!VOTOS2,[0]!TURNO1,J$31,[0]!CANDIDATO1,$C497,[0]!MUNICIPIO1,$B$497)</f>
        <v>98</v>
      </c>
      <c r="K497" s="16">
        <f>SUMIFS([0]!VOTOS2,[0]!TURNO1,K$31,[0]!CANDIDATO1,$C497,[0]!MUNICIPIO1,$B$497)</f>
        <v>96</v>
      </c>
      <c r="L497" s="16">
        <f>SUMIFS([0]!VOTOS2,[0]!TURNO1,L$31,[0]!CANDIDATO1,$C497,[0]!MUNICIPIO1,$B$497)</f>
        <v>68</v>
      </c>
      <c r="M497" s="16">
        <f>SUMIFS([0]!VOTOS2,[0]!TURNO1,M$31,[0]!CANDIDATO1,$C497,[0]!MUNICIPIO1,$B$497)</f>
        <v>70</v>
      </c>
      <c r="N497" s="16">
        <f>SUMIFS([0]!VOTOS2,[0]!TURNO1,N$31,[0]!CANDIDATO1,$C497,[0]!MUNICIPIO1,$B$497)</f>
        <v>28</v>
      </c>
      <c r="O497" s="16">
        <f>SUMIFS([0]!VOTOS2,[0]!TURNO1,O$31,[0]!CANDIDATO1,$C497,[0]!MUNICIPIO1,$B$497)</f>
        <v>61</v>
      </c>
      <c r="P497" s="16">
        <f>SUMIFS([0]!VOTOS2,[0]!TURNO1,P$31,[0]!CANDIDATO1,$C497,[0]!MUNICIPIO1,$B$497)</f>
        <v>0</v>
      </c>
      <c r="Q497" s="16">
        <f>SUMIFS([0]!VOTOS2,[0]!TURNO1,Q$31,[0]!CANDIDATO1,$C497,[0]!MUNICIPIO1,$B$497)</f>
        <v>0</v>
      </c>
      <c r="R497" s="16">
        <f>SUMIFS([0]!VOTOS2,[0]!TURNO1,R$31,[0]!CANDIDATO1,$C497,[0]!MUNICIPIO1,$B$497)</f>
        <v>0</v>
      </c>
      <c r="S497" s="16">
        <f>SUMIFS([0]!VOTOS2,[0]!TURNO1,S$31,[0]!CANDIDATO1,$C497,[0]!MUNICIPIO1,$B$497)</f>
        <v>0</v>
      </c>
      <c r="T497" s="16">
        <f>SUMIFS([0]!VOTOS2,[0]!TURNO1,T$31,[0]!CANDIDATO1,$C497,[0]!MUNICIPIO1,$B$497)</f>
        <v>0</v>
      </c>
      <c r="U497" s="16">
        <f>SUMIFS([0]!VOTOS2,[0]!TURNO1,U$31,[0]!CANDIDATO1,$C497,[0]!MUNICIPIO1,$B$497)</f>
        <v>0</v>
      </c>
      <c r="V497" s="16">
        <f>SUMIFS([0]!VOTOS2,[0]!TURNO1,V$31,[0]!CANDIDATO1,$C497,[0]!MUNICIPIO1,$B$497)</f>
        <v>0</v>
      </c>
      <c r="W497" s="16">
        <f>SUMIFS([0]!VOTOS2,[0]!TURNO1,W$31,[0]!CANDIDATO1,$C497,[0]!MUNICIPIO1,$B$497)</f>
        <v>0</v>
      </c>
      <c r="X497" s="24"/>
      <c r="Y497" s="18" t="str">
        <f t="shared" ref="Y497:Y506" si="1173">D497</f>
        <v>ANTONIO ALVAREZ</v>
      </c>
      <c r="Z497" s="34">
        <f t="shared" ref="Z497:Z506" si="1174">E497</f>
        <v>663</v>
      </c>
      <c r="AA497" s="34">
        <f t="shared" ref="AA497:AA506" si="1175">F497</f>
        <v>10</v>
      </c>
      <c r="AB497" s="34">
        <f t="shared" ref="AB497:AR497" si="1176">IF(SUM(G497:G509)=0,NA(),G497+AA497)</f>
        <v>75</v>
      </c>
      <c r="AC497" s="34">
        <f t="shared" si="1176"/>
        <v>153</v>
      </c>
      <c r="AD497" s="34">
        <f t="shared" si="1176"/>
        <v>242</v>
      </c>
      <c r="AE497" s="34">
        <f t="shared" si="1176"/>
        <v>340</v>
      </c>
      <c r="AF497" s="34">
        <f t="shared" si="1176"/>
        <v>436</v>
      </c>
      <c r="AG497" s="34">
        <f t="shared" si="1176"/>
        <v>504</v>
      </c>
      <c r="AH497" s="34">
        <f t="shared" si="1176"/>
        <v>574</v>
      </c>
      <c r="AI497" s="34">
        <f t="shared" si="1176"/>
        <v>602</v>
      </c>
      <c r="AJ497" s="34">
        <f t="shared" si="1176"/>
        <v>663</v>
      </c>
      <c r="AK497" s="34" t="e">
        <f t="shared" si="1176"/>
        <v>#N/A</v>
      </c>
      <c r="AL497" s="34" t="e">
        <f t="shared" si="1176"/>
        <v>#N/A</v>
      </c>
      <c r="AM497" s="34" t="e">
        <f t="shared" si="1176"/>
        <v>#N/A</v>
      </c>
      <c r="AN497" s="34" t="e">
        <f t="shared" si="1176"/>
        <v>#N/A</v>
      </c>
      <c r="AO497" s="34" t="e">
        <f t="shared" si="1176"/>
        <v>#N/A</v>
      </c>
      <c r="AP497" s="34" t="e">
        <f t="shared" si="1176"/>
        <v>#N/A</v>
      </c>
      <c r="AQ497" s="34" t="e">
        <f t="shared" si="1176"/>
        <v>#N/A</v>
      </c>
      <c r="AR497" s="34" t="e">
        <f t="shared" si="1176"/>
        <v>#N/A</v>
      </c>
      <c r="AS497" s="27"/>
      <c r="AT497" s="35" t="str">
        <f t="shared" ref="AT497:AT498" si="1177">Y497</f>
        <v>ANTONIO ALVAREZ</v>
      </c>
      <c r="AU497" s="36">
        <f t="shared" ref="AU497:BM497" si="1178">Z497/(Z497+Z498+Z510)</f>
        <v>0.54838709677419351</v>
      </c>
      <c r="AV497" s="36">
        <f t="shared" si="1178"/>
        <v>0.5</v>
      </c>
      <c r="AW497" s="36">
        <f t="shared" si="1178"/>
        <v>0.56390977443609025</v>
      </c>
      <c r="AX497" s="36">
        <f t="shared" si="1178"/>
        <v>0.56457564575645758</v>
      </c>
      <c r="AY497" s="36">
        <f t="shared" si="1178"/>
        <v>0.59459459459459463</v>
      </c>
      <c r="AZ497" s="36">
        <f t="shared" si="1178"/>
        <v>0.59130434782608698</v>
      </c>
      <c r="BA497" s="36">
        <f t="shared" si="1178"/>
        <v>0.59158751696065126</v>
      </c>
      <c r="BB497" s="36">
        <f t="shared" si="1178"/>
        <v>0.58333333333333337</v>
      </c>
      <c r="BC497" s="36">
        <f t="shared" si="1178"/>
        <v>0.54875717017208414</v>
      </c>
      <c r="BD497" s="36">
        <f t="shared" si="1178"/>
        <v>0.54381210478771458</v>
      </c>
      <c r="BE497" s="36">
        <f t="shared" si="1178"/>
        <v>0.54838709677419351</v>
      </c>
      <c r="BF497" s="36" t="e">
        <f t="shared" si="1178"/>
        <v>#N/A</v>
      </c>
      <c r="BG497" s="36" t="e">
        <f t="shared" si="1178"/>
        <v>#N/A</v>
      </c>
      <c r="BH497" s="36" t="e">
        <f t="shared" si="1178"/>
        <v>#N/A</v>
      </c>
      <c r="BI497" s="36" t="e">
        <f t="shared" si="1178"/>
        <v>#N/A</v>
      </c>
      <c r="BJ497" s="36" t="e">
        <f t="shared" si="1178"/>
        <v>#N/A</v>
      </c>
      <c r="BK497" s="36" t="e">
        <f t="shared" si="1178"/>
        <v>#N/A</v>
      </c>
      <c r="BL497" s="36" t="e">
        <f t="shared" si="1178"/>
        <v>#N/A</v>
      </c>
      <c r="BM497" s="36" t="e">
        <f t="shared" si="1178"/>
        <v>#N/A</v>
      </c>
      <c r="BN497" s="30"/>
    </row>
    <row r="498" spans="1:66" ht="11.25" customHeight="1" x14ac:dyDescent="0.2">
      <c r="A498" s="37"/>
      <c r="B498" s="73"/>
      <c r="C498" s="33">
        <v>2</v>
      </c>
      <c r="D498" s="13" t="s">
        <v>351</v>
      </c>
      <c r="E498" s="16">
        <f t="shared" si="1172"/>
        <v>453</v>
      </c>
      <c r="F498" s="16">
        <f>SUMIFS([0]!VOTOS2,[0]!TURNO1,F$31,[0]!CANDIDATO1,$C498,[0]!MUNICIPIO1,$B$497)</f>
        <v>10</v>
      </c>
      <c r="G498" s="16">
        <f>SUMIFS([0]!VOTOS2,[0]!TURNO1,G$31,[0]!CANDIDATO1,$C498,[0]!MUNICIPIO1,$B$497)</f>
        <v>36</v>
      </c>
      <c r="H498" s="16">
        <f>SUMIFS([0]!VOTOS2,[0]!TURNO1,H$31,[0]!CANDIDATO1,$C498,[0]!MUNICIPIO1,$B$497)</f>
        <v>40</v>
      </c>
      <c r="I498" s="16">
        <f>SUMIFS([0]!VOTOS2,[0]!TURNO1,I$31,[0]!CANDIDATO1,$C498,[0]!MUNICIPIO1,$B$497)</f>
        <v>37</v>
      </c>
      <c r="J498" s="16">
        <f>SUMIFS([0]!VOTOS2,[0]!TURNO1,J$31,[0]!CANDIDATO1,$C498,[0]!MUNICIPIO1,$B$497)</f>
        <v>57</v>
      </c>
      <c r="K498" s="16">
        <f>SUMIFS([0]!VOTOS2,[0]!TURNO1,K$31,[0]!CANDIDATO1,$C498,[0]!MUNICIPIO1,$B$497)</f>
        <v>61</v>
      </c>
      <c r="L498" s="16">
        <f>SUMIFS([0]!VOTOS2,[0]!TURNO1,L$31,[0]!CANDIDATO1,$C498,[0]!MUNICIPIO1,$B$497)</f>
        <v>59</v>
      </c>
      <c r="M498" s="16">
        <f>SUMIFS([0]!VOTOS2,[0]!TURNO1,M$31,[0]!CANDIDATO1,$C498,[0]!MUNICIPIO1,$B$497)</f>
        <v>88</v>
      </c>
      <c r="N498" s="16">
        <f>SUMIFS([0]!VOTOS2,[0]!TURNO1,N$31,[0]!CANDIDATO1,$C498,[0]!MUNICIPIO1,$B$497)</f>
        <v>30</v>
      </c>
      <c r="O498" s="16">
        <f>SUMIFS([0]!VOTOS2,[0]!TURNO1,O$31,[0]!CANDIDATO1,$C498,[0]!MUNICIPIO1,$B$497)</f>
        <v>35</v>
      </c>
      <c r="P498" s="16">
        <f>SUMIFS([0]!VOTOS2,[0]!TURNO1,P$31,[0]!CANDIDATO1,$C498,[0]!MUNICIPIO1,$B$497)</f>
        <v>0</v>
      </c>
      <c r="Q498" s="16">
        <f>SUMIFS([0]!VOTOS2,[0]!TURNO1,Q$31,[0]!CANDIDATO1,$C498,[0]!MUNICIPIO1,$B$497)</f>
        <v>0</v>
      </c>
      <c r="R498" s="16">
        <f>SUMIFS([0]!VOTOS2,[0]!TURNO1,R$31,[0]!CANDIDATO1,$C498,[0]!MUNICIPIO1,$B$497)</f>
        <v>0</v>
      </c>
      <c r="S498" s="16">
        <f>SUMIFS([0]!VOTOS2,[0]!TURNO1,S$31,[0]!CANDIDATO1,$C498,[0]!MUNICIPIO1,$B$497)</f>
        <v>0</v>
      </c>
      <c r="T498" s="16">
        <f>SUMIFS([0]!VOTOS2,[0]!TURNO1,T$31,[0]!CANDIDATO1,$C498,[0]!MUNICIPIO1,$B$497)</f>
        <v>0</v>
      </c>
      <c r="U498" s="16">
        <f>SUMIFS([0]!VOTOS2,[0]!TURNO1,U$31,[0]!CANDIDATO1,$C498,[0]!MUNICIPIO1,$B$497)</f>
        <v>0</v>
      </c>
      <c r="V498" s="16">
        <f>SUMIFS([0]!VOTOS2,[0]!TURNO1,V$31,[0]!CANDIDATO1,$C498,[0]!MUNICIPIO1,$B$497)</f>
        <v>0</v>
      </c>
      <c r="W498" s="16">
        <f>SUMIFS([0]!VOTOS2,[0]!TURNO1,W$31,[0]!CANDIDATO1,$C498,[0]!MUNICIPIO1,$B$497)</f>
        <v>0</v>
      </c>
      <c r="X498" s="24"/>
      <c r="Y498" s="18" t="str">
        <f t="shared" si="1173"/>
        <v>CARLOS OCARIZ</v>
      </c>
      <c r="Z498" s="34">
        <f t="shared" si="1174"/>
        <v>453</v>
      </c>
      <c r="AA498" s="34">
        <f t="shared" si="1175"/>
        <v>10</v>
      </c>
      <c r="AB498" s="34">
        <f t="shared" ref="AB498:AR498" si="1179">IF(SUM(G497:G509)=0,NA(),G498+AA498)</f>
        <v>46</v>
      </c>
      <c r="AC498" s="34">
        <f t="shared" si="1179"/>
        <v>86</v>
      </c>
      <c r="AD498" s="34">
        <f t="shared" si="1179"/>
        <v>123</v>
      </c>
      <c r="AE498" s="34">
        <f t="shared" si="1179"/>
        <v>180</v>
      </c>
      <c r="AF498" s="34">
        <f t="shared" si="1179"/>
        <v>241</v>
      </c>
      <c r="AG498" s="34">
        <f t="shared" si="1179"/>
        <v>300</v>
      </c>
      <c r="AH498" s="34">
        <f t="shared" si="1179"/>
        <v>388</v>
      </c>
      <c r="AI498" s="34">
        <f t="shared" si="1179"/>
        <v>418</v>
      </c>
      <c r="AJ498" s="34">
        <f t="shared" si="1179"/>
        <v>453</v>
      </c>
      <c r="AK498" s="34" t="e">
        <f t="shared" si="1179"/>
        <v>#N/A</v>
      </c>
      <c r="AL498" s="34" t="e">
        <f t="shared" si="1179"/>
        <v>#N/A</v>
      </c>
      <c r="AM498" s="34" t="e">
        <f t="shared" si="1179"/>
        <v>#N/A</v>
      </c>
      <c r="AN498" s="34" t="e">
        <f t="shared" si="1179"/>
        <v>#N/A</v>
      </c>
      <c r="AO498" s="34" t="e">
        <f t="shared" si="1179"/>
        <v>#N/A</v>
      </c>
      <c r="AP498" s="34" t="e">
        <f t="shared" si="1179"/>
        <v>#N/A</v>
      </c>
      <c r="AQ498" s="34" t="e">
        <f t="shared" si="1179"/>
        <v>#N/A</v>
      </c>
      <c r="AR498" s="34" t="e">
        <f t="shared" si="1179"/>
        <v>#N/A</v>
      </c>
      <c r="AS498" s="27"/>
      <c r="AT498" s="35" t="str">
        <f t="shared" si="1177"/>
        <v>CARLOS OCARIZ</v>
      </c>
      <c r="AU498" s="36">
        <f t="shared" ref="AU498:BM498" si="1180">Z498/(Z497+Z498+Z510)</f>
        <v>0.37468982630272951</v>
      </c>
      <c r="AV498" s="36">
        <f t="shared" si="1180"/>
        <v>0.5</v>
      </c>
      <c r="AW498" s="36">
        <f t="shared" si="1180"/>
        <v>0.34586466165413532</v>
      </c>
      <c r="AX498" s="36">
        <f t="shared" si="1180"/>
        <v>0.31734317343173429</v>
      </c>
      <c r="AY498" s="36">
        <f t="shared" si="1180"/>
        <v>0.30221130221130221</v>
      </c>
      <c r="AZ498" s="36">
        <f t="shared" si="1180"/>
        <v>0.31304347826086959</v>
      </c>
      <c r="BA498" s="36">
        <f t="shared" si="1180"/>
        <v>0.32700135685210313</v>
      </c>
      <c r="BB498" s="36">
        <f t="shared" si="1180"/>
        <v>0.34722222222222221</v>
      </c>
      <c r="BC498" s="36">
        <f t="shared" si="1180"/>
        <v>0.37093690248565964</v>
      </c>
      <c r="BD498" s="36">
        <f t="shared" si="1180"/>
        <v>0.37759710930442636</v>
      </c>
      <c r="BE498" s="36">
        <f t="shared" si="1180"/>
        <v>0.37468982630272951</v>
      </c>
      <c r="BF498" s="36" t="e">
        <f t="shared" si="1180"/>
        <v>#N/A</v>
      </c>
      <c r="BG498" s="36" t="e">
        <f t="shared" si="1180"/>
        <v>#N/A</v>
      </c>
      <c r="BH498" s="36" t="e">
        <f t="shared" si="1180"/>
        <v>#N/A</v>
      </c>
      <c r="BI498" s="36" t="e">
        <f t="shared" si="1180"/>
        <v>#N/A</v>
      </c>
      <c r="BJ498" s="36" t="e">
        <f t="shared" si="1180"/>
        <v>#N/A</v>
      </c>
      <c r="BK498" s="36" t="e">
        <f t="shared" si="1180"/>
        <v>#N/A</v>
      </c>
      <c r="BL498" s="36" t="e">
        <f t="shared" si="1180"/>
        <v>#N/A</v>
      </c>
      <c r="BM498" s="36" t="e">
        <f t="shared" si="1180"/>
        <v>#N/A</v>
      </c>
      <c r="BN498" s="30"/>
    </row>
    <row r="499" spans="1:66" ht="11.25" customHeight="1" x14ac:dyDescent="0.2">
      <c r="A499" s="37"/>
      <c r="B499" s="73"/>
      <c r="C499" s="33">
        <v>3</v>
      </c>
      <c r="D499" s="13" t="s">
        <v>352</v>
      </c>
      <c r="E499" s="16">
        <f t="shared" si="1172"/>
        <v>35</v>
      </c>
      <c r="F499" s="16">
        <f>SUMIFS([0]!VOTOS2,[0]!TURNO1,F$31,[0]!CANDIDATO1,$C499,[0]!MUNICIPIO1,$B$497)</f>
        <v>0</v>
      </c>
      <c r="G499" s="16">
        <f>SUMIFS([0]!VOTOS2,[0]!TURNO1,G$31,[0]!CANDIDATO1,$C499,[0]!MUNICIPIO1,$B$497)</f>
        <v>7</v>
      </c>
      <c r="H499" s="16">
        <f>SUMIFS([0]!VOTOS2,[0]!TURNO1,H$31,[0]!CANDIDATO1,$C499,[0]!MUNICIPIO1,$B$497)</f>
        <v>4</v>
      </c>
      <c r="I499" s="16">
        <f>SUMIFS([0]!VOTOS2,[0]!TURNO1,I$31,[0]!CANDIDATO1,$C499,[0]!MUNICIPIO1,$B$497)</f>
        <v>4</v>
      </c>
      <c r="J499" s="16">
        <f>SUMIFS([0]!VOTOS2,[0]!TURNO1,J$31,[0]!CANDIDATO1,$C499,[0]!MUNICIPIO1,$B$497)</f>
        <v>7</v>
      </c>
      <c r="K499" s="16">
        <f>SUMIFS([0]!VOTOS2,[0]!TURNO1,K$31,[0]!CANDIDATO1,$C499,[0]!MUNICIPIO1,$B$497)</f>
        <v>2</v>
      </c>
      <c r="L499" s="16">
        <f>SUMIFS([0]!VOTOS2,[0]!TURNO1,L$31,[0]!CANDIDATO1,$C499,[0]!MUNICIPIO1,$B$497)</f>
        <v>0</v>
      </c>
      <c r="M499" s="16">
        <f>SUMIFS([0]!VOTOS2,[0]!TURNO1,M$31,[0]!CANDIDATO1,$C499,[0]!MUNICIPIO1,$B$497)</f>
        <v>4</v>
      </c>
      <c r="N499" s="16">
        <f>SUMIFS([0]!VOTOS2,[0]!TURNO1,N$31,[0]!CANDIDATO1,$C499,[0]!MUNICIPIO1,$B$497)</f>
        <v>2</v>
      </c>
      <c r="O499" s="16">
        <f>SUMIFS([0]!VOTOS2,[0]!TURNO1,O$31,[0]!CANDIDATO1,$C499,[0]!MUNICIPIO1,$B$497)</f>
        <v>5</v>
      </c>
      <c r="P499" s="16">
        <f>SUMIFS([0]!VOTOS2,[0]!TURNO1,P$31,[0]!CANDIDATO1,$C499,[0]!MUNICIPIO1,$B$497)</f>
        <v>0</v>
      </c>
      <c r="Q499" s="16">
        <f>SUMIFS([0]!VOTOS2,[0]!TURNO1,Q$31,[0]!CANDIDATO1,$C499,[0]!MUNICIPIO1,$B$497)</f>
        <v>0</v>
      </c>
      <c r="R499" s="16">
        <f>SUMIFS([0]!VOTOS2,[0]!TURNO1,R$31,[0]!CANDIDATO1,$C499,[0]!MUNICIPIO1,$B$497)</f>
        <v>0</v>
      </c>
      <c r="S499" s="16">
        <f>SUMIFS([0]!VOTOS2,[0]!TURNO1,S$31,[0]!CANDIDATO1,$C499,[0]!MUNICIPIO1,$B$497)</f>
        <v>0</v>
      </c>
      <c r="T499" s="16">
        <f>SUMIFS([0]!VOTOS2,[0]!TURNO1,T$31,[0]!CANDIDATO1,$C499,[0]!MUNICIPIO1,$B$497)</f>
        <v>0</v>
      </c>
      <c r="U499" s="16">
        <f>SUMIFS([0]!VOTOS2,[0]!TURNO1,U$31,[0]!CANDIDATO1,$C499,[0]!MUNICIPIO1,$B$497)</f>
        <v>0</v>
      </c>
      <c r="V499" s="16">
        <f>SUMIFS([0]!VOTOS2,[0]!TURNO1,V$31,[0]!CANDIDATO1,$C499,[0]!MUNICIPIO1,$B$497)</f>
        <v>0</v>
      </c>
      <c r="W499" s="16">
        <f>SUMIFS([0]!VOTOS2,[0]!TURNO1,W$31,[0]!CANDIDATO1,$C499,[0]!MUNICIPIO1,$B$497)</f>
        <v>0</v>
      </c>
      <c r="X499" s="24"/>
      <c r="Y499" s="18" t="str">
        <f t="shared" si="1173"/>
        <v>JORGE CONTRERAS</v>
      </c>
      <c r="Z499" s="34">
        <f t="shared" si="1174"/>
        <v>35</v>
      </c>
      <c r="AA499" s="34">
        <f t="shared" si="1175"/>
        <v>0</v>
      </c>
      <c r="AB499" s="34">
        <f t="shared" ref="AB499:AR499" si="1181">IF(SUM(G497:G509)=0,NA(),G499+AA499)</f>
        <v>7</v>
      </c>
      <c r="AC499" s="34">
        <f t="shared" si="1181"/>
        <v>11</v>
      </c>
      <c r="AD499" s="34">
        <f t="shared" si="1181"/>
        <v>15</v>
      </c>
      <c r="AE499" s="34">
        <f t="shared" si="1181"/>
        <v>22</v>
      </c>
      <c r="AF499" s="34">
        <f t="shared" si="1181"/>
        <v>24</v>
      </c>
      <c r="AG499" s="34">
        <f t="shared" si="1181"/>
        <v>24</v>
      </c>
      <c r="AH499" s="34">
        <f t="shared" si="1181"/>
        <v>28</v>
      </c>
      <c r="AI499" s="34">
        <f t="shared" si="1181"/>
        <v>30</v>
      </c>
      <c r="AJ499" s="34">
        <f t="shared" si="1181"/>
        <v>35</v>
      </c>
      <c r="AK499" s="34" t="e">
        <f t="shared" si="1181"/>
        <v>#N/A</v>
      </c>
      <c r="AL499" s="34" t="e">
        <f t="shared" si="1181"/>
        <v>#N/A</v>
      </c>
      <c r="AM499" s="34" t="e">
        <f t="shared" si="1181"/>
        <v>#N/A</v>
      </c>
      <c r="AN499" s="34" t="e">
        <f t="shared" si="1181"/>
        <v>#N/A</v>
      </c>
      <c r="AO499" s="34" t="e">
        <f t="shared" si="1181"/>
        <v>#N/A</v>
      </c>
      <c r="AP499" s="34" t="e">
        <f t="shared" si="1181"/>
        <v>#N/A</v>
      </c>
      <c r="AQ499" s="34" t="e">
        <f t="shared" si="1181"/>
        <v>#N/A</v>
      </c>
      <c r="AR499" s="34" t="e">
        <f t="shared" si="1181"/>
        <v>#N/A</v>
      </c>
      <c r="AS499" s="27"/>
      <c r="AT499" s="35" t="str">
        <f t="shared" ref="AT499" si="1182">Y510</f>
        <v>Otros</v>
      </c>
      <c r="AU499" s="36">
        <f t="shared" ref="AU499:BM499" si="1183">Z510/(Z497+Z498+Z510)</f>
        <v>7.6923076923076927E-2</v>
      </c>
      <c r="AV499" s="36">
        <f t="shared" si="1183"/>
        <v>0</v>
      </c>
      <c r="AW499" s="36">
        <f t="shared" si="1183"/>
        <v>9.0225563909774431E-2</v>
      </c>
      <c r="AX499" s="36">
        <f t="shared" si="1183"/>
        <v>0.11808118081180811</v>
      </c>
      <c r="AY499" s="36">
        <f t="shared" si="1183"/>
        <v>0.10319410319410319</v>
      </c>
      <c r="AZ499" s="36">
        <f t="shared" si="1183"/>
        <v>9.5652173913043481E-2</v>
      </c>
      <c r="BA499" s="36">
        <f t="shared" si="1183"/>
        <v>8.1411126187245594E-2</v>
      </c>
      <c r="BB499" s="36">
        <f t="shared" si="1183"/>
        <v>6.9444444444444448E-2</v>
      </c>
      <c r="BC499" s="36">
        <f t="shared" si="1183"/>
        <v>8.0305927342256209E-2</v>
      </c>
      <c r="BD499" s="36">
        <f t="shared" si="1183"/>
        <v>7.8590785907859076E-2</v>
      </c>
      <c r="BE499" s="36">
        <f t="shared" si="1183"/>
        <v>7.6923076923076927E-2</v>
      </c>
      <c r="BF499" s="36" t="e">
        <f t="shared" si="1183"/>
        <v>#N/A</v>
      </c>
      <c r="BG499" s="36" t="e">
        <f t="shared" si="1183"/>
        <v>#N/A</v>
      </c>
      <c r="BH499" s="36" t="e">
        <f t="shared" si="1183"/>
        <v>#N/A</v>
      </c>
      <c r="BI499" s="36" t="e">
        <f t="shared" si="1183"/>
        <v>#N/A</v>
      </c>
      <c r="BJ499" s="36" t="e">
        <f t="shared" si="1183"/>
        <v>#N/A</v>
      </c>
      <c r="BK499" s="36" t="e">
        <f t="shared" si="1183"/>
        <v>#N/A</v>
      </c>
      <c r="BL499" s="36" t="e">
        <f t="shared" si="1183"/>
        <v>#N/A</v>
      </c>
      <c r="BM499" s="36" t="e">
        <f t="shared" si="1183"/>
        <v>#N/A</v>
      </c>
      <c r="BN499" s="30"/>
    </row>
    <row r="500" spans="1:66" ht="11.25" customHeight="1" x14ac:dyDescent="0.2">
      <c r="A500" s="38" t="s">
        <v>4</v>
      </c>
      <c r="B500" s="73"/>
      <c r="C500" s="33">
        <v>4</v>
      </c>
      <c r="D500" s="13" t="s">
        <v>353</v>
      </c>
      <c r="E500" s="16">
        <f t="shared" si="1172"/>
        <v>7</v>
      </c>
      <c r="F500" s="16">
        <f>SUMIFS([0]!VOTOS2,[0]!TURNO1,F$31,[0]!CANDIDATO1,$C500,[0]!MUNICIPIO1,$B$497)</f>
        <v>0</v>
      </c>
      <c r="G500" s="16">
        <f>SUMIFS([0]!VOTOS2,[0]!TURNO1,G$31,[0]!CANDIDATO1,$C500,[0]!MUNICIPIO1,$B$497)</f>
        <v>3</v>
      </c>
      <c r="H500" s="16">
        <f>SUMIFS([0]!VOTOS2,[0]!TURNO1,H$31,[0]!CANDIDATO1,$C500,[0]!MUNICIPIO1,$B$497)</f>
        <v>2</v>
      </c>
      <c r="I500" s="16">
        <f>SUMIFS([0]!VOTOS2,[0]!TURNO1,I$31,[0]!CANDIDATO1,$C500,[0]!MUNICIPIO1,$B$497)</f>
        <v>0</v>
      </c>
      <c r="J500" s="16">
        <f>SUMIFS([0]!VOTOS2,[0]!TURNO1,J$31,[0]!CANDIDATO1,$C500,[0]!MUNICIPIO1,$B$497)</f>
        <v>0</v>
      </c>
      <c r="K500" s="16">
        <f>SUMIFS([0]!VOTOS2,[0]!TURNO1,K$31,[0]!CANDIDATO1,$C500,[0]!MUNICIPIO1,$B$497)</f>
        <v>0</v>
      </c>
      <c r="L500" s="16">
        <f>SUMIFS([0]!VOTOS2,[0]!TURNO1,L$31,[0]!CANDIDATO1,$C500,[0]!MUNICIPIO1,$B$497)</f>
        <v>0</v>
      </c>
      <c r="M500" s="16">
        <f>SUMIFS([0]!VOTOS2,[0]!TURNO1,M$31,[0]!CANDIDATO1,$C500,[0]!MUNICIPIO1,$B$497)</f>
        <v>1</v>
      </c>
      <c r="N500" s="16">
        <f>SUMIFS([0]!VOTOS2,[0]!TURNO1,N$31,[0]!CANDIDATO1,$C500,[0]!MUNICIPIO1,$B$497)</f>
        <v>1</v>
      </c>
      <c r="O500" s="16">
        <f>SUMIFS([0]!VOTOS2,[0]!TURNO1,O$31,[0]!CANDIDATO1,$C500,[0]!MUNICIPIO1,$B$497)</f>
        <v>0</v>
      </c>
      <c r="P500" s="16">
        <f>SUMIFS([0]!VOTOS2,[0]!TURNO1,P$31,[0]!CANDIDATO1,$C500,[0]!MUNICIPIO1,$B$497)</f>
        <v>0</v>
      </c>
      <c r="Q500" s="16">
        <f>SUMIFS([0]!VOTOS2,[0]!TURNO1,Q$31,[0]!CANDIDATO1,$C500,[0]!MUNICIPIO1,$B$497)</f>
        <v>0</v>
      </c>
      <c r="R500" s="16">
        <f>SUMIFS([0]!VOTOS2,[0]!TURNO1,R$31,[0]!CANDIDATO1,$C500,[0]!MUNICIPIO1,$B$497)</f>
        <v>0</v>
      </c>
      <c r="S500" s="16">
        <f>SUMIFS([0]!VOTOS2,[0]!TURNO1,S$31,[0]!CANDIDATO1,$C500,[0]!MUNICIPIO1,$B$497)</f>
        <v>0</v>
      </c>
      <c r="T500" s="16">
        <f>SUMIFS([0]!VOTOS2,[0]!TURNO1,T$31,[0]!CANDIDATO1,$C500,[0]!MUNICIPIO1,$B$497)</f>
        <v>0</v>
      </c>
      <c r="U500" s="16">
        <f>SUMIFS([0]!VOTOS2,[0]!TURNO1,U$31,[0]!CANDIDATO1,$C500,[0]!MUNICIPIO1,$B$497)</f>
        <v>0</v>
      </c>
      <c r="V500" s="16">
        <f>SUMIFS([0]!VOTOS2,[0]!TURNO1,V$31,[0]!CANDIDATO1,$C500,[0]!MUNICIPIO1,$B$497)</f>
        <v>0</v>
      </c>
      <c r="W500" s="16">
        <f>SUMIFS([0]!VOTOS2,[0]!TURNO1,W$31,[0]!CANDIDATO1,$C500,[0]!MUNICIPIO1,$B$497)</f>
        <v>0</v>
      </c>
      <c r="X500" s="24"/>
      <c r="Y500" s="18" t="str">
        <f t="shared" si="1173"/>
        <v>JAIME VELIZ</v>
      </c>
      <c r="Z500" s="34">
        <f t="shared" si="1174"/>
        <v>7</v>
      </c>
      <c r="AA500" s="34">
        <f t="shared" si="1175"/>
        <v>0</v>
      </c>
      <c r="AB500" s="34">
        <f t="shared" ref="AB500:AR500" si="1184">IF(SUM(G497:G509)=0,NA(),G500+AA500)</f>
        <v>3</v>
      </c>
      <c r="AC500" s="34">
        <f t="shared" si="1184"/>
        <v>5</v>
      </c>
      <c r="AD500" s="34">
        <f t="shared" si="1184"/>
        <v>5</v>
      </c>
      <c r="AE500" s="34">
        <f t="shared" si="1184"/>
        <v>5</v>
      </c>
      <c r="AF500" s="34">
        <f t="shared" si="1184"/>
        <v>5</v>
      </c>
      <c r="AG500" s="34">
        <f t="shared" si="1184"/>
        <v>5</v>
      </c>
      <c r="AH500" s="34">
        <f t="shared" si="1184"/>
        <v>6</v>
      </c>
      <c r="AI500" s="34">
        <f t="shared" si="1184"/>
        <v>7</v>
      </c>
      <c r="AJ500" s="34">
        <f t="shared" si="1184"/>
        <v>7</v>
      </c>
      <c r="AK500" s="34" t="e">
        <f t="shared" si="1184"/>
        <v>#N/A</v>
      </c>
      <c r="AL500" s="34" t="e">
        <f t="shared" si="1184"/>
        <v>#N/A</v>
      </c>
      <c r="AM500" s="34" t="e">
        <f t="shared" si="1184"/>
        <v>#N/A</v>
      </c>
      <c r="AN500" s="34" t="e">
        <f t="shared" si="1184"/>
        <v>#N/A</v>
      </c>
      <c r="AO500" s="34" t="e">
        <f t="shared" si="1184"/>
        <v>#N/A</v>
      </c>
      <c r="AP500" s="34" t="e">
        <f t="shared" si="1184"/>
        <v>#N/A</v>
      </c>
      <c r="AQ500" s="34" t="e">
        <f t="shared" si="1184"/>
        <v>#N/A</v>
      </c>
      <c r="AR500" s="34" t="e">
        <f t="shared" si="1184"/>
        <v>#N/A</v>
      </c>
      <c r="AS500" s="27"/>
      <c r="AT500" s="39"/>
      <c r="AU500" s="39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30"/>
    </row>
    <row r="501" spans="1:66" ht="11.25" customHeight="1" x14ac:dyDescent="0.2">
      <c r="A501" s="38" t="s">
        <v>14</v>
      </c>
      <c r="B501" s="73"/>
      <c r="C501" s="33">
        <v>5</v>
      </c>
      <c r="D501" s="13" t="s">
        <v>354</v>
      </c>
      <c r="E501" s="16">
        <f t="shared" si="1172"/>
        <v>14</v>
      </c>
      <c r="F501" s="16">
        <f>SUMIFS([0]!VOTOS2,[0]!TURNO1,F$31,[0]!CANDIDATO1,$C501,[0]!MUNICIPIO1,$B$497)</f>
        <v>0</v>
      </c>
      <c r="G501" s="16">
        <f>SUMIFS([0]!VOTOS2,[0]!TURNO1,G$31,[0]!CANDIDATO1,$C501,[0]!MUNICIPIO1,$B$497)</f>
        <v>1</v>
      </c>
      <c r="H501" s="16">
        <f>SUMIFS([0]!VOTOS2,[0]!TURNO1,H$31,[0]!CANDIDATO1,$C501,[0]!MUNICIPIO1,$B$497)</f>
        <v>1</v>
      </c>
      <c r="I501" s="16">
        <f>SUMIFS([0]!VOTOS2,[0]!TURNO1,I$31,[0]!CANDIDATO1,$C501,[0]!MUNICIPIO1,$B$497)</f>
        <v>3</v>
      </c>
      <c r="J501" s="16">
        <f>SUMIFS([0]!VOTOS2,[0]!TURNO1,J$31,[0]!CANDIDATO1,$C501,[0]!MUNICIPIO1,$B$497)</f>
        <v>0</v>
      </c>
      <c r="K501" s="16">
        <f>SUMIFS([0]!VOTOS2,[0]!TURNO1,K$31,[0]!CANDIDATO1,$C501,[0]!MUNICIPIO1,$B$497)</f>
        <v>2</v>
      </c>
      <c r="L501" s="16">
        <f>SUMIFS([0]!VOTOS2,[0]!TURNO1,L$31,[0]!CANDIDATO1,$C501,[0]!MUNICIPIO1,$B$497)</f>
        <v>0</v>
      </c>
      <c r="M501" s="16">
        <f>SUMIFS([0]!VOTOS2,[0]!TURNO1,M$31,[0]!CANDIDATO1,$C501,[0]!MUNICIPIO1,$B$497)</f>
        <v>7</v>
      </c>
      <c r="N501" s="16">
        <f>SUMIFS([0]!VOTOS2,[0]!TURNO1,N$31,[0]!CANDIDATO1,$C501,[0]!MUNICIPIO1,$B$497)</f>
        <v>0</v>
      </c>
      <c r="O501" s="16">
        <f>SUMIFS([0]!VOTOS2,[0]!TURNO1,O$31,[0]!CANDIDATO1,$C501,[0]!MUNICIPIO1,$B$497)</f>
        <v>0</v>
      </c>
      <c r="P501" s="16">
        <f>SUMIFS([0]!VOTOS2,[0]!TURNO1,P$31,[0]!CANDIDATO1,$C501,[0]!MUNICIPIO1,$B$497)</f>
        <v>0</v>
      </c>
      <c r="Q501" s="16">
        <f>SUMIFS([0]!VOTOS2,[0]!TURNO1,Q$31,[0]!CANDIDATO1,$C501,[0]!MUNICIPIO1,$B$497)</f>
        <v>0</v>
      </c>
      <c r="R501" s="16">
        <f>SUMIFS([0]!VOTOS2,[0]!TURNO1,R$31,[0]!CANDIDATO1,$C501,[0]!MUNICIPIO1,$B$497)</f>
        <v>0</v>
      </c>
      <c r="S501" s="16">
        <f>SUMIFS([0]!VOTOS2,[0]!TURNO1,S$31,[0]!CANDIDATO1,$C501,[0]!MUNICIPIO1,$B$497)</f>
        <v>0</v>
      </c>
      <c r="T501" s="16">
        <f>SUMIFS([0]!VOTOS2,[0]!TURNO1,T$31,[0]!CANDIDATO1,$C501,[0]!MUNICIPIO1,$B$497)</f>
        <v>0</v>
      </c>
      <c r="U501" s="16">
        <f>SUMIFS([0]!VOTOS2,[0]!TURNO1,U$31,[0]!CANDIDATO1,$C501,[0]!MUNICIPIO1,$B$497)</f>
        <v>0</v>
      </c>
      <c r="V501" s="16">
        <f>SUMIFS([0]!VOTOS2,[0]!TURNO1,V$31,[0]!CANDIDATO1,$C501,[0]!MUNICIPIO1,$B$497)</f>
        <v>0</v>
      </c>
      <c r="W501" s="16">
        <f>SUMIFS([0]!VOTOS2,[0]!TURNO1,W$31,[0]!CANDIDATO1,$C501,[0]!MUNICIPIO1,$B$497)</f>
        <v>0</v>
      </c>
      <c r="X501" s="24"/>
      <c r="Y501" s="18" t="str">
        <f t="shared" si="1173"/>
        <v>FELIX VELASQUEZ</v>
      </c>
      <c r="Z501" s="34">
        <f t="shared" si="1174"/>
        <v>14</v>
      </c>
      <c r="AA501" s="34">
        <f t="shared" si="1175"/>
        <v>0</v>
      </c>
      <c r="AB501" s="34">
        <f t="shared" ref="AB501:AR501" si="1185">IF(SUM(G497:G509)=0,NA(),G501+AA501)</f>
        <v>1</v>
      </c>
      <c r="AC501" s="34">
        <f t="shared" si="1185"/>
        <v>2</v>
      </c>
      <c r="AD501" s="34">
        <f t="shared" si="1185"/>
        <v>5</v>
      </c>
      <c r="AE501" s="34">
        <f t="shared" si="1185"/>
        <v>5</v>
      </c>
      <c r="AF501" s="34">
        <f t="shared" si="1185"/>
        <v>7</v>
      </c>
      <c r="AG501" s="34">
        <f t="shared" si="1185"/>
        <v>7</v>
      </c>
      <c r="AH501" s="34">
        <f t="shared" si="1185"/>
        <v>14</v>
      </c>
      <c r="AI501" s="34">
        <f t="shared" si="1185"/>
        <v>14</v>
      </c>
      <c r="AJ501" s="34">
        <f t="shared" si="1185"/>
        <v>14</v>
      </c>
      <c r="AK501" s="34" t="e">
        <f t="shared" si="1185"/>
        <v>#N/A</v>
      </c>
      <c r="AL501" s="34" t="e">
        <f t="shared" si="1185"/>
        <v>#N/A</v>
      </c>
      <c r="AM501" s="34" t="e">
        <f t="shared" si="1185"/>
        <v>#N/A</v>
      </c>
      <c r="AN501" s="34" t="e">
        <f t="shared" si="1185"/>
        <v>#N/A</v>
      </c>
      <c r="AO501" s="34" t="e">
        <f t="shared" si="1185"/>
        <v>#N/A</v>
      </c>
      <c r="AP501" s="34" t="e">
        <f t="shared" si="1185"/>
        <v>#N/A</v>
      </c>
      <c r="AQ501" s="34" t="e">
        <f t="shared" si="1185"/>
        <v>#N/A</v>
      </c>
      <c r="AR501" s="34" t="e">
        <f t="shared" si="1185"/>
        <v>#N/A</v>
      </c>
      <c r="AS501" s="27"/>
      <c r="AT501" s="39"/>
      <c r="AU501" s="39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30"/>
    </row>
    <row r="502" spans="1:66" ht="11.25" customHeight="1" x14ac:dyDescent="0.2">
      <c r="A502" s="37"/>
      <c r="B502" s="73"/>
      <c r="C502" s="33">
        <v>6</v>
      </c>
      <c r="D502" s="13" t="s">
        <v>355</v>
      </c>
      <c r="E502" s="16">
        <f t="shared" si="1172"/>
        <v>7</v>
      </c>
      <c r="F502" s="16">
        <f>SUMIFS([0]!VOTOS2,[0]!TURNO1,F$31,[0]!CANDIDATO1,$C502,[0]!MUNICIPIO1,$B$497)</f>
        <v>0</v>
      </c>
      <c r="G502" s="16">
        <f>SUMIFS([0]!VOTOS2,[0]!TURNO1,G$31,[0]!CANDIDATO1,$C502,[0]!MUNICIPIO1,$B$497)</f>
        <v>1</v>
      </c>
      <c r="H502" s="16">
        <f>SUMIFS([0]!VOTOS2,[0]!TURNO1,H$31,[0]!CANDIDATO1,$C502,[0]!MUNICIPIO1,$B$497)</f>
        <v>2</v>
      </c>
      <c r="I502" s="16">
        <f>SUMIFS([0]!VOTOS2,[0]!TURNO1,I$31,[0]!CANDIDATO1,$C502,[0]!MUNICIPIO1,$B$497)</f>
        <v>0</v>
      </c>
      <c r="J502" s="16">
        <f>SUMIFS([0]!VOTOS2,[0]!TURNO1,J$31,[0]!CANDIDATO1,$C502,[0]!MUNICIPIO1,$B$497)</f>
        <v>3</v>
      </c>
      <c r="K502" s="16">
        <f>SUMIFS([0]!VOTOS2,[0]!TURNO1,K$31,[0]!CANDIDATO1,$C502,[0]!MUNICIPIO1,$B$497)</f>
        <v>0</v>
      </c>
      <c r="L502" s="16">
        <f>SUMIFS([0]!VOTOS2,[0]!TURNO1,L$31,[0]!CANDIDATO1,$C502,[0]!MUNICIPIO1,$B$497)</f>
        <v>0</v>
      </c>
      <c r="M502" s="16">
        <f>SUMIFS([0]!VOTOS2,[0]!TURNO1,M$31,[0]!CANDIDATO1,$C502,[0]!MUNICIPIO1,$B$497)</f>
        <v>1</v>
      </c>
      <c r="N502" s="16">
        <f>SUMIFS([0]!VOTOS2,[0]!TURNO1,N$31,[0]!CANDIDATO1,$C502,[0]!MUNICIPIO1,$B$497)</f>
        <v>0</v>
      </c>
      <c r="O502" s="16">
        <f>SUMIFS([0]!VOTOS2,[0]!TURNO1,O$31,[0]!CANDIDATO1,$C502,[0]!MUNICIPIO1,$B$497)</f>
        <v>0</v>
      </c>
      <c r="P502" s="16">
        <f>SUMIFS([0]!VOTOS2,[0]!TURNO1,P$31,[0]!CANDIDATO1,$C502,[0]!MUNICIPIO1,$B$497)</f>
        <v>0</v>
      </c>
      <c r="Q502" s="16">
        <f>SUMIFS([0]!VOTOS2,[0]!TURNO1,Q$31,[0]!CANDIDATO1,$C502,[0]!MUNICIPIO1,$B$497)</f>
        <v>0</v>
      </c>
      <c r="R502" s="16">
        <f>SUMIFS([0]!VOTOS2,[0]!TURNO1,R$31,[0]!CANDIDATO1,$C502,[0]!MUNICIPIO1,$B$497)</f>
        <v>0</v>
      </c>
      <c r="S502" s="16">
        <f>SUMIFS([0]!VOTOS2,[0]!TURNO1,S$31,[0]!CANDIDATO1,$C502,[0]!MUNICIPIO1,$B$497)</f>
        <v>0</v>
      </c>
      <c r="T502" s="16">
        <f>SUMIFS([0]!VOTOS2,[0]!TURNO1,T$31,[0]!CANDIDATO1,$C502,[0]!MUNICIPIO1,$B$497)</f>
        <v>0</v>
      </c>
      <c r="U502" s="16">
        <f>SUMIFS([0]!VOTOS2,[0]!TURNO1,U$31,[0]!CANDIDATO1,$C502,[0]!MUNICIPIO1,$B$497)</f>
        <v>0</v>
      </c>
      <c r="V502" s="16">
        <f>SUMIFS([0]!VOTOS2,[0]!TURNO1,V$31,[0]!CANDIDATO1,$C502,[0]!MUNICIPIO1,$B$497)</f>
        <v>0</v>
      </c>
      <c r="W502" s="16">
        <f>SUMIFS([0]!VOTOS2,[0]!TURNO1,W$31,[0]!CANDIDATO1,$C502,[0]!MUNICIPIO1,$B$497)</f>
        <v>0</v>
      </c>
      <c r="X502" s="24"/>
      <c r="Y502" s="18" t="str">
        <f t="shared" si="1173"/>
        <v>NELSON FERNANDEZ</v>
      </c>
      <c r="Z502" s="34">
        <f t="shared" si="1174"/>
        <v>7</v>
      </c>
      <c r="AA502" s="34">
        <f t="shared" si="1175"/>
        <v>0</v>
      </c>
      <c r="AB502" s="34">
        <f t="shared" ref="AB502:AR502" si="1186">IF(SUM(G497:G509)=0,NA(),G502+AA502)</f>
        <v>1</v>
      </c>
      <c r="AC502" s="34">
        <f t="shared" si="1186"/>
        <v>3</v>
      </c>
      <c r="AD502" s="34">
        <f t="shared" si="1186"/>
        <v>3</v>
      </c>
      <c r="AE502" s="34">
        <f t="shared" si="1186"/>
        <v>6</v>
      </c>
      <c r="AF502" s="34">
        <f t="shared" si="1186"/>
        <v>6</v>
      </c>
      <c r="AG502" s="34">
        <f t="shared" si="1186"/>
        <v>6</v>
      </c>
      <c r="AH502" s="34">
        <f t="shared" si="1186"/>
        <v>7</v>
      </c>
      <c r="AI502" s="34">
        <f t="shared" si="1186"/>
        <v>7</v>
      </c>
      <c r="AJ502" s="34">
        <f t="shared" si="1186"/>
        <v>7</v>
      </c>
      <c r="AK502" s="34" t="e">
        <f t="shared" si="1186"/>
        <v>#N/A</v>
      </c>
      <c r="AL502" s="34" t="e">
        <f t="shared" si="1186"/>
        <v>#N/A</v>
      </c>
      <c r="AM502" s="34" t="e">
        <f t="shared" si="1186"/>
        <v>#N/A</v>
      </c>
      <c r="AN502" s="34" t="e">
        <f t="shared" si="1186"/>
        <v>#N/A</v>
      </c>
      <c r="AO502" s="34" t="e">
        <f t="shared" si="1186"/>
        <v>#N/A</v>
      </c>
      <c r="AP502" s="34" t="e">
        <f t="shared" si="1186"/>
        <v>#N/A</v>
      </c>
      <c r="AQ502" s="34" t="e">
        <f t="shared" si="1186"/>
        <v>#N/A</v>
      </c>
      <c r="AR502" s="34" t="e">
        <f t="shared" si="1186"/>
        <v>#N/A</v>
      </c>
      <c r="AS502" s="27"/>
      <c r="AT502" s="39"/>
      <c r="AU502" s="39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30"/>
    </row>
    <row r="503" spans="1:66" ht="11.25" customHeight="1" x14ac:dyDescent="0.2">
      <c r="A503" s="37"/>
      <c r="B503" s="73"/>
      <c r="C503" s="33">
        <v>7</v>
      </c>
      <c r="D503" s="13" t="s">
        <v>356</v>
      </c>
      <c r="E503" s="16">
        <f t="shared" si="1172"/>
        <v>6</v>
      </c>
      <c r="F503" s="16">
        <f>SUMIFS([0]!VOTOS2,[0]!TURNO1,F$31,[0]!CANDIDATO1,$C503,[0]!MUNICIPIO1,$B$497)</f>
        <v>0</v>
      </c>
      <c r="G503" s="16">
        <f>SUMIFS([0]!VOTOS2,[0]!TURNO1,G$31,[0]!CANDIDATO1,$C503,[0]!MUNICIPIO1,$B$497)</f>
        <v>0</v>
      </c>
      <c r="H503" s="16">
        <f>SUMIFS([0]!VOTOS2,[0]!TURNO1,H$31,[0]!CANDIDATO1,$C503,[0]!MUNICIPIO1,$B$497)</f>
        <v>1</v>
      </c>
      <c r="I503" s="16">
        <f>SUMIFS([0]!VOTOS2,[0]!TURNO1,I$31,[0]!CANDIDATO1,$C503,[0]!MUNICIPIO1,$B$497)</f>
        <v>0</v>
      </c>
      <c r="J503" s="16">
        <f>SUMIFS([0]!VOTOS2,[0]!TURNO1,J$31,[0]!CANDIDATO1,$C503,[0]!MUNICIPIO1,$B$497)</f>
        <v>0</v>
      </c>
      <c r="K503" s="16">
        <f>SUMIFS([0]!VOTOS2,[0]!TURNO1,K$31,[0]!CANDIDATO1,$C503,[0]!MUNICIPIO1,$B$497)</f>
        <v>0</v>
      </c>
      <c r="L503" s="16">
        <f>SUMIFS([0]!VOTOS2,[0]!TURNO1,L$31,[0]!CANDIDATO1,$C503,[0]!MUNICIPIO1,$B$497)</f>
        <v>0</v>
      </c>
      <c r="M503" s="16">
        <f>SUMIFS([0]!VOTOS2,[0]!TURNO1,M$31,[0]!CANDIDATO1,$C503,[0]!MUNICIPIO1,$B$497)</f>
        <v>5</v>
      </c>
      <c r="N503" s="16">
        <f>SUMIFS([0]!VOTOS2,[0]!TURNO1,N$31,[0]!CANDIDATO1,$C503,[0]!MUNICIPIO1,$B$497)</f>
        <v>0</v>
      </c>
      <c r="O503" s="16">
        <f>SUMIFS([0]!VOTOS2,[0]!TURNO1,O$31,[0]!CANDIDATO1,$C503,[0]!MUNICIPIO1,$B$497)</f>
        <v>0</v>
      </c>
      <c r="P503" s="16">
        <f>SUMIFS([0]!VOTOS2,[0]!TURNO1,P$31,[0]!CANDIDATO1,$C503,[0]!MUNICIPIO1,$B$497)</f>
        <v>0</v>
      </c>
      <c r="Q503" s="16">
        <f>SUMIFS([0]!VOTOS2,[0]!TURNO1,Q$31,[0]!CANDIDATO1,$C503,[0]!MUNICIPIO1,$B$497)</f>
        <v>0</v>
      </c>
      <c r="R503" s="16">
        <f>SUMIFS([0]!VOTOS2,[0]!TURNO1,R$31,[0]!CANDIDATO1,$C503,[0]!MUNICIPIO1,$B$497)</f>
        <v>0</v>
      </c>
      <c r="S503" s="16">
        <f>SUMIFS([0]!VOTOS2,[0]!TURNO1,S$31,[0]!CANDIDATO1,$C503,[0]!MUNICIPIO1,$B$497)</f>
        <v>0</v>
      </c>
      <c r="T503" s="16">
        <f>SUMIFS([0]!VOTOS2,[0]!TURNO1,T$31,[0]!CANDIDATO1,$C503,[0]!MUNICIPIO1,$B$497)</f>
        <v>0</v>
      </c>
      <c r="U503" s="16">
        <f>SUMIFS([0]!VOTOS2,[0]!TURNO1,U$31,[0]!CANDIDATO1,$C503,[0]!MUNICIPIO1,$B$497)</f>
        <v>0</v>
      </c>
      <c r="V503" s="16">
        <f>SUMIFS([0]!VOTOS2,[0]!TURNO1,V$31,[0]!CANDIDATO1,$C503,[0]!MUNICIPIO1,$B$497)</f>
        <v>0</v>
      </c>
      <c r="W503" s="16">
        <f>SUMIFS([0]!VOTOS2,[0]!TURNO1,W$31,[0]!CANDIDATO1,$C503,[0]!MUNICIPIO1,$B$497)</f>
        <v>0</v>
      </c>
      <c r="X503" s="24"/>
      <c r="Y503" s="18" t="str">
        <f t="shared" si="1173"/>
        <v>FRANKLIN PICCONE</v>
      </c>
      <c r="Z503" s="34">
        <f t="shared" si="1174"/>
        <v>6</v>
      </c>
      <c r="AA503" s="34">
        <f t="shared" si="1175"/>
        <v>0</v>
      </c>
      <c r="AB503" s="34">
        <f t="shared" ref="AB503:AR503" si="1187">IF(SUM(G497:G509)=0,NA(),G503+AA503)</f>
        <v>0</v>
      </c>
      <c r="AC503" s="34">
        <f t="shared" si="1187"/>
        <v>1</v>
      </c>
      <c r="AD503" s="34">
        <f t="shared" si="1187"/>
        <v>1</v>
      </c>
      <c r="AE503" s="34">
        <f t="shared" si="1187"/>
        <v>1</v>
      </c>
      <c r="AF503" s="34">
        <f t="shared" si="1187"/>
        <v>1</v>
      </c>
      <c r="AG503" s="34">
        <f t="shared" si="1187"/>
        <v>1</v>
      </c>
      <c r="AH503" s="34">
        <f t="shared" si="1187"/>
        <v>6</v>
      </c>
      <c r="AI503" s="34">
        <f t="shared" si="1187"/>
        <v>6</v>
      </c>
      <c r="AJ503" s="34">
        <f t="shared" si="1187"/>
        <v>6</v>
      </c>
      <c r="AK503" s="34" t="e">
        <f t="shared" si="1187"/>
        <v>#N/A</v>
      </c>
      <c r="AL503" s="34" t="e">
        <f t="shared" si="1187"/>
        <v>#N/A</v>
      </c>
      <c r="AM503" s="34" t="e">
        <f t="shared" si="1187"/>
        <v>#N/A</v>
      </c>
      <c r="AN503" s="34" t="e">
        <f t="shared" si="1187"/>
        <v>#N/A</v>
      </c>
      <c r="AO503" s="34" t="e">
        <f t="shared" si="1187"/>
        <v>#N/A</v>
      </c>
      <c r="AP503" s="34" t="e">
        <f t="shared" si="1187"/>
        <v>#N/A</v>
      </c>
      <c r="AQ503" s="34" t="e">
        <f t="shared" si="1187"/>
        <v>#N/A</v>
      </c>
      <c r="AR503" s="34" t="e">
        <f t="shared" si="1187"/>
        <v>#N/A</v>
      </c>
      <c r="AS503" s="27"/>
      <c r="AT503" s="39"/>
      <c r="AU503" s="39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30"/>
    </row>
    <row r="504" spans="1:66" ht="11.25" customHeight="1" x14ac:dyDescent="0.2">
      <c r="A504" s="37"/>
      <c r="B504" s="73"/>
      <c r="C504" s="33">
        <v>8</v>
      </c>
      <c r="D504" s="13" t="s">
        <v>357</v>
      </c>
      <c r="E504" s="16">
        <f t="shared" si="1172"/>
        <v>9</v>
      </c>
      <c r="F504" s="16">
        <f>SUMIFS([0]!VOTOS2,[0]!TURNO1,F$31,[0]!CANDIDATO1,$C504,[0]!MUNICIPIO1,$B$497)</f>
        <v>0</v>
      </c>
      <c r="G504" s="16">
        <f>SUMIFS([0]!VOTOS2,[0]!TURNO1,G$31,[0]!CANDIDATO1,$C504,[0]!MUNICIPIO1,$B$497)</f>
        <v>0</v>
      </c>
      <c r="H504" s="16">
        <f>SUMIFS([0]!VOTOS2,[0]!TURNO1,H$31,[0]!CANDIDATO1,$C504,[0]!MUNICIPIO1,$B$497)</f>
        <v>4</v>
      </c>
      <c r="I504" s="16">
        <f>SUMIFS([0]!VOTOS2,[0]!TURNO1,I$31,[0]!CANDIDATO1,$C504,[0]!MUNICIPIO1,$B$497)</f>
        <v>1</v>
      </c>
      <c r="J504" s="16">
        <f>SUMIFS([0]!VOTOS2,[0]!TURNO1,J$31,[0]!CANDIDATO1,$C504,[0]!MUNICIPIO1,$B$497)</f>
        <v>3</v>
      </c>
      <c r="K504" s="16">
        <f>SUMIFS([0]!VOTOS2,[0]!TURNO1,K$31,[0]!CANDIDATO1,$C504,[0]!MUNICIPIO1,$B$497)</f>
        <v>0</v>
      </c>
      <c r="L504" s="16">
        <f>SUMIFS([0]!VOTOS2,[0]!TURNO1,L$31,[0]!CANDIDATO1,$C504,[0]!MUNICIPIO1,$B$497)</f>
        <v>0</v>
      </c>
      <c r="M504" s="16">
        <f>SUMIFS([0]!VOTOS2,[0]!TURNO1,M$31,[0]!CANDIDATO1,$C504,[0]!MUNICIPIO1,$B$497)</f>
        <v>0</v>
      </c>
      <c r="N504" s="16">
        <f>SUMIFS([0]!VOTOS2,[0]!TURNO1,N$31,[0]!CANDIDATO1,$C504,[0]!MUNICIPIO1,$B$497)</f>
        <v>0</v>
      </c>
      <c r="O504" s="16">
        <f>SUMIFS([0]!VOTOS2,[0]!TURNO1,O$31,[0]!CANDIDATO1,$C504,[0]!MUNICIPIO1,$B$497)</f>
        <v>1</v>
      </c>
      <c r="P504" s="16">
        <f>SUMIFS([0]!VOTOS2,[0]!TURNO1,P$31,[0]!CANDIDATO1,$C504,[0]!MUNICIPIO1,$B$497)</f>
        <v>0</v>
      </c>
      <c r="Q504" s="16">
        <f>SUMIFS([0]!VOTOS2,[0]!TURNO1,Q$31,[0]!CANDIDATO1,$C504,[0]!MUNICIPIO1,$B$497)</f>
        <v>0</v>
      </c>
      <c r="R504" s="16">
        <f>SUMIFS([0]!VOTOS2,[0]!TURNO1,R$31,[0]!CANDIDATO1,$C504,[0]!MUNICIPIO1,$B$497)</f>
        <v>0</v>
      </c>
      <c r="S504" s="16">
        <f>SUMIFS([0]!VOTOS2,[0]!TURNO1,S$31,[0]!CANDIDATO1,$C504,[0]!MUNICIPIO1,$B$497)</f>
        <v>0</v>
      </c>
      <c r="T504" s="16">
        <f>SUMIFS([0]!VOTOS2,[0]!TURNO1,T$31,[0]!CANDIDATO1,$C504,[0]!MUNICIPIO1,$B$497)</f>
        <v>0</v>
      </c>
      <c r="U504" s="16">
        <f>SUMIFS([0]!VOTOS2,[0]!TURNO1,U$31,[0]!CANDIDATO1,$C504,[0]!MUNICIPIO1,$B$497)</f>
        <v>0</v>
      </c>
      <c r="V504" s="16">
        <f>SUMIFS([0]!VOTOS2,[0]!TURNO1,V$31,[0]!CANDIDATO1,$C504,[0]!MUNICIPIO1,$B$497)</f>
        <v>0</v>
      </c>
      <c r="W504" s="16">
        <f>SUMIFS([0]!VOTOS2,[0]!TURNO1,W$31,[0]!CANDIDATO1,$C504,[0]!MUNICIPIO1,$B$497)</f>
        <v>0</v>
      </c>
      <c r="X504" s="24"/>
      <c r="Y504" s="18" t="str">
        <f t="shared" si="1173"/>
        <v>JOSE LUIS CASTAÑEDA</v>
      </c>
      <c r="Z504" s="34">
        <f t="shared" si="1174"/>
        <v>9</v>
      </c>
      <c r="AA504" s="34">
        <f t="shared" si="1175"/>
        <v>0</v>
      </c>
      <c r="AB504" s="34">
        <f t="shared" ref="AB504:AR504" si="1188">IF(SUM(G497:G509)=0,NA(),G504+AA504)</f>
        <v>0</v>
      </c>
      <c r="AC504" s="34">
        <f t="shared" si="1188"/>
        <v>4</v>
      </c>
      <c r="AD504" s="34">
        <f t="shared" si="1188"/>
        <v>5</v>
      </c>
      <c r="AE504" s="34">
        <f t="shared" si="1188"/>
        <v>8</v>
      </c>
      <c r="AF504" s="34">
        <f t="shared" si="1188"/>
        <v>8</v>
      </c>
      <c r="AG504" s="34">
        <f t="shared" si="1188"/>
        <v>8</v>
      </c>
      <c r="AH504" s="34">
        <f t="shared" si="1188"/>
        <v>8</v>
      </c>
      <c r="AI504" s="34">
        <f t="shared" si="1188"/>
        <v>8</v>
      </c>
      <c r="AJ504" s="34">
        <f t="shared" si="1188"/>
        <v>9</v>
      </c>
      <c r="AK504" s="34" t="e">
        <f t="shared" si="1188"/>
        <v>#N/A</v>
      </c>
      <c r="AL504" s="34" t="e">
        <f t="shared" si="1188"/>
        <v>#N/A</v>
      </c>
      <c r="AM504" s="34" t="e">
        <f t="shared" si="1188"/>
        <v>#N/A</v>
      </c>
      <c r="AN504" s="34" t="e">
        <f t="shared" si="1188"/>
        <v>#N/A</v>
      </c>
      <c r="AO504" s="34" t="e">
        <f t="shared" si="1188"/>
        <v>#N/A</v>
      </c>
      <c r="AP504" s="34" t="e">
        <f t="shared" si="1188"/>
        <v>#N/A</v>
      </c>
      <c r="AQ504" s="34" t="e">
        <f t="shared" si="1188"/>
        <v>#N/A</v>
      </c>
      <c r="AR504" s="34" t="e">
        <f t="shared" si="1188"/>
        <v>#N/A</v>
      </c>
      <c r="AS504" s="27"/>
      <c r="AT504" s="41"/>
      <c r="AU504" s="41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30"/>
    </row>
    <row r="505" spans="1:66" ht="11.25" customHeight="1" x14ac:dyDescent="0.2">
      <c r="A505" s="37"/>
      <c r="B505" s="73"/>
      <c r="C505" s="33">
        <v>9</v>
      </c>
      <c r="D505" s="13" t="s">
        <v>358</v>
      </c>
      <c r="E505" s="16">
        <f t="shared" si="1172"/>
        <v>14</v>
      </c>
      <c r="F505" s="16">
        <f>SUMIFS([0]!VOTOS2,[0]!TURNO1,F$31,[0]!CANDIDATO1,$C505,[0]!MUNICIPIO1,$B$497)</f>
        <v>0</v>
      </c>
      <c r="G505" s="16">
        <f>SUMIFS([0]!VOTOS2,[0]!TURNO1,G$31,[0]!CANDIDATO1,$C505,[0]!MUNICIPIO1,$B$497)</f>
        <v>0</v>
      </c>
      <c r="H505" s="16">
        <f>SUMIFS([0]!VOTOS2,[0]!TURNO1,H$31,[0]!CANDIDATO1,$C505,[0]!MUNICIPIO1,$B$497)</f>
        <v>6</v>
      </c>
      <c r="I505" s="16">
        <f>SUMIFS([0]!VOTOS2,[0]!TURNO1,I$31,[0]!CANDIDATO1,$C505,[0]!MUNICIPIO1,$B$497)</f>
        <v>2</v>
      </c>
      <c r="J505" s="16">
        <f>SUMIFS([0]!VOTOS2,[0]!TURNO1,J$31,[0]!CANDIDATO1,$C505,[0]!MUNICIPIO1,$B$497)</f>
        <v>0</v>
      </c>
      <c r="K505" s="16">
        <f>SUMIFS([0]!VOTOS2,[0]!TURNO1,K$31,[0]!CANDIDATO1,$C505,[0]!MUNICIPIO1,$B$497)</f>
        <v>1</v>
      </c>
      <c r="L505" s="16">
        <f>SUMIFS([0]!VOTOS2,[0]!TURNO1,L$31,[0]!CANDIDATO1,$C505,[0]!MUNICIPIO1,$B$497)</f>
        <v>0</v>
      </c>
      <c r="M505" s="16">
        <f>SUMIFS([0]!VOTOS2,[0]!TURNO1,M$31,[0]!CANDIDATO1,$C505,[0]!MUNICIPIO1,$B$497)</f>
        <v>5</v>
      </c>
      <c r="N505" s="16">
        <f>SUMIFS([0]!VOTOS2,[0]!TURNO1,N$31,[0]!CANDIDATO1,$C505,[0]!MUNICIPIO1,$B$497)</f>
        <v>0</v>
      </c>
      <c r="O505" s="16">
        <f>SUMIFS([0]!VOTOS2,[0]!TURNO1,O$31,[0]!CANDIDATO1,$C505,[0]!MUNICIPIO1,$B$497)</f>
        <v>0</v>
      </c>
      <c r="P505" s="16">
        <f>SUMIFS([0]!VOTOS2,[0]!TURNO1,P$31,[0]!CANDIDATO1,$C505,[0]!MUNICIPIO1,$B$497)</f>
        <v>0</v>
      </c>
      <c r="Q505" s="16">
        <f>SUMIFS([0]!VOTOS2,[0]!TURNO1,Q$31,[0]!CANDIDATO1,$C505,[0]!MUNICIPIO1,$B$497)</f>
        <v>0</v>
      </c>
      <c r="R505" s="16">
        <f>SUMIFS([0]!VOTOS2,[0]!TURNO1,R$31,[0]!CANDIDATO1,$C505,[0]!MUNICIPIO1,$B$497)</f>
        <v>0</v>
      </c>
      <c r="S505" s="16">
        <f>SUMIFS([0]!VOTOS2,[0]!TURNO1,S$31,[0]!CANDIDATO1,$C505,[0]!MUNICIPIO1,$B$497)</f>
        <v>0</v>
      </c>
      <c r="T505" s="16">
        <f>SUMIFS([0]!VOTOS2,[0]!TURNO1,T$31,[0]!CANDIDATO1,$C505,[0]!MUNICIPIO1,$B$497)</f>
        <v>0</v>
      </c>
      <c r="U505" s="16">
        <f>SUMIFS([0]!VOTOS2,[0]!TURNO1,U$31,[0]!CANDIDATO1,$C505,[0]!MUNICIPIO1,$B$497)</f>
        <v>0</v>
      </c>
      <c r="V505" s="16">
        <f>SUMIFS([0]!VOTOS2,[0]!TURNO1,V$31,[0]!CANDIDATO1,$C505,[0]!MUNICIPIO1,$B$497)</f>
        <v>0</v>
      </c>
      <c r="W505" s="16">
        <f>SUMIFS([0]!VOTOS2,[0]!TURNO1,W$31,[0]!CANDIDATO1,$C505,[0]!MUNICIPIO1,$B$497)</f>
        <v>0</v>
      </c>
      <c r="X505" s="24"/>
      <c r="Y505" s="18" t="str">
        <f t="shared" si="1173"/>
        <v>ALEXANDER CORDERO</v>
      </c>
      <c r="Z505" s="34">
        <f t="shared" si="1174"/>
        <v>14</v>
      </c>
      <c r="AA505" s="34">
        <f t="shared" si="1175"/>
        <v>0</v>
      </c>
      <c r="AB505" s="34">
        <f t="shared" ref="AB505:AR505" si="1189">IF(SUM(G497:G509)=0,NA(),G505+AA505)</f>
        <v>0</v>
      </c>
      <c r="AC505" s="34">
        <f t="shared" si="1189"/>
        <v>6</v>
      </c>
      <c r="AD505" s="34">
        <f t="shared" si="1189"/>
        <v>8</v>
      </c>
      <c r="AE505" s="34">
        <f t="shared" si="1189"/>
        <v>8</v>
      </c>
      <c r="AF505" s="34">
        <f t="shared" si="1189"/>
        <v>9</v>
      </c>
      <c r="AG505" s="34">
        <f t="shared" si="1189"/>
        <v>9</v>
      </c>
      <c r="AH505" s="34">
        <f t="shared" si="1189"/>
        <v>14</v>
      </c>
      <c r="AI505" s="34">
        <f t="shared" si="1189"/>
        <v>14</v>
      </c>
      <c r="AJ505" s="34">
        <f t="shared" si="1189"/>
        <v>14</v>
      </c>
      <c r="AK505" s="34" t="e">
        <f t="shared" si="1189"/>
        <v>#N/A</v>
      </c>
      <c r="AL505" s="34" t="e">
        <f t="shared" si="1189"/>
        <v>#N/A</v>
      </c>
      <c r="AM505" s="34" t="e">
        <f t="shared" si="1189"/>
        <v>#N/A</v>
      </c>
      <c r="AN505" s="34" t="e">
        <f t="shared" si="1189"/>
        <v>#N/A</v>
      </c>
      <c r="AO505" s="34" t="e">
        <f t="shared" si="1189"/>
        <v>#N/A</v>
      </c>
      <c r="AP505" s="34" t="e">
        <f t="shared" si="1189"/>
        <v>#N/A</v>
      </c>
      <c r="AQ505" s="34" t="e">
        <f t="shared" si="1189"/>
        <v>#N/A</v>
      </c>
      <c r="AR505" s="34" t="e">
        <f t="shared" si="1189"/>
        <v>#N/A</v>
      </c>
      <c r="AS505" s="27"/>
      <c r="AT505" s="41"/>
      <c r="AU505" s="41"/>
      <c r="AV505" s="43"/>
      <c r="AW505" s="43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  <c r="BL505" s="43"/>
      <c r="BM505" s="43"/>
      <c r="BN505" s="30"/>
    </row>
    <row r="506" spans="1:66" ht="11.25" customHeight="1" x14ac:dyDescent="0.2">
      <c r="A506" s="42"/>
      <c r="B506" s="74"/>
      <c r="C506" s="33">
        <v>10</v>
      </c>
      <c r="D506" s="13" t="s">
        <v>359</v>
      </c>
      <c r="E506" s="16">
        <f t="shared" si="1172"/>
        <v>1</v>
      </c>
      <c r="F506" s="16">
        <f>SUMIFS([0]!VOTOS2,[0]!TURNO1,F$31,[0]!CANDIDATO1,$C506,[0]!MUNICIPIO1,$B$497)</f>
        <v>0</v>
      </c>
      <c r="G506" s="16">
        <f>SUMIFS([0]!VOTOS2,[0]!TURNO1,G$31,[0]!CANDIDATO1,$C506,[0]!MUNICIPIO1,$B$497)</f>
        <v>0</v>
      </c>
      <c r="H506" s="16">
        <f>SUMIFS([0]!VOTOS2,[0]!TURNO1,H$31,[0]!CANDIDATO1,$C506,[0]!MUNICIPIO1,$B$497)</f>
        <v>0</v>
      </c>
      <c r="I506" s="16">
        <f>SUMIFS([0]!VOTOS2,[0]!TURNO1,I$31,[0]!CANDIDATO1,$C506,[0]!MUNICIPIO1,$B$497)</f>
        <v>0</v>
      </c>
      <c r="J506" s="16">
        <f>SUMIFS([0]!VOTOS2,[0]!TURNO1,J$31,[0]!CANDIDATO1,$C506,[0]!MUNICIPIO1,$B$497)</f>
        <v>0</v>
      </c>
      <c r="K506" s="16">
        <f>SUMIFS([0]!VOTOS2,[0]!TURNO1,K$31,[0]!CANDIDATO1,$C506,[0]!MUNICIPIO1,$B$497)</f>
        <v>0</v>
      </c>
      <c r="L506" s="16">
        <f>SUMIFS([0]!VOTOS2,[0]!TURNO1,L$31,[0]!CANDIDATO1,$C506,[0]!MUNICIPIO1,$B$497)</f>
        <v>0</v>
      </c>
      <c r="M506" s="16">
        <f>SUMIFS([0]!VOTOS2,[0]!TURNO1,M$31,[0]!CANDIDATO1,$C506,[0]!MUNICIPIO1,$B$497)</f>
        <v>1</v>
      </c>
      <c r="N506" s="16">
        <f>SUMIFS([0]!VOTOS2,[0]!TURNO1,N$31,[0]!CANDIDATO1,$C506,[0]!MUNICIPIO1,$B$497)</f>
        <v>0</v>
      </c>
      <c r="O506" s="16">
        <f>SUMIFS([0]!VOTOS2,[0]!TURNO1,O$31,[0]!CANDIDATO1,$C506,[0]!MUNICIPIO1,$B$497)</f>
        <v>0</v>
      </c>
      <c r="P506" s="16">
        <f>SUMIFS([0]!VOTOS2,[0]!TURNO1,P$31,[0]!CANDIDATO1,$C506,[0]!MUNICIPIO1,$B$497)</f>
        <v>0</v>
      </c>
      <c r="Q506" s="16">
        <f>SUMIFS([0]!VOTOS2,[0]!TURNO1,Q$31,[0]!CANDIDATO1,$C506,[0]!MUNICIPIO1,$B$497)</f>
        <v>0</v>
      </c>
      <c r="R506" s="16">
        <f>SUMIFS([0]!VOTOS2,[0]!TURNO1,R$31,[0]!CANDIDATO1,$C506,[0]!MUNICIPIO1,$B$497)</f>
        <v>0</v>
      </c>
      <c r="S506" s="16">
        <f>SUMIFS([0]!VOTOS2,[0]!TURNO1,S$31,[0]!CANDIDATO1,$C506,[0]!MUNICIPIO1,$B$497)</f>
        <v>0</v>
      </c>
      <c r="T506" s="16">
        <f>SUMIFS([0]!VOTOS2,[0]!TURNO1,T$31,[0]!CANDIDATO1,$C506,[0]!MUNICIPIO1,$B$497)</f>
        <v>0</v>
      </c>
      <c r="U506" s="16">
        <f>SUMIFS([0]!VOTOS2,[0]!TURNO1,U$31,[0]!CANDIDATO1,$C506,[0]!MUNICIPIO1,$B$497)</f>
        <v>0</v>
      </c>
      <c r="V506" s="16">
        <f>SUMIFS([0]!VOTOS2,[0]!TURNO1,V$31,[0]!CANDIDATO1,$C506,[0]!MUNICIPIO1,$B$497)</f>
        <v>0</v>
      </c>
      <c r="W506" s="16">
        <f>SUMIFS([0]!VOTOS2,[0]!TURNO1,W$31,[0]!CANDIDATO1,$C506,[0]!MUNICIPIO1,$B$497)</f>
        <v>0</v>
      </c>
      <c r="X506" s="24"/>
      <c r="Y506" s="18" t="str">
        <f t="shared" si="1173"/>
        <v>ROMULO OTAZO</v>
      </c>
      <c r="Z506" s="34">
        <f t="shared" si="1174"/>
        <v>1</v>
      </c>
      <c r="AA506" s="34">
        <f t="shared" si="1175"/>
        <v>0</v>
      </c>
      <c r="AB506" s="34">
        <f t="shared" ref="AB506:AR506" si="1190">IF(SUM(G497:G509)=0,NA(),G506+AA506)</f>
        <v>0</v>
      </c>
      <c r="AC506" s="34">
        <f t="shared" si="1190"/>
        <v>0</v>
      </c>
      <c r="AD506" s="34">
        <f t="shared" si="1190"/>
        <v>0</v>
      </c>
      <c r="AE506" s="34">
        <f t="shared" si="1190"/>
        <v>0</v>
      </c>
      <c r="AF506" s="34">
        <f t="shared" si="1190"/>
        <v>0</v>
      </c>
      <c r="AG506" s="34">
        <f t="shared" si="1190"/>
        <v>0</v>
      </c>
      <c r="AH506" s="34">
        <f t="shared" si="1190"/>
        <v>1</v>
      </c>
      <c r="AI506" s="34">
        <f t="shared" si="1190"/>
        <v>1</v>
      </c>
      <c r="AJ506" s="34">
        <f t="shared" si="1190"/>
        <v>1</v>
      </c>
      <c r="AK506" s="34" t="e">
        <f t="shared" si="1190"/>
        <v>#N/A</v>
      </c>
      <c r="AL506" s="34" t="e">
        <f t="shared" si="1190"/>
        <v>#N/A</v>
      </c>
      <c r="AM506" s="34" t="e">
        <f t="shared" si="1190"/>
        <v>#N/A</v>
      </c>
      <c r="AN506" s="34" t="e">
        <f t="shared" si="1190"/>
        <v>#N/A</v>
      </c>
      <c r="AO506" s="34" t="e">
        <f t="shared" si="1190"/>
        <v>#N/A</v>
      </c>
      <c r="AP506" s="34" t="e">
        <f t="shared" si="1190"/>
        <v>#N/A</v>
      </c>
      <c r="AQ506" s="34" t="e">
        <f t="shared" si="1190"/>
        <v>#N/A</v>
      </c>
      <c r="AR506" s="34" t="e">
        <f t="shared" si="1190"/>
        <v>#N/A</v>
      </c>
      <c r="AS506" s="27"/>
      <c r="AT506" s="41"/>
      <c r="AU506" s="41"/>
      <c r="AV506" s="43"/>
      <c r="AW506" s="43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/>
      <c r="BK506" s="43"/>
      <c r="BL506" s="43"/>
      <c r="BM506" s="43"/>
      <c r="BN506" s="30"/>
    </row>
    <row r="507" spans="1:66" ht="11.25" customHeight="1" x14ac:dyDescent="0.2">
      <c r="A507" s="44"/>
      <c r="B507" s="45"/>
      <c r="C507" s="46">
        <v>11</v>
      </c>
      <c r="D507" s="14" t="s">
        <v>76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24"/>
      <c r="Y507" s="18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27"/>
      <c r="AT507" s="41"/>
      <c r="AU507" s="41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  <c r="BL507" s="43"/>
      <c r="BM507" s="43"/>
      <c r="BN507" s="30"/>
    </row>
    <row r="508" spans="1:66" ht="11.25" customHeight="1" x14ac:dyDescent="0.2">
      <c r="A508" s="44"/>
      <c r="B508" s="45"/>
      <c r="C508" s="46">
        <v>12</v>
      </c>
      <c r="D508" s="14" t="s">
        <v>76</v>
      </c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24"/>
      <c r="Y508" s="18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27"/>
      <c r="AT508" s="41"/>
      <c r="AU508" s="41"/>
      <c r="AV508" s="43"/>
      <c r="AW508" s="43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30"/>
    </row>
    <row r="509" spans="1:66" ht="11.25" customHeight="1" x14ac:dyDescent="0.2">
      <c r="A509" s="44"/>
      <c r="B509" s="45"/>
      <c r="C509" s="46">
        <v>13</v>
      </c>
      <c r="D509" s="14" t="s">
        <v>76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24"/>
      <c r="Y509" s="18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27"/>
      <c r="AT509" s="41"/>
      <c r="AU509" s="41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  <c r="BL509" s="43"/>
      <c r="BM509" s="43"/>
      <c r="BN509" s="30"/>
    </row>
    <row r="510" spans="1:66" ht="11.25" customHeight="1" x14ac:dyDescent="0.2">
      <c r="X510" s="24"/>
      <c r="Y510" s="19" t="s">
        <v>79</v>
      </c>
      <c r="Z510" s="34">
        <f t="shared" ref="Z510" si="1191">SUM(Z499:Z509)</f>
        <v>93</v>
      </c>
      <c r="AA510" s="34">
        <f t="shared" ref="AA510" si="1192">SUM(AA499:AA509)</f>
        <v>0</v>
      </c>
      <c r="AB510" s="34">
        <f t="shared" ref="AB510" si="1193">SUM(AB499:AB509)</f>
        <v>12</v>
      </c>
      <c r="AC510" s="34">
        <f t="shared" ref="AC510" si="1194">SUM(AC499:AC509)</f>
        <v>32</v>
      </c>
      <c r="AD510" s="34">
        <f t="shared" ref="AD510" si="1195">SUM(AD499:AD509)</f>
        <v>42</v>
      </c>
      <c r="AE510" s="34">
        <f t="shared" ref="AE510" si="1196">SUM(AE499:AE509)</f>
        <v>55</v>
      </c>
      <c r="AF510" s="34">
        <f t="shared" ref="AF510" si="1197">SUM(AF499:AF509)</f>
        <v>60</v>
      </c>
      <c r="AG510" s="34">
        <f t="shared" ref="AG510" si="1198">SUM(AG499:AG509)</f>
        <v>60</v>
      </c>
      <c r="AH510" s="34">
        <f t="shared" ref="AH510" si="1199">SUM(AH499:AH509)</f>
        <v>84</v>
      </c>
      <c r="AI510" s="34">
        <f t="shared" ref="AI510" si="1200">SUM(AI499:AI509)</f>
        <v>87</v>
      </c>
      <c r="AJ510" s="34">
        <f t="shared" ref="AJ510" si="1201">SUM(AJ499:AJ509)</f>
        <v>93</v>
      </c>
      <c r="AK510" s="34" t="e">
        <f t="shared" ref="AK510" si="1202">SUM(AK499:AK509)</f>
        <v>#N/A</v>
      </c>
      <c r="AL510" s="34" t="e">
        <f t="shared" ref="AL510" si="1203">SUM(AL499:AL509)</f>
        <v>#N/A</v>
      </c>
      <c r="AM510" s="34" t="e">
        <f t="shared" ref="AM510" si="1204">SUM(AM499:AM509)</f>
        <v>#N/A</v>
      </c>
      <c r="AN510" s="34" t="e">
        <f t="shared" ref="AN510" si="1205">SUM(AN499:AN509)</f>
        <v>#N/A</v>
      </c>
      <c r="AO510" s="34" t="e">
        <f t="shared" ref="AO510" si="1206">SUM(AO499:AO509)</f>
        <v>#N/A</v>
      </c>
      <c r="AP510" s="34" t="e">
        <f t="shared" ref="AP510" si="1207">SUM(AP499:AP509)</f>
        <v>#N/A</v>
      </c>
      <c r="AQ510" s="34" t="e">
        <f t="shared" ref="AQ510" si="1208">SUM(AQ499:AQ509)</f>
        <v>#N/A</v>
      </c>
      <c r="AR510" s="34" t="e">
        <f t="shared" ref="AR510" si="1209">SUM(AR499:AR509)</f>
        <v>#N/A</v>
      </c>
      <c r="AS510" s="27"/>
      <c r="AT510" s="41"/>
      <c r="AU510" s="41"/>
      <c r="AV510" s="43"/>
      <c r="AW510" s="43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/>
      <c r="BK510" s="43"/>
      <c r="BL510" s="43"/>
      <c r="BM510" s="43"/>
      <c r="BN510" s="30"/>
    </row>
    <row r="511" spans="1:66" ht="11.25" customHeight="1" x14ac:dyDescent="0.2">
      <c r="A511" s="75" t="s">
        <v>63</v>
      </c>
      <c r="B511" s="76"/>
      <c r="C511" s="21"/>
      <c r="D511" s="22" t="s">
        <v>75</v>
      </c>
      <c r="E511" s="23" t="s">
        <v>70</v>
      </c>
      <c r="F511" s="23">
        <v>0</v>
      </c>
      <c r="G511" s="23">
        <v>1</v>
      </c>
      <c r="H511" s="23">
        <v>2</v>
      </c>
      <c r="I511" s="23">
        <v>3</v>
      </c>
      <c r="J511" s="23">
        <v>4</v>
      </c>
      <c r="K511" s="23">
        <v>5</v>
      </c>
      <c r="L511" s="23">
        <v>6</v>
      </c>
      <c r="M511" s="23">
        <v>7</v>
      </c>
      <c r="N511" s="23">
        <v>8</v>
      </c>
      <c r="O511" s="23">
        <v>9</v>
      </c>
      <c r="P511" s="23">
        <v>10</v>
      </c>
      <c r="Q511" s="23">
        <v>11</v>
      </c>
      <c r="R511" s="23">
        <v>12</v>
      </c>
      <c r="S511" s="23">
        <v>13</v>
      </c>
      <c r="T511" s="23">
        <v>14</v>
      </c>
      <c r="U511" s="23">
        <v>15</v>
      </c>
      <c r="V511" s="23">
        <v>16</v>
      </c>
      <c r="W511" s="23">
        <v>17</v>
      </c>
      <c r="X511" s="24"/>
      <c r="Y511" s="17"/>
      <c r="Z511" s="25" t="s">
        <v>64</v>
      </c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7"/>
      <c r="AT511" s="28"/>
      <c r="AU511" s="28" t="s">
        <v>64</v>
      </c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30"/>
    </row>
    <row r="512" spans="1:66" ht="11.25" customHeight="1" x14ac:dyDescent="0.2">
      <c r="A512" s="32"/>
      <c r="B512" s="72">
        <v>35</v>
      </c>
      <c r="C512" s="33">
        <v>1</v>
      </c>
      <c r="D512" s="13" t="s">
        <v>360</v>
      </c>
      <c r="E512" s="16">
        <f t="shared" ref="E512:E519" si="1210">SUM(F512:W512)</f>
        <v>10</v>
      </c>
      <c r="F512" s="16">
        <f>SUMIFS([0]!VOTOS2,[0]!TURNO1,F$31,[0]!CANDIDATO1,$C512,[0]!MUNICIPIO1,$B$512)</f>
        <v>10</v>
      </c>
      <c r="G512" s="16">
        <f>SUMIFS([0]!VOTOS2,[0]!TURNO1,G$31,[0]!CANDIDATO1,$C512,[0]!MUNICIPIO1,$B$512)</f>
        <v>0</v>
      </c>
      <c r="H512" s="16">
        <f>SUMIFS([0]!VOTOS2,[0]!TURNO1,H$31,[0]!CANDIDATO1,$C512,[0]!MUNICIPIO1,$B$512)</f>
        <v>0</v>
      </c>
      <c r="I512" s="16">
        <f>SUMIFS([0]!VOTOS2,[0]!TURNO1,I$31,[0]!CANDIDATO1,$C512,[0]!MUNICIPIO1,$B$512)</f>
        <v>0</v>
      </c>
      <c r="J512" s="16">
        <f>SUMIFS([0]!VOTOS2,[0]!TURNO1,J$31,[0]!CANDIDATO1,$C512,[0]!MUNICIPIO1,$B$512)</f>
        <v>0</v>
      </c>
      <c r="K512" s="16">
        <f>SUMIFS([0]!VOTOS2,[0]!TURNO1,K$31,[0]!CANDIDATO1,$C512,[0]!MUNICIPIO1,$B$512)</f>
        <v>0</v>
      </c>
      <c r="L512" s="16">
        <f>SUMIFS([0]!VOTOS2,[0]!TURNO1,L$31,[0]!CANDIDATO1,$C512,[0]!MUNICIPIO1,$B$512)</f>
        <v>0</v>
      </c>
      <c r="M512" s="16">
        <f>SUMIFS([0]!VOTOS2,[0]!TURNO1,M$31,[0]!CANDIDATO1,$C512,[0]!MUNICIPIO1,$B$512)</f>
        <v>0</v>
      </c>
      <c r="N512" s="16">
        <f>SUMIFS([0]!VOTOS2,[0]!TURNO1,N$31,[0]!CANDIDATO1,$C512,[0]!MUNICIPIO1,$B$512)</f>
        <v>0</v>
      </c>
      <c r="O512" s="16">
        <f>SUMIFS([0]!VOTOS2,[0]!TURNO1,O$31,[0]!CANDIDATO1,$C512,[0]!MUNICIPIO1,$B$512)</f>
        <v>0</v>
      </c>
      <c r="P512" s="16">
        <f>SUMIFS([0]!VOTOS2,[0]!TURNO1,P$31,[0]!CANDIDATO1,$C512,[0]!MUNICIPIO1,$B$512)</f>
        <v>0</v>
      </c>
      <c r="Q512" s="16">
        <f>SUMIFS([0]!VOTOS2,[0]!TURNO1,Q$31,[0]!CANDIDATO1,$C512,[0]!MUNICIPIO1,$B$512)</f>
        <v>0</v>
      </c>
      <c r="R512" s="16">
        <f>SUMIFS([0]!VOTOS2,[0]!TURNO1,R$31,[0]!CANDIDATO1,$C512,[0]!MUNICIPIO1,$B$512)</f>
        <v>0</v>
      </c>
      <c r="S512" s="16">
        <f>SUMIFS([0]!VOTOS2,[0]!TURNO1,S$31,[0]!CANDIDATO1,$C512,[0]!MUNICIPIO1,$B$512)</f>
        <v>0</v>
      </c>
      <c r="T512" s="16">
        <f>SUMIFS([0]!VOTOS2,[0]!TURNO1,T$31,[0]!CANDIDATO1,$C512,[0]!MUNICIPIO1,$B$512)</f>
        <v>0</v>
      </c>
      <c r="U512" s="16">
        <f>SUMIFS([0]!VOTOS2,[0]!TURNO1,U$31,[0]!CANDIDATO1,$C512,[0]!MUNICIPIO1,$B$512)</f>
        <v>0</v>
      </c>
      <c r="V512" s="16">
        <f>SUMIFS([0]!VOTOS2,[0]!TURNO1,V$31,[0]!CANDIDATO1,$C512,[0]!MUNICIPIO1,$B$512)</f>
        <v>0</v>
      </c>
      <c r="W512" s="16">
        <f>SUMIFS([0]!VOTOS2,[0]!TURNO1,W$31,[0]!CANDIDATO1,$C512,[0]!MUNICIPIO1,$B$512)</f>
        <v>0</v>
      </c>
      <c r="X512" s="24"/>
      <c r="Y512" s="18" t="str">
        <f t="shared" ref="Y512:Y519" si="1211">D512</f>
        <v>JOSE MAICAVARES</v>
      </c>
      <c r="Z512" s="34">
        <f t="shared" ref="Z512:Z519" si="1212">E512</f>
        <v>10</v>
      </c>
      <c r="AA512" s="34">
        <f t="shared" ref="AA512:AA519" si="1213">F512</f>
        <v>10</v>
      </c>
      <c r="AB512" s="34" t="e">
        <f t="shared" ref="AB512:AR512" si="1214">IF(SUM(G512:G524)=0,NA(),G512+AA512)</f>
        <v>#N/A</v>
      </c>
      <c r="AC512" s="34" t="e">
        <f t="shared" si="1214"/>
        <v>#N/A</v>
      </c>
      <c r="AD512" s="34" t="e">
        <f t="shared" si="1214"/>
        <v>#N/A</v>
      </c>
      <c r="AE512" s="34" t="e">
        <f t="shared" si="1214"/>
        <v>#N/A</v>
      </c>
      <c r="AF512" s="34" t="e">
        <f t="shared" si="1214"/>
        <v>#N/A</v>
      </c>
      <c r="AG512" s="34" t="e">
        <f t="shared" si="1214"/>
        <v>#N/A</v>
      </c>
      <c r="AH512" s="34" t="e">
        <f t="shared" si="1214"/>
        <v>#N/A</v>
      </c>
      <c r="AI512" s="34" t="e">
        <f t="shared" si="1214"/>
        <v>#N/A</v>
      </c>
      <c r="AJ512" s="34" t="e">
        <f t="shared" si="1214"/>
        <v>#N/A</v>
      </c>
      <c r="AK512" s="34" t="e">
        <f t="shared" si="1214"/>
        <v>#N/A</v>
      </c>
      <c r="AL512" s="34" t="e">
        <f t="shared" si="1214"/>
        <v>#N/A</v>
      </c>
      <c r="AM512" s="34" t="e">
        <f t="shared" si="1214"/>
        <v>#N/A</v>
      </c>
      <c r="AN512" s="34" t="e">
        <f t="shared" si="1214"/>
        <v>#N/A</v>
      </c>
      <c r="AO512" s="34" t="e">
        <f t="shared" si="1214"/>
        <v>#N/A</v>
      </c>
      <c r="AP512" s="34" t="e">
        <f t="shared" si="1214"/>
        <v>#N/A</v>
      </c>
      <c r="AQ512" s="34" t="e">
        <f t="shared" si="1214"/>
        <v>#N/A</v>
      </c>
      <c r="AR512" s="34" t="e">
        <f t="shared" si="1214"/>
        <v>#N/A</v>
      </c>
      <c r="AS512" s="27"/>
      <c r="AT512" s="35" t="str">
        <f t="shared" ref="AT512:AT513" si="1215">Y512</f>
        <v>JOSE MAICAVARES</v>
      </c>
      <c r="AU512" s="36">
        <f t="shared" ref="AU512:BM512" si="1216">Z512/(Z512+Z513+Z525)</f>
        <v>0.5</v>
      </c>
      <c r="AV512" s="36">
        <f t="shared" si="1216"/>
        <v>0.5</v>
      </c>
      <c r="AW512" s="36" t="e">
        <f t="shared" si="1216"/>
        <v>#N/A</v>
      </c>
      <c r="AX512" s="36" t="e">
        <f t="shared" si="1216"/>
        <v>#N/A</v>
      </c>
      <c r="AY512" s="36" t="e">
        <f t="shared" si="1216"/>
        <v>#N/A</v>
      </c>
      <c r="AZ512" s="36" t="e">
        <f t="shared" si="1216"/>
        <v>#N/A</v>
      </c>
      <c r="BA512" s="36" t="e">
        <f t="shared" si="1216"/>
        <v>#N/A</v>
      </c>
      <c r="BB512" s="36" t="e">
        <f t="shared" si="1216"/>
        <v>#N/A</v>
      </c>
      <c r="BC512" s="36" t="e">
        <f t="shared" si="1216"/>
        <v>#N/A</v>
      </c>
      <c r="BD512" s="36" t="e">
        <f t="shared" si="1216"/>
        <v>#N/A</v>
      </c>
      <c r="BE512" s="36" t="e">
        <f t="shared" si="1216"/>
        <v>#N/A</v>
      </c>
      <c r="BF512" s="36" t="e">
        <f t="shared" si="1216"/>
        <v>#N/A</v>
      </c>
      <c r="BG512" s="36" t="e">
        <f t="shared" si="1216"/>
        <v>#N/A</v>
      </c>
      <c r="BH512" s="36" t="e">
        <f t="shared" si="1216"/>
        <v>#N/A</v>
      </c>
      <c r="BI512" s="36" t="e">
        <f t="shared" si="1216"/>
        <v>#N/A</v>
      </c>
      <c r="BJ512" s="36" t="e">
        <f t="shared" si="1216"/>
        <v>#N/A</v>
      </c>
      <c r="BK512" s="36" t="e">
        <f t="shared" si="1216"/>
        <v>#N/A</v>
      </c>
      <c r="BL512" s="36" t="e">
        <f t="shared" si="1216"/>
        <v>#N/A</v>
      </c>
      <c r="BM512" s="36" t="e">
        <f t="shared" si="1216"/>
        <v>#N/A</v>
      </c>
      <c r="BN512" s="30"/>
    </row>
    <row r="513" spans="1:66" ht="11.25" customHeight="1" x14ac:dyDescent="0.2">
      <c r="A513" s="37"/>
      <c r="B513" s="73"/>
      <c r="C513" s="33">
        <v>2</v>
      </c>
      <c r="D513" s="13" t="s">
        <v>361</v>
      </c>
      <c r="E513" s="16">
        <f t="shared" si="1210"/>
        <v>10</v>
      </c>
      <c r="F513" s="16">
        <f>SUMIFS([0]!VOTOS2,[0]!TURNO1,F$31,[0]!CANDIDATO1,$C513,[0]!MUNICIPIO1,$B$512)</f>
        <v>10</v>
      </c>
      <c r="G513" s="16">
        <f>SUMIFS([0]!VOTOS2,[0]!TURNO1,G$31,[0]!CANDIDATO1,$C513,[0]!MUNICIPIO1,$B$512)</f>
        <v>0</v>
      </c>
      <c r="H513" s="16">
        <f>SUMIFS([0]!VOTOS2,[0]!TURNO1,H$31,[0]!CANDIDATO1,$C513,[0]!MUNICIPIO1,$B$512)</f>
        <v>0</v>
      </c>
      <c r="I513" s="16">
        <f>SUMIFS([0]!VOTOS2,[0]!TURNO1,I$31,[0]!CANDIDATO1,$C513,[0]!MUNICIPIO1,$B$512)</f>
        <v>0</v>
      </c>
      <c r="J513" s="16">
        <f>SUMIFS([0]!VOTOS2,[0]!TURNO1,J$31,[0]!CANDIDATO1,$C513,[0]!MUNICIPIO1,$B$512)</f>
        <v>0</v>
      </c>
      <c r="K513" s="16">
        <f>SUMIFS([0]!VOTOS2,[0]!TURNO1,K$31,[0]!CANDIDATO1,$C513,[0]!MUNICIPIO1,$B$512)</f>
        <v>0</v>
      </c>
      <c r="L513" s="16">
        <f>SUMIFS([0]!VOTOS2,[0]!TURNO1,L$31,[0]!CANDIDATO1,$C513,[0]!MUNICIPIO1,$B$512)</f>
        <v>0</v>
      </c>
      <c r="M513" s="16">
        <f>SUMIFS([0]!VOTOS2,[0]!TURNO1,M$31,[0]!CANDIDATO1,$C513,[0]!MUNICIPIO1,$B$512)</f>
        <v>0</v>
      </c>
      <c r="N513" s="16">
        <f>SUMIFS([0]!VOTOS2,[0]!TURNO1,N$31,[0]!CANDIDATO1,$C513,[0]!MUNICIPIO1,$B$512)</f>
        <v>0</v>
      </c>
      <c r="O513" s="16">
        <f>SUMIFS([0]!VOTOS2,[0]!TURNO1,O$31,[0]!CANDIDATO1,$C513,[0]!MUNICIPIO1,$B$512)</f>
        <v>0</v>
      </c>
      <c r="P513" s="16">
        <f>SUMIFS([0]!VOTOS2,[0]!TURNO1,P$31,[0]!CANDIDATO1,$C513,[0]!MUNICIPIO1,$B$512)</f>
        <v>0</v>
      </c>
      <c r="Q513" s="16">
        <f>SUMIFS([0]!VOTOS2,[0]!TURNO1,Q$31,[0]!CANDIDATO1,$C513,[0]!MUNICIPIO1,$B$512)</f>
        <v>0</v>
      </c>
      <c r="R513" s="16">
        <f>SUMIFS([0]!VOTOS2,[0]!TURNO1,R$31,[0]!CANDIDATO1,$C513,[0]!MUNICIPIO1,$B$512)</f>
        <v>0</v>
      </c>
      <c r="S513" s="16">
        <f>SUMIFS([0]!VOTOS2,[0]!TURNO1,S$31,[0]!CANDIDATO1,$C513,[0]!MUNICIPIO1,$B$512)</f>
        <v>0</v>
      </c>
      <c r="T513" s="16">
        <f>SUMIFS([0]!VOTOS2,[0]!TURNO1,T$31,[0]!CANDIDATO1,$C513,[0]!MUNICIPIO1,$B$512)</f>
        <v>0</v>
      </c>
      <c r="U513" s="16">
        <f>SUMIFS([0]!VOTOS2,[0]!TURNO1,U$31,[0]!CANDIDATO1,$C513,[0]!MUNICIPIO1,$B$512)</f>
        <v>0</v>
      </c>
      <c r="V513" s="16">
        <f>SUMIFS([0]!VOTOS2,[0]!TURNO1,V$31,[0]!CANDIDATO1,$C513,[0]!MUNICIPIO1,$B$512)</f>
        <v>0</v>
      </c>
      <c r="W513" s="16">
        <f>SUMIFS([0]!VOTOS2,[0]!TURNO1,W$31,[0]!CANDIDATO1,$C513,[0]!MUNICIPIO1,$B$512)</f>
        <v>0</v>
      </c>
      <c r="X513" s="24"/>
      <c r="Y513" s="18" t="str">
        <f t="shared" si="1211"/>
        <v>WARNER JIMENEZ</v>
      </c>
      <c r="Z513" s="34">
        <f t="shared" si="1212"/>
        <v>10</v>
      </c>
      <c r="AA513" s="34">
        <f t="shared" si="1213"/>
        <v>10</v>
      </c>
      <c r="AB513" s="34" t="e">
        <f t="shared" ref="AB513:AR513" si="1217">IF(SUM(G512:G524)=0,NA(),G513+AA513)</f>
        <v>#N/A</v>
      </c>
      <c r="AC513" s="34" t="e">
        <f t="shared" si="1217"/>
        <v>#N/A</v>
      </c>
      <c r="AD513" s="34" t="e">
        <f t="shared" si="1217"/>
        <v>#N/A</v>
      </c>
      <c r="AE513" s="34" t="e">
        <f t="shared" si="1217"/>
        <v>#N/A</v>
      </c>
      <c r="AF513" s="34" t="e">
        <f t="shared" si="1217"/>
        <v>#N/A</v>
      </c>
      <c r="AG513" s="34" t="e">
        <f t="shared" si="1217"/>
        <v>#N/A</v>
      </c>
      <c r="AH513" s="34" t="e">
        <f t="shared" si="1217"/>
        <v>#N/A</v>
      </c>
      <c r="AI513" s="34" t="e">
        <f t="shared" si="1217"/>
        <v>#N/A</v>
      </c>
      <c r="AJ513" s="34" t="e">
        <f t="shared" si="1217"/>
        <v>#N/A</v>
      </c>
      <c r="AK513" s="34" t="e">
        <f t="shared" si="1217"/>
        <v>#N/A</v>
      </c>
      <c r="AL513" s="34" t="e">
        <f t="shared" si="1217"/>
        <v>#N/A</v>
      </c>
      <c r="AM513" s="34" t="e">
        <f t="shared" si="1217"/>
        <v>#N/A</v>
      </c>
      <c r="AN513" s="34" t="e">
        <f t="shared" si="1217"/>
        <v>#N/A</v>
      </c>
      <c r="AO513" s="34" t="e">
        <f t="shared" si="1217"/>
        <v>#N/A</v>
      </c>
      <c r="AP513" s="34" t="e">
        <f t="shared" si="1217"/>
        <v>#N/A</v>
      </c>
      <c r="AQ513" s="34" t="e">
        <f t="shared" si="1217"/>
        <v>#N/A</v>
      </c>
      <c r="AR513" s="34" t="e">
        <f t="shared" si="1217"/>
        <v>#N/A</v>
      </c>
      <c r="AS513" s="27"/>
      <c r="AT513" s="35" t="str">
        <f t="shared" si="1215"/>
        <v>WARNER JIMENEZ</v>
      </c>
      <c r="AU513" s="36">
        <f t="shared" ref="AU513:BM513" si="1218">Z513/(Z512+Z513+Z525)</f>
        <v>0.5</v>
      </c>
      <c r="AV513" s="36">
        <f t="shared" si="1218"/>
        <v>0.5</v>
      </c>
      <c r="AW513" s="36" t="e">
        <f t="shared" si="1218"/>
        <v>#N/A</v>
      </c>
      <c r="AX513" s="36" t="e">
        <f t="shared" si="1218"/>
        <v>#N/A</v>
      </c>
      <c r="AY513" s="36" t="e">
        <f t="shared" si="1218"/>
        <v>#N/A</v>
      </c>
      <c r="AZ513" s="36" t="e">
        <f t="shared" si="1218"/>
        <v>#N/A</v>
      </c>
      <c r="BA513" s="36" t="e">
        <f t="shared" si="1218"/>
        <v>#N/A</v>
      </c>
      <c r="BB513" s="36" t="e">
        <f t="shared" si="1218"/>
        <v>#N/A</v>
      </c>
      <c r="BC513" s="36" t="e">
        <f t="shared" si="1218"/>
        <v>#N/A</v>
      </c>
      <c r="BD513" s="36" t="e">
        <f t="shared" si="1218"/>
        <v>#N/A</v>
      </c>
      <c r="BE513" s="36" t="e">
        <f t="shared" si="1218"/>
        <v>#N/A</v>
      </c>
      <c r="BF513" s="36" t="e">
        <f t="shared" si="1218"/>
        <v>#N/A</v>
      </c>
      <c r="BG513" s="36" t="e">
        <f t="shared" si="1218"/>
        <v>#N/A</v>
      </c>
      <c r="BH513" s="36" t="e">
        <f t="shared" si="1218"/>
        <v>#N/A</v>
      </c>
      <c r="BI513" s="36" t="e">
        <f t="shared" si="1218"/>
        <v>#N/A</v>
      </c>
      <c r="BJ513" s="36" t="e">
        <f t="shared" si="1218"/>
        <v>#N/A</v>
      </c>
      <c r="BK513" s="36" t="e">
        <f t="shared" si="1218"/>
        <v>#N/A</v>
      </c>
      <c r="BL513" s="36" t="e">
        <f t="shared" si="1218"/>
        <v>#N/A</v>
      </c>
      <c r="BM513" s="36" t="e">
        <f t="shared" si="1218"/>
        <v>#N/A</v>
      </c>
      <c r="BN513" s="30"/>
    </row>
    <row r="514" spans="1:66" ht="11.25" customHeight="1" x14ac:dyDescent="0.2">
      <c r="A514" s="37"/>
      <c r="B514" s="73"/>
      <c r="C514" s="33">
        <v>3</v>
      </c>
      <c r="D514" s="13" t="s">
        <v>362</v>
      </c>
      <c r="E514" s="16">
        <f t="shared" si="1210"/>
        <v>0</v>
      </c>
      <c r="F514" s="16">
        <f>SUMIFS([0]!VOTOS2,[0]!TURNO1,F$31,[0]!CANDIDATO1,$C514,[0]!MUNICIPIO1,$B$512)</f>
        <v>0</v>
      </c>
      <c r="G514" s="16">
        <f>SUMIFS([0]!VOTOS2,[0]!TURNO1,G$31,[0]!CANDIDATO1,$C514,[0]!MUNICIPIO1,$B$512)</f>
        <v>0</v>
      </c>
      <c r="H514" s="16">
        <f>SUMIFS([0]!VOTOS2,[0]!TURNO1,H$31,[0]!CANDIDATO1,$C514,[0]!MUNICIPIO1,$B$512)</f>
        <v>0</v>
      </c>
      <c r="I514" s="16">
        <f>SUMIFS([0]!VOTOS2,[0]!TURNO1,I$31,[0]!CANDIDATO1,$C514,[0]!MUNICIPIO1,$B$512)</f>
        <v>0</v>
      </c>
      <c r="J514" s="16">
        <f>SUMIFS([0]!VOTOS2,[0]!TURNO1,J$31,[0]!CANDIDATO1,$C514,[0]!MUNICIPIO1,$B$512)</f>
        <v>0</v>
      </c>
      <c r="K514" s="16">
        <f>SUMIFS([0]!VOTOS2,[0]!TURNO1,K$31,[0]!CANDIDATO1,$C514,[0]!MUNICIPIO1,$B$512)</f>
        <v>0</v>
      </c>
      <c r="L514" s="16">
        <f>SUMIFS([0]!VOTOS2,[0]!TURNO1,L$31,[0]!CANDIDATO1,$C514,[0]!MUNICIPIO1,$B$512)</f>
        <v>0</v>
      </c>
      <c r="M514" s="16">
        <f>SUMIFS([0]!VOTOS2,[0]!TURNO1,M$31,[0]!CANDIDATO1,$C514,[0]!MUNICIPIO1,$B$512)</f>
        <v>0</v>
      </c>
      <c r="N514" s="16">
        <f>SUMIFS([0]!VOTOS2,[0]!TURNO1,N$31,[0]!CANDIDATO1,$C514,[0]!MUNICIPIO1,$B$512)</f>
        <v>0</v>
      </c>
      <c r="O514" s="16">
        <f>SUMIFS([0]!VOTOS2,[0]!TURNO1,O$31,[0]!CANDIDATO1,$C514,[0]!MUNICIPIO1,$B$512)</f>
        <v>0</v>
      </c>
      <c r="P514" s="16">
        <f>SUMIFS([0]!VOTOS2,[0]!TURNO1,P$31,[0]!CANDIDATO1,$C514,[0]!MUNICIPIO1,$B$512)</f>
        <v>0</v>
      </c>
      <c r="Q514" s="16">
        <f>SUMIFS([0]!VOTOS2,[0]!TURNO1,Q$31,[0]!CANDIDATO1,$C514,[0]!MUNICIPIO1,$B$512)</f>
        <v>0</v>
      </c>
      <c r="R514" s="16">
        <f>SUMIFS([0]!VOTOS2,[0]!TURNO1,R$31,[0]!CANDIDATO1,$C514,[0]!MUNICIPIO1,$B$512)</f>
        <v>0</v>
      </c>
      <c r="S514" s="16">
        <f>SUMIFS([0]!VOTOS2,[0]!TURNO1,S$31,[0]!CANDIDATO1,$C514,[0]!MUNICIPIO1,$B$512)</f>
        <v>0</v>
      </c>
      <c r="T514" s="16">
        <f>SUMIFS([0]!VOTOS2,[0]!TURNO1,T$31,[0]!CANDIDATO1,$C514,[0]!MUNICIPIO1,$B$512)</f>
        <v>0</v>
      </c>
      <c r="U514" s="16">
        <f>SUMIFS([0]!VOTOS2,[0]!TURNO1,U$31,[0]!CANDIDATO1,$C514,[0]!MUNICIPIO1,$B$512)</f>
        <v>0</v>
      </c>
      <c r="V514" s="16">
        <f>SUMIFS([0]!VOTOS2,[0]!TURNO1,V$31,[0]!CANDIDATO1,$C514,[0]!MUNICIPIO1,$B$512)</f>
        <v>0</v>
      </c>
      <c r="W514" s="16">
        <f>SUMIFS([0]!VOTOS2,[0]!TURNO1,W$31,[0]!CANDIDATO1,$C514,[0]!MUNICIPIO1,$B$512)</f>
        <v>0</v>
      </c>
      <c r="X514" s="24"/>
      <c r="Y514" s="18" t="str">
        <f t="shared" si="1211"/>
        <v>JESUS DOMINGUEZ</v>
      </c>
      <c r="Z514" s="34">
        <f t="shared" si="1212"/>
        <v>0</v>
      </c>
      <c r="AA514" s="34">
        <f t="shared" si="1213"/>
        <v>0</v>
      </c>
      <c r="AB514" s="34" t="e">
        <f t="shared" ref="AB514:AR514" si="1219">IF(SUM(G512:G524)=0,NA(),G514+AA514)</f>
        <v>#N/A</v>
      </c>
      <c r="AC514" s="34" t="e">
        <f t="shared" si="1219"/>
        <v>#N/A</v>
      </c>
      <c r="AD514" s="34" t="e">
        <f t="shared" si="1219"/>
        <v>#N/A</v>
      </c>
      <c r="AE514" s="34" t="e">
        <f t="shared" si="1219"/>
        <v>#N/A</v>
      </c>
      <c r="AF514" s="34" t="e">
        <f t="shared" si="1219"/>
        <v>#N/A</v>
      </c>
      <c r="AG514" s="34" t="e">
        <f t="shared" si="1219"/>
        <v>#N/A</v>
      </c>
      <c r="AH514" s="34" t="e">
        <f t="shared" si="1219"/>
        <v>#N/A</v>
      </c>
      <c r="AI514" s="34" t="e">
        <f t="shared" si="1219"/>
        <v>#N/A</v>
      </c>
      <c r="AJ514" s="34" t="e">
        <f t="shared" si="1219"/>
        <v>#N/A</v>
      </c>
      <c r="AK514" s="34" t="e">
        <f t="shared" si="1219"/>
        <v>#N/A</v>
      </c>
      <c r="AL514" s="34" t="e">
        <f t="shared" si="1219"/>
        <v>#N/A</v>
      </c>
      <c r="AM514" s="34" t="e">
        <f t="shared" si="1219"/>
        <v>#N/A</v>
      </c>
      <c r="AN514" s="34" t="e">
        <f t="shared" si="1219"/>
        <v>#N/A</v>
      </c>
      <c r="AO514" s="34" t="e">
        <f t="shared" si="1219"/>
        <v>#N/A</v>
      </c>
      <c r="AP514" s="34" t="e">
        <f t="shared" si="1219"/>
        <v>#N/A</v>
      </c>
      <c r="AQ514" s="34" t="e">
        <f t="shared" si="1219"/>
        <v>#N/A</v>
      </c>
      <c r="AR514" s="34" t="e">
        <f t="shared" si="1219"/>
        <v>#N/A</v>
      </c>
      <c r="AS514" s="27"/>
      <c r="AT514" s="35" t="str">
        <f t="shared" ref="AT514" si="1220">Y525</f>
        <v>Otros</v>
      </c>
      <c r="AU514" s="36">
        <f t="shared" ref="AU514:BM514" si="1221">Z525/(Z512+Z513+Z525)</f>
        <v>0</v>
      </c>
      <c r="AV514" s="36">
        <f t="shared" si="1221"/>
        <v>0</v>
      </c>
      <c r="AW514" s="36" t="e">
        <f t="shared" si="1221"/>
        <v>#N/A</v>
      </c>
      <c r="AX514" s="36" t="e">
        <f t="shared" si="1221"/>
        <v>#N/A</v>
      </c>
      <c r="AY514" s="36" t="e">
        <f t="shared" si="1221"/>
        <v>#N/A</v>
      </c>
      <c r="AZ514" s="36" t="e">
        <f t="shared" si="1221"/>
        <v>#N/A</v>
      </c>
      <c r="BA514" s="36" t="e">
        <f t="shared" si="1221"/>
        <v>#N/A</v>
      </c>
      <c r="BB514" s="36" t="e">
        <f t="shared" si="1221"/>
        <v>#N/A</v>
      </c>
      <c r="BC514" s="36" t="e">
        <f t="shared" si="1221"/>
        <v>#N/A</v>
      </c>
      <c r="BD514" s="36" t="e">
        <f t="shared" si="1221"/>
        <v>#N/A</v>
      </c>
      <c r="BE514" s="36" t="e">
        <f t="shared" si="1221"/>
        <v>#N/A</v>
      </c>
      <c r="BF514" s="36" t="e">
        <f t="shared" si="1221"/>
        <v>#N/A</v>
      </c>
      <c r="BG514" s="36" t="e">
        <f t="shared" si="1221"/>
        <v>#N/A</v>
      </c>
      <c r="BH514" s="36" t="e">
        <f t="shared" si="1221"/>
        <v>#N/A</v>
      </c>
      <c r="BI514" s="36" t="e">
        <f t="shared" si="1221"/>
        <v>#N/A</v>
      </c>
      <c r="BJ514" s="36" t="e">
        <f t="shared" si="1221"/>
        <v>#N/A</v>
      </c>
      <c r="BK514" s="36" t="e">
        <f t="shared" si="1221"/>
        <v>#N/A</v>
      </c>
      <c r="BL514" s="36" t="e">
        <f t="shared" si="1221"/>
        <v>#N/A</v>
      </c>
      <c r="BM514" s="36" t="e">
        <f t="shared" si="1221"/>
        <v>#N/A</v>
      </c>
      <c r="BN514" s="30"/>
    </row>
    <row r="515" spans="1:66" ht="11.25" customHeight="1" x14ac:dyDescent="0.2">
      <c r="A515" s="38" t="s">
        <v>40</v>
      </c>
      <c r="B515" s="73"/>
      <c r="C515" s="33">
        <v>4</v>
      </c>
      <c r="D515" s="13" t="s">
        <v>363</v>
      </c>
      <c r="E515" s="16">
        <f t="shared" si="1210"/>
        <v>0</v>
      </c>
      <c r="F515" s="16">
        <f>SUMIFS([0]!VOTOS2,[0]!TURNO1,F$31,[0]!CANDIDATO1,$C515,[0]!MUNICIPIO1,$B$512)</f>
        <v>0</v>
      </c>
      <c r="G515" s="16">
        <f>SUMIFS([0]!VOTOS2,[0]!TURNO1,G$31,[0]!CANDIDATO1,$C515,[0]!MUNICIPIO1,$B$512)</f>
        <v>0</v>
      </c>
      <c r="H515" s="16">
        <f>SUMIFS([0]!VOTOS2,[0]!TURNO1,H$31,[0]!CANDIDATO1,$C515,[0]!MUNICIPIO1,$B$512)</f>
        <v>0</v>
      </c>
      <c r="I515" s="16">
        <f>SUMIFS([0]!VOTOS2,[0]!TURNO1,I$31,[0]!CANDIDATO1,$C515,[0]!MUNICIPIO1,$B$512)</f>
        <v>0</v>
      </c>
      <c r="J515" s="16">
        <f>SUMIFS([0]!VOTOS2,[0]!TURNO1,J$31,[0]!CANDIDATO1,$C515,[0]!MUNICIPIO1,$B$512)</f>
        <v>0</v>
      </c>
      <c r="K515" s="16">
        <f>SUMIFS([0]!VOTOS2,[0]!TURNO1,K$31,[0]!CANDIDATO1,$C515,[0]!MUNICIPIO1,$B$512)</f>
        <v>0</v>
      </c>
      <c r="L515" s="16">
        <f>SUMIFS([0]!VOTOS2,[0]!TURNO1,L$31,[0]!CANDIDATO1,$C515,[0]!MUNICIPIO1,$B$512)</f>
        <v>0</v>
      </c>
      <c r="M515" s="16">
        <f>SUMIFS([0]!VOTOS2,[0]!TURNO1,M$31,[0]!CANDIDATO1,$C515,[0]!MUNICIPIO1,$B$512)</f>
        <v>0</v>
      </c>
      <c r="N515" s="16">
        <f>SUMIFS([0]!VOTOS2,[0]!TURNO1,N$31,[0]!CANDIDATO1,$C515,[0]!MUNICIPIO1,$B$512)</f>
        <v>0</v>
      </c>
      <c r="O515" s="16">
        <f>SUMIFS([0]!VOTOS2,[0]!TURNO1,O$31,[0]!CANDIDATO1,$C515,[0]!MUNICIPIO1,$B$512)</f>
        <v>0</v>
      </c>
      <c r="P515" s="16">
        <f>SUMIFS([0]!VOTOS2,[0]!TURNO1,P$31,[0]!CANDIDATO1,$C515,[0]!MUNICIPIO1,$B$512)</f>
        <v>0</v>
      </c>
      <c r="Q515" s="16">
        <f>SUMIFS([0]!VOTOS2,[0]!TURNO1,Q$31,[0]!CANDIDATO1,$C515,[0]!MUNICIPIO1,$B$512)</f>
        <v>0</v>
      </c>
      <c r="R515" s="16">
        <f>SUMIFS([0]!VOTOS2,[0]!TURNO1,R$31,[0]!CANDIDATO1,$C515,[0]!MUNICIPIO1,$B$512)</f>
        <v>0</v>
      </c>
      <c r="S515" s="16">
        <f>SUMIFS([0]!VOTOS2,[0]!TURNO1,S$31,[0]!CANDIDATO1,$C515,[0]!MUNICIPIO1,$B$512)</f>
        <v>0</v>
      </c>
      <c r="T515" s="16">
        <f>SUMIFS([0]!VOTOS2,[0]!TURNO1,T$31,[0]!CANDIDATO1,$C515,[0]!MUNICIPIO1,$B$512)</f>
        <v>0</v>
      </c>
      <c r="U515" s="16">
        <f>SUMIFS([0]!VOTOS2,[0]!TURNO1,U$31,[0]!CANDIDATO1,$C515,[0]!MUNICIPIO1,$B$512)</f>
        <v>0</v>
      </c>
      <c r="V515" s="16">
        <f>SUMIFS([0]!VOTOS2,[0]!TURNO1,V$31,[0]!CANDIDATO1,$C515,[0]!MUNICIPIO1,$B$512)</f>
        <v>0</v>
      </c>
      <c r="W515" s="16">
        <f>SUMIFS([0]!VOTOS2,[0]!TURNO1,W$31,[0]!CANDIDATO1,$C515,[0]!MUNICIPIO1,$B$512)</f>
        <v>0</v>
      </c>
      <c r="X515" s="24"/>
      <c r="Y515" s="18" t="str">
        <f t="shared" si="1211"/>
        <v>NUMA ROJAS</v>
      </c>
      <c r="Z515" s="34">
        <f t="shared" si="1212"/>
        <v>0</v>
      </c>
      <c r="AA515" s="34">
        <f t="shared" si="1213"/>
        <v>0</v>
      </c>
      <c r="AB515" s="34" t="e">
        <f t="shared" ref="AB515:AR515" si="1222">IF(SUM(G512:G524)=0,NA(),G515+AA515)</f>
        <v>#N/A</v>
      </c>
      <c r="AC515" s="34" t="e">
        <f t="shared" si="1222"/>
        <v>#N/A</v>
      </c>
      <c r="AD515" s="34" t="e">
        <f t="shared" si="1222"/>
        <v>#N/A</v>
      </c>
      <c r="AE515" s="34" t="e">
        <f t="shared" si="1222"/>
        <v>#N/A</v>
      </c>
      <c r="AF515" s="34" t="e">
        <f t="shared" si="1222"/>
        <v>#N/A</v>
      </c>
      <c r="AG515" s="34" t="e">
        <f t="shared" si="1222"/>
        <v>#N/A</v>
      </c>
      <c r="AH515" s="34" t="e">
        <f t="shared" si="1222"/>
        <v>#N/A</v>
      </c>
      <c r="AI515" s="34" t="e">
        <f t="shared" si="1222"/>
        <v>#N/A</v>
      </c>
      <c r="AJ515" s="34" t="e">
        <f t="shared" si="1222"/>
        <v>#N/A</v>
      </c>
      <c r="AK515" s="34" t="e">
        <f t="shared" si="1222"/>
        <v>#N/A</v>
      </c>
      <c r="AL515" s="34" t="e">
        <f t="shared" si="1222"/>
        <v>#N/A</v>
      </c>
      <c r="AM515" s="34" t="e">
        <f t="shared" si="1222"/>
        <v>#N/A</v>
      </c>
      <c r="AN515" s="34" t="e">
        <f t="shared" si="1222"/>
        <v>#N/A</v>
      </c>
      <c r="AO515" s="34" t="e">
        <f t="shared" si="1222"/>
        <v>#N/A</v>
      </c>
      <c r="AP515" s="34" t="e">
        <f t="shared" si="1222"/>
        <v>#N/A</v>
      </c>
      <c r="AQ515" s="34" t="e">
        <f t="shared" si="1222"/>
        <v>#N/A</v>
      </c>
      <c r="AR515" s="34" t="e">
        <f t="shared" si="1222"/>
        <v>#N/A</v>
      </c>
      <c r="AS515" s="27"/>
      <c r="AT515" s="39"/>
      <c r="AU515" s="39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30"/>
    </row>
    <row r="516" spans="1:66" ht="11.25" customHeight="1" x14ac:dyDescent="0.2">
      <c r="A516" s="38" t="s">
        <v>41</v>
      </c>
      <c r="B516" s="73"/>
      <c r="C516" s="33">
        <v>5</v>
      </c>
      <c r="D516" s="13" t="s">
        <v>364</v>
      </c>
      <c r="E516" s="16">
        <f t="shared" si="1210"/>
        <v>0</v>
      </c>
      <c r="F516" s="16">
        <f>SUMIFS([0]!VOTOS2,[0]!TURNO1,F$31,[0]!CANDIDATO1,$C516,[0]!MUNICIPIO1,$B$512)</f>
        <v>0</v>
      </c>
      <c r="G516" s="16">
        <f>SUMIFS([0]!VOTOS2,[0]!TURNO1,G$31,[0]!CANDIDATO1,$C516,[0]!MUNICIPIO1,$B$512)</f>
        <v>0</v>
      </c>
      <c r="H516" s="16">
        <f>SUMIFS([0]!VOTOS2,[0]!TURNO1,H$31,[0]!CANDIDATO1,$C516,[0]!MUNICIPIO1,$B$512)</f>
        <v>0</v>
      </c>
      <c r="I516" s="16">
        <f>SUMIFS([0]!VOTOS2,[0]!TURNO1,I$31,[0]!CANDIDATO1,$C516,[0]!MUNICIPIO1,$B$512)</f>
        <v>0</v>
      </c>
      <c r="J516" s="16">
        <f>SUMIFS([0]!VOTOS2,[0]!TURNO1,J$31,[0]!CANDIDATO1,$C516,[0]!MUNICIPIO1,$B$512)</f>
        <v>0</v>
      </c>
      <c r="K516" s="16">
        <f>SUMIFS([0]!VOTOS2,[0]!TURNO1,K$31,[0]!CANDIDATO1,$C516,[0]!MUNICIPIO1,$B$512)</f>
        <v>0</v>
      </c>
      <c r="L516" s="16">
        <f>SUMIFS([0]!VOTOS2,[0]!TURNO1,L$31,[0]!CANDIDATO1,$C516,[0]!MUNICIPIO1,$B$512)</f>
        <v>0</v>
      </c>
      <c r="M516" s="16">
        <f>SUMIFS([0]!VOTOS2,[0]!TURNO1,M$31,[0]!CANDIDATO1,$C516,[0]!MUNICIPIO1,$B$512)</f>
        <v>0</v>
      </c>
      <c r="N516" s="16">
        <f>SUMIFS([0]!VOTOS2,[0]!TURNO1,N$31,[0]!CANDIDATO1,$C516,[0]!MUNICIPIO1,$B$512)</f>
        <v>0</v>
      </c>
      <c r="O516" s="16">
        <f>SUMIFS([0]!VOTOS2,[0]!TURNO1,O$31,[0]!CANDIDATO1,$C516,[0]!MUNICIPIO1,$B$512)</f>
        <v>0</v>
      </c>
      <c r="P516" s="16">
        <f>SUMIFS([0]!VOTOS2,[0]!TURNO1,P$31,[0]!CANDIDATO1,$C516,[0]!MUNICIPIO1,$B$512)</f>
        <v>0</v>
      </c>
      <c r="Q516" s="16">
        <f>SUMIFS([0]!VOTOS2,[0]!TURNO1,Q$31,[0]!CANDIDATO1,$C516,[0]!MUNICIPIO1,$B$512)</f>
        <v>0</v>
      </c>
      <c r="R516" s="16">
        <f>SUMIFS([0]!VOTOS2,[0]!TURNO1,R$31,[0]!CANDIDATO1,$C516,[0]!MUNICIPIO1,$B$512)</f>
        <v>0</v>
      </c>
      <c r="S516" s="16">
        <f>SUMIFS([0]!VOTOS2,[0]!TURNO1,S$31,[0]!CANDIDATO1,$C516,[0]!MUNICIPIO1,$B$512)</f>
        <v>0</v>
      </c>
      <c r="T516" s="16">
        <f>SUMIFS([0]!VOTOS2,[0]!TURNO1,T$31,[0]!CANDIDATO1,$C516,[0]!MUNICIPIO1,$B$512)</f>
        <v>0</v>
      </c>
      <c r="U516" s="16">
        <f>SUMIFS([0]!VOTOS2,[0]!TURNO1,U$31,[0]!CANDIDATO1,$C516,[0]!MUNICIPIO1,$B$512)</f>
        <v>0</v>
      </c>
      <c r="V516" s="16">
        <f>SUMIFS([0]!VOTOS2,[0]!TURNO1,V$31,[0]!CANDIDATO1,$C516,[0]!MUNICIPIO1,$B$512)</f>
        <v>0</v>
      </c>
      <c r="W516" s="16">
        <f>SUMIFS([0]!VOTOS2,[0]!TURNO1,W$31,[0]!CANDIDATO1,$C516,[0]!MUNICIPIO1,$B$512)</f>
        <v>0</v>
      </c>
      <c r="X516" s="24"/>
      <c r="Y516" s="18" t="str">
        <f t="shared" si="1211"/>
        <v>JOSE A. CANTOR</v>
      </c>
      <c r="Z516" s="34">
        <f t="shared" si="1212"/>
        <v>0</v>
      </c>
      <c r="AA516" s="34">
        <f t="shared" si="1213"/>
        <v>0</v>
      </c>
      <c r="AB516" s="34" t="e">
        <f t="shared" ref="AB516:AR516" si="1223">IF(SUM(G512:G524)=0,NA(),G516+AA516)</f>
        <v>#N/A</v>
      </c>
      <c r="AC516" s="34" t="e">
        <f t="shared" si="1223"/>
        <v>#N/A</v>
      </c>
      <c r="AD516" s="34" t="e">
        <f t="shared" si="1223"/>
        <v>#N/A</v>
      </c>
      <c r="AE516" s="34" t="e">
        <f t="shared" si="1223"/>
        <v>#N/A</v>
      </c>
      <c r="AF516" s="34" t="e">
        <f t="shared" si="1223"/>
        <v>#N/A</v>
      </c>
      <c r="AG516" s="34" t="e">
        <f t="shared" si="1223"/>
        <v>#N/A</v>
      </c>
      <c r="AH516" s="34" t="e">
        <f t="shared" si="1223"/>
        <v>#N/A</v>
      </c>
      <c r="AI516" s="34" t="e">
        <f t="shared" si="1223"/>
        <v>#N/A</v>
      </c>
      <c r="AJ516" s="34" t="e">
        <f t="shared" si="1223"/>
        <v>#N/A</v>
      </c>
      <c r="AK516" s="34" t="e">
        <f t="shared" si="1223"/>
        <v>#N/A</v>
      </c>
      <c r="AL516" s="34" t="e">
        <f t="shared" si="1223"/>
        <v>#N/A</v>
      </c>
      <c r="AM516" s="34" t="e">
        <f t="shared" si="1223"/>
        <v>#N/A</v>
      </c>
      <c r="AN516" s="34" t="e">
        <f t="shared" si="1223"/>
        <v>#N/A</v>
      </c>
      <c r="AO516" s="34" t="e">
        <f t="shared" si="1223"/>
        <v>#N/A</v>
      </c>
      <c r="AP516" s="34" t="e">
        <f t="shared" si="1223"/>
        <v>#N/A</v>
      </c>
      <c r="AQ516" s="34" t="e">
        <f t="shared" si="1223"/>
        <v>#N/A</v>
      </c>
      <c r="AR516" s="34" t="e">
        <f t="shared" si="1223"/>
        <v>#N/A</v>
      </c>
      <c r="AS516" s="27"/>
      <c r="AT516" s="39"/>
      <c r="AU516" s="39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30"/>
    </row>
    <row r="517" spans="1:66" ht="11.25" customHeight="1" x14ac:dyDescent="0.2">
      <c r="A517" s="37"/>
      <c r="B517" s="73"/>
      <c r="C517" s="33">
        <v>6</v>
      </c>
      <c r="D517" s="13" t="s">
        <v>365</v>
      </c>
      <c r="E517" s="16">
        <f t="shared" si="1210"/>
        <v>0</v>
      </c>
      <c r="F517" s="16">
        <f>SUMIFS([0]!VOTOS2,[0]!TURNO1,F$31,[0]!CANDIDATO1,$C517,[0]!MUNICIPIO1,$B$512)</f>
        <v>0</v>
      </c>
      <c r="G517" s="16">
        <f>SUMIFS([0]!VOTOS2,[0]!TURNO1,G$31,[0]!CANDIDATO1,$C517,[0]!MUNICIPIO1,$B$512)</f>
        <v>0</v>
      </c>
      <c r="H517" s="16">
        <f>SUMIFS([0]!VOTOS2,[0]!TURNO1,H$31,[0]!CANDIDATO1,$C517,[0]!MUNICIPIO1,$B$512)</f>
        <v>0</v>
      </c>
      <c r="I517" s="16">
        <f>SUMIFS([0]!VOTOS2,[0]!TURNO1,I$31,[0]!CANDIDATO1,$C517,[0]!MUNICIPIO1,$B$512)</f>
        <v>0</v>
      </c>
      <c r="J517" s="16">
        <f>SUMIFS([0]!VOTOS2,[0]!TURNO1,J$31,[0]!CANDIDATO1,$C517,[0]!MUNICIPIO1,$B$512)</f>
        <v>0</v>
      </c>
      <c r="K517" s="16">
        <f>SUMIFS([0]!VOTOS2,[0]!TURNO1,K$31,[0]!CANDIDATO1,$C517,[0]!MUNICIPIO1,$B$512)</f>
        <v>0</v>
      </c>
      <c r="L517" s="16">
        <f>SUMIFS([0]!VOTOS2,[0]!TURNO1,L$31,[0]!CANDIDATO1,$C517,[0]!MUNICIPIO1,$B$512)</f>
        <v>0</v>
      </c>
      <c r="M517" s="16">
        <f>SUMIFS([0]!VOTOS2,[0]!TURNO1,M$31,[0]!CANDIDATO1,$C517,[0]!MUNICIPIO1,$B$512)</f>
        <v>0</v>
      </c>
      <c r="N517" s="16">
        <f>SUMIFS([0]!VOTOS2,[0]!TURNO1,N$31,[0]!CANDIDATO1,$C517,[0]!MUNICIPIO1,$B$512)</f>
        <v>0</v>
      </c>
      <c r="O517" s="16">
        <f>SUMIFS([0]!VOTOS2,[0]!TURNO1,O$31,[0]!CANDIDATO1,$C517,[0]!MUNICIPIO1,$B$512)</f>
        <v>0</v>
      </c>
      <c r="P517" s="16">
        <f>SUMIFS([0]!VOTOS2,[0]!TURNO1,P$31,[0]!CANDIDATO1,$C517,[0]!MUNICIPIO1,$B$512)</f>
        <v>0</v>
      </c>
      <c r="Q517" s="16">
        <f>SUMIFS([0]!VOTOS2,[0]!TURNO1,Q$31,[0]!CANDIDATO1,$C517,[0]!MUNICIPIO1,$B$512)</f>
        <v>0</v>
      </c>
      <c r="R517" s="16">
        <f>SUMIFS([0]!VOTOS2,[0]!TURNO1,R$31,[0]!CANDIDATO1,$C517,[0]!MUNICIPIO1,$B$512)</f>
        <v>0</v>
      </c>
      <c r="S517" s="16">
        <f>SUMIFS([0]!VOTOS2,[0]!TURNO1,S$31,[0]!CANDIDATO1,$C517,[0]!MUNICIPIO1,$B$512)</f>
        <v>0</v>
      </c>
      <c r="T517" s="16">
        <f>SUMIFS([0]!VOTOS2,[0]!TURNO1,T$31,[0]!CANDIDATO1,$C517,[0]!MUNICIPIO1,$B$512)</f>
        <v>0</v>
      </c>
      <c r="U517" s="16">
        <f>SUMIFS([0]!VOTOS2,[0]!TURNO1,U$31,[0]!CANDIDATO1,$C517,[0]!MUNICIPIO1,$B$512)</f>
        <v>0</v>
      </c>
      <c r="V517" s="16">
        <f>SUMIFS([0]!VOTOS2,[0]!TURNO1,V$31,[0]!CANDIDATO1,$C517,[0]!MUNICIPIO1,$B$512)</f>
        <v>0</v>
      </c>
      <c r="W517" s="16">
        <f>SUMIFS([0]!VOTOS2,[0]!TURNO1,W$31,[0]!CANDIDATO1,$C517,[0]!MUNICIPIO1,$B$512)</f>
        <v>0</v>
      </c>
      <c r="X517" s="24"/>
      <c r="Y517" s="18" t="str">
        <f t="shared" si="1211"/>
        <v>MARY CACERES</v>
      </c>
      <c r="Z517" s="34">
        <f t="shared" si="1212"/>
        <v>0</v>
      </c>
      <c r="AA517" s="34">
        <f t="shared" si="1213"/>
        <v>0</v>
      </c>
      <c r="AB517" s="34" t="e">
        <f t="shared" ref="AB517:AR517" si="1224">IF(SUM(G512:G524)=0,NA(),G517+AA517)</f>
        <v>#N/A</v>
      </c>
      <c r="AC517" s="34" t="e">
        <f t="shared" si="1224"/>
        <v>#N/A</v>
      </c>
      <c r="AD517" s="34" t="e">
        <f t="shared" si="1224"/>
        <v>#N/A</v>
      </c>
      <c r="AE517" s="34" t="e">
        <f t="shared" si="1224"/>
        <v>#N/A</v>
      </c>
      <c r="AF517" s="34" t="e">
        <f t="shared" si="1224"/>
        <v>#N/A</v>
      </c>
      <c r="AG517" s="34" t="e">
        <f t="shared" si="1224"/>
        <v>#N/A</v>
      </c>
      <c r="AH517" s="34" t="e">
        <f t="shared" si="1224"/>
        <v>#N/A</v>
      </c>
      <c r="AI517" s="34" t="e">
        <f t="shared" si="1224"/>
        <v>#N/A</v>
      </c>
      <c r="AJ517" s="34" t="e">
        <f t="shared" si="1224"/>
        <v>#N/A</v>
      </c>
      <c r="AK517" s="34" t="e">
        <f t="shared" si="1224"/>
        <v>#N/A</v>
      </c>
      <c r="AL517" s="34" t="e">
        <f t="shared" si="1224"/>
        <v>#N/A</v>
      </c>
      <c r="AM517" s="34" t="e">
        <f t="shared" si="1224"/>
        <v>#N/A</v>
      </c>
      <c r="AN517" s="34" t="e">
        <f t="shared" si="1224"/>
        <v>#N/A</v>
      </c>
      <c r="AO517" s="34" t="e">
        <f t="shared" si="1224"/>
        <v>#N/A</v>
      </c>
      <c r="AP517" s="34" t="e">
        <f t="shared" si="1224"/>
        <v>#N/A</v>
      </c>
      <c r="AQ517" s="34" t="e">
        <f t="shared" si="1224"/>
        <v>#N/A</v>
      </c>
      <c r="AR517" s="34" t="e">
        <f t="shared" si="1224"/>
        <v>#N/A</v>
      </c>
      <c r="AS517" s="27"/>
      <c r="AT517" s="39"/>
      <c r="AU517" s="39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30"/>
    </row>
    <row r="518" spans="1:66" ht="11.25" customHeight="1" x14ac:dyDescent="0.2">
      <c r="A518" s="37"/>
      <c r="B518" s="73"/>
      <c r="C518" s="33">
        <v>7</v>
      </c>
      <c r="D518" s="13" t="s">
        <v>366</v>
      </c>
      <c r="E518" s="16">
        <f t="shared" si="1210"/>
        <v>0</v>
      </c>
      <c r="F518" s="16">
        <f>SUMIFS([0]!VOTOS2,[0]!TURNO1,F$31,[0]!CANDIDATO1,$C518,[0]!MUNICIPIO1,$B$512)</f>
        <v>0</v>
      </c>
      <c r="G518" s="16">
        <f>SUMIFS([0]!VOTOS2,[0]!TURNO1,G$31,[0]!CANDIDATO1,$C518,[0]!MUNICIPIO1,$B$512)</f>
        <v>0</v>
      </c>
      <c r="H518" s="16">
        <f>SUMIFS([0]!VOTOS2,[0]!TURNO1,H$31,[0]!CANDIDATO1,$C518,[0]!MUNICIPIO1,$B$512)</f>
        <v>0</v>
      </c>
      <c r="I518" s="16">
        <f>SUMIFS([0]!VOTOS2,[0]!TURNO1,I$31,[0]!CANDIDATO1,$C518,[0]!MUNICIPIO1,$B$512)</f>
        <v>0</v>
      </c>
      <c r="J518" s="16">
        <f>SUMIFS([0]!VOTOS2,[0]!TURNO1,J$31,[0]!CANDIDATO1,$C518,[0]!MUNICIPIO1,$B$512)</f>
        <v>0</v>
      </c>
      <c r="K518" s="16">
        <f>SUMIFS([0]!VOTOS2,[0]!TURNO1,K$31,[0]!CANDIDATO1,$C518,[0]!MUNICIPIO1,$B$512)</f>
        <v>0</v>
      </c>
      <c r="L518" s="16">
        <f>SUMIFS([0]!VOTOS2,[0]!TURNO1,L$31,[0]!CANDIDATO1,$C518,[0]!MUNICIPIO1,$B$512)</f>
        <v>0</v>
      </c>
      <c r="M518" s="16">
        <f>SUMIFS([0]!VOTOS2,[0]!TURNO1,M$31,[0]!CANDIDATO1,$C518,[0]!MUNICIPIO1,$B$512)</f>
        <v>0</v>
      </c>
      <c r="N518" s="16">
        <f>SUMIFS([0]!VOTOS2,[0]!TURNO1,N$31,[0]!CANDIDATO1,$C518,[0]!MUNICIPIO1,$B$512)</f>
        <v>0</v>
      </c>
      <c r="O518" s="16">
        <f>SUMIFS([0]!VOTOS2,[0]!TURNO1,O$31,[0]!CANDIDATO1,$C518,[0]!MUNICIPIO1,$B$512)</f>
        <v>0</v>
      </c>
      <c r="P518" s="16">
        <f>SUMIFS([0]!VOTOS2,[0]!TURNO1,P$31,[0]!CANDIDATO1,$C518,[0]!MUNICIPIO1,$B$512)</f>
        <v>0</v>
      </c>
      <c r="Q518" s="16">
        <f>SUMIFS([0]!VOTOS2,[0]!TURNO1,Q$31,[0]!CANDIDATO1,$C518,[0]!MUNICIPIO1,$B$512)</f>
        <v>0</v>
      </c>
      <c r="R518" s="16">
        <f>SUMIFS([0]!VOTOS2,[0]!TURNO1,R$31,[0]!CANDIDATO1,$C518,[0]!MUNICIPIO1,$B$512)</f>
        <v>0</v>
      </c>
      <c r="S518" s="16">
        <f>SUMIFS([0]!VOTOS2,[0]!TURNO1,S$31,[0]!CANDIDATO1,$C518,[0]!MUNICIPIO1,$B$512)</f>
        <v>0</v>
      </c>
      <c r="T518" s="16">
        <f>SUMIFS([0]!VOTOS2,[0]!TURNO1,T$31,[0]!CANDIDATO1,$C518,[0]!MUNICIPIO1,$B$512)</f>
        <v>0</v>
      </c>
      <c r="U518" s="16">
        <f>SUMIFS([0]!VOTOS2,[0]!TURNO1,U$31,[0]!CANDIDATO1,$C518,[0]!MUNICIPIO1,$B$512)</f>
        <v>0</v>
      </c>
      <c r="V518" s="16">
        <f>SUMIFS([0]!VOTOS2,[0]!TURNO1,V$31,[0]!CANDIDATO1,$C518,[0]!MUNICIPIO1,$B$512)</f>
        <v>0</v>
      </c>
      <c r="W518" s="16">
        <f>SUMIFS([0]!VOTOS2,[0]!TURNO1,W$31,[0]!CANDIDATO1,$C518,[0]!MUNICIPIO1,$B$512)</f>
        <v>0</v>
      </c>
      <c r="X518" s="24"/>
      <c r="Y518" s="18" t="str">
        <f t="shared" si="1211"/>
        <v>EGLIS DIAZ</v>
      </c>
      <c r="Z518" s="34">
        <f t="shared" si="1212"/>
        <v>0</v>
      </c>
      <c r="AA518" s="34">
        <f t="shared" si="1213"/>
        <v>0</v>
      </c>
      <c r="AB518" s="34" t="e">
        <f t="shared" ref="AB518:AR518" si="1225">IF(SUM(G512:G524)=0,NA(),G518+AA518)</f>
        <v>#N/A</v>
      </c>
      <c r="AC518" s="34" t="e">
        <f t="shared" si="1225"/>
        <v>#N/A</v>
      </c>
      <c r="AD518" s="34" t="e">
        <f t="shared" si="1225"/>
        <v>#N/A</v>
      </c>
      <c r="AE518" s="34" t="e">
        <f t="shared" si="1225"/>
        <v>#N/A</v>
      </c>
      <c r="AF518" s="34" t="e">
        <f t="shared" si="1225"/>
        <v>#N/A</v>
      </c>
      <c r="AG518" s="34" t="e">
        <f t="shared" si="1225"/>
        <v>#N/A</v>
      </c>
      <c r="AH518" s="34" t="e">
        <f t="shared" si="1225"/>
        <v>#N/A</v>
      </c>
      <c r="AI518" s="34" t="e">
        <f t="shared" si="1225"/>
        <v>#N/A</v>
      </c>
      <c r="AJ518" s="34" t="e">
        <f t="shared" si="1225"/>
        <v>#N/A</v>
      </c>
      <c r="AK518" s="34" t="e">
        <f t="shared" si="1225"/>
        <v>#N/A</v>
      </c>
      <c r="AL518" s="34" t="e">
        <f t="shared" si="1225"/>
        <v>#N/A</v>
      </c>
      <c r="AM518" s="34" t="e">
        <f t="shared" si="1225"/>
        <v>#N/A</v>
      </c>
      <c r="AN518" s="34" t="e">
        <f t="shared" si="1225"/>
        <v>#N/A</v>
      </c>
      <c r="AO518" s="34" t="e">
        <f t="shared" si="1225"/>
        <v>#N/A</v>
      </c>
      <c r="AP518" s="34" t="e">
        <f t="shared" si="1225"/>
        <v>#N/A</v>
      </c>
      <c r="AQ518" s="34" t="e">
        <f t="shared" si="1225"/>
        <v>#N/A</v>
      </c>
      <c r="AR518" s="34" t="e">
        <f t="shared" si="1225"/>
        <v>#N/A</v>
      </c>
      <c r="AS518" s="27"/>
      <c r="AT518" s="39"/>
      <c r="AU518" s="39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30"/>
    </row>
    <row r="519" spans="1:66" ht="11.25" customHeight="1" x14ac:dyDescent="0.2">
      <c r="A519" s="42"/>
      <c r="B519" s="74"/>
      <c r="C519" s="33">
        <v>8</v>
      </c>
      <c r="D519" s="13" t="s">
        <v>367</v>
      </c>
      <c r="E519" s="16">
        <f t="shared" si="1210"/>
        <v>0</v>
      </c>
      <c r="F519" s="16">
        <f>SUMIFS([0]!VOTOS2,[0]!TURNO1,F$31,[0]!CANDIDATO1,$C519,[0]!MUNICIPIO1,$B$512)</f>
        <v>0</v>
      </c>
      <c r="G519" s="16">
        <f>SUMIFS([0]!VOTOS2,[0]!TURNO1,G$31,[0]!CANDIDATO1,$C519,[0]!MUNICIPIO1,$B$512)</f>
        <v>0</v>
      </c>
      <c r="H519" s="16">
        <f>SUMIFS([0]!VOTOS2,[0]!TURNO1,H$31,[0]!CANDIDATO1,$C519,[0]!MUNICIPIO1,$B$512)</f>
        <v>0</v>
      </c>
      <c r="I519" s="16">
        <f>SUMIFS([0]!VOTOS2,[0]!TURNO1,I$31,[0]!CANDIDATO1,$C519,[0]!MUNICIPIO1,$B$512)</f>
        <v>0</v>
      </c>
      <c r="J519" s="16">
        <f>SUMIFS([0]!VOTOS2,[0]!TURNO1,J$31,[0]!CANDIDATO1,$C519,[0]!MUNICIPIO1,$B$512)</f>
        <v>0</v>
      </c>
      <c r="K519" s="16">
        <f>SUMIFS([0]!VOTOS2,[0]!TURNO1,K$31,[0]!CANDIDATO1,$C519,[0]!MUNICIPIO1,$B$512)</f>
        <v>0</v>
      </c>
      <c r="L519" s="16">
        <f>SUMIFS([0]!VOTOS2,[0]!TURNO1,L$31,[0]!CANDIDATO1,$C519,[0]!MUNICIPIO1,$B$512)</f>
        <v>0</v>
      </c>
      <c r="M519" s="16">
        <f>SUMIFS([0]!VOTOS2,[0]!TURNO1,M$31,[0]!CANDIDATO1,$C519,[0]!MUNICIPIO1,$B$512)</f>
        <v>0</v>
      </c>
      <c r="N519" s="16">
        <f>SUMIFS([0]!VOTOS2,[0]!TURNO1,N$31,[0]!CANDIDATO1,$C519,[0]!MUNICIPIO1,$B$512)</f>
        <v>0</v>
      </c>
      <c r="O519" s="16">
        <f>SUMIFS([0]!VOTOS2,[0]!TURNO1,O$31,[0]!CANDIDATO1,$C519,[0]!MUNICIPIO1,$B$512)</f>
        <v>0</v>
      </c>
      <c r="P519" s="16">
        <f>SUMIFS([0]!VOTOS2,[0]!TURNO1,P$31,[0]!CANDIDATO1,$C519,[0]!MUNICIPIO1,$B$512)</f>
        <v>0</v>
      </c>
      <c r="Q519" s="16">
        <f>SUMIFS([0]!VOTOS2,[0]!TURNO1,Q$31,[0]!CANDIDATO1,$C519,[0]!MUNICIPIO1,$B$512)</f>
        <v>0</v>
      </c>
      <c r="R519" s="16">
        <f>SUMIFS([0]!VOTOS2,[0]!TURNO1,R$31,[0]!CANDIDATO1,$C519,[0]!MUNICIPIO1,$B$512)</f>
        <v>0</v>
      </c>
      <c r="S519" s="16">
        <f>SUMIFS([0]!VOTOS2,[0]!TURNO1,S$31,[0]!CANDIDATO1,$C519,[0]!MUNICIPIO1,$B$512)</f>
        <v>0</v>
      </c>
      <c r="T519" s="16">
        <f>SUMIFS([0]!VOTOS2,[0]!TURNO1,T$31,[0]!CANDIDATO1,$C519,[0]!MUNICIPIO1,$B$512)</f>
        <v>0</v>
      </c>
      <c r="U519" s="16">
        <f>SUMIFS([0]!VOTOS2,[0]!TURNO1,U$31,[0]!CANDIDATO1,$C519,[0]!MUNICIPIO1,$B$512)</f>
        <v>0</v>
      </c>
      <c r="V519" s="16">
        <f>SUMIFS([0]!VOTOS2,[0]!TURNO1,V$31,[0]!CANDIDATO1,$C519,[0]!MUNICIPIO1,$B$512)</f>
        <v>0</v>
      </c>
      <c r="W519" s="16">
        <f>SUMIFS([0]!VOTOS2,[0]!TURNO1,W$31,[0]!CANDIDATO1,$C519,[0]!MUNICIPIO1,$B$512)</f>
        <v>0</v>
      </c>
      <c r="X519" s="24"/>
      <c r="Y519" s="18" t="str">
        <f t="shared" si="1211"/>
        <v>BENJAMIN RODRIGUEZ</v>
      </c>
      <c r="Z519" s="34">
        <f t="shared" si="1212"/>
        <v>0</v>
      </c>
      <c r="AA519" s="34">
        <f t="shared" si="1213"/>
        <v>0</v>
      </c>
      <c r="AB519" s="34" t="e">
        <f t="shared" ref="AB519:AR519" si="1226">IF(SUM(G512:G524)=0,NA(),G519+AA519)</f>
        <v>#N/A</v>
      </c>
      <c r="AC519" s="34" t="e">
        <f t="shared" si="1226"/>
        <v>#N/A</v>
      </c>
      <c r="AD519" s="34" t="e">
        <f t="shared" si="1226"/>
        <v>#N/A</v>
      </c>
      <c r="AE519" s="34" t="e">
        <f t="shared" si="1226"/>
        <v>#N/A</v>
      </c>
      <c r="AF519" s="34" t="e">
        <f t="shared" si="1226"/>
        <v>#N/A</v>
      </c>
      <c r="AG519" s="34" t="e">
        <f t="shared" si="1226"/>
        <v>#N/A</v>
      </c>
      <c r="AH519" s="34" t="e">
        <f t="shared" si="1226"/>
        <v>#N/A</v>
      </c>
      <c r="AI519" s="34" t="e">
        <f t="shared" si="1226"/>
        <v>#N/A</v>
      </c>
      <c r="AJ519" s="34" t="e">
        <f t="shared" si="1226"/>
        <v>#N/A</v>
      </c>
      <c r="AK519" s="34" t="e">
        <f t="shared" si="1226"/>
        <v>#N/A</v>
      </c>
      <c r="AL519" s="34" t="e">
        <f t="shared" si="1226"/>
        <v>#N/A</v>
      </c>
      <c r="AM519" s="34" t="e">
        <f t="shared" si="1226"/>
        <v>#N/A</v>
      </c>
      <c r="AN519" s="34" t="e">
        <f t="shared" si="1226"/>
        <v>#N/A</v>
      </c>
      <c r="AO519" s="34" t="e">
        <f t="shared" si="1226"/>
        <v>#N/A</v>
      </c>
      <c r="AP519" s="34" t="e">
        <f t="shared" si="1226"/>
        <v>#N/A</v>
      </c>
      <c r="AQ519" s="34" t="e">
        <f t="shared" si="1226"/>
        <v>#N/A</v>
      </c>
      <c r="AR519" s="34" t="e">
        <f t="shared" si="1226"/>
        <v>#N/A</v>
      </c>
      <c r="AS519" s="27"/>
      <c r="AT519" s="41"/>
      <c r="AU519" s="41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30"/>
    </row>
    <row r="520" spans="1:66" ht="11.25" customHeight="1" x14ac:dyDescent="0.2">
      <c r="A520" s="44"/>
      <c r="B520" s="45"/>
      <c r="C520" s="46">
        <v>9</v>
      </c>
      <c r="D520" s="14" t="s">
        <v>76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24"/>
      <c r="Y520" s="18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27"/>
      <c r="AT520" s="41"/>
      <c r="AU520" s="41"/>
      <c r="AV520" s="43"/>
      <c r="AW520" s="43"/>
      <c r="AX520" s="43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/>
      <c r="BK520" s="43"/>
      <c r="BL520" s="43"/>
      <c r="BM520" s="43"/>
      <c r="BN520" s="30"/>
    </row>
    <row r="521" spans="1:66" ht="11.25" customHeight="1" x14ac:dyDescent="0.2">
      <c r="A521" s="44"/>
      <c r="B521" s="45"/>
      <c r="C521" s="46">
        <v>10</v>
      </c>
      <c r="D521" s="14" t="s">
        <v>76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24"/>
      <c r="Y521" s="18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27"/>
      <c r="AT521" s="41"/>
      <c r="AU521" s="41"/>
      <c r="AV521" s="43"/>
      <c r="AW521" s="43"/>
      <c r="AX521" s="43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43"/>
      <c r="BJ521" s="43"/>
      <c r="BK521" s="43"/>
      <c r="BL521" s="43"/>
      <c r="BM521" s="43"/>
      <c r="BN521" s="30"/>
    </row>
    <row r="522" spans="1:66" ht="11.25" customHeight="1" x14ac:dyDescent="0.2">
      <c r="A522" s="44"/>
      <c r="B522" s="45"/>
      <c r="C522" s="46">
        <v>11</v>
      </c>
      <c r="D522" s="14" t="s">
        <v>76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24"/>
      <c r="Y522" s="18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27"/>
      <c r="AT522" s="41"/>
      <c r="AU522" s="41"/>
      <c r="AV522" s="43"/>
      <c r="AW522" s="43"/>
      <c r="AX522" s="43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/>
      <c r="BK522" s="43"/>
      <c r="BL522" s="43"/>
      <c r="BM522" s="43"/>
      <c r="BN522" s="30"/>
    </row>
    <row r="523" spans="1:66" ht="11.25" customHeight="1" x14ac:dyDescent="0.2">
      <c r="A523" s="44"/>
      <c r="B523" s="45"/>
      <c r="C523" s="46">
        <v>12</v>
      </c>
      <c r="D523" s="14" t="s">
        <v>76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24"/>
      <c r="Y523" s="18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27"/>
      <c r="AT523" s="41"/>
      <c r="AU523" s="41"/>
      <c r="AV523" s="43"/>
      <c r="AW523" s="43"/>
      <c r="AX523" s="43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43"/>
      <c r="BJ523" s="43"/>
      <c r="BK523" s="43"/>
      <c r="BL523" s="43"/>
      <c r="BM523" s="43"/>
      <c r="BN523" s="30"/>
    </row>
    <row r="524" spans="1:66" ht="11.25" customHeight="1" x14ac:dyDescent="0.2">
      <c r="A524" s="44"/>
      <c r="B524" s="45"/>
      <c r="C524" s="46">
        <v>13</v>
      </c>
      <c r="D524" s="14" t="s">
        <v>76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24"/>
      <c r="Y524" s="18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27"/>
      <c r="AT524" s="41"/>
      <c r="AU524" s="41"/>
      <c r="AV524" s="43"/>
      <c r="AW524" s="43"/>
      <c r="AX524" s="43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43"/>
      <c r="BJ524" s="43"/>
      <c r="BK524" s="43"/>
      <c r="BL524" s="43"/>
      <c r="BM524" s="43"/>
      <c r="BN524" s="30"/>
    </row>
    <row r="525" spans="1:66" ht="11.25" customHeight="1" x14ac:dyDescent="0.2">
      <c r="X525" s="24"/>
      <c r="Y525" s="19" t="s">
        <v>79</v>
      </c>
      <c r="Z525" s="34">
        <f t="shared" ref="Z525" si="1227">SUM(Z514:Z524)</f>
        <v>0</v>
      </c>
      <c r="AA525" s="34">
        <f t="shared" ref="AA525" si="1228">SUM(AA514:AA524)</f>
        <v>0</v>
      </c>
      <c r="AB525" s="34" t="e">
        <f t="shared" ref="AB525" si="1229">SUM(AB514:AB524)</f>
        <v>#N/A</v>
      </c>
      <c r="AC525" s="34" t="e">
        <f t="shared" ref="AC525" si="1230">SUM(AC514:AC524)</f>
        <v>#N/A</v>
      </c>
      <c r="AD525" s="34" t="e">
        <f t="shared" ref="AD525" si="1231">SUM(AD514:AD524)</f>
        <v>#N/A</v>
      </c>
      <c r="AE525" s="34" t="e">
        <f t="shared" ref="AE525" si="1232">SUM(AE514:AE524)</f>
        <v>#N/A</v>
      </c>
      <c r="AF525" s="34" t="e">
        <f t="shared" ref="AF525" si="1233">SUM(AF514:AF524)</f>
        <v>#N/A</v>
      </c>
      <c r="AG525" s="34" t="e">
        <f t="shared" ref="AG525" si="1234">SUM(AG514:AG524)</f>
        <v>#N/A</v>
      </c>
      <c r="AH525" s="34" t="e">
        <f t="shared" ref="AH525" si="1235">SUM(AH514:AH524)</f>
        <v>#N/A</v>
      </c>
      <c r="AI525" s="34" t="e">
        <f t="shared" ref="AI525" si="1236">SUM(AI514:AI524)</f>
        <v>#N/A</v>
      </c>
      <c r="AJ525" s="34" t="e">
        <f t="shared" ref="AJ525" si="1237">SUM(AJ514:AJ524)</f>
        <v>#N/A</v>
      </c>
      <c r="AK525" s="34" t="e">
        <f t="shared" ref="AK525" si="1238">SUM(AK514:AK524)</f>
        <v>#N/A</v>
      </c>
      <c r="AL525" s="34" t="e">
        <f t="shared" ref="AL525" si="1239">SUM(AL514:AL524)</f>
        <v>#N/A</v>
      </c>
      <c r="AM525" s="34" t="e">
        <f t="shared" ref="AM525" si="1240">SUM(AM514:AM524)</f>
        <v>#N/A</v>
      </c>
      <c r="AN525" s="34" t="e">
        <f t="shared" ref="AN525" si="1241">SUM(AN514:AN524)</f>
        <v>#N/A</v>
      </c>
      <c r="AO525" s="34" t="e">
        <f t="shared" ref="AO525" si="1242">SUM(AO514:AO524)</f>
        <v>#N/A</v>
      </c>
      <c r="AP525" s="34" t="e">
        <f t="shared" ref="AP525" si="1243">SUM(AP514:AP524)</f>
        <v>#N/A</v>
      </c>
      <c r="AQ525" s="34" t="e">
        <f t="shared" ref="AQ525" si="1244">SUM(AQ514:AQ524)</f>
        <v>#N/A</v>
      </c>
      <c r="AR525" s="34" t="e">
        <f t="shared" ref="AR525" si="1245">SUM(AR514:AR524)</f>
        <v>#N/A</v>
      </c>
      <c r="AS525" s="27"/>
      <c r="AT525" s="41"/>
      <c r="AU525" s="41"/>
      <c r="AV525" s="43"/>
      <c r="AW525" s="43"/>
      <c r="AX525" s="43"/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43"/>
      <c r="BJ525" s="43"/>
      <c r="BK525" s="43"/>
      <c r="BL525" s="43"/>
      <c r="BM525" s="43"/>
      <c r="BN525" s="30"/>
    </row>
    <row r="526" spans="1:66" ht="11.25" customHeight="1" x14ac:dyDescent="0.2">
      <c r="A526" s="75" t="s">
        <v>63</v>
      </c>
      <c r="B526" s="76"/>
      <c r="C526" s="21"/>
      <c r="D526" s="22" t="s">
        <v>75</v>
      </c>
      <c r="E526" s="23" t="s">
        <v>70</v>
      </c>
      <c r="F526" s="23">
        <v>0</v>
      </c>
      <c r="G526" s="23">
        <v>1</v>
      </c>
      <c r="H526" s="23">
        <v>2</v>
      </c>
      <c r="I526" s="23">
        <v>3</v>
      </c>
      <c r="J526" s="23">
        <v>4</v>
      </c>
      <c r="K526" s="23">
        <v>5</v>
      </c>
      <c r="L526" s="23">
        <v>6</v>
      </c>
      <c r="M526" s="23">
        <v>7</v>
      </c>
      <c r="N526" s="23">
        <v>8</v>
      </c>
      <c r="O526" s="23">
        <v>9</v>
      </c>
      <c r="P526" s="23">
        <v>10</v>
      </c>
      <c r="Q526" s="23">
        <v>11</v>
      </c>
      <c r="R526" s="23">
        <v>12</v>
      </c>
      <c r="S526" s="23">
        <v>13</v>
      </c>
      <c r="T526" s="23">
        <v>14</v>
      </c>
      <c r="U526" s="23">
        <v>15</v>
      </c>
      <c r="V526" s="23">
        <v>16</v>
      </c>
      <c r="W526" s="23">
        <v>17</v>
      </c>
      <c r="X526" s="24"/>
      <c r="Y526" s="17"/>
      <c r="Z526" s="25" t="s">
        <v>64</v>
      </c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7"/>
      <c r="AT526" s="28"/>
      <c r="AU526" s="28" t="s">
        <v>64</v>
      </c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30"/>
    </row>
    <row r="527" spans="1:66" ht="11.25" customHeight="1" x14ac:dyDescent="0.2">
      <c r="A527" s="32"/>
      <c r="B527" s="72">
        <v>36</v>
      </c>
      <c r="C527" s="33">
        <v>1</v>
      </c>
      <c r="D527" s="13" t="s">
        <v>368</v>
      </c>
      <c r="E527" s="16">
        <f>SUM(F527:W527)</f>
        <v>318</v>
      </c>
      <c r="F527" s="16">
        <f>SUMIFS([0]!VOTOS2,[0]!TURNO1,F$31,[0]!CANDIDATO1,$C527,[0]!MUNICIPIO1,$B$527)</f>
        <v>8</v>
      </c>
      <c r="G527" s="16">
        <f>SUMIFS([0]!VOTOS2,[0]!TURNO1,G$31,[0]!CANDIDATO1,$C527,[0]!MUNICIPIO1,$B$527)</f>
        <v>1</v>
      </c>
      <c r="H527" s="16">
        <f>SUMIFS([0]!VOTOS2,[0]!TURNO1,H$31,[0]!CANDIDATO1,$C527,[0]!MUNICIPIO1,$B$527)</f>
        <v>96</v>
      </c>
      <c r="I527" s="16">
        <f>SUMIFS([0]!VOTOS2,[0]!TURNO1,I$31,[0]!CANDIDATO1,$C527,[0]!MUNICIPIO1,$B$527)</f>
        <v>24</v>
      </c>
      <c r="J527" s="16">
        <f>SUMIFS([0]!VOTOS2,[0]!TURNO1,J$31,[0]!CANDIDATO1,$C527,[0]!MUNICIPIO1,$B$527)</f>
        <v>50</v>
      </c>
      <c r="K527" s="16">
        <f>SUMIFS([0]!VOTOS2,[0]!TURNO1,K$31,[0]!CANDIDATO1,$C527,[0]!MUNICIPIO1,$B$527)</f>
        <v>31</v>
      </c>
      <c r="L527" s="16">
        <f>SUMIFS([0]!VOTOS2,[0]!TURNO1,L$31,[0]!CANDIDATO1,$C527,[0]!MUNICIPIO1,$B$527)</f>
        <v>45</v>
      </c>
      <c r="M527" s="16">
        <f>SUMIFS([0]!VOTOS2,[0]!TURNO1,M$31,[0]!CANDIDATO1,$C527,[0]!MUNICIPIO1,$B$527)</f>
        <v>22</v>
      </c>
      <c r="N527" s="16">
        <f>SUMIFS([0]!VOTOS2,[0]!TURNO1,N$31,[0]!CANDIDATO1,$C527,[0]!MUNICIPIO1,$B$527)</f>
        <v>17</v>
      </c>
      <c r="O527" s="16">
        <f>SUMIFS([0]!VOTOS2,[0]!TURNO1,O$31,[0]!CANDIDATO1,$C527,[0]!MUNICIPIO1,$B$527)</f>
        <v>24</v>
      </c>
      <c r="P527" s="16">
        <f>SUMIFS([0]!VOTOS2,[0]!TURNO1,P$31,[0]!CANDIDATO1,$C527,[0]!MUNICIPIO1,$B$527)</f>
        <v>0</v>
      </c>
      <c r="Q527" s="16">
        <f>SUMIFS([0]!VOTOS2,[0]!TURNO1,Q$31,[0]!CANDIDATO1,$C527,[0]!MUNICIPIO1,$B$527)</f>
        <v>0</v>
      </c>
      <c r="R527" s="16">
        <f>SUMIFS([0]!VOTOS2,[0]!TURNO1,R$31,[0]!CANDIDATO1,$C527,[0]!MUNICIPIO1,$B$527)</f>
        <v>0</v>
      </c>
      <c r="S527" s="16">
        <f>SUMIFS([0]!VOTOS2,[0]!TURNO1,S$31,[0]!CANDIDATO1,$C527,[0]!MUNICIPIO1,$B$527)</f>
        <v>0</v>
      </c>
      <c r="T527" s="16">
        <f>SUMIFS([0]!VOTOS2,[0]!TURNO1,T$31,[0]!CANDIDATO1,$C527,[0]!MUNICIPIO1,$B$527)</f>
        <v>0</v>
      </c>
      <c r="U527" s="16">
        <f>SUMIFS([0]!VOTOS2,[0]!TURNO1,U$31,[0]!CANDIDATO1,$C527,[0]!MUNICIPIO1,$B$527)</f>
        <v>0</v>
      </c>
      <c r="V527" s="16">
        <f>SUMIFS([0]!VOTOS2,[0]!TURNO1,V$31,[0]!CANDIDATO1,$C527,[0]!MUNICIPIO1,$B$527)</f>
        <v>0</v>
      </c>
      <c r="W527" s="16">
        <f>SUMIFS([0]!VOTOS2,[0]!TURNO1,W$31,[0]!CANDIDATO1,$C527,[0]!MUNICIPIO1,$B$527)</f>
        <v>0</v>
      </c>
      <c r="X527" s="24"/>
      <c r="Y527" s="18" t="str">
        <f t="shared" ref="Y527:Y531" si="1246">D527</f>
        <v>DANTE RIVAS</v>
      </c>
      <c r="Z527" s="34">
        <f t="shared" ref="Z527:Z531" si="1247">E527</f>
        <v>318</v>
      </c>
      <c r="AA527" s="34">
        <f t="shared" ref="AA527:AA531" si="1248">F527</f>
        <v>8</v>
      </c>
      <c r="AB527" s="34">
        <f t="shared" ref="AB527:AR527" si="1249">IF(SUM(G527:G539)=0,NA(),G527+AA527)</f>
        <v>9</v>
      </c>
      <c r="AC527" s="34">
        <f t="shared" si="1249"/>
        <v>105</v>
      </c>
      <c r="AD527" s="34">
        <f t="shared" si="1249"/>
        <v>129</v>
      </c>
      <c r="AE527" s="34">
        <f t="shared" si="1249"/>
        <v>179</v>
      </c>
      <c r="AF527" s="34">
        <f t="shared" si="1249"/>
        <v>210</v>
      </c>
      <c r="AG527" s="34">
        <f t="shared" si="1249"/>
        <v>255</v>
      </c>
      <c r="AH527" s="34">
        <f t="shared" si="1249"/>
        <v>277</v>
      </c>
      <c r="AI527" s="34">
        <f t="shared" si="1249"/>
        <v>294</v>
      </c>
      <c r="AJ527" s="34">
        <f t="shared" si="1249"/>
        <v>318</v>
      </c>
      <c r="AK527" s="34" t="e">
        <f t="shared" si="1249"/>
        <v>#N/A</v>
      </c>
      <c r="AL527" s="34" t="e">
        <f t="shared" si="1249"/>
        <v>#N/A</v>
      </c>
      <c r="AM527" s="34" t="e">
        <f t="shared" si="1249"/>
        <v>#N/A</v>
      </c>
      <c r="AN527" s="34" t="e">
        <f t="shared" si="1249"/>
        <v>#N/A</v>
      </c>
      <c r="AO527" s="34" t="e">
        <f t="shared" si="1249"/>
        <v>#N/A</v>
      </c>
      <c r="AP527" s="34" t="e">
        <f t="shared" si="1249"/>
        <v>#N/A</v>
      </c>
      <c r="AQ527" s="34" t="e">
        <f t="shared" si="1249"/>
        <v>#N/A</v>
      </c>
      <c r="AR527" s="34" t="e">
        <f t="shared" si="1249"/>
        <v>#N/A</v>
      </c>
      <c r="AS527" s="27"/>
      <c r="AT527" s="35" t="str">
        <f t="shared" ref="AT527:AT528" si="1250">Y527</f>
        <v>DANTE RIVAS</v>
      </c>
      <c r="AU527" s="36">
        <f t="shared" ref="AU527:BM527" si="1251">Z527/(Z527+Z528+Z540)</f>
        <v>0.47181008902077154</v>
      </c>
      <c r="AV527" s="36">
        <f t="shared" si="1251"/>
        <v>0.5</v>
      </c>
      <c r="AW527" s="36">
        <f t="shared" si="1251"/>
        <v>0.52941176470588236</v>
      </c>
      <c r="AX527" s="36">
        <f t="shared" si="1251"/>
        <v>0.660377358490566</v>
      </c>
      <c r="AY527" s="36">
        <f t="shared" si="1251"/>
        <v>0.4942528735632184</v>
      </c>
      <c r="AZ527" s="36">
        <f t="shared" si="1251"/>
        <v>0.50140056022408963</v>
      </c>
      <c r="BA527" s="36">
        <f t="shared" si="1251"/>
        <v>0.47404063205417607</v>
      </c>
      <c r="BB527" s="36">
        <f t="shared" si="1251"/>
        <v>0.48479087452471481</v>
      </c>
      <c r="BC527" s="36">
        <f t="shared" si="1251"/>
        <v>0.47431506849315069</v>
      </c>
      <c r="BD527" s="36">
        <f t="shared" si="1251"/>
        <v>0.47495961227786754</v>
      </c>
      <c r="BE527" s="36">
        <f t="shared" si="1251"/>
        <v>0.47181008902077154</v>
      </c>
      <c r="BF527" s="36" t="e">
        <f t="shared" si="1251"/>
        <v>#N/A</v>
      </c>
      <c r="BG527" s="36" t="e">
        <f t="shared" si="1251"/>
        <v>#N/A</v>
      </c>
      <c r="BH527" s="36" t="e">
        <f t="shared" si="1251"/>
        <v>#N/A</v>
      </c>
      <c r="BI527" s="36" t="e">
        <f t="shared" si="1251"/>
        <v>#N/A</v>
      </c>
      <c r="BJ527" s="36" t="e">
        <f t="shared" si="1251"/>
        <v>#N/A</v>
      </c>
      <c r="BK527" s="36" t="e">
        <f t="shared" si="1251"/>
        <v>#N/A</v>
      </c>
      <c r="BL527" s="36" t="e">
        <f t="shared" si="1251"/>
        <v>#N/A</v>
      </c>
      <c r="BM527" s="36" t="e">
        <f t="shared" si="1251"/>
        <v>#N/A</v>
      </c>
      <c r="BN527" s="30"/>
    </row>
    <row r="528" spans="1:66" ht="11.25" customHeight="1" x14ac:dyDescent="0.2">
      <c r="A528" s="37"/>
      <c r="B528" s="73"/>
      <c r="C528" s="33">
        <v>2</v>
      </c>
      <c r="D528" s="13" t="s">
        <v>369</v>
      </c>
      <c r="E528" s="16">
        <f>SUM(F528:W528)</f>
        <v>353</v>
      </c>
      <c r="F528" s="16">
        <f>SUMIFS([0]!VOTOS2,[0]!TURNO1,F$31,[0]!CANDIDATO1,$C528,[0]!MUNICIPIO1,$B$527)</f>
        <v>8</v>
      </c>
      <c r="G528" s="16">
        <f>SUMIFS([0]!VOTOS2,[0]!TURNO1,G$31,[0]!CANDIDATO1,$C528,[0]!MUNICIPIO1,$B$527)</f>
        <v>0</v>
      </c>
      <c r="H528" s="16">
        <f>SUMIFS([0]!VOTOS2,[0]!TURNO1,H$31,[0]!CANDIDATO1,$C528,[0]!MUNICIPIO1,$B$527)</f>
        <v>46</v>
      </c>
      <c r="I528" s="16">
        <f>SUMIFS([0]!VOTOS2,[0]!TURNO1,I$31,[0]!CANDIDATO1,$C528,[0]!MUNICIPIO1,$B$527)</f>
        <v>77</v>
      </c>
      <c r="J528" s="16">
        <f>SUMIFS([0]!VOTOS2,[0]!TURNO1,J$31,[0]!CANDIDATO1,$C528,[0]!MUNICIPIO1,$B$527)</f>
        <v>45</v>
      </c>
      <c r="K528" s="16">
        <f>SUMIFS([0]!VOTOS2,[0]!TURNO1,K$31,[0]!CANDIDATO1,$C528,[0]!MUNICIPIO1,$B$527)</f>
        <v>55</v>
      </c>
      <c r="L528" s="16">
        <f>SUMIFS([0]!VOTOS2,[0]!TURNO1,L$31,[0]!CANDIDATO1,$C528,[0]!MUNICIPIO1,$B$527)</f>
        <v>37</v>
      </c>
      <c r="M528" s="16">
        <f>SUMIFS([0]!VOTOS2,[0]!TURNO1,M$31,[0]!CANDIDATO1,$C528,[0]!MUNICIPIO1,$B$527)</f>
        <v>36</v>
      </c>
      <c r="N528" s="16">
        <f>SUMIFS([0]!VOTOS2,[0]!TURNO1,N$31,[0]!CANDIDATO1,$C528,[0]!MUNICIPIO1,$B$527)</f>
        <v>18</v>
      </c>
      <c r="O528" s="16">
        <f>SUMIFS([0]!VOTOS2,[0]!TURNO1,O$31,[0]!CANDIDATO1,$C528,[0]!MUNICIPIO1,$B$527)</f>
        <v>31</v>
      </c>
      <c r="P528" s="16">
        <f>SUMIFS([0]!VOTOS2,[0]!TURNO1,P$31,[0]!CANDIDATO1,$C528,[0]!MUNICIPIO1,$B$527)</f>
        <v>0</v>
      </c>
      <c r="Q528" s="16">
        <f>SUMIFS([0]!VOTOS2,[0]!TURNO1,Q$31,[0]!CANDIDATO1,$C528,[0]!MUNICIPIO1,$B$527)</f>
        <v>0</v>
      </c>
      <c r="R528" s="16">
        <f>SUMIFS([0]!VOTOS2,[0]!TURNO1,R$31,[0]!CANDIDATO1,$C528,[0]!MUNICIPIO1,$B$527)</f>
        <v>0</v>
      </c>
      <c r="S528" s="16">
        <f>SUMIFS([0]!VOTOS2,[0]!TURNO1,S$31,[0]!CANDIDATO1,$C528,[0]!MUNICIPIO1,$B$527)</f>
        <v>0</v>
      </c>
      <c r="T528" s="16">
        <f>SUMIFS([0]!VOTOS2,[0]!TURNO1,T$31,[0]!CANDIDATO1,$C528,[0]!MUNICIPIO1,$B$527)</f>
        <v>0</v>
      </c>
      <c r="U528" s="16">
        <f>SUMIFS([0]!VOTOS2,[0]!TURNO1,U$31,[0]!CANDIDATO1,$C528,[0]!MUNICIPIO1,$B$527)</f>
        <v>0</v>
      </c>
      <c r="V528" s="16">
        <f>SUMIFS([0]!VOTOS2,[0]!TURNO1,V$31,[0]!CANDIDATO1,$C528,[0]!MUNICIPIO1,$B$527)</f>
        <v>0</v>
      </c>
      <c r="W528" s="16">
        <f>SUMIFS([0]!VOTOS2,[0]!TURNO1,W$31,[0]!CANDIDATO1,$C528,[0]!MUNICIPIO1,$B$527)</f>
        <v>0</v>
      </c>
      <c r="X528" s="24"/>
      <c r="Y528" s="18" t="str">
        <f t="shared" si="1246"/>
        <v>ALFREDO DIAZ</v>
      </c>
      <c r="Z528" s="34">
        <f t="shared" si="1247"/>
        <v>353</v>
      </c>
      <c r="AA528" s="34">
        <f t="shared" si="1248"/>
        <v>8</v>
      </c>
      <c r="AB528" s="34">
        <f t="shared" ref="AB528:AR528" si="1252">IF(SUM(G527:G539)=0,NA(),G528+AA528)</f>
        <v>8</v>
      </c>
      <c r="AC528" s="34">
        <f t="shared" si="1252"/>
        <v>54</v>
      </c>
      <c r="AD528" s="34">
        <f t="shared" si="1252"/>
        <v>131</v>
      </c>
      <c r="AE528" s="34">
        <f t="shared" si="1252"/>
        <v>176</v>
      </c>
      <c r="AF528" s="34">
        <f t="shared" si="1252"/>
        <v>231</v>
      </c>
      <c r="AG528" s="34">
        <f t="shared" si="1252"/>
        <v>268</v>
      </c>
      <c r="AH528" s="34">
        <f t="shared" si="1252"/>
        <v>304</v>
      </c>
      <c r="AI528" s="34">
        <f t="shared" si="1252"/>
        <v>322</v>
      </c>
      <c r="AJ528" s="34">
        <f t="shared" si="1252"/>
        <v>353</v>
      </c>
      <c r="AK528" s="34" t="e">
        <f t="shared" si="1252"/>
        <v>#N/A</v>
      </c>
      <c r="AL528" s="34" t="e">
        <f t="shared" si="1252"/>
        <v>#N/A</v>
      </c>
      <c r="AM528" s="34" t="e">
        <f t="shared" si="1252"/>
        <v>#N/A</v>
      </c>
      <c r="AN528" s="34" t="e">
        <f t="shared" si="1252"/>
        <v>#N/A</v>
      </c>
      <c r="AO528" s="34" t="e">
        <f t="shared" si="1252"/>
        <v>#N/A</v>
      </c>
      <c r="AP528" s="34" t="e">
        <f t="shared" si="1252"/>
        <v>#N/A</v>
      </c>
      <c r="AQ528" s="34" t="e">
        <f t="shared" si="1252"/>
        <v>#N/A</v>
      </c>
      <c r="AR528" s="34" t="e">
        <f t="shared" si="1252"/>
        <v>#N/A</v>
      </c>
      <c r="AS528" s="27"/>
      <c r="AT528" s="35" t="str">
        <f t="shared" si="1250"/>
        <v>ALFREDO DIAZ</v>
      </c>
      <c r="AU528" s="36">
        <f t="shared" ref="AU528:BM528" si="1253">Z528/(Z527+Z528+Z540)</f>
        <v>0.52373887240356087</v>
      </c>
      <c r="AV528" s="36">
        <f t="shared" si="1253"/>
        <v>0.5</v>
      </c>
      <c r="AW528" s="36">
        <f t="shared" si="1253"/>
        <v>0.47058823529411764</v>
      </c>
      <c r="AX528" s="36">
        <f t="shared" si="1253"/>
        <v>0.33962264150943394</v>
      </c>
      <c r="AY528" s="36">
        <f t="shared" si="1253"/>
        <v>0.50191570881226055</v>
      </c>
      <c r="AZ528" s="36">
        <f t="shared" si="1253"/>
        <v>0.49299719887955185</v>
      </c>
      <c r="BA528" s="36">
        <f t="shared" si="1253"/>
        <v>0.52144469525959369</v>
      </c>
      <c r="BB528" s="36">
        <f t="shared" si="1253"/>
        <v>0.50950570342205326</v>
      </c>
      <c r="BC528" s="36">
        <f t="shared" si="1253"/>
        <v>0.52054794520547942</v>
      </c>
      <c r="BD528" s="36">
        <f t="shared" si="1253"/>
        <v>0.52019386106623589</v>
      </c>
      <c r="BE528" s="36">
        <f t="shared" si="1253"/>
        <v>0.52373887240356087</v>
      </c>
      <c r="BF528" s="36" t="e">
        <f t="shared" si="1253"/>
        <v>#N/A</v>
      </c>
      <c r="BG528" s="36" t="e">
        <f t="shared" si="1253"/>
        <v>#N/A</v>
      </c>
      <c r="BH528" s="36" t="e">
        <f t="shared" si="1253"/>
        <v>#N/A</v>
      </c>
      <c r="BI528" s="36" t="e">
        <f t="shared" si="1253"/>
        <v>#N/A</v>
      </c>
      <c r="BJ528" s="36" t="e">
        <f t="shared" si="1253"/>
        <v>#N/A</v>
      </c>
      <c r="BK528" s="36" t="e">
        <f t="shared" si="1253"/>
        <v>#N/A</v>
      </c>
      <c r="BL528" s="36" t="e">
        <f t="shared" si="1253"/>
        <v>#N/A</v>
      </c>
      <c r="BM528" s="36" t="e">
        <f t="shared" si="1253"/>
        <v>#N/A</v>
      </c>
      <c r="BN528" s="30"/>
    </row>
    <row r="529" spans="1:66" ht="11.25" customHeight="1" x14ac:dyDescent="0.2">
      <c r="A529" s="37"/>
      <c r="B529" s="73"/>
      <c r="C529" s="33">
        <v>3</v>
      </c>
      <c r="D529" s="13" t="s">
        <v>370</v>
      </c>
      <c r="E529" s="16">
        <f>SUM(F529:W529)</f>
        <v>2</v>
      </c>
      <c r="F529" s="16">
        <f>SUMIFS([0]!VOTOS2,[0]!TURNO1,F$31,[0]!CANDIDATO1,$C529,[0]!MUNICIPIO1,$B$527)</f>
        <v>0</v>
      </c>
      <c r="G529" s="16">
        <f>SUMIFS([0]!VOTOS2,[0]!TURNO1,G$31,[0]!CANDIDATO1,$C529,[0]!MUNICIPIO1,$B$527)</f>
        <v>0</v>
      </c>
      <c r="H529" s="16">
        <f>SUMIFS([0]!VOTOS2,[0]!TURNO1,H$31,[0]!CANDIDATO1,$C529,[0]!MUNICIPIO1,$B$527)</f>
        <v>0</v>
      </c>
      <c r="I529" s="16">
        <f>SUMIFS([0]!VOTOS2,[0]!TURNO1,I$31,[0]!CANDIDATO1,$C529,[0]!MUNICIPIO1,$B$527)</f>
        <v>0</v>
      </c>
      <c r="J529" s="16">
        <f>SUMIFS([0]!VOTOS2,[0]!TURNO1,J$31,[0]!CANDIDATO1,$C529,[0]!MUNICIPIO1,$B$527)</f>
        <v>1</v>
      </c>
      <c r="K529" s="16">
        <f>SUMIFS([0]!VOTOS2,[0]!TURNO1,K$31,[0]!CANDIDATO1,$C529,[0]!MUNICIPIO1,$B$527)</f>
        <v>0</v>
      </c>
      <c r="L529" s="16">
        <f>SUMIFS([0]!VOTOS2,[0]!TURNO1,L$31,[0]!CANDIDATO1,$C529,[0]!MUNICIPIO1,$B$527)</f>
        <v>1</v>
      </c>
      <c r="M529" s="16">
        <f>SUMIFS([0]!VOTOS2,[0]!TURNO1,M$31,[0]!CANDIDATO1,$C529,[0]!MUNICIPIO1,$B$527)</f>
        <v>0</v>
      </c>
      <c r="N529" s="16">
        <f>SUMIFS([0]!VOTOS2,[0]!TURNO1,N$31,[0]!CANDIDATO1,$C529,[0]!MUNICIPIO1,$B$527)</f>
        <v>0</v>
      </c>
      <c r="O529" s="16">
        <f>SUMIFS([0]!VOTOS2,[0]!TURNO1,O$31,[0]!CANDIDATO1,$C529,[0]!MUNICIPIO1,$B$527)</f>
        <v>0</v>
      </c>
      <c r="P529" s="16">
        <f>SUMIFS([0]!VOTOS2,[0]!TURNO1,P$31,[0]!CANDIDATO1,$C529,[0]!MUNICIPIO1,$B$527)</f>
        <v>0</v>
      </c>
      <c r="Q529" s="16">
        <f>SUMIFS([0]!VOTOS2,[0]!TURNO1,Q$31,[0]!CANDIDATO1,$C529,[0]!MUNICIPIO1,$B$527)</f>
        <v>0</v>
      </c>
      <c r="R529" s="16">
        <f>SUMIFS([0]!VOTOS2,[0]!TURNO1,R$31,[0]!CANDIDATO1,$C529,[0]!MUNICIPIO1,$B$527)</f>
        <v>0</v>
      </c>
      <c r="S529" s="16">
        <f>SUMIFS([0]!VOTOS2,[0]!TURNO1,S$31,[0]!CANDIDATO1,$C529,[0]!MUNICIPIO1,$B$527)</f>
        <v>0</v>
      </c>
      <c r="T529" s="16">
        <f>SUMIFS([0]!VOTOS2,[0]!TURNO1,T$31,[0]!CANDIDATO1,$C529,[0]!MUNICIPIO1,$B$527)</f>
        <v>0</v>
      </c>
      <c r="U529" s="16">
        <f>SUMIFS([0]!VOTOS2,[0]!TURNO1,U$31,[0]!CANDIDATO1,$C529,[0]!MUNICIPIO1,$B$527)</f>
        <v>0</v>
      </c>
      <c r="V529" s="16">
        <f>SUMIFS([0]!VOTOS2,[0]!TURNO1,V$31,[0]!CANDIDATO1,$C529,[0]!MUNICIPIO1,$B$527)</f>
        <v>0</v>
      </c>
      <c r="W529" s="16">
        <f>SUMIFS([0]!VOTOS2,[0]!TURNO1,W$31,[0]!CANDIDATO1,$C529,[0]!MUNICIPIO1,$B$527)</f>
        <v>0</v>
      </c>
      <c r="X529" s="24"/>
      <c r="Y529" s="18" t="str">
        <f t="shared" si="1246"/>
        <v xml:space="preserve">JESUS CARABALLO </v>
      </c>
      <c r="Z529" s="34">
        <f t="shared" si="1247"/>
        <v>2</v>
      </c>
      <c r="AA529" s="34">
        <f t="shared" si="1248"/>
        <v>0</v>
      </c>
      <c r="AB529" s="34">
        <f t="shared" ref="AB529:AR529" si="1254">IF(SUM(G527:G539)=0,NA(),G529+AA529)</f>
        <v>0</v>
      </c>
      <c r="AC529" s="34">
        <f t="shared" si="1254"/>
        <v>0</v>
      </c>
      <c r="AD529" s="34">
        <f t="shared" si="1254"/>
        <v>0</v>
      </c>
      <c r="AE529" s="34">
        <f t="shared" si="1254"/>
        <v>1</v>
      </c>
      <c r="AF529" s="34">
        <f t="shared" si="1254"/>
        <v>1</v>
      </c>
      <c r="AG529" s="34">
        <f t="shared" si="1254"/>
        <v>2</v>
      </c>
      <c r="AH529" s="34">
        <f t="shared" si="1254"/>
        <v>2</v>
      </c>
      <c r="AI529" s="34">
        <f t="shared" si="1254"/>
        <v>2</v>
      </c>
      <c r="AJ529" s="34">
        <f t="shared" si="1254"/>
        <v>2</v>
      </c>
      <c r="AK529" s="34" t="e">
        <f t="shared" si="1254"/>
        <v>#N/A</v>
      </c>
      <c r="AL529" s="34" t="e">
        <f t="shared" si="1254"/>
        <v>#N/A</v>
      </c>
      <c r="AM529" s="34" t="e">
        <f t="shared" si="1254"/>
        <v>#N/A</v>
      </c>
      <c r="AN529" s="34" t="e">
        <f t="shared" si="1254"/>
        <v>#N/A</v>
      </c>
      <c r="AO529" s="34" t="e">
        <f t="shared" si="1254"/>
        <v>#N/A</v>
      </c>
      <c r="AP529" s="34" t="e">
        <f t="shared" si="1254"/>
        <v>#N/A</v>
      </c>
      <c r="AQ529" s="34" t="e">
        <f t="shared" si="1254"/>
        <v>#N/A</v>
      </c>
      <c r="AR529" s="34" t="e">
        <f t="shared" si="1254"/>
        <v>#N/A</v>
      </c>
      <c r="AS529" s="27"/>
      <c r="AT529" s="35" t="str">
        <f t="shared" ref="AT529" si="1255">Y540</f>
        <v>Otros</v>
      </c>
      <c r="AU529" s="36">
        <f t="shared" ref="AU529:BM529" si="1256">Z540/(Z527+Z528+Z540)</f>
        <v>4.4510385756676559E-3</v>
      </c>
      <c r="AV529" s="36">
        <f t="shared" si="1256"/>
        <v>0</v>
      </c>
      <c r="AW529" s="36">
        <f t="shared" si="1256"/>
        <v>0</v>
      </c>
      <c r="AX529" s="36">
        <f t="shared" si="1256"/>
        <v>0</v>
      </c>
      <c r="AY529" s="36">
        <f t="shared" si="1256"/>
        <v>3.8314176245210726E-3</v>
      </c>
      <c r="AZ529" s="36">
        <f t="shared" si="1256"/>
        <v>5.6022408963585435E-3</v>
      </c>
      <c r="BA529" s="36">
        <f t="shared" si="1256"/>
        <v>4.5146726862302479E-3</v>
      </c>
      <c r="BB529" s="36">
        <f t="shared" si="1256"/>
        <v>5.7034220532319393E-3</v>
      </c>
      <c r="BC529" s="36">
        <f t="shared" si="1256"/>
        <v>5.1369863013698627E-3</v>
      </c>
      <c r="BD529" s="36">
        <f t="shared" si="1256"/>
        <v>4.8465266558966073E-3</v>
      </c>
      <c r="BE529" s="36">
        <f t="shared" si="1256"/>
        <v>4.4510385756676559E-3</v>
      </c>
      <c r="BF529" s="36" t="e">
        <f t="shared" si="1256"/>
        <v>#N/A</v>
      </c>
      <c r="BG529" s="36" t="e">
        <f t="shared" si="1256"/>
        <v>#N/A</v>
      </c>
      <c r="BH529" s="36" t="e">
        <f t="shared" si="1256"/>
        <v>#N/A</v>
      </c>
      <c r="BI529" s="36" t="e">
        <f t="shared" si="1256"/>
        <v>#N/A</v>
      </c>
      <c r="BJ529" s="36" t="e">
        <f t="shared" si="1256"/>
        <v>#N/A</v>
      </c>
      <c r="BK529" s="36" t="e">
        <f t="shared" si="1256"/>
        <v>#N/A</v>
      </c>
      <c r="BL529" s="36" t="e">
        <f t="shared" si="1256"/>
        <v>#N/A</v>
      </c>
      <c r="BM529" s="36" t="e">
        <f t="shared" si="1256"/>
        <v>#N/A</v>
      </c>
      <c r="BN529" s="30"/>
    </row>
    <row r="530" spans="1:66" ht="11.25" customHeight="1" x14ac:dyDescent="0.2">
      <c r="A530" s="38" t="s">
        <v>42</v>
      </c>
      <c r="B530" s="73"/>
      <c r="C530" s="33">
        <v>4</v>
      </c>
      <c r="D530" s="13" t="s">
        <v>371</v>
      </c>
      <c r="E530" s="16">
        <f>SUM(F530:W530)</f>
        <v>1</v>
      </c>
      <c r="F530" s="16">
        <f>SUMIFS([0]!VOTOS2,[0]!TURNO1,F$31,[0]!CANDIDATO1,$C530,[0]!MUNICIPIO1,$B$527)</f>
        <v>0</v>
      </c>
      <c r="G530" s="16">
        <f>SUMIFS([0]!VOTOS2,[0]!TURNO1,G$31,[0]!CANDIDATO1,$C530,[0]!MUNICIPIO1,$B$527)</f>
        <v>0</v>
      </c>
      <c r="H530" s="16">
        <f>SUMIFS([0]!VOTOS2,[0]!TURNO1,H$31,[0]!CANDIDATO1,$C530,[0]!MUNICIPIO1,$B$527)</f>
        <v>0</v>
      </c>
      <c r="I530" s="16">
        <f>SUMIFS([0]!VOTOS2,[0]!TURNO1,I$31,[0]!CANDIDATO1,$C530,[0]!MUNICIPIO1,$B$527)</f>
        <v>1</v>
      </c>
      <c r="J530" s="16">
        <f>SUMIFS([0]!VOTOS2,[0]!TURNO1,J$31,[0]!CANDIDATO1,$C530,[0]!MUNICIPIO1,$B$527)</f>
        <v>0</v>
      </c>
      <c r="K530" s="16">
        <f>SUMIFS([0]!VOTOS2,[0]!TURNO1,K$31,[0]!CANDIDATO1,$C530,[0]!MUNICIPIO1,$B$527)</f>
        <v>0</v>
      </c>
      <c r="L530" s="16">
        <f>SUMIFS([0]!VOTOS2,[0]!TURNO1,L$31,[0]!CANDIDATO1,$C530,[0]!MUNICIPIO1,$B$527)</f>
        <v>0</v>
      </c>
      <c r="M530" s="16">
        <f>SUMIFS([0]!VOTOS2,[0]!TURNO1,M$31,[0]!CANDIDATO1,$C530,[0]!MUNICIPIO1,$B$527)</f>
        <v>0</v>
      </c>
      <c r="N530" s="16">
        <f>SUMIFS([0]!VOTOS2,[0]!TURNO1,N$31,[0]!CANDIDATO1,$C530,[0]!MUNICIPIO1,$B$527)</f>
        <v>0</v>
      </c>
      <c r="O530" s="16">
        <f>SUMIFS([0]!VOTOS2,[0]!TURNO1,O$31,[0]!CANDIDATO1,$C530,[0]!MUNICIPIO1,$B$527)</f>
        <v>0</v>
      </c>
      <c r="P530" s="16">
        <f>SUMIFS([0]!VOTOS2,[0]!TURNO1,P$31,[0]!CANDIDATO1,$C530,[0]!MUNICIPIO1,$B$527)</f>
        <v>0</v>
      </c>
      <c r="Q530" s="16">
        <f>SUMIFS([0]!VOTOS2,[0]!TURNO1,Q$31,[0]!CANDIDATO1,$C530,[0]!MUNICIPIO1,$B$527)</f>
        <v>0</v>
      </c>
      <c r="R530" s="16">
        <f>SUMIFS([0]!VOTOS2,[0]!TURNO1,R$31,[0]!CANDIDATO1,$C530,[0]!MUNICIPIO1,$B$527)</f>
        <v>0</v>
      </c>
      <c r="S530" s="16">
        <f>SUMIFS([0]!VOTOS2,[0]!TURNO1,S$31,[0]!CANDIDATO1,$C530,[0]!MUNICIPIO1,$B$527)</f>
        <v>0</v>
      </c>
      <c r="T530" s="16">
        <f>SUMIFS([0]!VOTOS2,[0]!TURNO1,T$31,[0]!CANDIDATO1,$C530,[0]!MUNICIPIO1,$B$527)</f>
        <v>0</v>
      </c>
      <c r="U530" s="16">
        <f>SUMIFS([0]!VOTOS2,[0]!TURNO1,U$31,[0]!CANDIDATO1,$C530,[0]!MUNICIPIO1,$B$527)</f>
        <v>0</v>
      </c>
      <c r="V530" s="16">
        <f>SUMIFS([0]!VOTOS2,[0]!TURNO1,V$31,[0]!CANDIDATO1,$C530,[0]!MUNICIPIO1,$B$527)</f>
        <v>0</v>
      </c>
      <c r="W530" s="16">
        <f>SUMIFS([0]!VOTOS2,[0]!TURNO1,W$31,[0]!CANDIDATO1,$C530,[0]!MUNICIPIO1,$B$527)</f>
        <v>0</v>
      </c>
      <c r="X530" s="24"/>
      <c r="Y530" s="18" t="str">
        <f t="shared" si="1246"/>
        <v>FRANK PINTO</v>
      </c>
      <c r="Z530" s="34">
        <f t="shared" si="1247"/>
        <v>1</v>
      </c>
      <c r="AA530" s="34">
        <f t="shared" si="1248"/>
        <v>0</v>
      </c>
      <c r="AB530" s="34">
        <f t="shared" ref="AB530:AR530" si="1257">IF(SUM(G527:G539)=0,NA(),G530+AA530)</f>
        <v>0</v>
      </c>
      <c r="AC530" s="34">
        <f t="shared" si="1257"/>
        <v>0</v>
      </c>
      <c r="AD530" s="34">
        <f t="shared" si="1257"/>
        <v>1</v>
      </c>
      <c r="AE530" s="34">
        <f t="shared" si="1257"/>
        <v>1</v>
      </c>
      <c r="AF530" s="34">
        <f t="shared" si="1257"/>
        <v>1</v>
      </c>
      <c r="AG530" s="34">
        <f t="shared" si="1257"/>
        <v>1</v>
      </c>
      <c r="AH530" s="34">
        <f t="shared" si="1257"/>
        <v>1</v>
      </c>
      <c r="AI530" s="34">
        <f t="shared" si="1257"/>
        <v>1</v>
      </c>
      <c r="AJ530" s="34">
        <f t="shared" si="1257"/>
        <v>1</v>
      </c>
      <c r="AK530" s="34" t="e">
        <f t="shared" si="1257"/>
        <v>#N/A</v>
      </c>
      <c r="AL530" s="34" t="e">
        <f t="shared" si="1257"/>
        <v>#N/A</v>
      </c>
      <c r="AM530" s="34" t="e">
        <f t="shared" si="1257"/>
        <v>#N/A</v>
      </c>
      <c r="AN530" s="34" t="e">
        <f t="shared" si="1257"/>
        <v>#N/A</v>
      </c>
      <c r="AO530" s="34" t="e">
        <f t="shared" si="1257"/>
        <v>#N/A</v>
      </c>
      <c r="AP530" s="34" t="e">
        <f t="shared" si="1257"/>
        <v>#N/A</v>
      </c>
      <c r="AQ530" s="34" t="e">
        <f t="shared" si="1257"/>
        <v>#N/A</v>
      </c>
      <c r="AR530" s="34" t="e">
        <f t="shared" si="1257"/>
        <v>#N/A</v>
      </c>
      <c r="AS530" s="27"/>
      <c r="AT530" s="39"/>
      <c r="AU530" s="39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30"/>
    </row>
    <row r="531" spans="1:66" ht="11.25" customHeight="1" x14ac:dyDescent="0.2">
      <c r="A531" s="63" t="s">
        <v>43</v>
      </c>
      <c r="B531" s="74"/>
      <c r="C531" s="33">
        <v>5</v>
      </c>
      <c r="D531" s="13" t="s">
        <v>372</v>
      </c>
      <c r="E531" s="16">
        <f>SUM(F531:W531)</f>
        <v>0</v>
      </c>
      <c r="F531" s="16">
        <f>SUMIFS([0]!VOTOS2,[0]!TURNO1,F$31,[0]!CANDIDATO1,$C531,[0]!MUNICIPIO1,$B$527)</f>
        <v>0</v>
      </c>
      <c r="G531" s="16">
        <f>SUMIFS([0]!VOTOS2,[0]!TURNO1,G$31,[0]!CANDIDATO1,$C531,[0]!MUNICIPIO1,$B$527)</f>
        <v>0</v>
      </c>
      <c r="H531" s="16">
        <f>SUMIFS([0]!VOTOS2,[0]!TURNO1,H$31,[0]!CANDIDATO1,$C531,[0]!MUNICIPIO1,$B$527)</f>
        <v>0</v>
      </c>
      <c r="I531" s="16">
        <f>SUMIFS([0]!VOTOS2,[0]!TURNO1,I$31,[0]!CANDIDATO1,$C531,[0]!MUNICIPIO1,$B$527)</f>
        <v>0</v>
      </c>
      <c r="J531" s="16">
        <f>SUMIFS([0]!VOTOS2,[0]!TURNO1,J$31,[0]!CANDIDATO1,$C531,[0]!MUNICIPIO1,$B$527)</f>
        <v>0</v>
      </c>
      <c r="K531" s="16">
        <f>SUMIFS([0]!VOTOS2,[0]!TURNO1,K$31,[0]!CANDIDATO1,$C531,[0]!MUNICIPIO1,$B$527)</f>
        <v>0</v>
      </c>
      <c r="L531" s="16">
        <f>SUMIFS([0]!VOTOS2,[0]!TURNO1,L$31,[0]!CANDIDATO1,$C531,[0]!MUNICIPIO1,$B$527)</f>
        <v>0</v>
      </c>
      <c r="M531" s="16">
        <f>SUMIFS([0]!VOTOS2,[0]!TURNO1,M$31,[0]!CANDIDATO1,$C531,[0]!MUNICIPIO1,$B$527)</f>
        <v>0</v>
      </c>
      <c r="N531" s="16">
        <f>SUMIFS([0]!VOTOS2,[0]!TURNO1,N$31,[0]!CANDIDATO1,$C531,[0]!MUNICIPIO1,$B$527)</f>
        <v>0</v>
      </c>
      <c r="O531" s="16">
        <f>SUMIFS([0]!VOTOS2,[0]!TURNO1,O$31,[0]!CANDIDATO1,$C531,[0]!MUNICIPIO1,$B$527)</f>
        <v>0</v>
      </c>
      <c r="P531" s="16">
        <f>SUMIFS([0]!VOTOS2,[0]!TURNO1,P$31,[0]!CANDIDATO1,$C531,[0]!MUNICIPIO1,$B$527)</f>
        <v>0</v>
      </c>
      <c r="Q531" s="16">
        <f>SUMIFS([0]!VOTOS2,[0]!TURNO1,Q$31,[0]!CANDIDATO1,$C531,[0]!MUNICIPIO1,$B$527)</f>
        <v>0</v>
      </c>
      <c r="R531" s="16">
        <f>SUMIFS([0]!VOTOS2,[0]!TURNO1,R$31,[0]!CANDIDATO1,$C531,[0]!MUNICIPIO1,$B$527)</f>
        <v>0</v>
      </c>
      <c r="S531" s="16">
        <f>SUMIFS([0]!VOTOS2,[0]!TURNO1,S$31,[0]!CANDIDATO1,$C531,[0]!MUNICIPIO1,$B$527)</f>
        <v>0</v>
      </c>
      <c r="T531" s="16">
        <f>SUMIFS([0]!VOTOS2,[0]!TURNO1,T$31,[0]!CANDIDATO1,$C531,[0]!MUNICIPIO1,$B$527)</f>
        <v>0</v>
      </c>
      <c r="U531" s="16">
        <f>SUMIFS([0]!VOTOS2,[0]!TURNO1,U$31,[0]!CANDIDATO1,$C531,[0]!MUNICIPIO1,$B$527)</f>
        <v>0</v>
      </c>
      <c r="V531" s="16">
        <f>SUMIFS([0]!VOTOS2,[0]!TURNO1,V$31,[0]!CANDIDATO1,$C531,[0]!MUNICIPIO1,$B$527)</f>
        <v>0</v>
      </c>
      <c r="W531" s="16">
        <f>SUMIFS([0]!VOTOS2,[0]!TURNO1,W$31,[0]!CANDIDATO1,$C531,[0]!MUNICIPIO1,$B$527)</f>
        <v>0</v>
      </c>
      <c r="X531" s="24"/>
      <c r="Y531" s="18" t="str">
        <f t="shared" si="1246"/>
        <v>JOSE DA SILVA</v>
      </c>
      <c r="Z531" s="34">
        <f t="shared" si="1247"/>
        <v>0</v>
      </c>
      <c r="AA531" s="34">
        <f t="shared" si="1248"/>
        <v>0</v>
      </c>
      <c r="AB531" s="34">
        <f t="shared" ref="AB531:AR531" si="1258">IF(SUM(G527:G539)=0,NA(),G531+AA531)</f>
        <v>0</v>
      </c>
      <c r="AC531" s="34">
        <f t="shared" si="1258"/>
        <v>0</v>
      </c>
      <c r="AD531" s="34">
        <f t="shared" si="1258"/>
        <v>0</v>
      </c>
      <c r="AE531" s="34">
        <f t="shared" si="1258"/>
        <v>0</v>
      </c>
      <c r="AF531" s="34">
        <f t="shared" si="1258"/>
        <v>0</v>
      </c>
      <c r="AG531" s="34">
        <f t="shared" si="1258"/>
        <v>0</v>
      </c>
      <c r="AH531" s="34">
        <f t="shared" si="1258"/>
        <v>0</v>
      </c>
      <c r="AI531" s="34">
        <f t="shared" si="1258"/>
        <v>0</v>
      </c>
      <c r="AJ531" s="34">
        <f t="shared" si="1258"/>
        <v>0</v>
      </c>
      <c r="AK531" s="34" t="e">
        <f t="shared" si="1258"/>
        <v>#N/A</v>
      </c>
      <c r="AL531" s="34" t="e">
        <f t="shared" si="1258"/>
        <v>#N/A</v>
      </c>
      <c r="AM531" s="34" t="e">
        <f t="shared" si="1258"/>
        <v>#N/A</v>
      </c>
      <c r="AN531" s="34" t="e">
        <f t="shared" si="1258"/>
        <v>#N/A</v>
      </c>
      <c r="AO531" s="34" t="e">
        <f t="shared" si="1258"/>
        <v>#N/A</v>
      </c>
      <c r="AP531" s="34" t="e">
        <f t="shared" si="1258"/>
        <v>#N/A</v>
      </c>
      <c r="AQ531" s="34" t="e">
        <f t="shared" si="1258"/>
        <v>#N/A</v>
      </c>
      <c r="AR531" s="34" t="e">
        <f t="shared" si="1258"/>
        <v>#N/A</v>
      </c>
      <c r="AS531" s="27"/>
      <c r="AT531" s="39"/>
      <c r="AU531" s="39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30"/>
    </row>
    <row r="532" spans="1:66" ht="11.25" customHeight="1" x14ac:dyDescent="0.2">
      <c r="A532" s="44"/>
      <c r="B532" s="45"/>
      <c r="C532" s="46">
        <v>6</v>
      </c>
      <c r="D532" s="14" t="s">
        <v>76</v>
      </c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24"/>
      <c r="Y532" s="18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27"/>
      <c r="AT532" s="39"/>
      <c r="AU532" s="39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30"/>
    </row>
    <row r="533" spans="1:66" ht="11.25" customHeight="1" x14ac:dyDescent="0.2">
      <c r="A533" s="44"/>
      <c r="B533" s="45"/>
      <c r="C533" s="46">
        <v>7</v>
      </c>
      <c r="D533" s="14" t="s">
        <v>76</v>
      </c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24"/>
      <c r="Y533" s="18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27"/>
      <c r="AT533" s="39"/>
      <c r="AU533" s="39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30"/>
    </row>
    <row r="534" spans="1:66" ht="11.25" customHeight="1" x14ac:dyDescent="0.2">
      <c r="A534" s="44"/>
      <c r="B534" s="45"/>
      <c r="C534" s="46">
        <v>8</v>
      </c>
      <c r="D534" s="14" t="s">
        <v>76</v>
      </c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24"/>
      <c r="Y534" s="18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27"/>
      <c r="AT534" s="41"/>
      <c r="AU534" s="41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30"/>
    </row>
    <row r="535" spans="1:66" ht="11.25" customHeight="1" x14ac:dyDescent="0.2">
      <c r="A535" s="44"/>
      <c r="B535" s="45"/>
      <c r="C535" s="46">
        <v>9</v>
      </c>
      <c r="D535" s="14" t="s">
        <v>76</v>
      </c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24"/>
      <c r="Y535" s="18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27"/>
      <c r="AT535" s="41"/>
      <c r="AU535" s="41"/>
      <c r="AV535" s="43"/>
      <c r="AW535" s="43"/>
      <c r="AX535" s="43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/>
      <c r="BK535" s="43"/>
      <c r="BL535" s="43"/>
      <c r="BM535" s="43"/>
      <c r="BN535" s="30"/>
    </row>
    <row r="536" spans="1:66" ht="11.25" customHeight="1" x14ac:dyDescent="0.2">
      <c r="A536" s="44"/>
      <c r="B536" s="45"/>
      <c r="C536" s="46">
        <v>10</v>
      </c>
      <c r="D536" s="14" t="s">
        <v>76</v>
      </c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24"/>
      <c r="Y536" s="18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27"/>
      <c r="AT536" s="41"/>
      <c r="AU536" s="41"/>
      <c r="AV536" s="43"/>
      <c r="AW536" s="43"/>
      <c r="AX536" s="43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43"/>
      <c r="BJ536" s="43"/>
      <c r="BK536" s="43"/>
      <c r="BL536" s="43"/>
      <c r="BM536" s="43"/>
      <c r="BN536" s="30"/>
    </row>
    <row r="537" spans="1:66" ht="11.25" customHeight="1" x14ac:dyDescent="0.2">
      <c r="A537" s="44"/>
      <c r="B537" s="45"/>
      <c r="C537" s="46">
        <v>11</v>
      </c>
      <c r="D537" s="14" t="s">
        <v>76</v>
      </c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24"/>
      <c r="Y537" s="18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27"/>
      <c r="AT537" s="41"/>
      <c r="AU537" s="41"/>
      <c r="AV537" s="43"/>
      <c r="AW537" s="43"/>
      <c r="AX537" s="43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43"/>
      <c r="BJ537" s="43"/>
      <c r="BK537" s="43"/>
      <c r="BL537" s="43"/>
      <c r="BM537" s="43"/>
      <c r="BN537" s="30"/>
    </row>
    <row r="538" spans="1:66" ht="11.25" customHeight="1" x14ac:dyDescent="0.2">
      <c r="A538" s="44"/>
      <c r="B538" s="45"/>
      <c r="C538" s="46">
        <v>12</v>
      </c>
      <c r="D538" s="14" t="s">
        <v>76</v>
      </c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24"/>
      <c r="Y538" s="18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27"/>
      <c r="AT538" s="41"/>
      <c r="AU538" s="41"/>
      <c r="AV538" s="43"/>
      <c r="AW538" s="43"/>
      <c r="AX538" s="43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43"/>
      <c r="BJ538" s="43"/>
      <c r="BK538" s="43"/>
      <c r="BL538" s="43"/>
      <c r="BM538" s="43"/>
      <c r="BN538" s="30"/>
    </row>
    <row r="539" spans="1:66" ht="11.25" customHeight="1" x14ac:dyDescent="0.2">
      <c r="A539" s="44"/>
      <c r="B539" s="45"/>
      <c r="C539" s="46">
        <v>13</v>
      </c>
      <c r="D539" s="14" t="s">
        <v>76</v>
      </c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24"/>
      <c r="Y539" s="18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27"/>
      <c r="AT539" s="41"/>
      <c r="AU539" s="41"/>
      <c r="AV539" s="43"/>
      <c r="AW539" s="43"/>
      <c r="AX539" s="43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43"/>
      <c r="BJ539" s="43"/>
      <c r="BK539" s="43"/>
      <c r="BL539" s="43"/>
      <c r="BM539" s="43"/>
      <c r="BN539" s="30"/>
    </row>
    <row r="540" spans="1:66" ht="11.25" customHeight="1" x14ac:dyDescent="0.2">
      <c r="X540" s="24"/>
      <c r="Y540" s="19" t="s">
        <v>79</v>
      </c>
      <c r="Z540" s="34">
        <f t="shared" ref="Z540" si="1259">SUM(Z529:Z539)</f>
        <v>3</v>
      </c>
      <c r="AA540" s="34">
        <f t="shared" ref="AA540" si="1260">SUM(AA529:AA539)</f>
        <v>0</v>
      </c>
      <c r="AB540" s="34">
        <f t="shared" ref="AB540" si="1261">SUM(AB529:AB539)</f>
        <v>0</v>
      </c>
      <c r="AC540" s="34">
        <f t="shared" ref="AC540" si="1262">SUM(AC529:AC539)</f>
        <v>0</v>
      </c>
      <c r="AD540" s="34">
        <f t="shared" ref="AD540" si="1263">SUM(AD529:AD539)</f>
        <v>1</v>
      </c>
      <c r="AE540" s="34">
        <f t="shared" ref="AE540" si="1264">SUM(AE529:AE539)</f>
        <v>2</v>
      </c>
      <c r="AF540" s="34">
        <f t="shared" ref="AF540" si="1265">SUM(AF529:AF539)</f>
        <v>2</v>
      </c>
      <c r="AG540" s="34">
        <f t="shared" ref="AG540" si="1266">SUM(AG529:AG539)</f>
        <v>3</v>
      </c>
      <c r="AH540" s="34">
        <f t="shared" ref="AH540" si="1267">SUM(AH529:AH539)</f>
        <v>3</v>
      </c>
      <c r="AI540" s="34">
        <f t="shared" ref="AI540" si="1268">SUM(AI529:AI539)</f>
        <v>3</v>
      </c>
      <c r="AJ540" s="34">
        <f t="shared" ref="AJ540" si="1269">SUM(AJ529:AJ539)</f>
        <v>3</v>
      </c>
      <c r="AK540" s="34" t="e">
        <f t="shared" ref="AK540" si="1270">SUM(AK529:AK539)</f>
        <v>#N/A</v>
      </c>
      <c r="AL540" s="34" t="e">
        <f t="shared" ref="AL540" si="1271">SUM(AL529:AL539)</f>
        <v>#N/A</v>
      </c>
      <c r="AM540" s="34" t="e">
        <f t="shared" ref="AM540" si="1272">SUM(AM529:AM539)</f>
        <v>#N/A</v>
      </c>
      <c r="AN540" s="34" t="e">
        <f t="shared" ref="AN540" si="1273">SUM(AN529:AN539)</f>
        <v>#N/A</v>
      </c>
      <c r="AO540" s="34" t="e">
        <f t="shared" ref="AO540" si="1274">SUM(AO529:AO539)</f>
        <v>#N/A</v>
      </c>
      <c r="AP540" s="34" t="e">
        <f t="shared" ref="AP540" si="1275">SUM(AP529:AP539)</f>
        <v>#N/A</v>
      </c>
      <c r="AQ540" s="34" t="e">
        <f t="shared" ref="AQ540" si="1276">SUM(AQ529:AQ539)</f>
        <v>#N/A</v>
      </c>
      <c r="AR540" s="34" t="e">
        <f t="shared" ref="AR540" si="1277">SUM(AR529:AR539)</f>
        <v>#N/A</v>
      </c>
      <c r="AS540" s="27"/>
      <c r="AT540" s="41"/>
      <c r="AU540" s="41"/>
      <c r="AV540" s="43"/>
      <c r="AW540" s="43"/>
      <c r="AX540" s="43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/>
      <c r="BK540" s="43"/>
      <c r="BL540" s="43"/>
      <c r="BM540" s="43"/>
      <c r="BN540" s="30"/>
    </row>
    <row r="541" spans="1:66" ht="11.25" customHeight="1" x14ac:dyDescent="0.2">
      <c r="A541" s="75" t="s">
        <v>63</v>
      </c>
      <c r="B541" s="76"/>
      <c r="C541" s="21"/>
      <c r="D541" s="22" t="s">
        <v>75</v>
      </c>
      <c r="E541" s="23" t="s">
        <v>70</v>
      </c>
      <c r="F541" s="23">
        <v>0</v>
      </c>
      <c r="G541" s="23">
        <v>1</v>
      </c>
      <c r="H541" s="23">
        <v>2</v>
      </c>
      <c r="I541" s="23">
        <v>3</v>
      </c>
      <c r="J541" s="23">
        <v>4</v>
      </c>
      <c r="K541" s="23">
        <v>5</v>
      </c>
      <c r="L541" s="23">
        <v>6</v>
      </c>
      <c r="M541" s="23">
        <v>7</v>
      </c>
      <c r="N541" s="23">
        <v>8</v>
      </c>
      <c r="O541" s="23">
        <v>9</v>
      </c>
      <c r="P541" s="23">
        <v>10</v>
      </c>
      <c r="Q541" s="23">
        <v>11</v>
      </c>
      <c r="R541" s="23">
        <v>12</v>
      </c>
      <c r="S541" s="23">
        <v>13</v>
      </c>
      <c r="T541" s="23">
        <v>14</v>
      </c>
      <c r="U541" s="23">
        <v>15</v>
      </c>
      <c r="V541" s="23">
        <v>16</v>
      </c>
      <c r="W541" s="23">
        <v>17</v>
      </c>
      <c r="X541" s="24"/>
      <c r="Y541" s="17"/>
      <c r="Z541" s="25" t="s">
        <v>64</v>
      </c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7"/>
      <c r="AT541" s="28"/>
      <c r="AU541" s="28" t="s">
        <v>64</v>
      </c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30"/>
    </row>
    <row r="542" spans="1:66" ht="11.25" customHeight="1" x14ac:dyDescent="0.2">
      <c r="A542" s="32"/>
      <c r="B542" s="72">
        <v>37</v>
      </c>
      <c r="C542" s="51">
        <v>1</v>
      </c>
      <c r="D542" s="13" t="s">
        <v>386</v>
      </c>
      <c r="E542" s="16">
        <f t="shared" ref="E542:E550" si="1278">SUM(F542:W542)</f>
        <v>148</v>
      </c>
      <c r="F542" s="16">
        <f>SUMIFS([0]!VOTOS2,[0]!TURNO1,F$31,[0]!CANDIDATO1,$C542,[0]!MUNICIPIO1,$B$542)</f>
        <v>8</v>
      </c>
      <c r="G542" s="16">
        <f>SUMIFS([0]!VOTOS2,[0]!TURNO1,G$31,[0]!CANDIDATO1,$C542,[0]!MUNICIPIO1,$B$542)</f>
        <v>39</v>
      </c>
      <c r="H542" s="16">
        <f>SUMIFS([0]!VOTOS2,[0]!TURNO1,H$31,[0]!CANDIDATO1,$C542,[0]!MUNICIPIO1,$B$542)</f>
        <v>13</v>
      </c>
      <c r="I542" s="16">
        <f>SUMIFS([0]!VOTOS2,[0]!TURNO1,I$31,[0]!CANDIDATO1,$C542,[0]!MUNICIPIO1,$B$542)</f>
        <v>13</v>
      </c>
      <c r="J542" s="16">
        <f>SUMIFS([0]!VOTOS2,[0]!TURNO1,J$31,[0]!CANDIDATO1,$C542,[0]!MUNICIPIO1,$B$542)</f>
        <v>9</v>
      </c>
      <c r="K542" s="16">
        <f>SUMIFS([0]!VOTOS2,[0]!TURNO1,K$31,[0]!CANDIDATO1,$C542,[0]!MUNICIPIO1,$B$542)</f>
        <v>25</v>
      </c>
      <c r="L542" s="16">
        <f>SUMIFS([0]!VOTOS2,[0]!TURNO1,L$31,[0]!CANDIDATO1,$C542,[0]!MUNICIPIO1,$B$542)</f>
        <v>11</v>
      </c>
      <c r="M542" s="16">
        <f>SUMIFS([0]!VOTOS2,[0]!TURNO1,M$31,[0]!CANDIDATO1,$C542,[0]!MUNICIPIO1,$B$542)</f>
        <v>9</v>
      </c>
      <c r="N542" s="16">
        <f>SUMIFS([0]!VOTOS2,[0]!TURNO1,N$31,[0]!CANDIDATO1,$C542,[0]!MUNICIPIO1,$B$542)</f>
        <v>15</v>
      </c>
      <c r="O542" s="16">
        <f>SUMIFS([0]!VOTOS2,[0]!TURNO1,O$31,[0]!CANDIDATO1,$C542,[0]!MUNICIPIO1,$B$542)</f>
        <v>6</v>
      </c>
      <c r="P542" s="16">
        <f>SUMIFS([0]!VOTOS2,[0]!TURNO1,P$31,[0]!CANDIDATO1,$C542,[0]!MUNICIPIO1,$B$542)</f>
        <v>0</v>
      </c>
      <c r="Q542" s="16">
        <f>SUMIFS([0]!VOTOS2,[0]!TURNO1,Q$31,[0]!CANDIDATO1,$C542,[0]!MUNICIPIO1,$B$542)</f>
        <v>0</v>
      </c>
      <c r="R542" s="16">
        <f>SUMIFS([0]!VOTOS2,[0]!TURNO1,R$31,[0]!CANDIDATO1,$C542,[0]!MUNICIPIO1,$B$542)</f>
        <v>0</v>
      </c>
      <c r="S542" s="16">
        <f>SUMIFS([0]!VOTOS2,[0]!TURNO1,S$31,[0]!CANDIDATO1,$C542,[0]!MUNICIPIO1,$B$542)</f>
        <v>0</v>
      </c>
      <c r="T542" s="16">
        <f>SUMIFS([0]!VOTOS2,[0]!TURNO1,T$31,[0]!CANDIDATO1,$C542,[0]!MUNICIPIO1,$B$542)</f>
        <v>0</v>
      </c>
      <c r="U542" s="16">
        <f>SUMIFS([0]!VOTOS2,[0]!TURNO1,U$31,[0]!CANDIDATO1,$C542,[0]!MUNICIPIO1,$B$542)</f>
        <v>0</v>
      </c>
      <c r="V542" s="16">
        <f>SUMIFS([0]!VOTOS2,[0]!TURNO1,V$31,[0]!CANDIDATO1,$C542,[0]!MUNICIPIO1,$B$542)</f>
        <v>0</v>
      </c>
      <c r="W542" s="16">
        <f>SUMIFS([0]!VOTOS2,[0]!TURNO1,W$31,[0]!CANDIDATO1,$C542,[0]!MUNICIPIO1,$B$542)</f>
        <v>0</v>
      </c>
      <c r="X542" s="24"/>
      <c r="Y542" s="18" t="str">
        <f t="shared" ref="Y542:Y550" si="1279">D542</f>
        <v>NUBIA CUPARE</v>
      </c>
      <c r="Z542" s="34">
        <f t="shared" ref="Z542:Z550" si="1280">E542</f>
        <v>148</v>
      </c>
      <c r="AA542" s="34">
        <f t="shared" ref="AA542:AA550" si="1281">F542</f>
        <v>8</v>
      </c>
      <c r="AB542" s="34">
        <f t="shared" ref="AB542:AR542" si="1282">IF(SUM(G542:G554)=0,NA(),G542+AA542)</f>
        <v>47</v>
      </c>
      <c r="AC542" s="34">
        <f t="shared" si="1282"/>
        <v>60</v>
      </c>
      <c r="AD542" s="34">
        <f t="shared" si="1282"/>
        <v>73</v>
      </c>
      <c r="AE542" s="34">
        <f t="shared" si="1282"/>
        <v>82</v>
      </c>
      <c r="AF542" s="34">
        <f t="shared" si="1282"/>
        <v>107</v>
      </c>
      <c r="AG542" s="34">
        <f t="shared" si="1282"/>
        <v>118</v>
      </c>
      <c r="AH542" s="34">
        <f t="shared" si="1282"/>
        <v>127</v>
      </c>
      <c r="AI542" s="34">
        <f t="shared" si="1282"/>
        <v>142</v>
      </c>
      <c r="AJ542" s="34">
        <f t="shared" si="1282"/>
        <v>148</v>
      </c>
      <c r="AK542" s="34" t="e">
        <f t="shared" si="1282"/>
        <v>#N/A</v>
      </c>
      <c r="AL542" s="34" t="e">
        <f t="shared" si="1282"/>
        <v>#N/A</v>
      </c>
      <c r="AM542" s="34" t="e">
        <f t="shared" si="1282"/>
        <v>#N/A</v>
      </c>
      <c r="AN542" s="34" t="e">
        <f t="shared" si="1282"/>
        <v>#N/A</v>
      </c>
      <c r="AO542" s="34" t="e">
        <f t="shared" si="1282"/>
        <v>#N/A</v>
      </c>
      <c r="AP542" s="34" t="e">
        <f t="shared" si="1282"/>
        <v>#N/A</v>
      </c>
      <c r="AQ542" s="34" t="e">
        <f t="shared" si="1282"/>
        <v>#N/A</v>
      </c>
      <c r="AR542" s="34" t="e">
        <f t="shared" si="1282"/>
        <v>#N/A</v>
      </c>
      <c r="AS542" s="27"/>
      <c r="AT542" s="35" t="str">
        <f t="shared" ref="AT542:AT543" si="1283">Y542</f>
        <v>NUBIA CUPARE</v>
      </c>
      <c r="AU542" s="36">
        <f t="shared" ref="AU542:BM542" si="1284">Z542/(Z542+Z543+Z555)</f>
        <v>0.39050131926121373</v>
      </c>
      <c r="AV542" s="36">
        <f t="shared" si="1284"/>
        <v>0.5</v>
      </c>
      <c r="AW542" s="36">
        <f t="shared" si="1284"/>
        <v>0.72307692307692306</v>
      </c>
      <c r="AX542" s="36">
        <f t="shared" si="1284"/>
        <v>0.41095890410958902</v>
      </c>
      <c r="AY542" s="36">
        <f t="shared" si="1284"/>
        <v>0.40109890109890112</v>
      </c>
      <c r="AZ542" s="36">
        <f t="shared" si="1284"/>
        <v>0.38317757009345793</v>
      </c>
      <c r="BA542" s="36">
        <f t="shared" si="1284"/>
        <v>0.40225563909774437</v>
      </c>
      <c r="BB542" s="36">
        <f t="shared" si="1284"/>
        <v>0.39597315436241609</v>
      </c>
      <c r="BC542" s="36">
        <f t="shared" si="1284"/>
        <v>0.39937106918238996</v>
      </c>
      <c r="BD542" s="36">
        <f t="shared" si="1284"/>
        <v>0.39226519337016574</v>
      </c>
      <c r="BE542" s="36">
        <f t="shared" si="1284"/>
        <v>0.39050131926121373</v>
      </c>
      <c r="BF542" s="36" t="e">
        <f t="shared" si="1284"/>
        <v>#N/A</v>
      </c>
      <c r="BG542" s="36" t="e">
        <f t="shared" si="1284"/>
        <v>#N/A</v>
      </c>
      <c r="BH542" s="36" t="e">
        <f t="shared" si="1284"/>
        <v>#N/A</v>
      </c>
      <c r="BI542" s="36" t="e">
        <f t="shared" si="1284"/>
        <v>#N/A</v>
      </c>
      <c r="BJ542" s="36" t="e">
        <f t="shared" si="1284"/>
        <v>#N/A</v>
      </c>
      <c r="BK542" s="36" t="e">
        <f t="shared" si="1284"/>
        <v>#N/A</v>
      </c>
      <c r="BL542" s="36" t="e">
        <f t="shared" si="1284"/>
        <v>#N/A</v>
      </c>
      <c r="BM542" s="36" t="e">
        <f t="shared" si="1284"/>
        <v>#N/A</v>
      </c>
      <c r="BN542" s="30"/>
    </row>
    <row r="543" spans="1:66" ht="11.25" customHeight="1" x14ac:dyDescent="0.2">
      <c r="A543" s="37"/>
      <c r="B543" s="73"/>
      <c r="C543" s="51">
        <v>2</v>
      </c>
      <c r="D543" s="13" t="s">
        <v>387</v>
      </c>
      <c r="E543" s="16">
        <f t="shared" si="1278"/>
        <v>93</v>
      </c>
      <c r="F543" s="16">
        <f>SUMIFS([0]!VOTOS2,[0]!TURNO1,F$31,[0]!CANDIDATO1,$C543,[0]!MUNICIPIO1,$B$542)</f>
        <v>8</v>
      </c>
      <c r="G543" s="16">
        <f>SUMIFS([0]!VOTOS2,[0]!TURNO1,G$31,[0]!CANDIDATO1,$C543,[0]!MUNICIPIO1,$B$542)</f>
        <v>1</v>
      </c>
      <c r="H543" s="16">
        <f>SUMIFS([0]!VOTOS2,[0]!TURNO1,H$31,[0]!CANDIDATO1,$C543,[0]!MUNICIPIO1,$B$542)</f>
        <v>51</v>
      </c>
      <c r="I543" s="16">
        <f>SUMIFS([0]!VOTOS2,[0]!TURNO1,I$31,[0]!CANDIDATO1,$C543,[0]!MUNICIPIO1,$B$542)</f>
        <v>0</v>
      </c>
      <c r="J543" s="16">
        <f>SUMIFS([0]!VOTOS2,[0]!TURNO1,J$31,[0]!CANDIDATO1,$C543,[0]!MUNICIPIO1,$B$542)</f>
        <v>0</v>
      </c>
      <c r="K543" s="16">
        <f>SUMIFS([0]!VOTOS2,[0]!TURNO1,K$31,[0]!CANDIDATO1,$C543,[0]!MUNICIPIO1,$B$542)</f>
        <v>10</v>
      </c>
      <c r="L543" s="16">
        <f>SUMIFS([0]!VOTOS2,[0]!TURNO1,L$31,[0]!CANDIDATO1,$C543,[0]!MUNICIPIO1,$B$542)</f>
        <v>5</v>
      </c>
      <c r="M543" s="16">
        <f>SUMIFS([0]!VOTOS2,[0]!TURNO1,M$31,[0]!CANDIDATO1,$C543,[0]!MUNICIPIO1,$B$542)</f>
        <v>3</v>
      </c>
      <c r="N543" s="16">
        <f>SUMIFS([0]!VOTOS2,[0]!TURNO1,N$31,[0]!CANDIDATO1,$C543,[0]!MUNICIPIO1,$B$542)</f>
        <v>12</v>
      </c>
      <c r="O543" s="16">
        <f>SUMIFS([0]!VOTOS2,[0]!TURNO1,O$31,[0]!CANDIDATO1,$C543,[0]!MUNICIPIO1,$B$542)</f>
        <v>3</v>
      </c>
      <c r="P543" s="16">
        <f>SUMIFS([0]!VOTOS2,[0]!TURNO1,P$31,[0]!CANDIDATO1,$C543,[0]!MUNICIPIO1,$B$542)</f>
        <v>0</v>
      </c>
      <c r="Q543" s="16">
        <f>SUMIFS([0]!VOTOS2,[0]!TURNO1,Q$31,[0]!CANDIDATO1,$C543,[0]!MUNICIPIO1,$B$542)</f>
        <v>0</v>
      </c>
      <c r="R543" s="16">
        <f>SUMIFS([0]!VOTOS2,[0]!TURNO1,R$31,[0]!CANDIDATO1,$C543,[0]!MUNICIPIO1,$B$542)</f>
        <v>0</v>
      </c>
      <c r="S543" s="16">
        <f>SUMIFS([0]!VOTOS2,[0]!TURNO1,S$31,[0]!CANDIDATO1,$C543,[0]!MUNICIPIO1,$B$542)</f>
        <v>0</v>
      </c>
      <c r="T543" s="16">
        <f>SUMIFS([0]!VOTOS2,[0]!TURNO1,T$31,[0]!CANDIDATO1,$C543,[0]!MUNICIPIO1,$B$542)</f>
        <v>0</v>
      </c>
      <c r="U543" s="16">
        <f>SUMIFS([0]!VOTOS2,[0]!TURNO1,U$31,[0]!CANDIDATO1,$C543,[0]!MUNICIPIO1,$B$542)</f>
        <v>0</v>
      </c>
      <c r="V543" s="16">
        <f>SUMIFS([0]!VOTOS2,[0]!TURNO1,V$31,[0]!CANDIDATO1,$C543,[0]!MUNICIPIO1,$B$542)</f>
        <v>0</v>
      </c>
      <c r="W543" s="16">
        <f>SUMIFS([0]!VOTOS2,[0]!TURNO1,W$31,[0]!CANDIDATO1,$C543,[0]!MUNICIPIO1,$B$542)</f>
        <v>0</v>
      </c>
      <c r="X543" s="24"/>
      <c r="Y543" s="18" t="str">
        <f t="shared" si="1279"/>
        <v>LORENZO PIÑA</v>
      </c>
      <c r="Z543" s="34">
        <f t="shared" si="1280"/>
        <v>93</v>
      </c>
      <c r="AA543" s="34">
        <f t="shared" si="1281"/>
        <v>8</v>
      </c>
      <c r="AB543" s="34">
        <f t="shared" ref="AB543:AR543" si="1285">IF(SUM(G542:G554)=0,NA(),G543+AA543)</f>
        <v>9</v>
      </c>
      <c r="AC543" s="34">
        <f t="shared" si="1285"/>
        <v>60</v>
      </c>
      <c r="AD543" s="34">
        <f t="shared" si="1285"/>
        <v>60</v>
      </c>
      <c r="AE543" s="34">
        <f t="shared" si="1285"/>
        <v>60</v>
      </c>
      <c r="AF543" s="34">
        <f t="shared" si="1285"/>
        <v>70</v>
      </c>
      <c r="AG543" s="34">
        <f t="shared" si="1285"/>
        <v>75</v>
      </c>
      <c r="AH543" s="34">
        <f t="shared" si="1285"/>
        <v>78</v>
      </c>
      <c r="AI543" s="34">
        <f t="shared" si="1285"/>
        <v>90</v>
      </c>
      <c r="AJ543" s="34">
        <f t="shared" si="1285"/>
        <v>93</v>
      </c>
      <c r="AK543" s="34" t="e">
        <f t="shared" si="1285"/>
        <v>#N/A</v>
      </c>
      <c r="AL543" s="34" t="e">
        <f t="shared" si="1285"/>
        <v>#N/A</v>
      </c>
      <c r="AM543" s="34" t="e">
        <f t="shared" si="1285"/>
        <v>#N/A</v>
      </c>
      <c r="AN543" s="34" t="e">
        <f t="shared" si="1285"/>
        <v>#N/A</v>
      </c>
      <c r="AO543" s="34" t="e">
        <f t="shared" si="1285"/>
        <v>#N/A</v>
      </c>
      <c r="AP543" s="34" t="e">
        <f t="shared" si="1285"/>
        <v>#N/A</v>
      </c>
      <c r="AQ543" s="34" t="e">
        <f t="shared" si="1285"/>
        <v>#N/A</v>
      </c>
      <c r="AR543" s="34" t="e">
        <f t="shared" si="1285"/>
        <v>#N/A</v>
      </c>
      <c r="AS543" s="27"/>
      <c r="AT543" s="35" t="str">
        <f t="shared" si="1283"/>
        <v>LORENZO PIÑA</v>
      </c>
      <c r="AU543" s="36">
        <f t="shared" ref="AU543:BM543" si="1286">Z543/(Z542+Z543+Z555)</f>
        <v>0.24538258575197888</v>
      </c>
      <c r="AV543" s="36">
        <f t="shared" si="1286"/>
        <v>0.5</v>
      </c>
      <c r="AW543" s="36">
        <f t="shared" si="1286"/>
        <v>0.13846153846153847</v>
      </c>
      <c r="AX543" s="36">
        <f t="shared" si="1286"/>
        <v>0.41095890410958902</v>
      </c>
      <c r="AY543" s="36">
        <f t="shared" si="1286"/>
        <v>0.32967032967032966</v>
      </c>
      <c r="AZ543" s="36">
        <f t="shared" si="1286"/>
        <v>0.28037383177570091</v>
      </c>
      <c r="BA543" s="36">
        <f t="shared" si="1286"/>
        <v>0.26315789473684209</v>
      </c>
      <c r="BB543" s="36">
        <f t="shared" si="1286"/>
        <v>0.25167785234899331</v>
      </c>
      <c r="BC543" s="36">
        <f t="shared" si="1286"/>
        <v>0.24528301886792453</v>
      </c>
      <c r="BD543" s="36">
        <f t="shared" si="1286"/>
        <v>0.24861878453038674</v>
      </c>
      <c r="BE543" s="36">
        <f t="shared" si="1286"/>
        <v>0.24538258575197888</v>
      </c>
      <c r="BF543" s="36" t="e">
        <f t="shared" si="1286"/>
        <v>#N/A</v>
      </c>
      <c r="BG543" s="36" t="e">
        <f t="shared" si="1286"/>
        <v>#N/A</v>
      </c>
      <c r="BH543" s="36" t="e">
        <f t="shared" si="1286"/>
        <v>#N/A</v>
      </c>
      <c r="BI543" s="36" t="e">
        <f t="shared" si="1286"/>
        <v>#N/A</v>
      </c>
      <c r="BJ543" s="36" t="e">
        <f t="shared" si="1286"/>
        <v>#N/A</v>
      </c>
      <c r="BK543" s="36" t="e">
        <f t="shared" si="1286"/>
        <v>#N/A</v>
      </c>
      <c r="BL543" s="36" t="e">
        <f t="shared" si="1286"/>
        <v>#N/A</v>
      </c>
      <c r="BM543" s="36" t="e">
        <f t="shared" si="1286"/>
        <v>#N/A</v>
      </c>
      <c r="BN543" s="30"/>
    </row>
    <row r="544" spans="1:66" ht="11.25" customHeight="1" x14ac:dyDescent="0.2">
      <c r="A544" s="37"/>
      <c r="B544" s="73"/>
      <c r="C544" s="51">
        <v>3</v>
      </c>
      <c r="D544" s="13" t="s">
        <v>388</v>
      </c>
      <c r="E544" s="16">
        <f t="shared" si="1278"/>
        <v>9</v>
      </c>
      <c r="F544" s="16">
        <f>SUMIFS([0]!VOTOS2,[0]!TURNO1,F$31,[0]!CANDIDATO1,$C544,[0]!MUNICIPIO1,$B$542)</f>
        <v>0</v>
      </c>
      <c r="G544" s="16">
        <f>SUMIFS([0]!VOTOS2,[0]!TURNO1,G$31,[0]!CANDIDATO1,$C544,[0]!MUNICIPIO1,$B$542)</f>
        <v>2</v>
      </c>
      <c r="H544" s="16">
        <f>SUMIFS([0]!VOTOS2,[0]!TURNO1,H$31,[0]!CANDIDATO1,$C544,[0]!MUNICIPIO1,$B$542)</f>
        <v>1</v>
      </c>
      <c r="I544" s="16">
        <f>SUMIFS([0]!VOTOS2,[0]!TURNO1,I$31,[0]!CANDIDATO1,$C544,[0]!MUNICIPIO1,$B$542)</f>
        <v>1</v>
      </c>
      <c r="J544" s="16">
        <f>SUMIFS([0]!VOTOS2,[0]!TURNO1,J$31,[0]!CANDIDATO1,$C544,[0]!MUNICIPIO1,$B$542)</f>
        <v>4</v>
      </c>
      <c r="K544" s="16">
        <f>SUMIFS([0]!VOTOS2,[0]!TURNO1,K$31,[0]!CANDIDATO1,$C544,[0]!MUNICIPIO1,$B$542)</f>
        <v>1</v>
      </c>
      <c r="L544" s="16">
        <f>SUMIFS([0]!VOTOS2,[0]!TURNO1,L$31,[0]!CANDIDATO1,$C544,[0]!MUNICIPIO1,$B$542)</f>
        <v>0</v>
      </c>
      <c r="M544" s="16">
        <f>SUMIFS([0]!VOTOS2,[0]!TURNO1,M$31,[0]!CANDIDATO1,$C544,[0]!MUNICIPIO1,$B$542)</f>
        <v>0</v>
      </c>
      <c r="N544" s="16">
        <f>SUMIFS([0]!VOTOS2,[0]!TURNO1,N$31,[0]!CANDIDATO1,$C544,[0]!MUNICIPIO1,$B$542)</f>
        <v>0</v>
      </c>
      <c r="O544" s="16">
        <f>SUMIFS([0]!VOTOS2,[0]!TURNO1,O$31,[0]!CANDIDATO1,$C544,[0]!MUNICIPIO1,$B$542)</f>
        <v>0</v>
      </c>
      <c r="P544" s="16">
        <f>SUMIFS([0]!VOTOS2,[0]!TURNO1,P$31,[0]!CANDIDATO1,$C544,[0]!MUNICIPIO1,$B$542)</f>
        <v>0</v>
      </c>
      <c r="Q544" s="16">
        <f>SUMIFS([0]!VOTOS2,[0]!TURNO1,Q$31,[0]!CANDIDATO1,$C544,[0]!MUNICIPIO1,$B$542)</f>
        <v>0</v>
      </c>
      <c r="R544" s="16">
        <f>SUMIFS([0]!VOTOS2,[0]!TURNO1,R$31,[0]!CANDIDATO1,$C544,[0]!MUNICIPIO1,$B$542)</f>
        <v>0</v>
      </c>
      <c r="S544" s="16">
        <f>SUMIFS([0]!VOTOS2,[0]!TURNO1,S$31,[0]!CANDIDATO1,$C544,[0]!MUNICIPIO1,$B$542)</f>
        <v>0</v>
      </c>
      <c r="T544" s="16">
        <f>SUMIFS([0]!VOTOS2,[0]!TURNO1,T$31,[0]!CANDIDATO1,$C544,[0]!MUNICIPIO1,$B$542)</f>
        <v>0</v>
      </c>
      <c r="U544" s="16">
        <f>SUMIFS([0]!VOTOS2,[0]!TURNO1,U$31,[0]!CANDIDATO1,$C544,[0]!MUNICIPIO1,$B$542)</f>
        <v>0</v>
      </c>
      <c r="V544" s="16">
        <f>SUMIFS([0]!VOTOS2,[0]!TURNO1,V$31,[0]!CANDIDATO1,$C544,[0]!MUNICIPIO1,$B$542)</f>
        <v>0</v>
      </c>
      <c r="W544" s="16">
        <f>SUMIFS([0]!VOTOS2,[0]!TURNO1,W$31,[0]!CANDIDATO1,$C544,[0]!MUNICIPIO1,$B$542)</f>
        <v>0</v>
      </c>
      <c r="X544" s="24"/>
      <c r="Y544" s="18" t="str">
        <f t="shared" si="1279"/>
        <v>HECTOR HERNANDEZ</v>
      </c>
      <c r="Z544" s="34">
        <f t="shared" si="1280"/>
        <v>9</v>
      </c>
      <c r="AA544" s="34">
        <f t="shared" si="1281"/>
        <v>0</v>
      </c>
      <c r="AB544" s="34">
        <f t="shared" ref="AB544:AR544" si="1287">IF(SUM(G542:G554)=0,NA(),G544+AA544)</f>
        <v>2</v>
      </c>
      <c r="AC544" s="34">
        <f t="shared" si="1287"/>
        <v>3</v>
      </c>
      <c r="AD544" s="34">
        <f t="shared" si="1287"/>
        <v>4</v>
      </c>
      <c r="AE544" s="34">
        <f t="shared" si="1287"/>
        <v>8</v>
      </c>
      <c r="AF544" s="34">
        <f t="shared" si="1287"/>
        <v>9</v>
      </c>
      <c r="AG544" s="34">
        <f t="shared" si="1287"/>
        <v>9</v>
      </c>
      <c r="AH544" s="34">
        <f t="shared" si="1287"/>
        <v>9</v>
      </c>
      <c r="AI544" s="34">
        <f t="shared" si="1287"/>
        <v>9</v>
      </c>
      <c r="AJ544" s="34">
        <f t="shared" si="1287"/>
        <v>9</v>
      </c>
      <c r="AK544" s="34" t="e">
        <f t="shared" si="1287"/>
        <v>#N/A</v>
      </c>
      <c r="AL544" s="34" t="e">
        <f t="shared" si="1287"/>
        <v>#N/A</v>
      </c>
      <c r="AM544" s="34" t="e">
        <f t="shared" si="1287"/>
        <v>#N/A</v>
      </c>
      <c r="AN544" s="34" t="e">
        <f t="shared" si="1287"/>
        <v>#N/A</v>
      </c>
      <c r="AO544" s="34" t="e">
        <f t="shared" si="1287"/>
        <v>#N/A</v>
      </c>
      <c r="AP544" s="34" t="e">
        <f t="shared" si="1287"/>
        <v>#N/A</v>
      </c>
      <c r="AQ544" s="34" t="e">
        <f t="shared" si="1287"/>
        <v>#N/A</v>
      </c>
      <c r="AR544" s="34" t="e">
        <f t="shared" si="1287"/>
        <v>#N/A</v>
      </c>
      <c r="AS544" s="27"/>
      <c r="AT544" s="35" t="str">
        <f t="shared" ref="AT544" si="1288">Y555</f>
        <v>Otros</v>
      </c>
      <c r="AU544" s="36">
        <f t="shared" ref="AU544:BM544" si="1289">Z555/(Z542+Z543+Z555)</f>
        <v>0.36411609498680741</v>
      </c>
      <c r="AV544" s="36">
        <f t="shared" si="1289"/>
        <v>0</v>
      </c>
      <c r="AW544" s="36">
        <f t="shared" si="1289"/>
        <v>0.13846153846153847</v>
      </c>
      <c r="AX544" s="36">
        <f t="shared" si="1289"/>
        <v>0.17808219178082191</v>
      </c>
      <c r="AY544" s="36">
        <f t="shared" si="1289"/>
        <v>0.26923076923076922</v>
      </c>
      <c r="AZ544" s="36">
        <f t="shared" si="1289"/>
        <v>0.3364485981308411</v>
      </c>
      <c r="BA544" s="36">
        <f t="shared" si="1289"/>
        <v>0.33458646616541354</v>
      </c>
      <c r="BB544" s="36">
        <f t="shared" si="1289"/>
        <v>0.3523489932885906</v>
      </c>
      <c r="BC544" s="36">
        <f t="shared" si="1289"/>
        <v>0.35534591194968551</v>
      </c>
      <c r="BD544" s="36">
        <f t="shared" si="1289"/>
        <v>0.35911602209944754</v>
      </c>
      <c r="BE544" s="36">
        <f t="shared" si="1289"/>
        <v>0.36411609498680741</v>
      </c>
      <c r="BF544" s="36" t="e">
        <f t="shared" si="1289"/>
        <v>#N/A</v>
      </c>
      <c r="BG544" s="36" t="e">
        <f t="shared" si="1289"/>
        <v>#N/A</v>
      </c>
      <c r="BH544" s="36" t="e">
        <f t="shared" si="1289"/>
        <v>#N/A</v>
      </c>
      <c r="BI544" s="36" t="e">
        <f t="shared" si="1289"/>
        <v>#N/A</v>
      </c>
      <c r="BJ544" s="36" t="e">
        <f t="shared" si="1289"/>
        <v>#N/A</v>
      </c>
      <c r="BK544" s="36" t="e">
        <f t="shared" si="1289"/>
        <v>#N/A</v>
      </c>
      <c r="BL544" s="36" t="e">
        <f t="shared" si="1289"/>
        <v>#N/A</v>
      </c>
      <c r="BM544" s="36" t="e">
        <f t="shared" si="1289"/>
        <v>#N/A</v>
      </c>
      <c r="BN544" s="30"/>
    </row>
    <row r="545" spans="1:66" ht="11.25" customHeight="1" x14ac:dyDescent="0.2">
      <c r="A545" s="38" t="s">
        <v>44</v>
      </c>
      <c r="B545" s="73"/>
      <c r="C545" s="51">
        <v>4</v>
      </c>
      <c r="D545" s="13" t="s">
        <v>389</v>
      </c>
      <c r="E545" s="16">
        <f t="shared" si="1278"/>
        <v>5</v>
      </c>
      <c r="F545" s="16">
        <f>SUMIFS([0]!VOTOS2,[0]!TURNO1,F$31,[0]!CANDIDATO1,$C545,[0]!MUNICIPIO1,$B$542)</f>
        <v>0</v>
      </c>
      <c r="G545" s="16">
        <f>SUMIFS([0]!VOTOS2,[0]!TURNO1,G$31,[0]!CANDIDATO1,$C545,[0]!MUNICIPIO1,$B$542)</f>
        <v>1</v>
      </c>
      <c r="H545" s="16">
        <f>SUMIFS([0]!VOTOS2,[0]!TURNO1,H$31,[0]!CANDIDATO1,$C545,[0]!MUNICIPIO1,$B$542)</f>
        <v>1</v>
      </c>
      <c r="I545" s="16">
        <f>SUMIFS([0]!VOTOS2,[0]!TURNO1,I$31,[0]!CANDIDATO1,$C545,[0]!MUNICIPIO1,$B$542)</f>
        <v>0</v>
      </c>
      <c r="J545" s="16">
        <f>SUMIFS([0]!VOTOS2,[0]!TURNO1,J$31,[0]!CANDIDATO1,$C545,[0]!MUNICIPIO1,$B$542)</f>
        <v>0</v>
      </c>
      <c r="K545" s="16">
        <f>SUMIFS([0]!VOTOS2,[0]!TURNO1,K$31,[0]!CANDIDATO1,$C545,[0]!MUNICIPIO1,$B$542)</f>
        <v>2</v>
      </c>
      <c r="L545" s="16">
        <f>SUMIFS([0]!VOTOS2,[0]!TURNO1,L$31,[0]!CANDIDATO1,$C545,[0]!MUNICIPIO1,$B$542)</f>
        <v>0</v>
      </c>
      <c r="M545" s="16">
        <f>SUMIFS([0]!VOTOS2,[0]!TURNO1,M$31,[0]!CANDIDATO1,$C545,[0]!MUNICIPIO1,$B$542)</f>
        <v>0</v>
      </c>
      <c r="N545" s="16">
        <f>SUMIFS([0]!VOTOS2,[0]!TURNO1,N$31,[0]!CANDIDATO1,$C545,[0]!MUNICIPIO1,$B$542)</f>
        <v>0</v>
      </c>
      <c r="O545" s="16">
        <f>SUMIFS([0]!VOTOS2,[0]!TURNO1,O$31,[0]!CANDIDATO1,$C545,[0]!MUNICIPIO1,$B$542)</f>
        <v>1</v>
      </c>
      <c r="P545" s="16">
        <f>SUMIFS([0]!VOTOS2,[0]!TURNO1,P$31,[0]!CANDIDATO1,$C545,[0]!MUNICIPIO1,$B$542)</f>
        <v>0</v>
      </c>
      <c r="Q545" s="16">
        <f>SUMIFS([0]!VOTOS2,[0]!TURNO1,Q$31,[0]!CANDIDATO1,$C545,[0]!MUNICIPIO1,$B$542)</f>
        <v>0</v>
      </c>
      <c r="R545" s="16">
        <f>SUMIFS([0]!VOTOS2,[0]!TURNO1,R$31,[0]!CANDIDATO1,$C545,[0]!MUNICIPIO1,$B$542)</f>
        <v>0</v>
      </c>
      <c r="S545" s="16">
        <f>SUMIFS([0]!VOTOS2,[0]!TURNO1,S$31,[0]!CANDIDATO1,$C545,[0]!MUNICIPIO1,$B$542)</f>
        <v>0</v>
      </c>
      <c r="T545" s="16">
        <f>SUMIFS([0]!VOTOS2,[0]!TURNO1,T$31,[0]!CANDIDATO1,$C545,[0]!MUNICIPIO1,$B$542)</f>
        <v>0</v>
      </c>
      <c r="U545" s="16">
        <f>SUMIFS([0]!VOTOS2,[0]!TURNO1,U$31,[0]!CANDIDATO1,$C545,[0]!MUNICIPIO1,$B$542)</f>
        <v>0</v>
      </c>
      <c r="V545" s="16">
        <f>SUMIFS([0]!VOTOS2,[0]!TURNO1,V$31,[0]!CANDIDATO1,$C545,[0]!MUNICIPIO1,$B$542)</f>
        <v>0</v>
      </c>
      <c r="W545" s="16">
        <f>SUMIFS([0]!VOTOS2,[0]!TURNO1,W$31,[0]!CANDIDATO1,$C545,[0]!MUNICIPIO1,$B$542)</f>
        <v>0</v>
      </c>
      <c r="X545" s="24"/>
      <c r="Y545" s="18" t="str">
        <f t="shared" si="1279"/>
        <v>HONORIO GONZALEZ</v>
      </c>
      <c r="Z545" s="34">
        <f t="shared" si="1280"/>
        <v>5</v>
      </c>
      <c r="AA545" s="34">
        <f t="shared" si="1281"/>
        <v>0</v>
      </c>
      <c r="AB545" s="34">
        <f t="shared" ref="AB545:AR545" si="1290">IF(SUM(G542:G554)=0,NA(),G545+AA545)</f>
        <v>1</v>
      </c>
      <c r="AC545" s="34">
        <f t="shared" si="1290"/>
        <v>2</v>
      </c>
      <c r="AD545" s="34">
        <f t="shared" si="1290"/>
        <v>2</v>
      </c>
      <c r="AE545" s="34">
        <f t="shared" si="1290"/>
        <v>2</v>
      </c>
      <c r="AF545" s="34">
        <f t="shared" si="1290"/>
        <v>4</v>
      </c>
      <c r="AG545" s="34">
        <f t="shared" si="1290"/>
        <v>4</v>
      </c>
      <c r="AH545" s="34">
        <f t="shared" si="1290"/>
        <v>4</v>
      </c>
      <c r="AI545" s="34">
        <f t="shared" si="1290"/>
        <v>4</v>
      </c>
      <c r="AJ545" s="34">
        <f t="shared" si="1290"/>
        <v>5</v>
      </c>
      <c r="AK545" s="34" t="e">
        <f t="shared" si="1290"/>
        <v>#N/A</v>
      </c>
      <c r="AL545" s="34" t="e">
        <f t="shared" si="1290"/>
        <v>#N/A</v>
      </c>
      <c r="AM545" s="34" t="e">
        <f t="shared" si="1290"/>
        <v>#N/A</v>
      </c>
      <c r="AN545" s="34" t="e">
        <f t="shared" si="1290"/>
        <v>#N/A</v>
      </c>
      <c r="AO545" s="34" t="e">
        <f t="shared" si="1290"/>
        <v>#N/A</v>
      </c>
      <c r="AP545" s="34" t="e">
        <f t="shared" si="1290"/>
        <v>#N/A</v>
      </c>
      <c r="AQ545" s="34" t="e">
        <f t="shared" si="1290"/>
        <v>#N/A</v>
      </c>
      <c r="AR545" s="34" t="e">
        <f t="shared" si="1290"/>
        <v>#N/A</v>
      </c>
      <c r="AS545" s="27"/>
      <c r="AT545" s="39"/>
      <c r="AU545" s="39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30"/>
    </row>
    <row r="546" spans="1:66" ht="11.25" customHeight="1" x14ac:dyDescent="0.2">
      <c r="A546" s="38" t="s">
        <v>45</v>
      </c>
      <c r="B546" s="73"/>
      <c r="C546" s="51">
        <v>5</v>
      </c>
      <c r="D546" s="13" t="s">
        <v>390</v>
      </c>
      <c r="E546" s="16">
        <f t="shared" si="1278"/>
        <v>94</v>
      </c>
      <c r="F546" s="16">
        <f>SUMIFS([0]!VOTOS2,[0]!TURNO1,F$31,[0]!CANDIDATO1,$C546,[0]!MUNICIPIO1,$B$542)</f>
        <v>0</v>
      </c>
      <c r="G546" s="16">
        <f>SUMIFS([0]!VOTOS2,[0]!TURNO1,G$31,[0]!CANDIDATO1,$C546,[0]!MUNICIPIO1,$B$542)</f>
        <v>5</v>
      </c>
      <c r="H546" s="16">
        <f>SUMIFS([0]!VOTOS2,[0]!TURNO1,H$31,[0]!CANDIDATO1,$C546,[0]!MUNICIPIO1,$B$542)</f>
        <v>12</v>
      </c>
      <c r="I546" s="16">
        <f>SUMIFS([0]!VOTOS2,[0]!TURNO1,I$31,[0]!CANDIDATO1,$C546,[0]!MUNICIPIO1,$B$542)</f>
        <v>19</v>
      </c>
      <c r="J546" s="16">
        <f>SUMIFS([0]!VOTOS2,[0]!TURNO1,J$31,[0]!CANDIDATO1,$C546,[0]!MUNICIPIO1,$B$542)</f>
        <v>10</v>
      </c>
      <c r="K546" s="16">
        <f>SUMIFS([0]!VOTOS2,[0]!TURNO1,K$31,[0]!CANDIDATO1,$C546,[0]!MUNICIPIO1,$B$542)</f>
        <v>10</v>
      </c>
      <c r="L546" s="16">
        <f>SUMIFS([0]!VOTOS2,[0]!TURNO1,L$31,[0]!CANDIDATO1,$C546,[0]!MUNICIPIO1,$B$542)</f>
        <v>13</v>
      </c>
      <c r="M546" s="16">
        <f>SUMIFS([0]!VOTOS2,[0]!TURNO1,M$31,[0]!CANDIDATO1,$C546,[0]!MUNICIPIO1,$B$542)</f>
        <v>4</v>
      </c>
      <c r="N546" s="16">
        <f>SUMIFS([0]!VOTOS2,[0]!TURNO1,N$31,[0]!CANDIDATO1,$C546,[0]!MUNICIPIO1,$B$542)</f>
        <v>15</v>
      </c>
      <c r="O546" s="16">
        <f>SUMIFS([0]!VOTOS2,[0]!TURNO1,O$31,[0]!CANDIDATO1,$C546,[0]!MUNICIPIO1,$B$542)</f>
        <v>6</v>
      </c>
      <c r="P546" s="16">
        <f>SUMIFS([0]!VOTOS2,[0]!TURNO1,P$31,[0]!CANDIDATO1,$C546,[0]!MUNICIPIO1,$B$542)</f>
        <v>0</v>
      </c>
      <c r="Q546" s="16">
        <f>SUMIFS([0]!VOTOS2,[0]!TURNO1,Q$31,[0]!CANDIDATO1,$C546,[0]!MUNICIPIO1,$B$542)</f>
        <v>0</v>
      </c>
      <c r="R546" s="16">
        <f>SUMIFS([0]!VOTOS2,[0]!TURNO1,R$31,[0]!CANDIDATO1,$C546,[0]!MUNICIPIO1,$B$542)</f>
        <v>0</v>
      </c>
      <c r="S546" s="16">
        <f>SUMIFS([0]!VOTOS2,[0]!TURNO1,S$31,[0]!CANDIDATO1,$C546,[0]!MUNICIPIO1,$B$542)</f>
        <v>0</v>
      </c>
      <c r="T546" s="16">
        <f>SUMIFS([0]!VOTOS2,[0]!TURNO1,T$31,[0]!CANDIDATO1,$C546,[0]!MUNICIPIO1,$B$542)</f>
        <v>0</v>
      </c>
      <c r="U546" s="16">
        <f>SUMIFS([0]!VOTOS2,[0]!TURNO1,U$31,[0]!CANDIDATO1,$C546,[0]!MUNICIPIO1,$B$542)</f>
        <v>0</v>
      </c>
      <c r="V546" s="16">
        <f>SUMIFS([0]!VOTOS2,[0]!TURNO1,V$31,[0]!CANDIDATO1,$C546,[0]!MUNICIPIO1,$B$542)</f>
        <v>0</v>
      </c>
      <c r="W546" s="16">
        <f>SUMIFS([0]!VOTOS2,[0]!TURNO1,W$31,[0]!CANDIDATO1,$C546,[0]!MUNICIPIO1,$B$542)</f>
        <v>0</v>
      </c>
      <c r="X546" s="24"/>
      <c r="Y546" s="18" t="str">
        <f t="shared" si="1279"/>
        <v>RAFAEL VASQUEZ</v>
      </c>
      <c r="Z546" s="34">
        <f t="shared" si="1280"/>
        <v>94</v>
      </c>
      <c r="AA546" s="34">
        <f t="shared" si="1281"/>
        <v>0</v>
      </c>
      <c r="AB546" s="34">
        <f t="shared" ref="AB546:AR546" si="1291">IF(SUM(G542:G554)=0,NA(),G546+AA546)</f>
        <v>5</v>
      </c>
      <c r="AC546" s="34">
        <f t="shared" si="1291"/>
        <v>17</v>
      </c>
      <c r="AD546" s="34">
        <f t="shared" si="1291"/>
        <v>36</v>
      </c>
      <c r="AE546" s="34">
        <f t="shared" si="1291"/>
        <v>46</v>
      </c>
      <c r="AF546" s="34">
        <f t="shared" si="1291"/>
        <v>56</v>
      </c>
      <c r="AG546" s="34">
        <f t="shared" si="1291"/>
        <v>69</v>
      </c>
      <c r="AH546" s="34">
        <f t="shared" si="1291"/>
        <v>73</v>
      </c>
      <c r="AI546" s="34">
        <f t="shared" si="1291"/>
        <v>88</v>
      </c>
      <c r="AJ546" s="34">
        <f t="shared" si="1291"/>
        <v>94</v>
      </c>
      <c r="AK546" s="34" t="e">
        <f t="shared" si="1291"/>
        <v>#N/A</v>
      </c>
      <c r="AL546" s="34" t="e">
        <f t="shared" si="1291"/>
        <v>#N/A</v>
      </c>
      <c r="AM546" s="34" t="e">
        <f t="shared" si="1291"/>
        <v>#N/A</v>
      </c>
      <c r="AN546" s="34" t="e">
        <f t="shared" si="1291"/>
        <v>#N/A</v>
      </c>
      <c r="AO546" s="34" t="e">
        <f t="shared" si="1291"/>
        <v>#N/A</v>
      </c>
      <c r="AP546" s="34" t="e">
        <f t="shared" si="1291"/>
        <v>#N/A</v>
      </c>
      <c r="AQ546" s="34" t="e">
        <f t="shared" si="1291"/>
        <v>#N/A</v>
      </c>
      <c r="AR546" s="34" t="e">
        <f t="shared" si="1291"/>
        <v>#N/A</v>
      </c>
      <c r="AS546" s="27"/>
      <c r="AT546" s="39"/>
      <c r="AU546" s="39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30"/>
    </row>
    <row r="547" spans="1:66" ht="11.25" customHeight="1" x14ac:dyDescent="0.2">
      <c r="A547" s="37"/>
      <c r="B547" s="73"/>
      <c r="C547" s="51">
        <v>6</v>
      </c>
      <c r="D547" s="13" t="s">
        <v>391</v>
      </c>
      <c r="E547" s="16">
        <f t="shared" si="1278"/>
        <v>7</v>
      </c>
      <c r="F547" s="16">
        <f>SUMIFS([0]!VOTOS2,[0]!TURNO1,F$31,[0]!CANDIDATO1,$C547,[0]!MUNICIPIO1,$B$542)</f>
        <v>0</v>
      </c>
      <c r="G547" s="16">
        <f>SUMIFS([0]!VOTOS2,[0]!TURNO1,G$31,[0]!CANDIDATO1,$C547,[0]!MUNICIPIO1,$B$542)</f>
        <v>0</v>
      </c>
      <c r="H547" s="16">
        <f>SUMIFS([0]!VOTOS2,[0]!TURNO1,H$31,[0]!CANDIDATO1,$C547,[0]!MUNICIPIO1,$B$542)</f>
        <v>0</v>
      </c>
      <c r="I547" s="16">
        <f>SUMIFS([0]!VOTOS2,[0]!TURNO1,I$31,[0]!CANDIDATO1,$C547,[0]!MUNICIPIO1,$B$542)</f>
        <v>0</v>
      </c>
      <c r="J547" s="16">
        <f>SUMIFS([0]!VOTOS2,[0]!TURNO1,J$31,[0]!CANDIDATO1,$C547,[0]!MUNICIPIO1,$B$542)</f>
        <v>0</v>
      </c>
      <c r="K547" s="16">
        <f>SUMIFS([0]!VOTOS2,[0]!TURNO1,K$31,[0]!CANDIDATO1,$C547,[0]!MUNICIPIO1,$B$542)</f>
        <v>3</v>
      </c>
      <c r="L547" s="16">
        <f>SUMIFS([0]!VOTOS2,[0]!TURNO1,L$31,[0]!CANDIDATO1,$C547,[0]!MUNICIPIO1,$B$542)</f>
        <v>0</v>
      </c>
      <c r="M547" s="16">
        <f>SUMIFS([0]!VOTOS2,[0]!TURNO1,M$31,[0]!CANDIDATO1,$C547,[0]!MUNICIPIO1,$B$542)</f>
        <v>2</v>
      </c>
      <c r="N547" s="16">
        <f>SUMIFS([0]!VOTOS2,[0]!TURNO1,N$31,[0]!CANDIDATO1,$C547,[0]!MUNICIPIO1,$B$542)</f>
        <v>2</v>
      </c>
      <c r="O547" s="16">
        <f>SUMIFS([0]!VOTOS2,[0]!TURNO1,O$31,[0]!CANDIDATO1,$C547,[0]!MUNICIPIO1,$B$542)</f>
        <v>0</v>
      </c>
      <c r="P547" s="16">
        <f>SUMIFS([0]!VOTOS2,[0]!TURNO1,P$31,[0]!CANDIDATO1,$C547,[0]!MUNICIPIO1,$B$542)</f>
        <v>0</v>
      </c>
      <c r="Q547" s="16">
        <f>SUMIFS([0]!VOTOS2,[0]!TURNO1,Q$31,[0]!CANDIDATO1,$C547,[0]!MUNICIPIO1,$B$542)</f>
        <v>0</v>
      </c>
      <c r="R547" s="16">
        <f>SUMIFS([0]!VOTOS2,[0]!TURNO1,R$31,[0]!CANDIDATO1,$C547,[0]!MUNICIPIO1,$B$542)</f>
        <v>0</v>
      </c>
      <c r="S547" s="16">
        <f>SUMIFS([0]!VOTOS2,[0]!TURNO1,S$31,[0]!CANDIDATO1,$C547,[0]!MUNICIPIO1,$B$542)</f>
        <v>0</v>
      </c>
      <c r="T547" s="16">
        <f>SUMIFS([0]!VOTOS2,[0]!TURNO1,T$31,[0]!CANDIDATO1,$C547,[0]!MUNICIPIO1,$B$542)</f>
        <v>0</v>
      </c>
      <c r="U547" s="16">
        <f>SUMIFS([0]!VOTOS2,[0]!TURNO1,U$31,[0]!CANDIDATO1,$C547,[0]!MUNICIPIO1,$B$542)</f>
        <v>0</v>
      </c>
      <c r="V547" s="16">
        <f>SUMIFS([0]!VOTOS2,[0]!TURNO1,V$31,[0]!CANDIDATO1,$C547,[0]!MUNICIPIO1,$B$542)</f>
        <v>0</v>
      </c>
      <c r="W547" s="16">
        <f>SUMIFS([0]!VOTOS2,[0]!TURNO1,W$31,[0]!CANDIDATO1,$C547,[0]!MUNICIPIO1,$B$542)</f>
        <v>0</v>
      </c>
      <c r="X547" s="24"/>
      <c r="Y547" s="18" t="str">
        <f t="shared" si="1279"/>
        <v>ARMANDO RODRIGUEZ</v>
      </c>
      <c r="Z547" s="34">
        <f t="shared" si="1280"/>
        <v>7</v>
      </c>
      <c r="AA547" s="34">
        <f t="shared" si="1281"/>
        <v>0</v>
      </c>
      <c r="AB547" s="34">
        <f t="shared" ref="AB547:AR547" si="1292">IF(SUM(G542:G554)=0,NA(),G547+AA547)</f>
        <v>0</v>
      </c>
      <c r="AC547" s="34">
        <f t="shared" si="1292"/>
        <v>0</v>
      </c>
      <c r="AD547" s="34">
        <f t="shared" si="1292"/>
        <v>0</v>
      </c>
      <c r="AE547" s="34">
        <f t="shared" si="1292"/>
        <v>0</v>
      </c>
      <c r="AF547" s="34">
        <f t="shared" si="1292"/>
        <v>3</v>
      </c>
      <c r="AG547" s="34">
        <f t="shared" si="1292"/>
        <v>3</v>
      </c>
      <c r="AH547" s="34">
        <f t="shared" si="1292"/>
        <v>5</v>
      </c>
      <c r="AI547" s="34">
        <f t="shared" si="1292"/>
        <v>7</v>
      </c>
      <c r="AJ547" s="34">
        <f t="shared" si="1292"/>
        <v>7</v>
      </c>
      <c r="AK547" s="34" t="e">
        <f t="shared" si="1292"/>
        <v>#N/A</v>
      </c>
      <c r="AL547" s="34" t="e">
        <f t="shared" si="1292"/>
        <v>#N/A</v>
      </c>
      <c r="AM547" s="34" t="e">
        <f t="shared" si="1292"/>
        <v>#N/A</v>
      </c>
      <c r="AN547" s="34" t="e">
        <f t="shared" si="1292"/>
        <v>#N/A</v>
      </c>
      <c r="AO547" s="34" t="e">
        <f t="shared" si="1292"/>
        <v>#N/A</v>
      </c>
      <c r="AP547" s="34" t="e">
        <f t="shared" si="1292"/>
        <v>#N/A</v>
      </c>
      <c r="AQ547" s="34" t="e">
        <f t="shared" si="1292"/>
        <v>#N/A</v>
      </c>
      <c r="AR547" s="34" t="e">
        <f t="shared" si="1292"/>
        <v>#N/A</v>
      </c>
      <c r="AS547" s="27"/>
      <c r="AT547" s="39"/>
      <c r="AU547" s="39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30"/>
    </row>
    <row r="548" spans="1:66" ht="11.25" customHeight="1" x14ac:dyDescent="0.2">
      <c r="A548" s="37"/>
      <c r="B548" s="73"/>
      <c r="C548" s="51">
        <v>7</v>
      </c>
      <c r="D548" s="13" t="s">
        <v>392</v>
      </c>
      <c r="E548" s="16">
        <f t="shared" si="1278"/>
        <v>12</v>
      </c>
      <c r="F548" s="16">
        <f>SUMIFS([0]!VOTOS2,[0]!TURNO1,F$31,[0]!CANDIDATO1,$C548,[0]!MUNICIPIO1,$B$542)</f>
        <v>0</v>
      </c>
      <c r="G548" s="16">
        <f>SUMIFS([0]!VOTOS2,[0]!TURNO1,G$31,[0]!CANDIDATO1,$C548,[0]!MUNICIPIO1,$B$542)</f>
        <v>0</v>
      </c>
      <c r="H548" s="16">
        <f>SUMIFS([0]!VOTOS2,[0]!TURNO1,H$31,[0]!CANDIDATO1,$C548,[0]!MUNICIPIO1,$B$542)</f>
        <v>0</v>
      </c>
      <c r="I548" s="16">
        <f>SUMIFS([0]!VOTOS2,[0]!TURNO1,I$31,[0]!CANDIDATO1,$C548,[0]!MUNICIPIO1,$B$542)</f>
        <v>0</v>
      </c>
      <c r="J548" s="16">
        <f>SUMIFS([0]!VOTOS2,[0]!TURNO1,J$31,[0]!CANDIDATO1,$C548,[0]!MUNICIPIO1,$B$542)</f>
        <v>9</v>
      </c>
      <c r="K548" s="16">
        <f>SUMIFS([0]!VOTOS2,[0]!TURNO1,K$31,[0]!CANDIDATO1,$C548,[0]!MUNICIPIO1,$B$542)</f>
        <v>1</v>
      </c>
      <c r="L548" s="16">
        <f>SUMIFS([0]!VOTOS2,[0]!TURNO1,L$31,[0]!CANDIDATO1,$C548,[0]!MUNICIPIO1,$B$542)</f>
        <v>0</v>
      </c>
      <c r="M548" s="16">
        <f>SUMIFS([0]!VOTOS2,[0]!TURNO1,M$31,[0]!CANDIDATO1,$C548,[0]!MUNICIPIO1,$B$542)</f>
        <v>2</v>
      </c>
      <c r="N548" s="16">
        <f>SUMIFS([0]!VOTOS2,[0]!TURNO1,N$31,[0]!CANDIDATO1,$C548,[0]!MUNICIPIO1,$B$542)</f>
        <v>0</v>
      </c>
      <c r="O548" s="16">
        <f>SUMIFS([0]!VOTOS2,[0]!TURNO1,O$31,[0]!CANDIDATO1,$C548,[0]!MUNICIPIO1,$B$542)</f>
        <v>0</v>
      </c>
      <c r="P548" s="16">
        <f>SUMIFS([0]!VOTOS2,[0]!TURNO1,P$31,[0]!CANDIDATO1,$C548,[0]!MUNICIPIO1,$B$542)</f>
        <v>0</v>
      </c>
      <c r="Q548" s="16">
        <f>SUMIFS([0]!VOTOS2,[0]!TURNO1,Q$31,[0]!CANDIDATO1,$C548,[0]!MUNICIPIO1,$B$542)</f>
        <v>0</v>
      </c>
      <c r="R548" s="16">
        <f>SUMIFS([0]!VOTOS2,[0]!TURNO1,R$31,[0]!CANDIDATO1,$C548,[0]!MUNICIPIO1,$B$542)</f>
        <v>0</v>
      </c>
      <c r="S548" s="16">
        <f>SUMIFS([0]!VOTOS2,[0]!TURNO1,S$31,[0]!CANDIDATO1,$C548,[0]!MUNICIPIO1,$B$542)</f>
        <v>0</v>
      </c>
      <c r="T548" s="16">
        <f>SUMIFS([0]!VOTOS2,[0]!TURNO1,T$31,[0]!CANDIDATO1,$C548,[0]!MUNICIPIO1,$B$542)</f>
        <v>0</v>
      </c>
      <c r="U548" s="16">
        <f>SUMIFS([0]!VOTOS2,[0]!TURNO1,U$31,[0]!CANDIDATO1,$C548,[0]!MUNICIPIO1,$B$542)</f>
        <v>0</v>
      </c>
      <c r="V548" s="16">
        <f>SUMIFS([0]!VOTOS2,[0]!TURNO1,V$31,[0]!CANDIDATO1,$C548,[0]!MUNICIPIO1,$B$542)</f>
        <v>0</v>
      </c>
      <c r="W548" s="16">
        <f>SUMIFS([0]!VOTOS2,[0]!TURNO1,W$31,[0]!CANDIDATO1,$C548,[0]!MUNICIPIO1,$B$542)</f>
        <v>0</v>
      </c>
      <c r="X548" s="24"/>
      <c r="Y548" s="18" t="str">
        <f t="shared" si="1279"/>
        <v>DOMINGO MOSQUERA</v>
      </c>
      <c r="Z548" s="34">
        <f t="shared" si="1280"/>
        <v>12</v>
      </c>
      <c r="AA548" s="34">
        <f t="shared" si="1281"/>
        <v>0</v>
      </c>
      <c r="AB548" s="34">
        <f t="shared" ref="AB548:AR548" si="1293">IF(SUM(G542:G554)=0,NA(),G548+AA548)</f>
        <v>0</v>
      </c>
      <c r="AC548" s="34">
        <f t="shared" si="1293"/>
        <v>0</v>
      </c>
      <c r="AD548" s="34">
        <f t="shared" si="1293"/>
        <v>0</v>
      </c>
      <c r="AE548" s="34">
        <f t="shared" si="1293"/>
        <v>9</v>
      </c>
      <c r="AF548" s="34">
        <f t="shared" si="1293"/>
        <v>10</v>
      </c>
      <c r="AG548" s="34">
        <f t="shared" si="1293"/>
        <v>10</v>
      </c>
      <c r="AH548" s="34">
        <f t="shared" si="1293"/>
        <v>12</v>
      </c>
      <c r="AI548" s="34">
        <f t="shared" si="1293"/>
        <v>12</v>
      </c>
      <c r="AJ548" s="34">
        <f t="shared" si="1293"/>
        <v>12</v>
      </c>
      <c r="AK548" s="34" t="e">
        <f t="shared" si="1293"/>
        <v>#N/A</v>
      </c>
      <c r="AL548" s="34" t="e">
        <f t="shared" si="1293"/>
        <v>#N/A</v>
      </c>
      <c r="AM548" s="34" t="e">
        <f t="shared" si="1293"/>
        <v>#N/A</v>
      </c>
      <c r="AN548" s="34" t="e">
        <f t="shared" si="1293"/>
        <v>#N/A</v>
      </c>
      <c r="AO548" s="34" t="e">
        <f t="shared" si="1293"/>
        <v>#N/A</v>
      </c>
      <c r="AP548" s="34" t="e">
        <f t="shared" si="1293"/>
        <v>#N/A</v>
      </c>
      <c r="AQ548" s="34" t="e">
        <f t="shared" si="1293"/>
        <v>#N/A</v>
      </c>
      <c r="AR548" s="34" t="e">
        <f t="shared" si="1293"/>
        <v>#N/A</v>
      </c>
      <c r="AS548" s="27"/>
      <c r="AT548" s="39"/>
      <c r="AU548" s="39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30"/>
    </row>
    <row r="549" spans="1:66" ht="11.25" customHeight="1" x14ac:dyDescent="0.2">
      <c r="A549" s="37"/>
      <c r="B549" s="73"/>
      <c r="C549" s="51">
        <v>8</v>
      </c>
      <c r="D549" s="13" t="s">
        <v>393</v>
      </c>
      <c r="E549" s="16">
        <f t="shared" si="1278"/>
        <v>11</v>
      </c>
      <c r="F549" s="16">
        <f>SUMIFS([0]!VOTOS2,[0]!TURNO1,F$31,[0]!CANDIDATO1,$C549,[0]!MUNICIPIO1,$B$542)</f>
        <v>0</v>
      </c>
      <c r="G549" s="16">
        <f>SUMIFS([0]!VOTOS2,[0]!TURNO1,G$31,[0]!CANDIDATO1,$C549,[0]!MUNICIPIO1,$B$542)</f>
        <v>1</v>
      </c>
      <c r="H549" s="16">
        <f>SUMIFS([0]!VOTOS2,[0]!TURNO1,H$31,[0]!CANDIDATO1,$C549,[0]!MUNICIPIO1,$B$542)</f>
        <v>3</v>
      </c>
      <c r="I549" s="16">
        <f>SUMIFS([0]!VOTOS2,[0]!TURNO1,I$31,[0]!CANDIDATO1,$C549,[0]!MUNICIPIO1,$B$542)</f>
        <v>3</v>
      </c>
      <c r="J549" s="16">
        <f>SUMIFS([0]!VOTOS2,[0]!TURNO1,J$31,[0]!CANDIDATO1,$C549,[0]!MUNICIPIO1,$B$542)</f>
        <v>0</v>
      </c>
      <c r="K549" s="16">
        <f>SUMIFS([0]!VOTOS2,[0]!TURNO1,K$31,[0]!CANDIDATO1,$C549,[0]!MUNICIPIO1,$B$542)</f>
        <v>0</v>
      </c>
      <c r="L549" s="16">
        <f>SUMIFS([0]!VOTOS2,[0]!TURNO1,L$31,[0]!CANDIDATO1,$C549,[0]!MUNICIPIO1,$B$542)</f>
        <v>3</v>
      </c>
      <c r="M549" s="16">
        <f>SUMIFS([0]!VOTOS2,[0]!TURNO1,M$31,[0]!CANDIDATO1,$C549,[0]!MUNICIPIO1,$B$542)</f>
        <v>0</v>
      </c>
      <c r="N549" s="16">
        <f>SUMIFS([0]!VOTOS2,[0]!TURNO1,N$31,[0]!CANDIDATO1,$C549,[0]!MUNICIPIO1,$B$542)</f>
        <v>0</v>
      </c>
      <c r="O549" s="16">
        <f>SUMIFS([0]!VOTOS2,[0]!TURNO1,O$31,[0]!CANDIDATO1,$C549,[0]!MUNICIPIO1,$B$542)</f>
        <v>1</v>
      </c>
      <c r="P549" s="16">
        <f>SUMIFS([0]!VOTOS2,[0]!TURNO1,P$31,[0]!CANDIDATO1,$C549,[0]!MUNICIPIO1,$B$542)</f>
        <v>0</v>
      </c>
      <c r="Q549" s="16">
        <f>SUMIFS([0]!VOTOS2,[0]!TURNO1,Q$31,[0]!CANDIDATO1,$C549,[0]!MUNICIPIO1,$B$542)</f>
        <v>0</v>
      </c>
      <c r="R549" s="16">
        <f>SUMIFS([0]!VOTOS2,[0]!TURNO1,R$31,[0]!CANDIDATO1,$C549,[0]!MUNICIPIO1,$B$542)</f>
        <v>0</v>
      </c>
      <c r="S549" s="16">
        <f>SUMIFS([0]!VOTOS2,[0]!TURNO1,S$31,[0]!CANDIDATO1,$C549,[0]!MUNICIPIO1,$B$542)</f>
        <v>0</v>
      </c>
      <c r="T549" s="16">
        <f>SUMIFS([0]!VOTOS2,[0]!TURNO1,T$31,[0]!CANDIDATO1,$C549,[0]!MUNICIPIO1,$B$542)</f>
        <v>0</v>
      </c>
      <c r="U549" s="16">
        <f>SUMIFS([0]!VOTOS2,[0]!TURNO1,U$31,[0]!CANDIDATO1,$C549,[0]!MUNICIPIO1,$B$542)</f>
        <v>0</v>
      </c>
      <c r="V549" s="16">
        <f>SUMIFS([0]!VOTOS2,[0]!TURNO1,V$31,[0]!CANDIDATO1,$C549,[0]!MUNICIPIO1,$B$542)</f>
        <v>0</v>
      </c>
      <c r="W549" s="16">
        <f>SUMIFS([0]!VOTOS2,[0]!TURNO1,W$31,[0]!CANDIDATO1,$C549,[0]!MUNICIPIO1,$B$542)</f>
        <v>0</v>
      </c>
      <c r="X549" s="24"/>
      <c r="Y549" s="18" t="str">
        <f t="shared" si="1279"/>
        <v>DUBLAS PEREZ</v>
      </c>
      <c r="Z549" s="34">
        <f t="shared" si="1280"/>
        <v>11</v>
      </c>
      <c r="AA549" s="34">
        <f t="shared" si="1281"/>
        <v>0</v>
      </c>
      <c r="AB549" s="34">
        <f t="shared" ref="AB549:AR549" si="1294">IF(SUM(G542:G554)=0,NA(),G549+AA549)</f>
        <v>1</v>
      </c>
      <c r="AC549" s="34">
        <f t="shared" si="1294"/>
        <v>4</v>
      </c>
      <c r="AD549" s="34">
        <f t="shared" si="1294"/>
        <v>7</v>
      </c>
      <c r="AE549" s="34">
        <f t="shared" si="1294"/>
        <v>7</v>
      </c>
      <c r="AF549" s="34">
        <f t="shared" si="1294"/>
        <v>7</v>
      </c>
      <c r="AG549" s="34">
        <f t="shared" si="1294"/>
        <v>10</v>
      </c>
      <c r="AH549" s="34">
        <f t="shared" si="1294"/>
        <v>10</v>
      </c>
      <c r="AI549" s="34">
        <f t="shared" si="1294"/>
        <v>10</v>
      </c>
      <c r="AJ549" s="34">
        <f t="shared" si="1294"/>
        <v>11</v>
      </c>
      <c r="AK549" s="34" t="e">
        <f t="shared" si="1294"/>
        <v>#N/A</v>
      </c>
      <c r="AL549" s="34" t="e">
        <f t="shared" si="1294"/>
        <v>#N/A</v>
      </c>
      <c r="AM549" s="34" t="e">
        <f t="shared" si="1294"/>
        <v>#N/A</v>
      </c>
      <c r="AN549" s="34" t="e">
        <f t="shared" si="1294"/>
        <v>#N/A</v>
      </c>
      <c r="AO549" s="34" t="e">
        <f t="shared" si="1294"/>
        <v>#N/A</v>
      </c>
      <c r="AP549" s="34" t="e">
        <f t="shared" si="1294"/>
        <v>#N/A</v>
      </c>
      <c r="AQ549" s="34" t="e">
        <f t="shared" si="1294"/>
        <v>#N/A</v>
      </c>
      <c r="AR549" s="34" t="e">
        <f t="shared" si="1294"/>
        <v>#N/A</v>
      </c>
      <c r="AS549" s="27"/>
      <c r="AT549" s="41"/>
      <c r="AU549" s="41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30"/>
    </row>
    <row r="550" spans="1:66" ht="11.25" customHeight="1" x14ac:dyDescent="0.2">
      <c r="A550" s="42"/>
      <c r="B550" s="74"/>
      <c r="C550" s="51">
        <v>9</v>
      </c>
      <c r="D550" s="13" t="s">
        <v>394</v>
      </c>
      <c r="E550" s="16">
        <f t="shared" si="1278"/>
        <v>0</v>
      </c>
      <c r="F550" s="16">
        <f>SUMIFS([0]!VOTOS2,[0]!TURNO1,F$31,[0]!CANDIDATO1,$C550,[0]!MUNICIPIO1,$B$542)</f>
        <v>0</v>
      </c>
      <c r="G550" s="16">
        <f>SUMIFS([0]!VOTOS2,[0]!TURNO1,G$31,[0]!CANDIDATO1,$C550,[0]!MUNICIPIO1,$B$542)</f>
        <v>0</v>
      </c>
      <c r="H550" s="16">
        <f>SUMIFS([0]!VOTOS2,[0]!TURNO1,H$31,[0]!CANDIDATO1,$C550,[0]!MUNICIPIO1,$B$542)</f>
        <v>0</v>
      </c>
      <c r="I550" s="16">
        <f>SUMIFS([0]!VOTOS2,[0]!TURNO1,I$31,[0]!CANDIDATO1,$C550,[0]!MUNICIPIO1,$B$542)</f>
        <v>0</v>
      </c>
      <c r="J550" s="16">
        <f>SUMIFS([0]!VOTOS2,[0]!TURNO1,J$31,[0]!CANDIDATO1,$C550,[0]!MUNICIPIO1,$B$542)</f>
        <v>0</v>
      </c>
      <c r="K550" s="16">
        <f>SUMIFS([0]!VOTOS2,[0]!TURNO1,K$31,[0]!CANDIDATO1,$C550,[0]!MUNICIPIO1,$B$542)</f>
        <v>0</v>
      </c>
      <c r="L550" s="16">
        <f>SUMIFS([0]!VOTOS2,[0]!TURNO1,L$31,[0]!CANDIDATO1,$C550,[0]!MUNICIPIO1,$B$542)</f>
        <v>0</v>
      </c>
      <c r="M550" s="16">
        <f>SUMIFS([0]!VOTOS2,[0]!TURNO1,M$31,[0]!CANDIDATO1,$C550,[0]!MUNICIPIO1,$B$542)</f>
        <v>0</v>
      </c>
      <c r="N550" s="16">
        <f>SUMIFS([0]!VOTOS2,[0]!TURNO1,N$31,[0]!CANDIDATO1,$C550,[0]!MUNICIPIO1,$B$542)</f>
        <v>0</v>
      </c>
      <c r="O550" s="16">
        <f>SUMIFS([0]!VOTOS2,[0]!TURNO1,O$31,[0]!CANDIDATO1,$C550,[0]!MUNICIPIO1,$B$542)</f>
        <v>0</v>
      </c>
      <c r="P550" s="16">
        <f>SUMIFS([0]!VOTOS2,[0]!TURNO1,P$31,[0]!CANDIDATO1,$C550,[0]!MUNICIPIO1,$B$542)</f>
        <v>0</v>
      </c>
      <c r="Q550" s="16">
        <f>SUMIFS([0]!VOTOS2,[0]!TURNO1,Q$31,[0]!CANDIDATO1,$C550,[0]!MUNICIPIO1,$B$542)</f>
        <v>0</v>
      </c>
      <c r="R550" s="16">
        <f>SUMIFS([0]!VOTOS2,[0]!TURNO1,R$31,[0]!CANDIDATO1,$C550,[0]!MUNICIPIO1,$B$542)</f>
        <v>0</v>
      </c>
      <c r="S550" s="16">
        <f>SUMIFS([0]!VOTOS2,[0]!TURNO1,S$31,[0]!CANDIDATO1,$C550,[0]!MUNICIPIO1,$B$542)</f>
        <v>0</v>
      </c>
      <c r="T550" s="16">
        <f>SUMIFS([0]!VOTOS2,[0]!TURNO1,T$31,[0]!CANDIDATO1,$C550,[0]!MUNICIPIO1,$B$542)</f>
        <v>0</v>
      </c>
      <c r="U550" s="16">
        <f>SUMIFS([0]!VOTOS2,[0]!TURNO1,U$31,[0]!CANDIDATO1,$C550,[0]!MUNICIPIO1,$B$542)</f>
        <v>0</v>
      </c>
      <c r="V550" s="16">
        <f>SUMIFS([0]!VOTOS2,[0]!TURNO1,V$31,[0]!CANDIDATO1,$C550,[0]!MUNICIPIO1,$B$542)</f>
        <v>0</v>
      </c>
      <c r="W550" s="16">
        <f>SUMIFS([0]!VOTOS2,[0]!TURNO1,W$31,[0]!CANDIDATO1,$C550,[0]!MUNICIPIO1,$B$542)</f>
        <v>0</v>
      </c>
      <c r="X550" s="24"/>
      <c r="Y550" s="18" t="str">
        <f t="shared" si="1279"/>
        <v>CARLOS DEPOOL</v>
      </c>
      <c r="Z550" s="34">
        <f t="shared" si="1280"/>
        <v>0</v>
      </c>
      <c r="AA550" s="34">
        <f t="shared" si="1281"/>
        <v>0</v>
      </c>
      <c r="AB550" s="34">
        <f t="shared" ref="AB550:AR550" si="1295">IF(SUM(G542:G554)=0,NA(),G550+AA550)</f>
        <v>0</v>
      </c>
      <c r="AC550" s="34">
        <f t="shared" si="1295"/>
        <v>0</v>
      </c>
      <c r="AD550" s="34">
        <f t="shared" si="1295"/>
        <v>0</v>
      </c>
      <c r="AE550" s="34">
        <f t="shared" si="1295"/>
        <v>0</v>
      </c>
      <c r="AF550" s="34">
        <f t="shared" si="1295"/>
        <v>0</v>
      </c>
      <c r="AG550" s="34">
        <f t="shared" si="1295"/>
        <v>0</v>
      </c>
      <c r="AH550" s="34">
        <f t="shared" si="1295"/>
        <v>0</v>
      </c>
      <c r="AI550" s="34">
        <f t="shared" si="1295"/>
        <v>0</v>
      </c>
      <c r="AJ550" s="34">
        <f t="shared" si="1295"/>
        <v>0</v>
      </c>
      <c r="AK550" s="34" t="e">
        <f t="shared" si="1295"/>
        <v>#N/A</v>
      </c>
      <c r="AL550" s="34" t="e">
        <f t="shared" si="1295"/>
        <v>#N/A</v>
      </c>
      <c r="AM550" s="34" t="e">
        <f t="shared" si="1295"/>
        <v>#N/A</v>
      </c>
      <c r="AN550" s="34" t="e">
        <f t="shared" si="1295"/>
        <v>#N/A</v>
      </c>
      <c r="AO550" s="34" t="e">
        <f t="shared" si="1295"/>
        <v>#N/A</v>
      </c>
      <c r="AP550" s="34" t="e">
        <f t="shared" si="1295"/>
        <v>#N/A</v>
      </c>
      <c r="AQ550" s="34" t="e">
        <f t="shared" si="1295"/>
        <v>#N/A</v>
      </c>
      <c r="AR550" s="34" t="e">
        <f t="shared" si="1295"/>
        <v>#N/A</v>
      </c>
      <c r="AS550" s="27"/>
      <c r="AT550" s="41"/>
      <c r="AU550" s="41"/>
      <c r="AV550" s="43"/>
      <c r="AW550" s="43"/>
      <c r="AX550" s="43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/>
      <c r="BK550" s="43"/>
      <c r="BL550" s="43"/>
      <c r="BM550" s="43"/>
      <c r="BN550" s="30"/>
    </row>
    <row r="551" spans="1:66" ht="11.25" customHeight="1" x14ac:dyDescent="0.2">
      <c r="A551" s="44"/>
      <c r="B551" s="45"/>
      <c r="C551" s="46">
        <v>10</v>
      </c>
      <c r="D551" s="14" t="s">
        <v>76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24"/>
      <c r="Y551" s="18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27"/>
      <c r="AT551" s="41"/>
      <c r="AU551" s="41"/>
      <c r="AV551" s="43"/>
      <c r="AW551" s="43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/>
      <c r="BK551" s="43"/>
      <c r="BL551" s="43"/>
      <c r="BM551" s="43"/>
      <c r="BN551" s="30"/>
    </row>
    <row r="552" spans="1:66" ht="11.25" customHeight="1" x14ac:dyDescent="0.2">
      <c r="A552" s="44"/>
      <c r="B552" s="45"/>
      <c r="C552" s="46">
        <v>11</v>
      </c>
      <c r="D552" s="14" t="s">
        <v>76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24"/>
      <c r="Y552" s="18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27"/>
      <c r="AT552" s="41"/>
      <c r="AU552" s="41"/>
      <c r="AV552" s="43"/>
      <c r="AW552" s="43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/>
      <c r="BK552" s="43"/>
      <c r="BL552" s="43"/>
      <c r="BM552" s="43"/>
      <c r="BN552" s="30"/>
    </row>
    <row r="553" spans="1:66" ht="11.25" customHeight="1" x14ac:dyDescent="0.2">
      <c r="A553" s="44"/>
      <c r="B553" s="45"/>
      <c r="C553" s="46">
        <v>12</v>
      </c>
      <c r="D553" s="14" t="s">
        <v>76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24"/>
      <c r="Y553" s="18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27"/>
      <c r="AT553" s="41"/>
      <c r="AU553" s="41"/>
      <c r="AV553" s="43"/>
      <c r="AW553" s="43"/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/>
      <c r="BK553" s="43"/>
      <c r="BL553" s="43"/>
      <c r="BM553" s="43"/>
      <c r="BN553" s="30"/>
    </row>
    <row r="554" spans="1:66" ht="11.25" customHeight="1" x14ac:dyDescent="0.2">
      <c r="A554" s="44"/>
      <c r="B554" s="45"/>
      <c r="C554" s="46">
        <v>13</v>
      </c>
      <c r="D554" s="14" t="s">
        <v>76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24"/>
      <c r="Y554" s="18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27"/>
      <c r="AT554" s="41"/>
      <c r="AU554" s="41"/>
      <c r="AV554" s="43"/>
      <c r="AW554" s="43"/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/>
      <c r="BK554" s="43"/>
      <c r="BL554" s="43"/>
      <c r="BM554" s="43"/>
      <c r="BN554" s="30"/>
    </row>
    <row r="555" spans="1:66" ht="11.25" customHeight="1" x14ac:dyDescent="0.2">
      <c r="X555" s="24"/>
      <c r="Y555" s="19" t="s">
        <v>79</v>
      </c>
      <c r="Z555" s="34">
        <f t="shared" ref="Z555" si="1296">SUM(Z544:Z554)</f>
        <v>138</v>
      </c>
      <c r="AA555" s="34">
        <f t="shared" ref="AA555" si="1297">SUM(AA544:AA554)</f>
        <v>0</v>
      </c>
      <c r="AB555" s="34">
        <f t="shared" ref="AB555" si="1298">SUM(AB544:AB554)</f>
        <v>9</v>
      </c>
      <c r="AC555" s="34">
        <f t="shared" ref="AC555" si="1299">SUM(AC544:AC554)</f>
        <v>26</v>
      </c>
      <c r="AD555" s="34">
        <f t="shared" ref="AD555" si="1300">SUM(AD544:AD554)</f>
        <v>49</v>
      </c>
      <c r="AE555" s="34">
        <f t="shared" ref="AE555" si="1301">SUM(AE544:AE554)</f>
        <v>72</v>
      </c>
      <c r="AF555" s="34">
        <f t="shared" ref="AF555" si="1302">SUM(AF544:AF554)</f>
        <v>89</v>
      </c>
      <c r="AG555" s="34">
        <f t="shared" ref="AG555" si="1303">SUM(AG544:AG554)</f>
        <v>105</v>
      </c>
      <c r="AH555" s="34">
        <f t="shared" ref="AH555" si="1304">SUM(AH544:AH554)</f>
        <v>113</v>
      </c>
      <c r="AI555" s="34">
        <f t="shared" ref="AI555" si="1305">SUM(AI544:AI554)</f>
        <v>130</v>
      </c>
      <c r="AJ555" s="34">
        <f t="shared" ref="AJ555" si="1306">SUM(AJ544:AJ554)</f>
        <v>138</v>
      </c>
      <c r="AK555" s="34" t="e">
        <f t="shared" ref="AK555" si="1307">SUM(AK544:AK554)</f>
        <v>#N/A</v>
      </c>
      <c r="AL555" s="34" t="e">
        <f t="shared" ref="AL555" si="1308">SUM(AL544:AL554)</f>
        <v>#N/A</v>
      </c>
      <c r="AM555" s="34" t="e">
        <f t="shared" ref="AM555" si="1309">SUM(AM544:AM554)</f>
        <v>#N/A</v>
      </c>
      <c r="AN555" s="34" t="e">
        <f t="shared" ref="AN555" si="1310">SUM(AN544:AN554)</f>
        <v>#N/A</v>
      </c>
      <c r="AO555" s="34" t="e">
        <f t="shared" ref="AO555" si="1311">SUM(AO544:AO554)</f>
        <v>#N/A</v>
      </c>
      <c r="AP555" s="34" t="e">
        <f t="shared" ref="AP555" si="1312">SUM(AP544:AP554)</f>
        <v>#N/A</v>
      </c>
      <c r="AQ555" s="34" t="e">
        <f t="shared" ref="AQ555" si="1313">SUM(AQ544:AQ554)</f>
        <v>#N/A</v>
      </c>
      <c r="AR555" s="34" t="e">
        <f t="shared" ref="AR555" si="1314">SUM(AR544:AR554)</f>
        <v>#N/A</v>
      </c>
      <c r="AS555" s="27"/>
      <c r="AT555" s="41"/>
      <c r="AU555" s="41"/>
      <c r="AV555" s="43"/>
      <c r="AW555" s="43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/>
      <c r="BK555" s="43"/>
      <c r="BL555" s="43"/>
      <c r="BM555" s="43"/>
      <c r="BN555" s="30"/>
    </row>
    <row r="556" spans="1:66" ht="11.25" customHeight="1" x14ac:dyDescent="0.2">
      <c r="A556" s="75" t="s">
        <v>63</v>
      </c>
      <c r="B556" s="76"/>
      <c r="C556" s="21"/>
      <c r="D556" s="22" t="s">
        <v>75</v>
      </c>
      <c r="E556" s="23" t="s">
        <v>70</v>
      </c>
      <c r="F556" s="23">
        <v>0</v>
      </c>
      <c r="G556" s="23">
        <v>1</v>
      </c>
      <c r="H556" s="23">
        <v>2</v>
      </c>
      <c r="I556" s="23">
        <v>3</v>
      </c>
      <c r="J556" s="23">
        <v>4</v>
      </c>
      <c r="K556" s="23">
        <v>5</v>
      </c>
      <c r="L556" s="23">
        <v>6</v>
      </c>
      <c r="M556" s="23">
        <v>7</v>
      </c>
      <c r="N556" s="23">
        <v>8</v>
      </c>
      <c r="O556" s="23">
        <v>9</v>
      </c>
      <c r="P556" s="23">
        <v>10</v>
      </c>
      <c r="Q556" s="23">
        <v>11</v>
      </c>
      <c r="R556" s="23">
        <v>12</v>
      </c>
      <c r="S556" s="23">
        <v>13</v>
      </c>
      <c r="T556" s="23">
        <v>14</v>
      </c>
      <c r="U556" s="23">
        <v>15</v>
      </c>
      <c r="V556" s="23">
        <v>16</v>
      </c>
      <c r="W556" s="23">
        <v>17</v>
      </c>
      <c r="X556" s="24"/>
      <c r="Y556" s="17"/>
      <c r="Z556" s="25" t="s">
        <v>64</v>
      </c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7"/>
      <c r="AT556" s="28"/>
      <c r="AU556" s="28" t="s">
        <v>64</v>
      </c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30"/>
    </row>
    <row r="557" spans="1:66" ht="11.25" customHeight="1" x14ac:dyDescent="0.2">
      <c r="A557" s="32"/>
      <c r="B557" s="72">
        <v>38</v>
      </c>
      <c r="C557" s="33">
        <v>1</v>
      </c>
      <c r="D557" s="13" t="s">
        <v>373</v>
      </c>
      <c r="E557" s="16">
        <f t="shared" ref="E557:E562" si="1315">SUM(F557:W557)</f>
        <v>10</v>
      </c>
      <c r="F557" s="16">
        <f>SUMIFS([0]!VOTOS2,[0]!TURNO1,F$31,[0]!CANDIDATO1,$C557,[0]!MUNICIPIO1,$B$557)</f>
        <v>10</v>
      </c>
      <c r="G557" s="16">
        <f>SUMIFS([0]!VOTOS2,[0]!TURNO1,G$31,[0]!CANDIDATO1,$C557,[0]!MUNICIPIO1,$B$557)</f>
        <v>0</v>
      </c>
      <c r="H557" s="16">
        <f>SUMIFS([0]!VOTOS2,[0]!TURNO1,H$31,[0]!CANDIDATO1,$C557,[0]!MUNICIPIO1,$B$557)</f>
        <v>0</v>
      </c>
      <c r="I557" s="16">
        <f>SUMIFS([0]!VOTOS2,[0]!TURNO1,I$31,[0]!CANDIDATO1,$C557,[0]!MUNICIPIO1,$B$557)</f>
        <v>0</v>
      </c>
      <c r="J557" s="16">
        <f>SUMIFS([0]!VOTOS2,[0]!TURNO1,J$31,[0]!CANDIDATO1,$C557,[0]!MUNICIPIO1,$B$557)</f>
        <v>0</v>
      </c>
      <c r="K557" s="16">
        <f>SUMIFS([0]!VOTOS2,[0]!TURNO1,K$31,[0]!CANDIDATO1,$C557,[0]!MUNICIPIO1,$B$557)</f>
        <v>0</v>
      </c>
      <c r="L557" s="16">
        <f>SUMIFS([0]!VOTOS2,[0]!TURNO1,L$31,[0]!CANDIDATO1,$C557,[0]!MUNICIPIO1,$B$557)</f>
        <v>0</v>
      </c>
      <c r="M557" s="16">
        <f>SUMIFS([0]!VOTOS2,[0]!TURNO1,M$31,[0]!CANDIDATO1,$C557,[0]!MUNICIPIO1,$B$557)</f>
        <v>0</v>
      </c>
      <c r="N557" s="16">
        <f>SUMIFS([0]!VOTOS2,[0]!TURNO1,N$31,[0]!CANDIDATO1,$C557,[0]!MUNICIPIO1,$B$557)</f>
        <v>0</v>
      </c>
      <c r="O557" s="16">
        <f>SUMIFS([0]!VOTOS2,[0]!TURNO1,O$31,[0]!CANDIDATO1,$C557,[0]!MUNICIPIO1,$B$557)</f>
        <v>0</v>
      </c>
      <c r="P557" s="16">
        <f>SUMIFS([0]!VOTOS2,[0]!TURNO1,P$31,[0]!CANDIDATO1,$C557,[0]!MUNICIPIO1,$B$557)</f>
        <v>0</v>
      </c>
      <c r="Q557" s="16">
        <f>SUMIFS([0]!VOTOS2,[0]!TURNO1,Q$31,[0]!CANDIDATO1,$C557,[0]!MUNICIPIO1,$B$557)</f>
        <v>0</v>
      </c>
      <c r="R557" s="16">
        <f>SUMIFS([0]!VOTOS2,[0]!TURNO1,R$31,[0]!CANDIDATO1,$C557,[0]!MUNICIPIO1,$B$557)</f>
        <v>0</v>
      </c>
      <c r="S557" s="16">
        <f>SUMIFS([0]!VOTOS2,[0]!TURNO1,S$31,[0]!CANDIDATO1,$C557,[0]!MUNICIPIO1,$B$557)</f>
        <v>0</v>
      </c>
      <c r="T557" s="16">
        <f>SUMIFS([0]!VOTOS2,[0]!TURNO1,T$31,[0]!CANDIDATO1,$C557,[0]!MUNICIPIO1,$B$557)</f>
        <v>0</v>
      </c>
      <c r="U557" s="16">
        <f>SUMIFS([0]!VOTOS2,[0]!TURNO1,U$31,[0]!CANDIDATO1,$C557,[0]!MUNICIPIO1,$B$557)</f>
        <v>0</v>
      </c>
      <c r="V557" s="16">
        <f>SUMIFS([0]!VOTOS2,[0]!TURNO1,V$31,[0]!CANDIDATO1,$C557,[0]!MUNICIPIO1,$B$557)</f>
        <v>0</v>
      </c>
      <c r="W557" s="16">
        <f>SUMIFS([0]!VOTOS2,[0]!TURNO1,W$31,[0]!CANDIDATO1,$C557,[0]!MUNICIPIO1,$B$557)</f>
        <v>0</v>
      </c>
      <c r="X557" s="24"/>
      <c r="Y557" s="18" t="str">
        <f t="shared" ref="Y557:Y562" si="1316">D557</f>
        <v>RAFAEL CALLES</v>
      </c>
      <c r="Z557" s="34">
        <f t="shared" ref="Z557:Z562" si="1317">E557</f>
        <v>10</v>
      </c>
      <c r="AA557" s="34">
        <f t="shared" ref="AA557:AA562" si="1318">F557</f>
        <v>10</v>
      </c>
      <c r="AB557" s="34" t="e">
        <f t="shared" ref="AB557:AR557" si="1319">IF(SUM(G557:G569)=0,NA(),G557+AA557)</f>
        <v>#N/A</v>
      </c>
      <c r="AC557" s="34" t="e">
        <f t="shared" si="1319"/>
        <v>#N/A</v>
      </c>
      <c r="AD557" s="34" t="e">
        <f t="shared" si="1319"/>
        <v>#N/A</v>
      </c>
      <c r="AE557" s="34" t="e">
        <f t="shared" si="1319"/>
        <v>#N/A</v>
      </c>
      <c r="AF557" s="34" t="e">
        <f t="shared" si="1319"/>
        <v>#N/A</v>
      </c>
      <c r="AG557" s="34" t="e">
        <f t="shared" si="1319"/>
        <v>#N/A</v>
      </c>
      <c r="AH557" s="34" t="e">
        <f t="shared" si="1319"/>
        <v>#N/A</v>
      </c>
      <c r="AI557" s="34" t="e">
        <f t="shared" si="1319"/>
        <v>#N/A</v>
      </c>
      <c r="AJ557" s="34" t="e">
        <f t="shared" si="1319"/>
        <v>#N/A</v>
      </c>
      <c r="AK557" s="34" t="e">
        <f t="shared" si="1319"/>
        <v>#N/A</v>
      </c>
      <c r="AL557" s="34" t="e">
        <f t="shared" si="1319"/>
        <v>#N/A</v>
      </c>
      <c r="AM557" s="34" t="e">
        <f t="shared" si="1319"/>
        <v>#N/A</v>
      </c>
      <c r="AN557" s="34" t="e">
        <f t="shared" si="1319"/>
        <v>#N/A</v>
      </c>
      <c r="AO557" s="34" t="e">
        <f t="shared" si="1319"/>
        <v>#N/A</v>
      </c>
      <c r="AP557" s="34" t="e">
        <f t="shared" si="1319"/>
        <v>#N/A</v>
      </c>
      <c r="AQ557" s="34" t="e">
        <f t="shared" si="1319"/>
        <v>#N/A</v>
      </c>
      <c r="AR557" s="34" t="e">
        <f t="shared" si="1319"/>
        <v>#N/A</v>
      </c>
      <c r="AS557" s="27"/>
      <c r="AT557" s="35" t="str">
        <f t="shared" ref="AT557:AT558" si="1320">Y557</f>
        <v>RAFAEL CALLES</v>
      </c>
      <c r="AU557" s="36">
        <f t="shared" ref="AU557:BM557" si="1321">Z557/(Z557+Z558+Z570)</f>
        <v>0.5</v>
      </c>
      <c r="AV557" s="36">
        <f t="shared" si="1321"/>
        <v>0.5</v>
      </c>
      <c r="AW557" s="36" t="e">
        <f t="shared" si="1321"/>
        <v>#N/A</v>
      </c>
      <c r="AX557" s="36" t="e">
        <f t="shared" si="1321"/>
        <v>#N/A</v>
      </c>
      <c r="AY557" s="36" t="e">
        <f t="shared" si="1321"/>
        <v>#N/A</v>
      </c>
      <c r="AZ557" s="36" t="e">
        <f t="shared" si="1321"/>
        <v>#N/A</v>
      </c>
      <c r="BA557" s="36" t="e">
        <f t="shared" si="1321"/>
        <v>#N/A</v>
      </c>
      <c r="BB557" s="36" t="e">
        <f t="shared" si="1321"/>
        <v>#N/A</v>
      </c>
      <c r="BC557" s="36" t="e">
        <f t="shared" si="1321"/>
        <v>#N/A</v>
      </c>
      <c r="BD557" s="36" t="e">
        <f t="shared" si="1321"/>
        <v>#N/A</v>
      </c>
      <c r="BE557" s="36" t="e">
        <f t="shared" si="1321"/>
        <v>#N/A</v>
      </c>
      <c r="BF557" s="36" t="e">
        <f t="shared" si="1321"/>
        <v>#N/A</v>
      </c>
      <c r="BG557" s="36" t="e">
        <f t="shared" si="1321"/>
        <v>#N/A</v>
      </c>
      <c r="BH557" s="36" t="e">
        <f t="shared" si="1321"/>
        <v>#N/A</v>
      </c>
      <c r="BI557" s="36" t="e">
        <f t="shared" si="1321"/>
        <v>#N/A</v>
      </c>
      <c r="BJ557" s="36" t="e">
        <f t="shared" si="1321"/>
        <v>#N/A</v>
      </c>
      <c r="BK557" s="36" t="e">
        <f t="shared" si="1321"/>
        <v>#N/A</v>
      </c>
      <c r="BL557" s="36" t="e">
        <f t="shared" si="1321"/>
        <v>#N/A</v>
      </c>
      <c r="BM557" s="36" t="e">
        <f t="shared" si="1321"/>
        <v>#N/A</v>
      </c>
      <c r="BN557" s="30"/>
    </row>
    <row r="558" spans="1:66" ht="11.25" customHeight="1" x14ac:dyDescent="0.2">
      <c r="A558" s="37"/>
      <c r="B558" s="73"/>
      <c r="C558" s="33">
        <v>2</v>
      </c>
      <c r="D558" s="13" t="s">
        <v>374</v>
      </c>
      <c r="E558" s="16">
        <f t="shared" si="1315"/>
        <v>10</v>
      </c>
      <c r="F558" s="16">
        <f>SUMIFS([0]!VOTOS2,[0]!TURNO1,F$31,[0]!CANDIDATO1,$C558,[0]!MUNICIPIO1,$B$557)</f>
        <v>10</v>
      </c>
      <c r="G558" s="16">
        <f>SUMIFS([0]!VOTOS2,[0]!TURNO1,G$31,[0]!CANDIDATO1,$C558,[0]!MUNICIPIO1,$B$557)</f>
        <v>0</v>
      </c>
      <c r="H558" s="16">
        <f>SUMIFS([0]!VOTOS2,[0]!TURNO1,H$31,[0]!CANDIDATO1,$C558,[0]!MUNICIPIO1,$B$557)</f>
        <v>0</v>
      </c>
      <c r="I558" s="16">
        <f>SUMIFS([0]!VOTOS2,[0]!TURNO1,I$31,[0]!CANDIDATO1,$C558,[0]!MUNICIPIO1,$B$557)</f>
        <v>0</v>
      </c>
      <c r="J558" s="16">
        <f>SUMIFS([0]!VOTOS2,[0]!TURNO1,J$31,[0]!CANDIDATO1,$C558,[0]!MUNICIPIO1,$B$557)</f>
        <v>0</v>
      </c>
      <c r="K558" s="16">
        <f>SUMIFS([0]!VOTOS2,[0]!TURNO1,K$31,[0]!CANDIDATO1,$C558,[0]!MUNICIPIO1,$B$557)</f>
        <v>0</v>
      </c>
      <c r="L558" s="16">
        <f>SUMIFS([0]!VOTOS2,[0]!TURNO1,L$31,[0]!CANDIDATO1,$C558,[0]!MUNICIPIO1,$B$557)</f>
        <v>0</v>
      </c>
      <c r="M558" s="16">
        <f>SUMIFS([0]!VOTOS2,[0]!TURNO1,M$31,[0]!CANDIDATO1,$C558,[0]!MUNICIPIO1,$B$557)</f>
        <v>0</v>
      </c>
      <c r="N558" s="16">
        <f>SUMIFS([0]!VOTOS2,[0]!TURNO1,N$31,[0]!CANDIDATO1,$C558,[0]!MUNICIPIO1,$B$557)</f>
        <v>0</v>
      </c>
      <c r="O558" s="16">
        <f>SUMIFS([0]!VOTOS2,[0]!TURNO1,O$31,[0]!CANDIDATO1,$C558,[0]!MUNICIPIO1,$B$557)</f>
        <v>0</v>
      </c>
      <c r="P558" s="16">
        <f>SUMIFS([0]!VOTOS2,[0]!TURNO1,P$31,[0]!CANDIDATO1,$C558,[0]!MUNICIPIO1,$B$557)</f>
        <v>0</v>
      </c>
      <c r="Q558" s="16">
        <f>SUMIFS([0]!VOTOS2,[0]!TURNO1,Q$31,[0]!CANDIDATO1,$C558,[0]!MUNICIPIO1,$B$557)</f>
        <v>0</v>
      </c>
      <c r="R558" s="16">
        <f>SUMIFS([0]!VOTOS2,[0]!TURNO1,R$31,[0]!CANDIDATO1,$C558,[0]!MUNICIPIO1,$B$557)</f>
        <v>0</v>
      </c>
      <c r="S558" s="16">
        <f>SUMIFS([0]!VOTOS2,[0]!TURNO1,S$31,[0]!CANDIDATO1,$C558,[0]!MUNICIPIO1,$B$557)</f>
        <v>0</v>
      </c>
      <c r="T558" s="16">
        <f>SUMIFS([0]!VOTOS2,[0]!TURNO1,T$31,[0]!CANDIDATO1,$C558,[0]!MUNICIPIO1,$B$557)</f>
        <v>0</v>
      </c>
      <c r="U558" s="16">
        <f>SUMIFS([0]!VOTOS2,[0]!TURNO1,U$31,[0]!CANDIDATO1,$C558,[0]!MUNICIPIO1,$B$557)</f>
        <v>0</v>
      </c>
      <c r="V558" s="16">
        <f>SUMIFS([0]!VOTOS2,[0]!TURNO1,V$31,[0]!CANDIDATO1,$C558,[0]!MUNICIPIO1,$B$557)</f>
        <v>0</v>
      </c>
      <c r="W558" s="16">
        <f>SUMIFS([0]!VOTOS2,[0]!TURNO1,W$31,[0]!CANDIDATO1,$C558,[0]!MUNICIPIO1,$B$557)</f>
        <v>0</v>
      </c>
      <c r="X558" s="24"/>
      <c r="Y558" s="18" t="str">
        <f t="shared" si="1316"/>
        <v>FRANCISCO MORA</v>
      </c>
      <c r="Z558" s="34">
        <f t="shared" si="1317"/>
        <v>10</v>
      </c>
      <c r="AA558" s="34">
        <f t="shared" si="1318"/>
        <v>10</v>
      </c>
      <c r="AB558" s="34" t="e">
        <f t="shared" ref="AB558:AR558" si="1322">IF(SUM(G557:G569)=0,NA(),G558+AA558)</f>
        <v>#N/A</v>
      </c>
      <c r="AC558" s="34" t="e">
        <f t="shared" si="1322"/>
        <v>#N/A</v>
      </c>
      <c r="AD558" s="34" t="e">
        <f t="shared" si="1322"/>
        <v>#N/A</v>
      </c>
      <c r="AE558" s="34" t="e">
        <f t="shared" si="1322"/>
        <v>#N/A</v>
      </c>
      <c r="AF558" s="34" t="e">
        <f t="shared" si="1322"/>
        <v>#N/A</v>
      </c>
      <c r="AG558" s="34" t="e">
        <f t="shared" si="1322"/>
        <v>#N/A</v>
      </c>
      <c r="AH558" s="34" t="e">
        <f t="shared" si="1322"/>
        <v>#N/A</v>
      </c>
      <c r="AI558" s="34" t="e">
        <f t="shared" si="1322"/>
        <v>#N/A</v>
      </c>
      <c r="AJ558" s="34" t="e">
        <f t="shared" si="1322"/>
        <v>#N/A</v>
      </c>
      <c r="AK558" s="34" t="e">
        <f t="shared" si="1322"/>
        <v>#N/A</v>
      </c>
      <c r="AL558" s="34" t="e">
        <f t="shared" si="1322"/>
        <v>#N/A</v>
      </c>
      <c r="AM558" s="34" t="e">
        <f t="shared" si="1322"/>
        <v>#N/A</v>
      </c>
      <c r="AN558" s="34" t="e">
        <f t="shared" si="1322"/>
        <v>#N/A</v>
      </c>
      <c r="AO558" s="34" t="e">
        <f t="shared" si="1322"/>
        <v>#N/A</v>
      </c>
      <c r="AP558" s="34" t="e">
        <f t="shared" si="1322"/>
        <v>#N/A</v>
      </c>
      <c r="AQ558" s="34" t="e">
        <f t="shared" si="1322"/>
        <v>#N/A</v>
      </c>
      <c r="AR558" s="34" t="e">
        <f t="shared" si="1322"/>
        <v>#N/A</v>
      </c>
      <c r="AS558" s="27"/>
      <c r="AT558" s="35" t="str">
        <f t="shared" si="1320"/>
        <v>FRANCISCO MORA</v>
      </c>
      <c r="AU558" s="36">
        <f t="shared" ref="AU558:BM558" si="1323">Z558/(Z557+Z558+Z570)</f>
        <v>0.5</v>
      </c>
      <c r="AV558" s="36">
        <f t="shared" si="1323"/>
        <v>0.5</v>
      </c>
      <c r="AW558" s="36" t="e">
        <f t="shared" si="1323"/>
        <v>#N/A</v>
      </c>
      <c r="AX558" s="36" t="e">
        <f t="shared" si="1323"/>
        <v>#N/A</v>
      </c>
      <c r="AY558" s="36" t="e">
        <f t="shared" si="1323"/>
        <v>#N/A</v>
      </c>
      <c r="AZ558" s="36" t="e">
        <f t="shared" si="1323"/>
        <v>#N/A</v>
      </c>
      <c r="BA558" s="36" t="e">
        <f t="shared" si="1323"/>
        <v>#N/A</v>
      </c>
      <c r="BB558" s="36" t="e">
        <f t="shared" si="1323"/>
        <v>#N/A</v>
      </c>
      <c r="BC558" s="36" t="e">
        <f t="shared" si="1323"/>
        <v>#N/A</v>
      </c>
      <c r="BD558" s="36" t="e">
        <f t="shared" si="1323"/>
        <v>#N/A</v>
      </c>
      <c r="BE558" s="36" t="e">
        <f t="shared" si="1323"/>
        <v>#N/A</v>
      </c>
      <c r="BF558" s="36" t="e">
        <f t="shared" si="1323"/>
        <v>#N/A</v>
      </c>
      <c r="BG558" s="36" t="e">
        <f t="shared" si="1323"/>
        <v>#N/A</v>
      </c>
      <c r="BH558" s="36" t="e">
        <f t="shared" si="1323"/>
        <v>#N/A</v>
      </c>
      <c r="BI558" s="36" t="e">
        <f t="shared" si="1323"/>
        <v>#N/A</v>
      </c>
      <c r="BJ558" s="36" t="e">
        <f t="shared" si="1323"/>
        <v>#N/A</v>
      </c>
      <c r="BK558" s="36" t="e">
        <f t="shared" si="1323"/>
        <v>#N/A</v>
      </c>
      <c r="BL558" s="36" t="e">
        <f t="shared" si="1323"/>
        <v>#N/A</v>
      </c>
      <c r="BM558" s="36" t="e">
        <f t="shared" si="1323"/>
        <v>#N/A</v>
      </c>
      <c r="BN558" s="30"/>
    </row>
    <row r="559" spans="1:66" ht="11.25" customHeight="1" x14ac:dyDescent="0.2">
      <c r="A559" s="37"/>
      <c r="B559" s="73"/>
      <c r="C559" s="33">
        <v>3</v>
      </c>
      <c r="D559" s="13" t="s">
        <v>375</v>
      </c>
      <c r="E559" s="16">
        <f t="shared" si="1315"/>
        <v>0</v>
      </c>
      <c r="F559" s="16">
        <f>SUMIFS([0]!VOTOS2,[0]!TURNO1,F$31,[0]!CANDIDATO1,$C559,[0]!MUNICIPIO1,$B$557)</f>
        <v>0</v>
      </c>
      <c r="G559" s="16">
        <f>SUMIFS([0]!VOTOS2,[0]!TURNO1,G$31,[0]!CANDIDATO1,$C559,[0]!MUNICIPIO1,$B$557)</f>
        <v>0</v>
      </c>
      <c r="H559" s="16">
        <f>SUMIFS([0]!VOTOS2,[0]!TURNO1,H$31,[0]!CANDIDATO1,$C559,[0]!MUNICIPIO1,$B$557)</f>
        <v>0</v>
      </c>
      <c r="I559" s="16">
        <f>SUMIFS([0]!VOTOS2,[0]!TURNO1,I$31,[0]!CANDIDATO1,$C559,[0]!MUNICIPIO1,$B$557)</f>
        <v>0</v>
      </c>
      <c r="J559" s="16">
        <f>SUMIFS([0]!VOTOS2,[0]!TURNO1,J$31,[0]!CANDIDATO1,$C559,[0]!MUNICIPIO1,$B$557)</f>
        <v>0</v>
      </c>
      <c r="K559" s="16">
        <f>SUMIFS([0]!VOTOS2,[0]!TURNO1,K$31,[0]!CANDIDATO1,$C559,[0]!MUNICIPIO1,$B$557)</f>
        <v>0</v>
      </c>
      <c r="L559" s="16">
        <f>SUMIFS([0]!VOTOS2,[0]!TURNO1,L$31,[0]!CANDIDATO1,$C559,[0]!MUNICIPIO1,$B$557)</f>
        <v>0</v>
      </c>
      <c r="M559" s="16">
        <f>SUMIFS([0]!VOTOS2,[0]!TURNO1,M$31,[0]!CANDIDATO1,$C559,[0]!MUNICIPIO1,$B$557)</f>
        <v>0</v>
      </c>
      <c r="N559" s="16">
        <f>SUMIFS([0]!VOTOS2,[0]!TURNO1,N$31,[0]!CANDIDATO1,$C559,[0]!MUNICIPIO1,$B$557)</f>
        <v>0</v>
      </c>
      <c r="O559" s="16">
        <f>SUMIFS([0]!VOTOS2,[0]!TURNO1,O$31,[0]!CANDIDATO1,$C559,[0]!MUNICIPIO1,$B$557)</f>
        <v>0</v>
      </c>
      <c r="P559" s="16">
        <f>SUMIFS([0]!VOTOS2,[0]!TURNO1,P$31,[0]!CANDIDATO1,$C559,[0]!MUNICIPIO1,$B$557)</f>
        <v>0</v>
      </c>
      <c r="Q559" s="16">
        <f>SUMIFS([0]!VOTOS2,[0]!TURNO1,Q$31,[0]!CANDIDATO1,$C559,[0]!MUNICIPIO1,$B$557)</f>
        <v>0</v>
      </c>
      <c r="R559" s="16">
        <f>SUMIFS([0]!VOTOS2,[0]!TURNO1,R$31,[0]!CANDIDATO1,$C559,[0]!MUNICIPIO1,$B$557)</f>
        <v>0</v>
      </c>
      <c r="S559" s="16">
        <f>SUMIFS([0]!VOTOS2,[0]!TURNO1,S$31,[0]!CANDIDATO1,$C559,[0]!MUNICIPIO1,$B$557)</f>
        <v>0</v>
      </c>
      <c r="T559" s="16">
        <f>SUMIFS([0]!VOTOS2,[0]!TURNO1,T$31,[0]!CANDIDATO1,$C559,[0]!MUNICIPIO1,$B$557)</f>
        <v>0</v>
      </c>
      <c r="U559" s="16">
        <f>SUMIFS([0]!VOTOS2,[0]!TURNO1,U$31,[0]!CANDIDATO1,$C559,[0]!MUNICIPIO1,$B$557)</f>
        <v>0</v>
      </c>
      <c r="V559" s="16">
        <f>SUMIFS([0]!VOTOS2,[0]!TURNO1,V$31,[0]!CANDIDATO1,$C559,[0]!MUNICIPIO1,$B$557)</f>
        <v>0</v>
      </c>
      <c r="W559" s="16">
        <f>SUMIFS([0]!VOTOS2,[0]!TURNO1,W$31,[0]!CANDIDATO1,$C559,[0]!MUNICIPIO1,$B$557)</f>
        <v>0</v>
      </c>
      <c r="X559" s="24"/>
      <c r="Y559" s="18" t="str">
        <f t="shared" si="1316"/>
        <v>AMILCAR SANOJA</v>
      </c>
      <c r="Z559" s="34">
        <f t="shared" si="1317"/>
        <v>0</v>
      </c>
      <c r="AA559" s="34">
        <f t="shared" si="1318"/>
        <v>0</v>
      </c>
      <c r="AB559" s="34" t="e">
        <f t="shared" ref="AB559:AR559" si="1324">IF(SUM(G557:G569)=0,NA(),G559+AA559)</f>
        <v>#N/A</v>
      </c>
      <c r="AC559" s="34" t="e">
        <f t="shared" si="1324"/>
        <v>#N/A</v>
      </c>
      <c r="AD559" s="34" t="e">
        <f t="shared" si="1324"/>
        <v>#N/A</v>
      </c>
      <c r="AE559" s="34" t="e">
        <f t="shared" si="1324"/>
        <v>#N/A</v>
      </c>
      <c r="AF559" s="34" t="e">
        <f t="shared" si="1324"/>
        <v>#N/A</v>
      </c>
      <c r="AG559" s="34" t="e">
        <f t="shared" si="1324"/>
        <v>#N/A</v>
      </c>
      <c r="AH559" s="34" t="e">
        <f t="shared" si="1324"/>
        <v>#N/A</v>
      </c>
      <c r="AI559" s="34" t="e">
        <f t="shared" si="1324"/>
        <v>#N/A</v>
      </c>
      <c r="AJ559" s="34" t="e">
        <f t="shared" si="1324"/>
        <v>#N/A</v>
      </c>
      <c r="AK559" s="34" t="e">
        <f t="shared" si="1324"/>
        <v>#N/A</v>
      </c>
      <c r="AL559" s="34" t="e">
        <f t="shared" si="1324"/>
        <v>#N/A</v>
      </c>
      <c r="AM559" s="34" t="e">
        <f t="shared" si="1324"/>
        <v>#N/A</v>
      </c>
      <c r="AN559" s="34" t="e">
        <f t="shared" si="1324"/>
        <v>#N/A</v>
      </c>
      <c r="AO559" s="34" t="e">
        <f t="shared" si="1324"/>
        <v>#N/A</v>
      </c>
      <c r="AP559" s="34" t="e">
        <f t="shared" si="1324"/>
        <v>#N/A</v>
      </c>
      <c r="AQ559" s="34" t="e">
        <f t="shared" si="1324"/>
        <v>#N/A</v>
      </c>
      <c r="AR559" s="34" t="e">
        <f t="shared" si="1324"/>
        <v>#N/A</v>
      </c>
      <c r="AS559" s="27"/>
      <c r="AT559" s="35" t="str">
        <f t="shared" ref="AT559" si="1325">Y570</f>
        <v>Otros</v>
      </c>
      <c r="AU559" s="36">
        <f t="shared" ref="AU559:BM559" si="1326">Z570/(Z557+Z558+Z570)</f>
        <v>0</v>
      </c>
      <c r="AV559" s="36">
        <f t="shared" si="1326"/>
        <v>0</v>
      </c>
      <c r="AW559" s="36" t="e">
        <f t="shared" si="1326"/>
        <v>#N/A</v>
      </c>
      <c r="AX559" s="36" t="e">
        <f t="shared" si="1326"/>
        <v>#N/A</v>
      </c>
      <c r="AY559" s="36" t="e">
        <f t="shared" si="1326"/>
        <v>#N/A</v>
      </c>
      <c r="AZ559" s="36" t="e">
        <f t="shared" si="1326"/>
        <v>#N/A</v>
      </c>
      <c r="BA559" s="36" t="e">
        <f t="shared" si="1326"/>
        <v>#N/A</v>
      </c>
      <c r="BB559" s="36" t="e">
        <f t="shared" si="1326"/>
        <v>#N/A</v>
      </c>
      <c r="BC559" s="36" t="e">
        <f t="shared" si="1326"/>
        <v>#N/A</v>
      </c>
      <c r="BD559" s="36" t="e">
        <f t="shared" si="1326"/>
        <v>#N/A</v>
      </c>
      <c r="BE559" s="36" t="e">
        <f t="shared" si="1326"/>
        <v>#N/A</v>
      </c>
      <c r="BF559" s="36" t="e">
        <f t="shared" si="1326"/>
        <v>#N/A</v>
      </c>
      <c r="BG559" s="36" t="e">
        <f t="shared" si="1326"/>
        <v>#N/A</v>
      </c>
      <c r="BH559" s="36" t="e">
        <f t="shared" si="1326"/>
        <v>#N/A</v>
      </c>
      <c r="BI559" s="36" t="e">
        <f t="shared" si="1326"/>
        <v>#N/A</v>
      </c>
      <c r="BJ559" s="36" t="e">
        <f t="shared" si="1326"/>
        <v>#N/A</v>
      </c>
      <c r="BK559" s="36" t="e">
        <f t="shared" si="1326"/>
        <v>#N/A</v>
      </c>
      <c r="BL559" s="36" t="e">
        <f t="shared" si="1326"/>
        <v>#N/A</v>
      </c>
      <c r="BM559" s="36" t="e">
        <f t="shared" si="1326"/>
        <v>#N/A</v>
      </c>
      <c r="BN559" s="30"/>
    </row>
    <row r="560" spans="1:66" ht="11.25" customHeight="1" x14ac:dyDescent="0.2">
      <c r="A560" s="38" t="s">
        <v>44</v>
      </c>
      <c r="B560" s="73"/>
      <c r="C560" s="33">
        <v>4</v>
      </c>
      <c r="D560" s="13" t="s">
        <v>376</v>
      </c>
      <c r="E560" s="16">
        <f t="shared" si="1315"/>
        <v>0</v>
      </c>
      <c r="F560" s="16">
        <f>SUMIFS([0]!VOTOS2,[0]!TURNO1,F$31,[0]!CANDIDATO1,$C560,[0]!MUNICIPIO1,$B$557)</f>
        <v>0</v>
      </c>
      <c r="G560" s="16">
        <f>SUMIFS([0]!VOTOS2,[0]!TURNO1,G$31,[0]!CANDIDATO1,$C560,[0]!MUNICIPIO1,$B$557)</f>
        <v>0</v>
      </c>
      <c r="H560" s="16">
        <f>SUMIFS([0]!VOTOS2,[0]!TURNO1,H$31,[0]!CANDIDATO1,$C560,[0]!MUNICIPIO1,$B$557)</f>
        <v>0</v>
      </c>
      <c r="I560" s="16">
        <f>SUMIFS([0]!VOTOS2,[0]!TURNO1,I$31,[0]!CANDIDATO1,$C560,[0]!MUNICIPIO1,$B$557)</f>
        <v>0</v>
      </c>
      <c r="J560" s="16">
        <f>SUMIFS([0]!VOTOS2,[0]!TURNO1,J$31,[0]!CANDIDATO1,$C560,[0]!MUNICIPIO1,$B$557)</f>
        <v>0</v>
      </c>
      <c r="K560" s="16">
        <f>SUMIFS([0]!VOTOS2,[0]!TURNO1,K$31,[0]!CANDIDATO1,$C560,[0]!MUNICIPIO1,$B$557)</f>
        <v>0</v>
      </c>
      <c r="L560" s="16">
        <f>SUMIFS([0]!VOTOS2,[0]!TURNO1,L$31,[0]!CANDIDATO1,$C560,[0]!MUNICIPIO1,$B$557)</f>
        <v>0</v>
      </c>
      <c r="M560" s="16">
        <f>SUMIFS([0]!VOTOS2,[0]!TURNO1,M$31,[0]!CANDIDATO1,$C560,[0]!MUNICIPIO1,$B$557)</f>
        <v>0</v>
      </c>
      <c r="N560" s="16">
        <f>SUMIFS([0]!VOTOS2,[0]!TURNO1,N$31,[0]!CANDIDATO1,$C560,[0]!MUNICIPIO1,$B$557)</f>
        <v>0</v>
      </c>
      <c r="O560" s="16">
        <f>SUMIFS([0]!VOTOS2,[0]!TURNO1,O$31,[0]!CANDIDATO1,$C560,[0]!MUNICIPIO1,$B$557)</f>
        <v>0</v>
      </c>
      <c r="P560" s="16">
        <f>SUMIFS([0]!VOTOS2,[0]!TURNO1,P$31,[0]!CANDIDATO1,$C560,[0]!MUNICIPIO1,$B$557)</f>
        <v>0</v>
      </c>
      <c r="Q560" s="16">
        <f>SUMIFS([0]!VOTOS2,[0]!TURNO1,Q$31,[0]!CANDIDATO1,$C560,[0]!MUNICIPIO1,$B$557)</f>
        <v>0</v>
      </c>
      <c r="R560" s="16">
        <f>SUMIFS([0]!VOTOS2,[0]!TURNO1,R$31,[0]!CANDIDATO1,$C560,[0]!MUNICIPIO1,$B$557)</f>
        <v>0</v>
      </c>
      <c r="S560" s="16">
        <f>SUMIFS([0]!VOTOS2,[0]!TURNO1,S$31,[0]!CANDIDATO1,$C560,[0]!MUNICIPIO1,$B$557)</f>
        <v>0</v>
      </c>
      <c r="T560" s="16">
        <f>SUMIFS([0]!VOTOS2,[0]!TURNO1,T$31,[0]!CANDIDATO1,$C560,[0]!MUNICIPIO1,$B$557)</f>
        <v>0</v>
      </c>
      <c r="U560" s="16">
        <f>SUMIFS([0]!VOTOS2,[0]!TURNO1,U$31,[0]!CANDIDATO1,$C560,[0]!MUNICIPIO1,$B$557)</f>
        <v>0</v>
      </c>
      <c r="V560" s="16">
        <f>SUMIFS([0]!VOTOS2,[0]!TURNO1,V$31,[0]!CANDIDATO1,$C560,[0]!MUNICIPIO1,$B$557)</f>
        <v>0</v>
      </c>
      <c r="W560" s="16">
        <f>SUMIFS([0]!VOTOS2,[0]!TURNO1,W$31,[0]!CANDIDATO1,$C560,[0]!MUNICIPIO1,$B$557)</f>
        <v>0</v>
      </c>
      <c r="X560" s="24"/>
      <c r="Y560" s="18" t="str">
        <f t="shared" si="1316"/>
        <v>RICHARD PINEDA</v>
      </c>
      <c r="Z560" s="34">
        <f t="shared" si="1317"/>
        <v>0</v>
      </c>
      <c r="AA560" s="34">
        <f t="shared" si="1318"/>
        <v>0</v>
      </c>
      <c r="AB560" s="34" t="e">
        <f t="shared" ref="AB560:AR560" si="1327">IF(SUM(G557:G569)=0,NA(),G560+AA560)</f>
        <v>#N/A</v>
      </c>
      <c r="AC560" s="34" t="e">
        <f t="shared" si="1327"/>
        <v>#N/A</v>
      </c>
      <c r="AD560" s="34" t="e">
        <f t="shared" si="1327"/>
        <v>#N/A</v>
      </c>
      <c r="AE560" s="34" t="e">
        <f t="shared" si="1327"/>
        <v>#N/A</v>
      </c>
      <c r="AF560" s="34" t="e">
        <f t="shared" si="1327"/>
        <v>#N/A</v>
      </c>
      <c r="AG560" s="34" t="e">
        <f t="shared" si="1327"/>
        <v>#N/A</v>
      </c>
      <c r="AH560" s="34" t="e">
        <f t="shared" si="1327"/>
        <v>#N/A</v>
      </c>
      <c r="AI560" s="34" t="e">
        <f t="shared" si="1327"/>
        <v>#N/A</v>
      </c>
      <c r="AJ560" s="34" t="e">
        <f t="shared" si="1327"/>
        <v>#N/A</v>
      </c>
      <c r="AK560" s="34" t="e">
        <f t="shared" si="1327"/>
        <v>#N/A</v>
      </c>
      <c r="AL560" s="34" t="e">
        <f t="shared" si="1327"/>
        <v>#N/A</v>
      </c>
      <c r="AM560" s="34" t="e">
        <f t="shared" si="1327"/>
        <v>#N/A</v>
      </c>
      <c r="AN560" s="34" t="e">
        <f t="shared" si="1327"/>
        <v>#N/A</v>
      </c>
      <c r="AO560" s="34" t="e">
        <f t="shared" si="1327"/>
        <v>#N/A</v>
      </c>
      <c r="AP560" s="34" t="e">
        <f t="shared" si="1327"/>
        <v>#N/A</v>
      </c>
      <c r="AQ560" s="34" t="e">
        <f t="shared" si="1327"/>
        <v>#N/A</v>
      </c>
      <c r="AR560" s="34" t="e">
        <f t="shared" si="1327"/>
        <v>#N/A</v>
      </c>
      <c r="AS560" s="27"/>
      <c r="AT560" s="39"/>
      <c r="AU560" s="39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30"/>
    </row>
    <row r="561" spans="1:66" ht="11.25" customHeight="1" x14ac:dyDescent="0.2">
      <c r="A561" s="38" t="s">
        <v>46</v>
      </c>
      <c r="B561" s="73"/>
      <c r="C561" s="33">
        <v>5</v>
      </c>
      <c r="D561" s="13" t="s">
        <v>377</v>
      </c>
      <c r="E561" s="16">
        <f t="shared" si="1315"/>
        <v>0</v>
      </c>
      <c r="F561" s="16">
        <f>SUMIFS([0]!VOTOS2,[0]!TURNO1,F$31,[0]!CANDIDATO1,$C561,[0]!MUNICIPIO1,$B$557)</f>
        <v>0</v>
      </c>
      <c r="G561" s="16">
        <f>SUMIFS([0]!VOTOS2,[0]!TURNO1,G$31,[0]!CANDIDATO1,$C561,[0]!MUNICIPIO1,$B$557)</f>
        <v>0</v>
      </c>
      <c r="H561" s="16">
        <f>SUMIFS([0]!VOTOS2,[0]!TURNO1,H$31,[0]!CANDIDATO1,$C561,[0]!MUNICIPIO1,$B$557)</f>
        <v>0</v>
      </c>
      <c r="I561" s="16">
        <f>SUMIFS([0]!VOTOS2,[0]!TURNO1,I$31,[0]!CANDIDATO1,$C561,[0]!MUNICIPIO1,$B$557)</f>
        <v>0</v>
      </c>
      <c r="J561" s="16">
        <f>SUMIFS([0]!VOTOS2,[0]!TURNO1,J$31,[0]!CANDIDATO1,$C561,[0]!MUNICIPIO1,$B$557)</f>
        <v>0</v>
      </c>
      <c r="K561" s="16">
        <f>SUMIFS([0]!VOTOS2,[0]!TURNO1,K$31,[0]!CANDIDATO1,$C561,[0]!MUNICIPIO1,$B$557)</f>
        <v>0</v>
      </c>
      <c r="L561" s="16">
        <f>SUMIFS([0]!VOTOS2,[0]!TURNO1,L$31,[0]!CANDIDATO1,$C561,[0]!MUNICIPIO1,$B$557)</f>
        <v>0</v>
      </c>
      <c r="M561" s="16">
        <f>SUMIFS([0]!VOTOS2,[0]!TURNO1,M$31,[0]!CANDIDATO1,$C561,[0]!MUNICIPIO1,$B$557)</f>
        <v>0</v>
      </c>
      <c r="N561" s="16">
        <f>SUMIFS([0]!VOTOS2,[0]!TURNO1,N$31,[0]!CANDIDATO1,$C561,[0]!MUNICIPIO1,$B$557)</f>
        <v>0</v>
      </c>
      <c r="O561" s="16">
        <f>SUMIFS([0]!VOTOS2,[0]!TURNO1,O$31,[0]!CANDIDATO1,$C561,[0]!MUNICIPIO1,$B$557)</f>
        <v>0</v>
      </c>
      <c r="P561" s="16">
        <f>SUMIFS([0]!VOTOS2,[0]!TURNO1,P$31,[0]!CANDIDATO1,$C561,[0]!MUNICIPIO1,$B$557)</f>
        <v>0</v>
      </c>
      <c r="Q561" s="16">
        <f>SUMIFS([0]!VOTOS2,[0]!TURNO1,Q$31,[0]!CANDIDATO1,$C561,[0]!MUNICIPIO1,$B$557)</f>
        <v>0</v>
      </c>
      <c r="R561" s="16">
        <f>SUMIFS([0]!VOTOS2,[0]!TURNO1,R$31,[0]!CANDIDATO1,$C561,[0]!MUNICIPIO1,$B$557)</f>
        <v>0</v>
      </c>
      <c r="S561" s="16">
        <f>SUMIFS([0]!VOTOS2,[0]!TURNO1,S$31,[0]!CANDIDATO1,$C561,[0]!MUNICIPIO1,$B$557)</f>
        <v>0</v>
      </c>
      <c r="T561" s="16">
        <f>SUMIFS([0]!VOTOS2,[0]!TURNO1,T$31,[0]!CANDIDATO1,$C561,[0]!MUNICIPIO1,$B$557)</f>
        <v>0</v>
      </c>
      <c r="U561" s="16">
        <f>SUMIFS([0]!VOTOS2,[0]!TURNO1,U$31,[0]!CANDIDATO1,$C561,[0]!MUNICIPIO1,$B$557)</f>
        <v>0</v>
      </c>
      <c r="V561" s="16">
        <f>SUMIFS([0]!VOTOS2,[0]!TURNO1,V$31,[0]!CANDIDATO1,$C561,[0]!MUNICIPIO1,$B$557)</f>
        <v>0</v>
      </c>
      <c r="W561" s="16">
        <f>SUMIFS([0]!VOTOS2,[0]!TURNO1,W$31,[0]!CANDIDATO1,$C561,[0]!MUNICIPIO1,$B$557)</f>
        <v>0</v>
      </c>
      <c r="X561" s="24"/>
      <c r="Y561" s="18" t="str">
        <f t="shared" si="1316"/>
        <v>JULIAN TERAN</v>
      </c>
      <c r="Z561" s="34">
        <f t="shared" si="1317"/>
        <v>0</v>
      </c>
      <c r="AA561" s="34">
        <f t="shared" si="1318"/>
        <v>0</v>
      </c>
      <c r="AB561" s="34" t="e">
        <f t="shared" ref="AB561:AR561" si="1328">IF(SUM(G557:G569)=0,NA(),G561+AA561)</f>
        <v>#N/A</v>
      </c>
      <c r="AC561" s="34" t="e">
        <f t="shared" si="1328"/>
        <v>#N/A</v>
      </c>
      <c r="AD561" s="34" t="e">
        <f t="shared" si="1328"/>
        <v>#N/A</v>
      </c>
      <c r="AE561" s="34" t="e">
        <f t="shared" si="1328"/>
        <v>#N/A</v>
      </c>
      <c r="AF561" s="34" t="e">
        <f t="shared" si="1328"/>
        <v>#N/A</v>
      </c>
      <c r="AG561" s="34" t="e">
        <f t="shared" si="1328"/>
        <v>#N/A</v>
      </c>
      <c r="AH561" s="34" t="e">
        <f t="shared" si="1328"/>
        <v>#N/A</v>
      </c>
      <c r="AI561" s="34" t="e">
        <f t="shared" si="1328"/>
        <v>#N/A</v>
      </c>
      <c r="AJ561" s="34" t="e">
        <f t="shared" si="1328"/>
        <v>#N/A</v>
      </c>
      <c r="AK561" s="34" t="e">
        <f t="shared" si="1328"/>
        <v>#N/A</v>
      </c>
      <c r="AL561" s="34" t="e">
        <f t="shared" si="1328"/>
        <v>#N/A</v>
      </c>
      <c r="AM561" s="34" t="e">
        <f t="shared" si="1328"/>
        <v>#N/A</v>
      </c>
      <c r="AN561" s="34" t="e">
        <f t="shared" si="1328"/>
        <v>#N/A</v>
      </c>
      <c r="AO561" s="34" t="e">
        <f t="shared" si="1328"/>
        <v>#N/A</v>
      </c>
      <c r="AP561" s="34" t="e">
        <f t="shared" si="1328"/>
        <v>#N/A</v>
      </c>
      <c r="AQ561" s="34" t="e">
        <f t="shared" si="1328"/>
        <v>#N/A</v>
      </c>
      <c r="AR561" s="34" t="e">
        <f t="shared" si="1328"/>
        <v>#N/A</v>
      </c>
      <c r="AS561" s="27"/>
      <c r="AT561" s="39"/>
      <c r="AU561" s="39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30"/>
    </row>
    <row r="562" spans="1:66" ht="11.25" customHeight="1" x14ac:dyDescent="0.2">
      <c r="A562" s="42"/>
      <c r="B562" s="74"/>
      <c r="C562" s="33">
        <v>6</v>
      </c>
      <c r="D562" s="13" t="s">
        <v>378</v>
      </c>
      <c r="E562" s="16">
        <f t="shared" si="1315"/>
        <v>0</v>
      </c>
      <c r="F562" s="16">
        <f>SUMIFS([0]!VOTOS2,[0]!TURNO1,F$31,[0]!CANDIDATO1,$C562,[0]!MUNICIPIO1,$B$557)</f>
        <v>0</v>
      </c>
      <c r="G562" s="16">
        <f>SUMIFS([0]!VOTOS2,[0]!TURNO1,G$31,[0]!CANDIDATO1,$C562,[0]!MUNICIPIO1,$B$557)</f>
        <v>0</v>
      </c>
      <c r="H562" s="16">
        <f>SUMIFS([0]!VOTOS2,[0]!TURNO1,H$31,[0]!CANDIDATO1,$C562,[0]!MUNICIPIO1,$B$557)</f>
        <v>0</v>
      </c>
      <c r="I562" s="16">
        <f>SUMIFS([0]!VOTOS2,[0]!TURNO1,I$31,[0]!CANDIDATO1,$C562,[0]!MUNICIPIO1,$B$557)</f>
        <v>0</v>
      </c>
      <c r="J562" s="16">
        <f>SUMIFS([0]!VOTOS2,[0]!TURNO1,J$31,[0]!CANDIDATO1,$C562,[0]!MUNICIPIO1,$B$557)</f>
        <v>0</v>
      </c>
      <c r="K562" s="16">
        <f>SUMIFS([0]!VOTOS2,[0]!TURNO1,K$31,[0]!CANDIDATO1,$C562,[0]!MUNICIPIO1,$B$557)</f>
        <v>0</v>
      </c>
      <c r="L562" s="16">
        <f>SUMIFS([0]!VOTOS2,[0]!TURNO1,L$31,[0]!CANDIDATO1,$C562,[0]!MUNICIPIO1,$B$557)</f>
        <v>0</v>
      </c>
      <c r="M562" s="16">
        <f>SUMIFS([0]!VOTOS2,[0]!TURNO1,M$31,[0]!CANDIDATO1,$C562,[0]!MUNICIPIO1,$B$557)</f>
        <v>0</v>
      </c>
      <c r="N562" s="16">
        <f>SUMIFS([0]!VOTOS2,[0]!TURNO1,N$31,[0]!CANDIDATO1,$C562,[0]!MUNICIPIO1,$B$557)</f>
        <v>0</v>
      </c>
      <c r="O562" s="16">
        <f>SUMIFS([0]!VOTOS2,[0]!TURNO1,O$31,[0]!CANDIDATO1,$C562,[0]!MUNICIPIO1,$B$557)</f>
        <v>0</v>
      </c>
      <c r="P562" s="16">
        <f>SUMIFS([0]!VOTOS2,[0]!TURNO1,P$31,[0]!CANDIDATO1,$C562,[0]!MUNICIPIO1,$B$557)</f>
        <v>0</v>
      </c>
      <c r="Q562" s="16">
        <f>SUMIFS([0]!VOTOS2,[0]!TURNO1,Q$31,[0]!CANDIDATO1,$C562,[0]!MUNICIPIO1,$B$557)</f>
        <v>0</v>
      </c>
      <c r="R562" s="16">
        <f>SUMIFS([0]!VOTOS2,[0]!TURNO1,R$31,[0]!CANDIDATO1,$C562,[0]!MUNICIPIO1,$B$557)</f>
        <v>0</v>
      </c>
      <c r="S562" s="16">
        <f>SUMIFS([0]!VOTOS2,[0]!TURNO1,S$31,[0]!CANDIDATO1,$C562,[0]!MUNICIPIO1,$B$557)</f>
        <v>0</v>
      </c>
      <c r="T562" s="16">
        <f>SUMIFS([0]!VOTOS2,[0]!TURNO1,T$31,[0]!CANDIDATO1,$C562,[0]!MUNICIPIO1,$B$557)</f>
        <v>0</v>
      </c>
      <c r="U562" s="16">
        <f>SUMIFS([0]!VOTOS2,[0]!TURNO1,U$31,[0]!CANDIDATO1,$C562,[0]!MUNICIPIO1,$B$557)</f>
        <v>0</v>
      </c>
      <c r="V562" s="16">
        <f>SUMIFS([0]!VOTOS2,[0]!TURNO1,V$31,[0]!CANDIDATO1,$C562,[0]!MUNICIPIO1,$B$557)</f>
        <v>0</v>
      </c>
      <c r="W562" s="16">
        <f>SUMIFS([0]!VOTOS2,[0]!TURNO1,W$31,[0]!CANDIDATO1,$C562,[0]!MUNICIPIO1,$B$557)</f>
        <v>0</v>
      </c>
      <c r="X562" s="24"/>
      <c r="Y562" s="18" t="str">
        <f t="shared" si="1316"/>
        <v>JOSE GARCIA</v>
      </c>
      <c r="Z562" s="34">
        <f t="shared" si="1317"/>
        <v>0</v>
      </c>
      <c r="AA562" s="34">
        <f t="shared" si="1318"/>
        <v>0</v>
      </c>
      <c r="AB562" s="34" t="e">
        <f t="shared" ref="AB562:AR562" si="1329">IF(SUM(G557:G569)=0,NA(),G562+AA562)</f>
        <v>#N/A</v>
      </c>
      <c r="AC562" s="34" t="e">
        <f t="shared" si="1329"/>
        <v>#N/A</v>
      </c>
      <c r="AD562" s="34" t="e">
        <f t="shared" si="1329"/>
        <v>#N/A</v>
      </c>
      <c r="AE562" s="34" t="e">
        <f t="shared" si="1329"/>
        <v>#N/A</v>
      </c>
      <c r="AF562" s="34" t="e">
        <f t="shared" si="1329"/>
        <v>#N/A</v>
      </c>
      <c r="AG562" s="34" t="e">
        <f t="shared" si="1329"/>
        <v>#N/A</v>
      </c>
      <c r="AH562" s="34" t="e">
        <f t="shared" si="1329"/>
        <v>#N/A</v>
      </c>
      <c r="AI562" s="34" t="e">
        <f t="shared" si="1329"/>
        <v>#N/A</v>
      </c>
      <c r="AJ562" s="34" t="e">
        <f t="shared" si="1329"/>
        <v>#N/A</v>
      </c>
      <c r="AK562" s="34" t="e">
        <f t="shared" si="1329"/>
        <v>#N/A</v>
      </c>
      <c r="AL562" s="34" t="e">
        <f t="shared" si="1329"/>
        <v>#N/A</v>
      </c>
      <c r="AM562" s="34" t="e">
        <f t="shared" si="1329"/>
        <v>#N/A</v>
      </c>
      <c r="AN562" s="34" t="e">
        <f t="shared" si="1329"/>
        <v>#N/A</v>
      </c>
      <c r="AO562" s="34" t="e">
        <f t="shared" si="1329"/>
        <v>#N/A</v>
      </c>
      <c r="AP562" s="34" t="e">
        <f t="shared" si="1329"/>
        <v>#N/A</v>
      </c>
      <c r="AQ562" s="34" t="e">
        <f t="shared" si="1329"/>
        <v>#N/A</v>
      </c>
      <c r="AR562" s="34" t="e">
        <f t="shared" si="1329"/>
        <v>#N/A</v>
      </c>
      <c r="AS562" s="27"/>
      <c r="AT562" s="39"/>
      <c r="AU562" s="39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30"/>
    </row>
    <row r="563" spans="1:66" ht="11.25" customHeight="1" x14ac:dyDescent="0.2">
      <c r="A563" s="44"/>
      <c r="B563" s="45"/>
      <c r="C563" s="46">
        <v>7</v>
      </c>
      <c r="D563" s="14" t="s">
        <v>76</v>
      </c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24"/>
      <c r="Y563" s="18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27"/>
      <c r="AT563" s="39"/>
      <c r="AU563" s="39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30"/>
    </row>
    <row r="564" spans="1:66" ht="11.25" customHeight="1" x14ac:dyDescent="0.2">
      <c r="A564" s="44"/>
      <c r="B564" s="45"/>
      <c r="C564" s="46">
        <v>8</v>
      </c>
      <c r="D564" s="14" t="s">
        <v>76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24"/>
      <c r="Y564" s="18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27"/>
      <c r="AT564" s="41"/>
      <c r="AU564" s="41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30"/>
    </row>
    <row r="565" spans="1:66" ht="11.25" customHeight="1" x14ac:dyDescent="0.2">
      <c r="A565" s="44"/>
      <c r="B565" s="45"/>
      <c r="C565" s="46">
        <v>9</v>
      </c>
      <c r="D565" s="14" t="s">
        <v>76</v>
      </c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24"/>
      <c r="Y565" s="18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27"/>
      <c r="AT565" s="41"/>
      <c r="AU565" s="41"/>
      <c r="AV565" s="43"/>
      <c r="AW565" s="43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  <c r="BL565" s="43"/>
      <c r="BM565" s="43"/>
      <c r="BN565" s="30"/>
    </row>
    <row r="566" spans="1:66" ht="11.25" customHeight="1" x14ac:dyDescent="0.2">
      <c r="A566" s="44"/>
      <c r="B566" s="45"/>
      <c r="C566" s="46">
        <v>10</v>
      </c>
      <c r="D566" s="14" t="s">
        <v>76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24"/>
      <c r="Y566" s="18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27"/>
      <c r="AT566" s="41"/>
      <c r="AU566" s="41"/>
      <c r="AV566" s="43"/>
      <c r="AW566" s="43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/>
      <c r="BK566" s="43"/>
      <c r="BL566" s="43"/>
      <c r="BM566" s="43"/>
      <c r="BN566" s="30"/>
    </row>
    <row r="567" spans="1:66" ht="11.25" customHeight="1" x14ac:dyDescent="0.2">
      <c r="A567" s="44"/>
      <c r="B567" s="45"/>
      <c r="C567" s="46">
        <v>11</v>
      </c>
      <c r="D567" s="14" t="s">
        <v>76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24"/>
      <c r="Y567" s="18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27"/>
      <c r="AT567" s="41"/>
      <c r="AU567" s="41"/>
      <c r="AV567" s="43"/>
      <c r="AW567" s="43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30"/>
    </row>
    <row r="568" spans="1:66" ht="11.25" customHeight="1" x14ac:dyDescent="0.2">
      <c r="A568" s="44"/>
      <c r="B568" s="45"/>
      <c r="C568" s="46">
        <v>12</v>
      </c>
      <c r="D568" s="14" t="s">
        <v>76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24"/>
      <c r="Y568" s="18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27"/>
      <c r="AT568" s="41"/>
      <c r="AU568" s="41"/>
      <c r="AV568" s="43"/>
      <c r="AW568" s="43"/>
      <c r="AX568" s="43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  <c r="BL568" s="43"/>
      <c r="BM568" s="43"/>
      <c r="BN568" s="30"/>
    </row>
    <row r="569" spans="1:66" ht="11.25" customHeight="1" x14ac:dyDescent="0.2">
      <c r="A569" s="44"/>
      <c r="B569" s="45"/>
      <c r="C569" s="46">
        <v>13</v>
      </c>
      <c r="D569" s="14" t="s">
        <v>76</v>
      </c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24"/>
      <c r="Y569" s="18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27"/>
      <c r="AT569" s="41"/>
      <c r="AU569" s="41"/>
      <c r="AV569" s="43"/>
      <c r="AW569" s="43"/>
      <c r="AX569" s="43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  <c r="BL569" s="43"/>
      <c r="BM569" s="43"/>
      <c r="BN569" s="30"/>
    </row>
    <row r="570" spans="1:66" ht="11.25" customHeight="1" x14ac:dyDescent="0.2">
      <c r="X570" s="24"/>
      <c r="Y570" s="19" t="s">
        <v>79</v>
      </c>
      <c r="Z570" s="34">
        <f t="shared" ref="Z570" si="1330">SUM(Z559:Z569)</f>
        <v>0</v>
      </c>
      <c r="AA570" s="34">
        <f t="shared" ref="AA570" si="1331">SUM(AA559:AA569)</f>
        <v>0</v>
      </c>
      <c r="AB570" s="34" t="e">
        <f t="shared" ref="AB570" si="1332">SUM(AB559:AB569)</f>
        <v>#N/A</v>
      </c>
      <c r="AC570" s="34" t="e">
        <f t="shared" ref="AC570" si="1333">SUM(AC559:AC569)</f>
        <v>#N/A</v>
      </c>
      <c r="AD570" s="34" t="e">
        <f t="shared" ref="AD570" si="1334">SUM(AD559:AD569)</f>
        <v>#N/A</v>
      </c>
      <c r="AE570" s="34" t="e">
        <f t="shared" ref="AE570" si="1335">SUM(AE559:AE569)</f>
        <v>#N/A</v>
      </c>
      <c r="AF570" s="34" t="e">
        <f t="shared" ref="AF570" si="1336">SUM(AF559:AF569)</f>
        <v>#N/A</v>
      </c>
      <c r="AG570" s="34" t="e">
        <f t="shared" ref="AG570" si="1337">SUM(AG559:AG569)</f>
        <v>#N/A</v>
      </c>
      <c r="AH570" s="34" t="e">
        <f t="shared" ref="AH570" si="1338">SUM(AH559:AH569)</f>
        <v>#N/A</v>
      </c>
      <c r="AI570" s="34" t="e">
        <f t="shared" ref="AI570" si="1339">SUM(AI559:AI569)</f>
        <v>#N/A</v>
      </c>
      <c r="AJ570" s="34" t="e">
        <f t="shared" ref="AJ570" si="1340">SUM(AJ559:AJ569)</f>
        <v>#N/A</v>
      </c>
      <c r="AK570" s="34" t="e">
        <f t="shared" ref="AK570" si="1341">SUM(AK559:AK569)</f>
        <v>#N/A</v>
      </c>
      <c r="AL570" s="34" t="e">
        <f t="shared" ref="AL570" si="1342">SUM(AL559:AL569)</f>
        <v>#N/A</v>
      </c>
      <c r="AM570" s="34" t="e">
        <f t="shared" ref="AM570" si="1343">SUM(AM559:AM569)</f>
        <v>#N/A</v>
      </c>
      <c r="AN570" s="34" t="e">
        <f t="shared" ref="AN570" si="1344">SUM(AN559:AN569)</f>
        <v>#N/A</v>
      </c>
      <c r="AO570" s="34" t="e">
        <f t="shared" ref="AO570" si="1345">SUM(AO559:AO569)</f>
        <v>#N/A</v>
      </c>
      <c r="AP570" s="34" t="e">
        <f t="shared" ref="AP570" si="1346">SUM(AP559:AP569)</f>
        <v>#N/A</v>
      </c>
      <c r="AQ570" s="34" t="e">
        <f t="shared" ref="AQ570" si="1347">SUM(AQ559:AQ569)</f>
        <v>#N/A</v>
      </c>
      <c r="AR570" s="34" t="e">
        <f t="shared" ref="AR570" si="1348">SUM(AR559:AR569)</f>
        <v>#N/A</v>
      </c>
      <c r="AS570" s="27"/>
      <c r="AT570" s="41"/>
      <c r="AU570" s="41"/>
      <c r="AV570" s="43"/>
      <c r="AW570" s="43"/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/>
      <c r="BK570" s="43"/>
      <c r="BL570" s="43"/>
      <c r="BM570" s="43"/>
      <c r="BN570" s="30"/>
    </row>
    <row r="571" spans="1:66" ht="11.25" customHeight="1" x14ac:dyDescent="0.2">
      <c r="A571" s="75" t="s">
        <v>63</v>
      </c>
      <c r="B571" s="76"/>
      <c r="C571" s="21"/>
      <c r="D571" s="22" t="s">
        <v>75</v>
      </c>
      <c r="E571" s="23" t="s">
        <v>70</v>
      </c>
      <c r="F571" s="23">
        <v>0</v>
      </c>
      <c r="G571" s="23">
        <v>1</v>
      </c>
      <c r="H571" s="23">
        <v>2</v>
      </c>
      <c r="I571" s="23">
        <v>3</v>
      </c>
      <c r="J571" s="23">
        <v>4</v>
      </c>
      <c r="K571" s="23">
        <v>5</v>
      </c>
      <c r="L571" s="23">
        <v>6</v>
      </c>
      <c r="M571" s="23">
        <v>7</v>
      </c>
      <c r="N571" s="23">
        <v>8</v>
      </c>
      <c r="O571" s="23">
        <v>9</v>
      </c>
      <c r="P571" s="23">
        <v>10</v>
      </c>
      <c r="Q571" s="23">
        <v>11</v>
      </c>
      <c r="R571" s="23">
        <v>12</v>
      </c>
      <c r="S571" s="23">
        <v>13</v>
      </c>
      <c r="T571" s="23">
        <v>14</v>
      </c>
      <c r="U571" s="23">
        <v>15</v>
      </c>
      <c r="V571" s="23">
        <v>16</v>
      </c>
      <c r="W571" s="23">
        <v>17</v>
      </c>
      <c r="X571" s="24"/>
      <c r="Y571" s="17"/>
      <c r="Z571" s="25" t="s">
        <v>64</v>
      </c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7"/>
      <c r="AT571" s="28"/>
      <c r="AU571" s="28" t="s">
        <v>64</v>
      </c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30"/>
    </row>
    <row r="572" spans="1:66" ht="11.25" customHeight="1" x14ac:dyDescent="0.2">
      <c r="A572" s="32"/>
      <c r="B572" s="72">
        <v>39</v>
      </c>
      <c r="C572" s="33">
        <v>1</v>
      </c>
      <c r="D572" s="13" t="s">
        <v>379</v>
      </c>
      <c r="E572" s="16">
        <f t="shared" ref="E572:E578" si="1349">SUM(F572:W572)</f>
        <v>10</v>
      </c>
      <c r="F572" s="16">
        <f>SUMIFS([0]!VOTOS2,[0]!TURNO1,F$31,[0]!CANDIDATO1,$C572,[0]!MUNICIPIO1,$B$572)</f>
        <v>10</v>
      </c>
      <c r="G572" s="16">
        <f>SUMIFS([0]!VOTOS2,[0]!TURNO1,G$31,[0]!CANDIDATO1,$C572,[0]!MUNICIPIO1,$B$572)</f>
        <v>0</v>
      </c>
      <c r="H572" s="16">
        <f>SUMIFS([0]!VOTOS2,[0]!TURNO1,H$31,[0]!CANDIDATO1,$C572,[0]!MUNICIPIO1,$B$572)</f>
        <v>0</v>
      </c>
      <c r="I572" s="16">
        <f>SUMIFS([0]!VOTOS2,[0]!TURNO1,I$31,[0]!CANDIDATO1,$C572,[0]!MUNICIPIO1,$B$572)</f>
        <v>0</v>
      </c>
      <c r="J572" s="16">
        <f>SUMIFS([0]!VOTOS2,[0]!TURNO1,J$31,[0]!CANDIDATO1,$C572,[0]!MUNICIPIO1,$B$572)</f>
        <v>0</v>
      </c>
      <c r="K572" s="16">
        <f>SUMIFS([0]!VOTOS2,[0]!TURNO1,K$31,[0]!CANDIDATO1,$C572,[0]!MUNICIPIO1,$B$572)</f>
        <v>0</v>
      </c>
      <c r="L572" s="16">
        <f>SUMIFS([0]!VOTOS2,[0]!TURNO1,L$31,[0]!CANDIDATO1,$C572,[0]!MUNICIPIO1,$B$572)</f>
        <v>0</v>
      </c>
      <c r="M572" s="16">
        <f>SUMIFS([0]!VOTOS2,[0]!TURNO1,M$31,[0]!CANDIDATO1,$C572,[0]!MUNICIPIO1,$B$572)</f>
        <v>0</v>
      </c>
      <c r="N572" s="16">
        <f>SUMIFS([0]!VOTOS2,[0]!TURNO1,N$31,[0]!CANDIDATO1,$C572,[0]!MUNICIPIO1,$B$572)</f>
        <v>0</v>
      </c>
      <c r="O572" s="16">
        <f>SUMIFS([0]!VOTOS2,[0]!TURNO1,O$31,[0]!CANDIDATO1,$C572,[0]!MUNICIPIO1,$B$572)</f>
        <v>0</v>
      </c>
      <c r="P572" s="16">
        <f>SUMIFS([0]!VOTOS2,[0]!TURNO1,P$31,[0]!CANDIDATO1,$C572,[0]!MUNICIPIO1,$B$572)</f>
        <v>0</v>
      </c>
      <c r="Q572" s="16">
        <f>SUMIFS([0]!VOTOS2,[0]!TURNO1,Q$31,[0]!CANDIDATO1,$C572,[0]!MUNICIPIO1,$B$572)</f>
        <v>0</v>
      </c>
      <c r="R572" s="16">
        <f>SUMIFS([0]!VOTOS2,[0]!TURNO1,R$31,[0]!CANDIDATO1,$C572,[0]!MUNICIPIO1,$B$572)</f>
        <v>0</v>
      </c>
      <c r="S572" s="16">
        <f>SUMIFS([0]!VOTOS2,[0]!TURNO1,S$31,[0]!CANDIDATO1,$C572,[0]!MUNICIPIO1,$B$572)</f>
        <v>0</v>
      </c>
      <c r="T572" s="16">
        <f>SUMIFS([0]!VOTOS2,[0]!TURNO1,T$31,[0]!CANDIDATO1,$C572,[0]!MUNICIPIO1,$B$572)</f>
        <v>0</v>
      </c>
      <c r="U572" s="16">
        <f>SUMIFS([0]!VOTOS2,[0]!TURNO1,U$31,[0]!CANDIDATO1,$C572,[0]!MUNICIPIO1,$B$572)</f>
        <v>0</v>
      </c>
      <c r="V572" s="16">
        <f>SUMIFS([0]!VOTOS2,[0]!TURNO1,V$31,[0]!CANDIDATO1,$C572,[0]!MUNICIPIO1,$B$572)</f>
        <v>0</v>
      </c>
      <c r="W572" s="16">
        <f>SUMIFS([0]!VOTOS2,[0]!TURNO1,W$31,[0]!CANDIDATO1,$C572,[0]!MUNICIPIO1,$B$572)</f>
        <v>0</v>
      </c>
      <c r="X572" s="24"/>
      <c r="Y572" s="18" t="str">
        <f t="shared" ref="Y572:Y578" si="1350">D572</f>
        <v>EFREN PEREZ</v>
      </c>
      <c r="Z572" s="34">
        <f t="shared" ref="Z572:Z578" si="1351">E572</f>
        <v>10</v>
      </c>
      <c r="AA572" s="34">
        <f t="shared" ref="AA572:AA578" si="1352">F572</f>
        <v>10</v>
      </c>
      <c r="AB572" s="34" t="e">
        <f t="shared" ref="AB572:AR572" si="1353">IF(SUM(G572:G584)=0,NA(),G572+AA572)</f>
        <v>#N/A</v>
      </c>
      <c r="AC572" s="34" t="e">
        <f t="shared" si="1353"/>
        <v>#N/A</v>
      </c>
      <c r="AD572" s="34" t="e">
        <f t="shared" si="1353"/>
        <v>#N/A</v>
      </c>
      <c r="AE572" s="34" t="e">
        <f t="shared" si="1353"/>
        <v>#N/A</v>
      </c>
      <c r="AF572" s="34" t="e">
        <f t="shared" si="1353"/>
        <v>#N/A</v>
      </c>
      <c r="AG572" s="34" t="e">
        <f t="shared" si="1353"/>
        <v>#N/A</v>
      </c>
      <c r="AH572" s="34" t="e">
        <f t="shared" si="1353"/>
        <v>#N/A</v>
      </c>
      <c r="AI572" s="34" t="e">
        <f t="shared" si="1353"/>
        <v>#N/A</v>
      </c>
      <c r="AJ572" s="34" t="e">
        <f t="shared" si="1353"/>
        <v>#N/A</v>
      </c>
      <c r="AK572" s="34" t="e">
        <f t="shared" si="1353"/>
        <v>#N/A</v>
      </c>
      <c r="AL572" s="34" t="e">
        <f t="shared" si="1353"/>
        <v>#N/A</v>
      </c>
      <c r="AM572" s="34" t="e">
        <f t="shared" si="1353"/>
        <v>#N/A</v>
      </c>
      <c r="AN572" s="34" t="e">
        <f t="shared" si="1353"/>
        <v>#N/A</v>
      </c>
      <c r="AO572" s="34" t="e">
        <f t="shared" si="1353"/>
        <v>#N/A</v>
      </c>
      <c r="AP572" s="34" t="e">
        <f t="shared" si="1353"/>
        <v>#N/A</v>
      </c>
      <c r="AQ572" s="34" t="e">
        <f t="shared" si="1353"/>
        <v>#N/A</v>
      </c>
      <c r="AR572" s="34" t="e">
        <f t="shared" si="1353"/>
        <v>#N/A</v>
      </c>
      <c r="AS572" s="27"/>
      <c r="AT572" s="35" t="str">
        <f t="shared" ref="AT572:AT573" si="1354">Y572</f>
        <v>EFREN PEREZ</v>
      </c>
      <c r="AU572" s="36">
        <f t="shared" ref="AU572:BM572" si="1355">Z572/(Z572+Z573+Z585)</f>
        <v>0.5</v>
      </c>
      <c r="AV572" s="36">
        <f t="shared" si="1355"/>
        <v>0.5</v>
      </c>
      <c r="AW572" s="36" t="e">
        <f t="shared" si="1355"/>
        <v>#N/A</v>
      </c>
      <c r="AX572" s="36" t="e">
        <f t="shared" si="1355"/>
        <v>#N/A</v>
      </c>
      <c r="AY572" s="36" t="e">
        <f t="shared" si="1355"/>
        <v>#N/A</v>
      </c>
      <c r="AZ572" s="36" t="e">
        <f t="shared" si="1355"/>
        <v>#N/A</v>
      </c>
      <c r="BA572" s="36" t="e">
        <f t="shared" si="1355"/>
        <v>#N/A</v>
      </c>
      <c r="BB572" s="36" t="e">
        <f t="shared" si="1355"/>
        <v>#N/A</v>
      </c>
      <c r="BC572" s="36" t="e">
        <f t="shared" si="1355"/>
        <v>#N/A</v>
      </c>
      <c r="BD572" s="36" t="e">
        <f t="shared" si="1355"/>
        <v>#N/A</v>
      </c>
      <c r="BE572" s="36" t="e">
        <f t="shared" si="1355"/>
        <v>#N/A</v>
      </c>
      <c r="BF572" s="36" t="e">
        <f t="shared" si="1355"/>
        <v>#N/A</v>
      </c>
      <c r="BG572" s="36" t="e">
        <f t="shared" si="1355"/>
        <v>#N/A</v>
      </c>
      <c r="BH572" s="36" t="e">
        <f t="shared" si="1355"/>
        <v>#N/A</v>
      </c>
      <c r="BI572" s="36" t="e">
        <f t="shared" si="1355"/>
        <v>#N/A</v>
      </c>
      <c r="BJ572" s="36" t="e">
        <f t="shared" si="1355"/>
        <v>#N/A</v>
      </c>
      <c r="BK572" s="36" t="e">
        <f t="shared" si="1355"/>
        <v>#N/A</v>
      </c>
      <c r="BL572" s="36" t="e">
        <f t="shared" si="1355"/>
        <v>#N/A</v>
      </c>
      <c r="BM572" s="36" t="e">
        <f t="shared" si="1355"/>
        <v>#N/A</v>
      </c>
      <c r="BN572" s="30"/>
    </row>
    <row r="573" spans="1:66" ht="11.25" customHeight="1" x14ac:dyDescent="0.2">
      <c r="A573" s="37"/>
      <c r="B573" s="73"/>
      <c r="C573" s="33">
        <v>2</v>
      </c>
      <c r="D573" s="13" t="s">
        <v>380</v>
      </c>
      <c r="E573" s="16">
        <f t="shared" si="1349"/>
        <v>10</v>
      </c>
      <c r="F573" s="16">
        <f>SUMIFS([0]!VOTOS2,[0]!TURNO1,F$31,[0]!CANDIDATO1,$C573,[0]!MUNICIPIO1,$B$572)</f>
        <v>10</v>
      </c>
      <c r="G573" s="16">
        <f>SUMIFS([0]!VOTOS2,[0]!TURNO1,G$31,[0]!CANDIDATO1,$C573,[0]!MUNICIPIO1,$B$572)</f>
        <v>0</v>
      </c>
      <c r="H573" s="16">
        <f>SUMIFS([0]!VOTOS2,[0]!TURNO1,H$31,[0]!CANDIDATO1,$C573,[0]!MUNICIPIO1,$B$572)</f>
        <v>0</v>
      </c>
      <c r="I573" s="16">
        <f>SUMIFS([0]!VOTOS2,[0]!TURNO1,I$31,[0]!CANDIDATO1,$C573,[0]!MUNICIPIO1,$B$572)</f>
        <v>0</v>
      </c>
      <c r="J573" s="16">
        <f>SUMIFS([0]!VOTOS2,[0]!TURNO1,J$31,[0]!CANDIDATO1,$C573,[0]!MUNICIPIO1,$B$572)</f>
        <v>0</v>
      </c>
      <c r="K573" s="16">
        <f>SUMIFS([0]!VOTOS2,[0]!TURNO1,K$31,[0]!CANDIDATO1,$C573,[0]!MUNICIPIO1,$B$572)</f>
        <v>0</v>
      </c>
      <c r="L573" s="16">
        <f>SUMIFS([0]!VOTOS2,[0]!TURNO1,L$31,[0]!CANDIDATO1,$C573,[0]!MUNICIPIO1,$B$572)</f>
        <v>0</v>
      </c>
      <c r="M573" s="16">
        <f>SUMIFS([0]!VOTOS2,[0]!TURNO1,M$31,[0]!CANDIDATO1,$C573,[0]!MUNICIPIO1,$B$572)</f>
        <v>0</v>
      </c>
      <c r="N573" s="16">
        <f>SUMIFS([0]!VOTOS2,[0]!TURNO1,N$31,[0]!CANDIDATO1,$C573,[0]!MUNICIPIO1,$B$572)</f>
        <v>0</v>
      </c>
      <c r="O573" s="16">
        <f>SUMIFS([0]!VOTOS2,[0]!TURNO1,O$31,[0]!CANDIDATO1,$C573,[0]!MUNICIPIO1,$B$572)</f>
        <v>0</v>
      </c>
      <c r="P573" s="16">
        <f>SUMIFS([0]!VOTOS2,[0]!TURNO1,P$31,[0]!CANDIDATO1,$C573,[0]!MUNICIPIO1,$B$572)</f>
        <v>0</v>
      </c>
      <c r="Q573" s="16">
        <f>SUMIFS([0]!VOTOS2,[0]!TURNO1,Q$31,[0]!CANDIDATO1,$C573,[0]!MUNICIPIO1,$B$572)</f>
        <v>0</v>
      </c>
      <c r="R573" s="16">
        <f>SUMIFS([0]!VOTOS2,[0]!TURNO1,R$31,[0]!CANDIDATO1,$C573,[0]!MUNICIPIO1,$B$572)</f>
        <v>0</v>
      </c>
      <c r="S573" s="16">
        <f>SUMIFS([0]!VOTOS2,[0]!TURNO1,S$31,[0]!CANDIDATO1,$C573,[0]!MUNICIPIO1,$B$572)</f>
        <v>0</v>
      </c>
      <c r="T573" s="16">
        <f>SUMIFS([0]!VOTOS2,[0]!TURNO1,T$31,[0]!CANDIDATO1,$C573,[0]!MUNICIPIO1,$B$572)</f>
        <v>0</v>
      </c>
      <c r="U573" s="16">
        <f>SUMIFS([0]!VOTOS2,[0]!TURNO1,U$31,[0]!CANDIDATO1,$C573,[0]!MUNICIPIO1,$B$572)</f>
        <v>0</v>
      </c>
      <c r="V573" s="16">
        <f>SUMIFS([0]!VOTOS2,[0]!TURNO1,V$31,[0]!CANDIDATO1,$C573,[0]!MUNICIPIO1,$B$572)</f>
        <v>0</v>
      </c>
      <c r="W573" s="16">
        <f>SUMIFS([0]!VOTOS2,[0]!TURNO1,W$31,[0]!CANDIDATO1,$C573,[0]!MUNICIPIO1,$B$572)</f>
        <v>0</v>
      </c>
      <c r="X573" s="24"/>
      <c r="Y573" s="18" t="str">
        <f t="shared" si="1350"/>
        <v>ELIAS BITTAR</v>
      </c>
      <c r="Z573" s="34">
        <f t="shared" si="1351"/>
        <v>10</v>
      </c>
      <c r="AA573" s="34">
        <f t="shared" si="1352"/>
        <v>10</v>
      </c>
      <c r="AB573" s="34" t="e">
        <f t="shared" ref="AB573:AR573" si="1356">IF(SUM(G572:G584)=0,NA(),G573+AA573)</f>
        <v>#N/A</v>
      </c>
      <c r="AC573" s="34" t="e">
        <f t="shared" si="1356"/>
        <v>#N/A</v>
      </c>
      <c r="AD573" s="34" t="e">
        <f t="shared" si="1356"/>
        <v>#N/A</v>
      </c>
      <c r="AE573" s="34" t="e">
        <f t="shared" si="1356"/>
        <v>#N/A</v>
      </c>
      <c r="AF573" s="34" t="e">
        <f t="shared" si="1356"/>
        <v>#N/A</v>
      </c>
      <c r="AG573" s="34" t="e">
        <f t="shared" si="1356"/>
        <v>#N/A</v>
      </c>
      <c r="AH573" s="34" t="e">
        <f t="shared" si="1356"/>
        <v>#N/A</v>
      </c>
      <c r="AI573" s="34" t="e">
        <f t="shared" si="1356"/>
        <v>#N/A</v>
      </c>
      <c r="AJ573" s="34" t="e">
        <f t="shared" si="1356"/>
        <v>#N/A</v>
      </c>
      <c r="AK573" s="34" t="e">
        <f t="shared" si="1356"/>
        <v>#N/A</v>
      </c>
      <c r="AL573" s="34" t="e">
        <f t="shared" si="1356"/>
        <v>#N/A</v>
      </c>
      <c r="AM573" s="34" t="e">
        <f t="shared" si="1356"/>
        <v>#N/A</v>
      </c>
      <c r="AN573" s="34" t="e">
        <f t="shared" si="1356"/>
        <v>#N/A</v>
      </c>
      <c r="AO573" s="34" t="e">
        <f t="shared" si="1356"/>
        <v>#N/A</v>
      </c>
      <c r="AP573" s="34" t="e">
        <f t="shared" si="1356"/>
        <v>#N/A</v>
      </c>
      <c r="AQ573" s="34" t="e">
        <f t="shared" si="1356"/>
        <v>#N/A</v>
      </c>
      <c r="AR573" s="34" t="e">
        <f t="shared" si="1356"/>
        <v>#N/A</v>
      </c>
      <c r="AS573" s="27"/>
      <c r="AT573" s="35" t="str">
        <f t="shared" si="1354"/>
        <v>ELIAS BITTAR</v>
      </c>
      <c r="AU573" s="36">
        <f t="shared" ref="AU573:BM573" si="1357">Z573/(Z572+Z573+Z585)</f>
        <v>0.5</v>
      </c>
      <c r="AV573" s="36">
        <f t="shared" si="1357"/>
        <v>0.5</v>
      </c>
      <c r="AW573" s="36" t="e">
        <f t="shared" si="1357"/>
        <v>#N/A</v>
      </c>
      <c r="AX573" s="36" t="e">
        <f t="shared" si="1357"/>
        <v>#N/A</v>
      </c>
      <c r="AY573" s="36" t="e">
        <f t="shared" si="1357"/>
        <v>#N/A</v>
      </c>
      <c r="AZ573" s="36" t="e">
        <f t="shared" si="1357"/>
        <v>#N/A</v>
      </c>
      <c r="BA573" s="36" t="e">
        <f t="shared" si="1357"/>
        <v>#N/A</v>
      </c>
      <c r="BB573" s="36" t="e">
        <f t="shared" si="1357"/>
        <v>#N/A</v>
      </c>
      <c r="BC573" s="36" t="e">
        <f t="shared" si="1357"/>
        <v>#N/A</v>
      </c>
      <c r="BD573" s="36" t="e">
        <f t="shared" si="1357"/>
        <v>#N/A</v>
      </c>
      <c r="BE573" s="36" t="e">
        <f t="shared" si="1357"/>
        <v>#N/A</v>
      </c>
      <c r="BF573" s="36" t="e">
        <f t="shared" si="1357"/>
        <v>#N/A</v>
      </c>
      <c r="BG573" s="36" t="e">
        <f t="shared" si="1357"/>
        <v>#N/A</v>
      </c>
      <c r="BH573" s="36" t="e">
        <f t="shared" si="1357"/>
        <v>#N/A</v>
      </c>
      <c r="BI573" s="36" t="e">
        <f t="shared" si="1357"/>
        <v>#N/A</v>
      </c>
      <c r="BJ573" s="36" t="e">
        <f t="shared" si="1357"/>
        <v>#N/A</v>
      </c>
      <c r="BK573" s="36" t="e">
        <f t="shared" si="1357"/>
        <v>#N/A</v>
      </c>
      <c r="BL573" s="36" t="e">
        <f t="shared" si="1357"/>
        <v>#N/A</v>
      </c>
      <c r="BM573" s="36" t="e">
        <f t="shared" si="1357"/>
        <v>#N/A</v>
      </c>
      <c r="BN573" s="30"/>
    </row>
    <row r="574" spans="1:66" ht="11.25" customHeight="1" x14ac:dyDescent="0.2">
      <c r="A574" s="37"/>
      <c r="B574" s="73"/>
      <c r="C574" s="33">
        <v>3</v>
      </c>
      <c r="D574" s="13" t="s">
        <v>381</v>
      </c>
      <c r="E574" s="16">
        <f t="shared" si="1349"/>
        <v>0</v>
      </c>
      <c r="F574" s="16">
        <f>SUMIFS([0]!VOTOS2,[0]!TURNO1,F$31,[0]!CANDIDATO1,$C574,[0]!MUNICIPIO1,$B$572)</f>
        <v>0</v>
      </c>
      <c r="G574" s="16">
        <f>SUMIFS([0]!VOTOS2,[0]!TURNO1,G$31,[0]!CANDIDATO1,$C574,[0]!MUNICIPIO1,$B$572)</f>
        <v>0</v>
      </c>
      <c r="H574" s="16">
        <f>SUMIFS([0]!VOTOS2,[0]!TURNO1,H$31,[0]!CANDIDATO1,$C574,[0]!MUNICIPIO1,$B$572)</f>
        <v>0</v>
      </c>
      <c r="I574" s="16">
        <f>SUMIFS([0]!VOTOS2,[0]!TURNO1,I$31,[0]!CANDIDATO1,$C574,[0]!MUNICIPIO1,$B$572)</f>
        <v>0</v>
      </c>
      <c r="J574" s="16">
        <f>SUMIFS([0]!VOTOS2,[0]!TURNO1,J$31,[0]!CANDIDATO1,$C574,[0]!MUNICIPIO1,$B$572)</f>
        <v>0</v>
      </c>
      <c r="K574" s="16">
        <f>SUMIFS([0]!VOTOS2,[0]!TURNO1,K$31,[0]!CANDIDATO1,$C574,[0]!MUNICIPIO1,$B$572)</f>
        <v>0</v>
      </c>
      <c r="L574" s="16">
        <f>SUMIFS([0]!VOTOS2,[0]!TURNO1,L$31,[0]!CANDIDATO1,$C574,[0]!MUNICIPIO1,$B$572)</f>
        <v>0</v>
      </c>
      <c r="M574" s="16">
        <f>SUMIFS([0]!VOTOS2,[0]!TURNO1,M$31,[0]!CANDIDATO1,$C574,[0]!MUNICIPIO1,$B$572)</f>
        <v>0</v>
      </c>
      <c r="N574" s="16">
        <f>SUMIFS([0]!VOTOS2,[0]!TURNO1,N$31,[0]!CANDIDATO1,$C574,[0]!MUNICIPIO1,$B$572)</f>
        <v>0</v>
      </c>
      <c r="O574" s="16">
        <f>SUMIFS([0]!VOTOS2,[0]!TURNO1,O$31,[0]!CANDIDATO1,$C574,[0]!MUNICIPIO1,$B$572)</f>
        <v>0</v>
      </c>
      <c r="P574" s="16">
        <f>SUMIFS([0]!VOTOS2,[0]!TURNO1,P$31,[0]!CANDIDATO1,$C574,[0]!MUNICIPIO1,$B$572)</f>
        <v>0</v>
      </c>
      <c r="Q574" s="16">
        <f>SUMIFS([0]!VOTOS2,[0]!TURNO1,Q$31,[0]!CANDIDATO1,$C574,[0]!MUNICIPIO1,$B$572)</f>
        <v>0</v>
      </c>
      <c r="R574" s="16">
        <f>SUMIFS([0]!VOTOS2,[0]!TURNO1,R$31,[0]!CANDIDATO1,$C574,[0]!MUNICIPIO1,$B$572)</f>
        <v>0</v>
      </c>
      <c r="S574" s="16">
        <f>SUMIFS([0]!VOTOS2,[0]!TURNO1,S$31,[0]!CANDIDATO1,$C574,[0]!MUNICIPIO1,$B$572)</f>
        <v>0</v>
      </c>
      <c r="T574" s="16">
        <f>SUMIFS([0]!VOTOS2,[0]!TURNO1,T$31,[0]!CANDIDATO1,$C574,[0]!MUNICIPIO1,$B$572)</f>
        <v>0</v>
      </c>
      <c r="U574" s="16">
        <f>SUMIFS([0]!VOTOS2,[0]!TURNO1,U$31,[0]!CANDIDATO1,$C574,[0]!MUNICIPIO1,$B$572)</f>
        <v>0</v>
      </c>
      <c r="V574" s="16">
        <f>SUMIFS([0]!VOTOS2,[0]!TURNO1,V$31,[0]!CANDIDATO1,$C574,[0]!MUNICIPIO1,$B$572)</f>
        <v>0</v>
      </c>
      <c r="W574" s="16">
        <f>SUMIFS([0]!VOTOS2,[0]!TURNO1,W$31,[0]!CANDIDATO1,$C574,[0]!MUNICIPIO1,$B$572)</f>
        <v>0</v>
      </c>
      <c r="X574" s="24"/>
      <c r="Y574" s="18" t="str">
        <f t="shared" si="1350"/>
        <v>DOUGLAS BOADA</v>
      </c>
      <c r="Z574" s="34">
        <f t="shared" si="1351"/>
        <v>0</v>
      </c>
      <c r="AA574" s="34">
        <f t="shared" si="1352"/>
        <v>0</v>
      </c>
      <c r="AB574" s="34" t="e">
        <f t="shared" ref="AB574:AR574" si="1358">IF(SUM(G572:G584)=0,NA(),G574+AA574)</f>
        <v>#N/A</v>
      </c>
      <c r="AC574" s="34" t="e">
        <f t="shared" si="1358"/>
        <v>#N/A</v>
      </c>
      <c r="AD574" s="34" t="e">
        <f t="shared" si="1358"/>
        <v>#N/A</v>
      </c>
      <c r="AE574" s="34" t="e">
        <f t="shared" si="1358"/>
        <v>#N/A</v>
      </c>
      <c r="AF574" s="34" t="e">
        <f t="shared" si="1358"/>
        <v>#N/A</v>
      </c>
      <c r="AG574" s="34" t="e">
        <f t="shared" si="1358"/>
        <v>#N/A</v>
      </c>
      <c r="AH574" s="34" t="e">
        <f t="shared" si="1358"/>
        <v>#N/A</v>
      </c>
      <c r="AI574" s="34" t="e">
        <f t="shared" si="1358"/>
        <v>#N/A</v>
      </c>
      <c r="AJ574" s="34" t="e">
        <f t="shared" si="1358"/>
        <v>#N/A</v>
      </c>
      <c r="AK574" s="34" t="e">
        <f t="shared" si="1358"/>
        <v>#N/A</v>
      </c>
      <c r="AL574" s="34" t="e">
        <f t="shared" si="1358"/>
        <v>#N/A</v>
      </c>
      <c r="AM574" s="34" t="e">
        <f t="shared" si="1358"/>
        <v>#N/A</v>
      </c>
      <c r="AN574" s="34" t="e">
        <f t="shared" si="1358"/>
        <v>#N/A</v>
      </c>
      <c r="AO574" s="34" t="e">
        <f t="shared" si="1358"/>
        <v>#N/A</v>
      </c>
      <c r="AP574" s="34" t="e">
        <f t="shared" si="1358"/>
        <v>#N/A</v>
      </c>
      <c r="AQ574" s="34" t="e">
        <f t="shared" si="1358"/>
        <v>#N/A</v>
      </c>
      <c r="AR574" s="34" t="e">
        <f t="shared" si="1358"/>
        <v>#N/A</v>
      </c>
      <c r="AS574" s="27"/>
      <c r="AT574" s="35" t="str">
        <f t="shared" ref="AT574" si="1359">Y585</f>
        <v>Otros</v>
      </c>
      <c r="AU574" s="36">
        <f t="shared" ref="AU574:BM574" si="1360">Z585/(Z572+Z573+Z585)</f>
        <v>0</v>
      </c>
      <c r="AV574" s="36">
        <f t="shared" si="1360"/>
        <v>0</v>
      </c>
      <c r="AW574" s="36" t="e">
        <f t="shared" si="1360"/>
        <v>#N/A</v>
      </c>
      <c r="AX574" s="36" t="e">
        <f t="shared" si="1360"/>
        <v>#N/A</v>
      </c>
      <c r="AY574" s="36" t="e">
        <f t="shared" si="1360"/>
        <v>#N/A</v>
      </c>
      <c r="AZ574" s="36" t="e">
        <f t="shared" si="1360"/>
        <v>#N/A</v>
      </c>
      <c r="BA574" s="36" t="e">
        <f t="shared" si="1360"/>
        <v>#N/A</v>
      </c>
      <c r="BB574" s="36" t="e">
        <f t="shared" si="1360"/>
        <v>#N/A</v>
      </c>
      <c r="BC574" s="36" t="e">
        <f t="shared" si="1360"/>
        <v>#N/A</v>
      </c>
      <c r="BD574" s="36" t="e">
        <f t="shared" si="1360"/>
        <v>#N/A</v>
      </c>
      <c r="BE574" s="36" t="e">
        <f t="shared" si="1360"/>
        <v>#N/A</v>
      </c>
      <c r="BF574" s="36" t="e">
        <f t="shared" si="1360"/>
        <v>#N/A</v>
      </c>
      <c r="BG574" s="36" t="e">
        <f t="shared" si="1360"/>
        <v>#N/A</v>
      </c>
      <c r="BH574" s="36" t="e">
        <f t="shared" si="1360"/>
        <v>#N/A</v>
      </c>
      <c r="BI574" s="36" t="e">
        <f t="shared" si="1360"/>
        <v>#N/A</v>
      </c>
      <c r="BJ574" s="36" t="e">
        <f t="shared" si="1360"/>
        <v>#N/A</v>
      </c>
      <c r="BK574" s="36" t="e">
        <f t="shared" si="1360"/>
        <v>#N/A</v>
      </c>
      <c r="BL574" s="36" t="e">
        <f t="shared" si="1360"/>
        <v>#N/A</v>
      </c>
      <c r="BM574" s="36" t="e">
        <f t="shared" si="1360"/>
        <v>#N/A</v>
      </c>
      <c r="BN574" s="30"/>
    </row>
    <row r="575" spans="1:66" ht="11.25" customHeight="1" x14ac:dyDescent="0.2">
      <c r="A575" s="38" t="s">
        <v>44</v>
      </c>
      <c r="B575" s="73"/>
      <c r="C575" s="33">
        <v>4</v>
      </c>
      <c r="D575" s="13" t="s">
        <v>382</v>
      </c>
      <c r="E575" s="16">
        <f t="shared" si="1349"/>
        <v>0</v>
      </c>
      <c r="F575" s="16">
        <f>SUMIFS([0]!VOTOS2,[0]!TURNO1,F$31,[0]!CANDIDATO1,$C575,[0]!MUNICIPIO1,$B$572)</f>
        <v>0</v>
      </c>
      <c r="G575" s="16">
        <f>SUMIFS([0]!VOTOS2,[0]!TURNO1,G$31,[0]!CANDIDATO1,$C575,[0]!MUNICIPIO1,$B$572)</f>
        <v>0</v>
      </c>
      <c r="H575" s="16">
        <f>SUMIFS([0]!VOTOS2,[0]!TURNO1,H$31,[0]!CANDIDATO1,$C575,[0]!MUNICIPIO1,$B$572)</f>
        <v>0</v>
      </c>
      <c r="I575" s="16">
        <f>SUMIFS([0]!VOTOS2,[0]!TURNO1,I$31,[0]!CANDIDATO1,$C575,[0]!MUNICIPIO1,$B$572)</f>
        <v>0</v>
      </c>
      <c r="J575" s="16">
        <f>SUMIFS([0]!VOTOS2,[0]!TURNO1,J$31,[0]!CANDIDATO1,$C575,[0]!MUNICIPIO1,$B$572)</f>
        <v>0</v>
      </c>
      <c r="K575" s="16">
        <f>SUMIFS([0]!VOTOS2,[0]!TURNO1,K$31,[0]!CANDIDATO1,$C575,[0]!MUNICIPIO1,$B$572)</f>
        <v>0</v>
      </c>
      <c r="L575" s="16">
        <f>SUMIFS([0]!VOTOS2,[0]!TURNO1,L$31,[0]!CANDIDATO1,$C575,[0]!MUNICIPIO1,$B$572)</f>
        <v>0</v>
      </c>
      <c r="M575" s="16">
        <f>SUMIFS([0]!VOTOS2,[0]!TURNO1,M$31,[0]!CANDIDATO1,$C575,[0]!MUNICIPIO1,$B$572)</f>
        <v>0</v>
      </c>
      <c r="N575" s="16">
        <f>SUMIFS([0]!VOTOS2,[0]!TURNO1,N$31,[0]!CANDIDATO1,$C575,[0]!MUNICIPIO1,$B$572)</f>
        <v>0</v>
      </c>
      <c r="O575" s="16">
        <f>SUMIFS([0]!VOTOS2,[0]!TURNO1,O$31,[0]!CANDIDATO1,$C575,[0]!MUNICIPIO1,$B$572)</f>
        <v>0</v>
      </c>
      <c r="P575" s="16">
        <f>SUMIFS([0]!VOTOS2,[0]!TURNO1,P$31,[0]!CANDIDATO1,$C575,[0]!MUNICIPIO1,$B$572)</f>
        <v>0</v>
      </c>
      <c r="Q575" s="16">
        <f>SUMIFS([0]!VOTOS2,[0]!TURNO1,Q$31,[0]!CANDIDATO1,$C575,[0]!MUNICIPIO1,$B$572)</f>
        <v>0</v>
      </c>
      <c r="R575" s="16">
        <f>SUMIFS([0]!VOTOS2,[0]!TURNO1,R$31,[0]!CANDIDATO1,$C575,[0]!MUNICIPIO1,$B$572)</f>
        <v>0</v>
      </c>
      <c r="S575" s="16">
        <f>SUMIFS([0]!VOTOS2,[0]!TURNO1,S$31,[0]!CANDIDATO1,$C575,[0]!MUNICIPIO1,$B$572)</f>
        <v>0</v>
      </c>
      <c r="T575" s="16">
        <f>SUMIFS([0]!VOTOS2,[0]!TURNO1,T$31,[0]!CANDIDATO1,$C575,[0]!MUNICIPIO1,$B$572)</f>
        <v>0</v>
      </c>
      <c r="U575" s="16">
        <f>SUMIFS([0]!VOTOS2,[0]!TURNO1,U$31,[0]!CANDIDATO1,$C575,[0]!MUNICIPIO1,$B$572)</f>
        <v>0</v>
      </c>
      <c r="V575" s="16">
        <f>SUMIFS([0]!VOTOS2,[0]!TURNO1,V$31,[0]!CANDIDATO1,$C575,[0]!MUNICIPIO1,$B$572)</f>
        <v>0</v>
      </c>
      <c r="W575" s="16">
        <f>SUMIFS([0]!VOTOS2,[0]!TURNO1,W$31,[0]!CANDIDATO1,$C575,[0]!MUNICIPIO1,$B$572)</f>
        <v>0</v>
      </c>
      <c r="X575" s="24"/>
      <c r="Y575" s="18" t="str">
        <f t="shared" si="1350"/>
        <v>JOSE ARMANDO MORA</v>
      </c>
      <c r="Z575" s="34">
        <f t="shared" si="1351"/>
        <v>0</v>
      </c>
      <c r="AA575" s="34">
        <f t="shared" si="1352"/>
        <v>0</v>
      </c>
      <c r="AB575" s="34" t="e">
        <f t="shared" ref="AB575:AR575" si="1361">IF(SUM(G572:G584)=0,NA(),G575+AA575)</f>
        <v>#N/A</v>
      </c>
      <c r="AC575" s="34" t="e">
        <f t="shared" si="1361"/>
        <v>#N/A</v>
      </c>
      <c r="AD575" s="34" t="e">
        <f t="shared" si="1361"/>
        <v>#N/A</v>
      </c>
      <c r="AE575" s="34" t="e">
        <f t="shared" si="1361"/>
        <v>#N/A</v>
      </c>
      <c r="AF575" s="34" t="e">
        <f t="shared" si="1361"/>
        <v>#N/A</v>
      </c>
      <c r="AG575" s="34" t="e">
        <f t="shared" si="1361"/>
        <v>#N/A</v>
      </c>
      <c r="AH575" s="34" t="e">
        <f t="shared" si="1361"/>
        <v>#N/A</v>
      </c>
      <c r="AI575" s="34" t="e">
        <f t="shared" si="1361"/>
        <v>#N/A</v>
      </c>
      <c r="AJ575" s="34" t="e">
        <f t="shared" si="1361"/>
        <v>#N/A</v>
      </c>
      <c r="AK575" s="34" t="e">
        <f t="shared" si="1361"/>
        <v>#N/A</v>
      </c>
      <c r="AL575" s="34" t="e">
        <f t="shared" si="1361"/>
        <v>#N/A</v>
      </c>
      <c r="AM575" s="34" t="e">
        <f t="shared" si="1361"/>
        <v>#N/A</v>
      </c>
      <c r="AN575" s="34" t="e">
        <f t="shared" si="1361"/>
        <v>#N/A</v>
      </c>
      <c r="AO575" s="34" t="e">
        <f t="shared" si="1361"/>
        <v>#N/A</v>
      </c>
      <c r="AP575" s="34" t="e">
        <f t="shared" si="1361"/>
        <v>#N/A</v>
      </c>
      <c r="AQ575" s="34" t="e">
        <f t="shared" si="1361"/>
        <v>#N/A</v>
      </c>
      <c r="AR575" s="34" t="e">
        <f t="shared" si="1361"/>
        <v>#N/A</v>
      </c>
      <c r="AS575" s="27"/>
      <c r="AT575" s="39"/>
      <c r="AU575" s="39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30"/>
    </row>
    <row r="576" spans="1:66" ht="11.25" customHeight="1" x14ac:dyDescent="0.2">
      <c r="A576" s="38" t="s">
        <v>8</v>
      </c>
      <c r="B576" s="73"/>
      <c r="C576" s="33">
        <v>5</v>
      </c>
      <c r="D576" s="13" t="s">
        <v>383</v>
      </c>
      <c r="E576" s="16">
        <f t="shared" si="1349"/>
        <v>0</v>
      </c>
      <c r="F576" s="16">
        <f>SUMIFS([0]!VOTOS2,[0]!TURNO1,F$31,[0]!CANDIDATO1,$C576,[0]!MUNICIPIO1,$B$572)</f>
        <v>0</v>
      </c>
      <c r="G576" s="16">
        <f>SUMIFS([0]!VOTOS2,[0]!TURNO1,G$31,[0]!CANDIDATO1,$C576,[0]!MUNICIPIO1,$B$572)</f>
        <v>0</v>
      </c>
      <c r="H576" s="16">
        <f>SUMIFS([0]!VOTOS2,[0]!TURNO1,H$31,[0]!CANDIDATO1,$C576,[0]!MUNICIPIO1,$B$572)</f>
        <v>0</v>
      </c>
      <c r="I576" s="16">
        <f>SUMIFS([0]!VOTOS2,[0]!TURNO1,I$31,[0]!CANDIDATO1,$C576,[0]!MUNICIPIO1,$B$572)</f>
        <v>0</v>
      </c>
      <c r="J576" s="16">
        <f>SUMIFS([0]!VOTOS2,[0]!TURNO1,J$31,[0]!CANDIDATO1,$C576,[0]!MUNICIPIO1,$B$572)</f>
        <v>0</v>
      </c>
      <c r="K576" s="16">
        <f>SUMIFS([0]!VOTOS2,[0]!TURNO1,K$31,[0]!CANDIDATO1,$C576,[0]!MUNICIPIO1,$B$572)</f>
        <v>0</v>
      </c>
      <c r="L576" s="16">
        <f>SUMIFS([0]!VOTOS2,[0]!TURNO1,L$31,[0]!CANDIDATO1,$C576,[0]!MUNICIPIO1,$B$572)</f>
        <v>0</v>
      </c>
      <c r="M576" s="16">
        <f>SUMIFS([0]!VOTOS2,[0]!TURNO1,M$31,[0]!CANDIDATO1,$C576,[0]!MUNICIPIO1,$B$572)</f>
        <v>0</v>
      </c>
      <c r="N576" s="16">
        <f>SUMIFS([0]!VOTOS2,[0]!TURNO1,N$31,[0]!CANDIDATO1,$C576,[0]!MUNICIPIO1,$B$572)</f>
        <v>0</v>
      </c>
      <c r="O576" s="16">
        <f>SUMIFS([0]!VOTOS2,[0]!TURNO1,O$31,[0]!CANDIDATO1,$C576,[0]!MUNICIPIO1,$B$572)</f>
        <v>0</v>
      </c>
      <c r="P576" s="16">
        <f>SUMIFS([0]!VOTOS2,[0]!TURNO1,P$31,[0]!CANDIDATO1,$C576,[0]!MUNICIPIO1,$B$572)</f>
        <v>0</v>
      </c>
      <c r="Q576" s="16">
        <f>SUMIFS([0]!VOTOS2,[0]!TURNO1,Q$31,[0]!CANDIDATO1,$C576,[0]!MUNICIPIO1,$B$572)</f>
        <v>0</v>
      </c>
      <c r="R576" s="16">
        <f>SUMIFS([0]!VOTOS2,[0]!TURNO1,R$31,[0]!CANDIDATO1,$C576,[0]!MUNICIPIO1,$B$572)</f>
        <v>0</v>
      </c>
      <c r="S576" s="16">
        <f>SUMIFS([0]!VOTOS2,[0]!TURNO1,S$31,[0]!CANDIDATO1,$C576,[0]!MUNICIPIO1,$B$572)</f>
        <v>0</v>
      </c>
      <c r="T576" s="16">
        <f>SUMIFS([0]!VOTOS2,[0]!TURNO1,T$31,[0]!CANDIDATO1,$C576,[0]!MUNICIPIO1,$B$572)</f>
        <v>0</v>
      </c>
      <c r="U576" s="16">
        <f>SUMIFS([0]!VOTOS2,[0]!TURNO1,U$31,[0]!CANDIDATO1,$C576,[0]!MUNICIPIO1,$B$572)</f>
        <v>0</v>
      </c>
      <c r="V576" s="16">
        <f>SUMIFS([0]!VOTOS2,[0]!TURNO1,V$31,[0]!CANDIDATO1,$C576,[0]!MUNICIPIO1,$B$572)</f>
        <v>0</v>
      </c>
      <c r="W576" s="16">
        <f>SUMIFS([0]!VOTOS2,[0]!TURNO1,W$31,[0]!CANDIDATO1,$C576,[0]!MUNICIPIO1,$B$572)</f>
        <v>0</v>
      </c>
      <c r="X576" s="24"/>
      <c r="Y576" s="18" t="str">
        <f t="shared" si="1350"/>
        <v>JOSE ORTIZ</v>
      </c>
      <c r="Z576" s="34">
        <f t="shared" si="1351"/>
        <v>0</v>
      </c>
      <c r="AA576" s="34">
        <f t="shared" si="1352"/>
        <v>0</v>
      </c>
      <c r="AB576" s="34" t="e">
        <f t="shared" ref="AB576:AR576" si="1362">IF(SUM(G572:G584)=0,NA(),G576+AA576)</f>
        <v>#N/A</v>
      </c>
      <c r="AC576" s="34" t="e">
        <f t="shared" si="1362"/>
        <v>#N/A</v>
      </c>
      <c r="AD576" s="34" t="e">
        <f t="shared" si="1362"/>
        <v>#N/A</v>
      </c>
      <c r="AE576" s="34" t="e">
        <f t="shared" si="1362"/>
        <v>#N/A</v>
      </c>
      <c r="AF576" s="34" t="e">
        <f t="shared" si="1362"/>
        <v>#N/A</v>
      </c>
      <c r="AG576" s="34" t="e">
        <f t="shared" si="1362"/>
        <v>#N/A</v>
      </c>
      <c r="AH576" s="34" t="e">
        <f t="shared" si="1362"/>
        <v>#N/A</v>
      </c>
      <c r="AI576" s="34" t="e">
        <f t="shared" si="1362"/>
        <v>#N/A</v>
      </c>
      <c r="AJ576" s="34" t="e">
        <f t="shared" si="1362"/>
        <v>#N/A</v>
      </c>
      <c r="AK576" s="34" t="e">
        <f t="shared" si="1362"/>
        <v>#N/A</v>
      </c>
      <c r="AL576" s="34" t="e">
        <f t="shared" si="1362"/>
        <v>#N/A</v>
      </c>
      <c r="AM576" s="34" t="e">
        <f t="shared" si="1362"/>
        <v>#N/A</v>
      </c>
      <c r="AN576" s="34" t="e">
        <f t="shared" si="1362"/>
        <v>#N/A</v>
      </c>
      <c r="AO576" s="34" t="e">
        <f t="shared" si="1362"/>
        <v>#N/A</v>
      </c>
      <c r="AP576" s="34" t="e">
        <f t="shared" si="1362"/>
        <v>#N/A</v>
      </c>
      <c r="AQ576" s="34" t="e">
        <f t="shared" si="1362"/>
        <v>#N/A</v>
      </c>
      <c r="AR576" s="34" t="e">
        <f t="shared" si="1362"/>
        <v>#N/A</v>
      </c>
      <c r="AS576" s="27"/>
      <c r="AT576" s="39"/>
      <c r="AU576" s="39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30"/>
    </row>
    <row r="577" spans="1:66" ht="11.25" customHeight="1" x14ac:dyDescent="0.2">
      <c r="A577" s="37"/>
      <c r="B577" s="73"/>
      <c r="C577" s="33">
        <v>6</v>
      </c>
      <c r="D577" s="13" t="s">
        <v>384</v>
      </c>
      <c r="E577" s="16">
        <f t="shared" si="1349"/>
        <v>0</v>
      </c>
      <c r="F577" s="16">
        <f>SUMIFS([0]!VOTOS2,[0]!TURNO1,F$31,[0]!CANDIDATO1,$C577,[0]!MUNICIPIO1,$B$572)</f>
        <v>0</v>
      </c>
      <c r="G577" s="16">
        <f>SUMIFS([0]!VOTOS2,[0]!TURNO1,G$31,[0]!CANDIDATO1,$C577,[0]!MUNICIPIO1,$B$572)</f>
        <v>0</v>
      </c>
      <c r="H577" s="16">
        <f>SUMIFS([0]!VOTOS2,[0]!TURNO1,H$31,[0]!CANDIDATO1,$C577,[0]!MUNICIPIO1,$B$572)</f>
        <v>0</v>
      </c>
      <c r="I577" s="16">
        <f>SUMIFS([0]!VOTOS2,[0]!TURNO1,I$31,[0]!CANDIDATO1,$C577,[0]!MUNICIPIO1,$B$572)</f>
        <v>0</v>
      </c>
      <c r="J577" s="16">
        <f>SUMIFS([0]!VOTOS2,[0]!TURNO1,J$31,[0]!CANDIDATO1,$C577,[0]!MUNICIPIO1,$B$572)</f>
        <v>0</v>
      </c>
      <c r="K577" s="16">
        <f>SUMIFS([0]!VOTOS2,[0]!TURNO1,K$31,[0]!CANDIDATO1,$C577,[0]!MUNICIPIO1,$B$572)</f>
        <v>0</v>
      </c>
      <c r="L577" s="16">
        <f>SUMIFS([0]!VOTOS2,[0]!TURNO1,L$31,[0]!CANDIDATO1,$C577,[0]!MUNICIPIO1,$B$572)</f>
        <v>0</v>
      </c>
      <c r="M577" s="16">
        <f>SUMIFS([0]!VOTOS2,[0]!TURNO1,M$31,[0]!CANDIDATO1,$C577,[0]!MUNICIPIO1,$B$572)</f>
        <v>0</v>
      </c>
      <c r="N577" s="16">
        <f>SUMIFS([0]!VOTOS2,[0]!TURNO1,N$31,[0]!CANDIDATO1,$C577,[0]!MUNICIPIO1,$B$572)</f>
        <v>0</v>
      </c>
      <c r="O577" s="16">
        <f>SUMIFS([0]!VOTOS2,[0]!TURNO1,O$31,[0]!CANDIDATO1,$C577,[0]!MUNICIPIO1,$B$572)</f>
        <v>0</v>
      </c>
      <c r="P577" s="16">
        <f>SUMIFS([0]!VOTOS2,[0]!TURNO1,P$31,[0]!CANDIDATO1,$C577,[0]!MUNICIPIO1,$B$572)</f>
        <v>0</v>
      </c>
      <c r="Q577" s="16">
        <f>SUMIFS([0]!VOTOS2,[0]!TURNO1,Q$31,[0]!CANDIDATO1,$C577,[0]!MUNICIPIO1,$B$572)</f>
        <v>0</v>
      </c>
      <c r="R577" s="16">
        <f>SUMIFS([0]!VOTOS2,[0]!TURNO1,R$31,[0]!CANDIDATO1,$C577,[0]!MUNICIPIO1,$B$572)</f>
        <v>0</v>
      </c>
      <c r="S577" s="16">
        <f>SUMIFS([0]!VOTOS2,[0]!TURNO1,S$31,[0]!CANDIDATO1,$C577,[0]!MUNICIPIO1,$B$572)</f>
        <v>0</v>
      </c>
      <c r="T577" s="16">
        <f>SUMIFS([0]!VOTOS2,[0]!TURNO1,T$31,[0]!CANDIDATO1,$C577,[0]!MUNICIPIO1,$B$572)</f>
        <v>0</v>
      </c>
      <c r="U577" s="16">
        <f>SUMIFS([0]!VOTOS2,[0]!TURNO1,U$31,[0]!CANDIDATO1,$C577,[0]!MUNICIPIO1,$B$572)</f>
        <v>0</v>
      </c>
      <c r="V577" s="16">
        <f>SUMIFS([0]!VOTOS2,[0]!TURNO1,V$31,[0]!CANDIDATO1,$C577,[0]!MUNICIPIO1,$B$572)</f>
        <v>0</v>
      </c>
      <c r="W577" s="16">
        <f>SUMIFS([0]!VOTOS2,[0]!TURNO1,W$31,[0]!CANDIDATO1,$C577,[0]!MUNICIPIO1,$B$572)</f>
        <v>0</v>
      </c>
      <c r="X577" s="24"/>
      <c r="Y577" s="18" t="str">
        <f t="shared" si="1350"/>
        <v>ALFONSO AGUILAR</v>
      </c>
      <c r="Z577" s="34">
        <f t="shared" si="1351"/>
        <v>0</v>
      </c>
      <c r="AA577" s="34">
        <f t="shared" si="1352"/>
        <v>0</v>
      </c>
      <c r="AB577" s="34" t="e">
        <f t="shared" ref="AB577:AR577" si="1363">IF(SUM(G572:G584)=0,NA(),G577+AA577)</f>
        <v>#N/A</v>
      </c>
      <c r="AC577" s="34" t="e">
        <f t="shared" si="1363"/>
        <v>#N/A</v>
      </c>
      <c r="AD577" s="34" t="e">
        <f t="shared" si="1363"/>
        <v>#N/A</v>
      </c>
      <c r="AE577" s="34" t="e">
        <f t="shared" si="1363"/>
        <v>#N/A</v>
      </c>
      <c r="AF577" s="34" t="e">
        <f t="shared" si="1363"/>
        <v>#N/A</v>
      </c>
      <c r="AG577" s="34" t="e">
        <f t="shared" si="1363"/>
        <v>#N/A</v>
      </c>
      <c r="AH577" s="34" t="e">
        <f t="shared" si="1363"/>
        <v>#N/A</v>
      </c>
      <c r="AI577" s="34" t="e">
        <f t="shared" si="1363"/>
        <v>#N/A</v>
      </c>
      <c r="AJ577" s="34" t="e">
        <f t="shared" si="1363"/>
        <v>#N/A</v>
      </c>
      <c r="AK577" s="34" t="e">
        <f t="shared" si="1363"/>
        <v>#N/A</v>
      </c>
      <c r="AL577" s="34" t="e">
        <f t="shared" si="1363"/>
        <v>#N/A</v>
      </c>
      <c r="AM577" s="34" t="e">
        <f t="shared" si="1363"/>
        <v>#N/A</v>
      </c>
      <c r="AN577" s="34" t="e">
        <f t="shared" si="1363"/>
        <v>#N/A</v>
      </c>
      <c r="AO577" s="34" t="e">
        <f t="shared" si="1363"/>
        <v>#N/A</v>
      </c>
      <c r="AP577" s="34" t="e">
        <f t="shared" si="1363"/>
        <v>#N/A</v>
      </c>
      <c r="AQ577" s="34" t="e">
        <f t="shared" si="1363"/>
        <v>#N/A</v>
      </c>
      <c r="AR577" s="34" t="e">
        <f t="shared" si="1363"/>
        <v>#N/A</v>
      </c>
      <c r="AS577" s="27"/>
      <c r="AT577" s="39"/>
      <c r="AU577" s="39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30"/>
    </row>
    <row r="578" spans="1:66" ht="11.25" customHeight="1" x14ac:dyDescent="0.2">
      <c r="A578" s="42"/>
      <c r="B578" s="74"/>
      <c r="C578" s="33">
        <v>7</v>
      </c>
      <c r="D578" s="13" t="s">
        <v>385</v>
      </c>
      <c r="E578" s="16">
        <f t="shared" si="1349"/>
        <v>0</v>
      </c>
      <c r="F578" s="16">
        <f>SUMIFS([0]!VOTOS2,[0]!TURNO1,F$31,[0]!CANDIDATO1,$C578,[0]!MUNICIPIO1,$B$572)</f>
        <v>0</v>
      </c>
      <c r="G578" s="16">
        <f>SUMIFS([0]!VOTOS2,[0]!TURNO1,G$31,[0]!CANDIDATO1,$C578,[0]!MUNICIPIO1,$B$572)</f>
        <v>0</v>
      </c>
      <c r="H578" s="16">
        <f>SUMIFS([0]!VOTOS2,[0]!TURNO1,H$31,[0]!CANDIDATO1,$C578,[0]!MUNICIPIO1,$B$572)</f>
        <v>0</v>
      </c>
      <c r="I578" s="16">
        <f>SUMIFS([0]!VOTOS2,[0]!TURNO1,I$31,[0]!CANDIDATO1,$C578,[0]!MUNICIPIO1,$B$572)</f>
        <v>0</v>
      </c>
      <c r="J578" s="16">
        <f>SUMIFS([0]!VOTOS2,[0]!TURNO1,J$31,[0]!CANDIDATO1,$C578,[0]!MUNICIPIO1,$B$572)</f>
        <v>0</v>
      </c>
      <c r="K578" s="16">
        <f>SUMIFS([0]!VOTOS2,[0]!TURNO1,K$31,[0]!CANDIDATO1,$C578,[0]!MUNICIPIO1,$B$572)</f>
        <v>0</v>
      </c>
      <c r="L578" s="16">
        <f>SUMIFS([0]!VOTOS2,[0]!TURNO1,L$31,[0]!CANDIDATO1,$C578,[0]!MUNICIPIO1,$B$572)</f>
        <v>0</v>
      </c>
      <c r="M578" s="16">
        <f>SUMIFS([0]!VOTOS2,[0]!TURNO1,M$31,[0]!CANDIDATO1,$C578,[0]!MUNICIPIO1,$B$572)</f>
        <v>0</v>
      </c>
      <c r="N578" s="16">
        <f>SUMIFS([0]!VOTOS2,[0]!TURNO1,N$31,[0]!CANDIDATO1,$C578,[0]!MUNICIPIO1,$B$572)</f>
        <v>0</v>
      </c>
      <c r="O578" s="16">
        <f>SUMIFS([0]!VOTOS2,[0]!TURNO1,O$31,[0]!CANDIDATO1,$C578,[0]!MUNICIPIO1,$B$572)</f>
        <v>0</v>
      </c>
      <c r="P578" s="16">
        <f>SUMIFS([0]!VOTOS2,[0]!TURNO1,P$31,[0]!CANDIDATO1,$C578,[0]!MUNICIPIO1,$B$572)</f>
        <v>0</v>
      </c>
      <c r="Q578" s="16">
        <f>SUMIFS([0]!VOTOS2,[0]!TURNO1,Q$31,[0]!CANDIDATO1,$C578,[0]!MUNICIPIO1,$B$572)</f>
        <v>0</v>
      </c>
      <c r="R578" s="16">
        <f>SUMIFS([0]!VOTOS2,[0]!TURNO1,R$31,[0]!CANDIDATO1,$C578,[0]!MUNICIPIO1,$B$572)</f>
        <v>0</v>
      </c>
      <c r="S578" s="16">
        <f>SUMIFS([0]!VOTOS2,[0]!TURNO1,S$31,[0]!CANDIDATO1,$C578,[0]!MUNICIPIO1,$B$572)</f>
        <v>0</v>
      </c>
      <c r="T578" s="16">
        <f>SUMIFS([0]!VOTOS2,[0]!TURNO1,T$31,[0]!CANDIDATO1,$C578,[0]!MUNICIPIO1,$B$572)</f>
        <v>0</v>
      </c>
      <c r="U578" s="16">
        <f>SUMIFS([0]!VOTOS2,[0]!TURNO1,U$31,[0]!CANDIDATO1,$C578,[0]!MUNICIPIO1,$B$572)</f>
        <v>0</v>
      </c>
      <c r="V578" s="16">
        <f>SUMIFS([0]!VOTOS2,[0]!TURNO1,V$31,[0]!CANDIDATO1,$C578,[0]!MUNICIPIO1,$B$572)</f>
        <v>0</v>
      </c>
      <c r="W578" s="16">
        <f>SUMIFS([0]!VOTOS2,[0]!TURNO1,W$31,[0]!CANDIDATO1,$C578,[0]!MUNICIPIO1,$B$572)</f>
        <v>0</v>
      </c>
      <c r="X578" s="24"/>
      <c r="Y578" s="18" t="str">
        <f t="shared" si="1350"/>
        <v>ANGELINA SEQUERA</v>
      </c>
      <c r="Z578" s="34">
        <f t="shared" si="1351"/>
        <v>0</v>
      </c>
      <c r="AA578" s="34">
        <f t="shared" si="1352"/>
        <v>0</v>
      </c>
      <c r="AB578" s="34" t="e">
        <f t="shared" ref="AB578:AR578" si="1364">IF(SUM(G572:G584)=0,NA(),G578+AA578)</f>
        <v>#N/A</v>
      </c>
      <c r="AC578" s="34" t="e">
        <f t="shared" si="1364"/>
        <v>#N/A</v>
      </c>
      <c r="AD578" s="34" t="e">
        <f t="shared" si="1364"/>
        <v>#N/A</v>
      </c>
      <c r="AE578" s="34" t="e">
        <f t="shared" si="1364"/>
        <v>#N/A</v>
      </c>
      <c r="AF578" s="34" t="e">
        <f t="shared" si="1364"/>
        <v>#N/A</v>
      </c>
      <c r="AG578" s="34" t="e">
        <f t="shared" si="1364"/>
        <v>#N/A</v>
      </c>
      <c r="AH578" s="34" t="e">
        <f t="shared" si="1364"/>
        <v>#N/A</v>
      </c>
      <c r="AI578" s="34" t="e">
        <f t="shared" si="1364"/>
        <v>#N/A</v>
      </c>
      <c r="AJ578" s="34" t="e">
        <f t="shared" si="1364"/>
        <v>#N/A</v>
      </c>
      <c r="AK578" s="34" t="e">
        <f t="shared" si="1364"/>
        <v>#N/A</v>
      </c>
      <c r="AL578" s="34" t="e">
        <f t="shared" si="1364"/>
        <v>#N/A</v>
      </c>
      <c r="AM578" s="34" t="e">
        <f t="shared" si="1364"/>
        <v>#N/A</v>
      </c>
      <c r="AN578" s="34" t="e">
        <f t="shared" si="1364"/>
        <v>#N/A</v>
      </c>
      <c r="AO578" s="34" t="e">
        <f t="shared" si="1364"/>
        <v>#N/A</v>
      </c>
      <c r="AP578" s="34" t="e">
        <f t="shared" si="1364"/>
        <v>#N/A</v>
      </c>
      <c r="AQ578" s="34" t="e">
        <f t="shared" si="1364"/>
        <v>#N/A</v>
      </c>
      <c r="AR578" s="34" t="e">
        <f t="shared" si="1364"/>
        <v>#N/A</v>
      </c>
      <c r="AS578" s="27"/>
      <c r="AT578" s="39"/>
      <c r="AU578" s="39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30"/>
    </row>
    <row r="579" spans="1:66" ht="11.25" customHeight="1" x14ac:dyDescent="0.2">
      <c r="A579" s="44"/>
      <c r="B579" s="45"/>
      <c r="C579" s="46">
        <v>8</v>
      </c>
      <c r="D579" s="14" t="s">
        <v>76</v>
      </c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24"/>
      <c r="Y579" s="18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27"/>
      <c r="AT579" s="41"/>
      <c r="AU579" s="41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30"/>
    </row>
    <row r="580" spans="1:66" ht="11.25" customHeight="1" x14ac:dyDescent="0.2">
      <c r="A580" s="44"/>
      <c r="B580" s="45"/>
      <c r="C580" s="46">
        <v>9</v>
      </c>
      <c r="D580" s="14" t="s">
        <v>76</v>
      </c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24"/>
      <c r="Y580" s="18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27"/>
      <c r="AT580" s="41"/>
      <c r="AU580" s="41"/>
      <c r="AV580" s="43"/>
      <c r="AW580" s="43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/>
      <c r="BK580" s="43"/>
      <c r="BL580" s="43"/>
      <c r="BM580" s="43"/>
      <c r="BN580" s="30"/>
    </row>
    <row r="581" spans="1:66" ht="11.25" customHeight="1" x14ac:dyDescent="0.2">
      <c r="A581" s="44"/>
      <c r="B581" s="45"/>
      <c r="C581" s="46">
        <v>10</v>
      </c>
      <c r="D581" s="14" t="s">
        <v>76</v>
      </c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24"/>
      <c r="Y581" s="18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27"/>
      <c r="AT581" s="41"/>
      <c r="AU581" s="41"/>
      <c r="AV581" s="43"/>
      <c r="AW581" s="43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  <c r="BL581" s="43"/>
      <c r="BM581" s="43"/>
      <c r="BN581" s="30"/>
    </row>
    <row r="582" spans="1:66" ht="11.25" customHeight="1" x14ac:dyDescent="0.2">
      <c r="A582" s="44"/>
      <c r="B582" s="45"/>
      <c r="C582" s="46">
        <v>11</v>
      </c>
      <c r="D582" s="14" t="s">
        <v>76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24"/>
      <c r="Y582" s="18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27"/>
      <c r="AT582" s="41"/>
      <c r="AU582" s="41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30"/>
    </row>
    <row r="583" spans="1:66" ht="11.25" customHeight="1" x14ac:dyDescent="0.2">
      <c r="A583" s="44"/>
      <c r="B583" s="45"/>
      <c r="C583" s="46">
        <v>12</v>
      </c>
      <c r="D583" s="14" t="s">
        <v>76</v>
      </c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24"/>
      <c r="Y583" s="18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27"/>
      <c r="AT583" s="41"/>
      <c r="AU583" s="41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30"/>
    </row>
    <row r="584" spans="1:66" ht="11.25" customHeight="1" x14ac:dyDescent="0.2">
      <c r="A584" s="44"/>
      <c r="B584" s="45"/>
      <c r="C584" s="46">
        <v>13</v>
      </c>
      <c r="D584" s="14" t="s">
        <v>76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24"/>
      <c r="Y584" s="18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27"/>
      <c r="AT584" s="41"/>
      <c r="AU584" s="41"/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  <c r="BL584" s="43"/>
      <c r="BM584" s="43"/>
      <c r="BN584" s="30"/>
    </row>
    <row r="585" spans="1:66" ht="11.25" customHeight="1" x14ac:dyDescent="0.2">
      <c r="X585" s="24"/>
      <c r="Y585" s="19" t="s">
        <v>79</v>
      </c>
      <c r="Z585" s="34">
        <f t="shared" ref="Z585" si="1365">SUM(Z574:Z584)</f>
        <v>0</v>
      </c>
      <c r="AA585" s="34">
        <f t="shared" ref="AA585" si="1366">SUM(AA574:AA584)</f>
        <v>0</v>
      </c>
      <c r="AB585" s="34" t="e">
        <f t="shared" ref="AB585" si="1367">SUM(AB574:AB584)</f>
        <v>#N/A</v>
      </c>
      <c r="AC585" s="34" t="e">
        <f t="shared" ref="AC585" si="1368">SUM(AC574:AC584)</f>
        <v>#N/A</v>
      </c>
      <c r="AD585" s="34" t="e">
        <f t="shared" ref="AD585" si="1369">SUM(AD574:AD584)</f>
        <v>#N/A</v>
      </c>
      <c r="AE585" s="34" t="e">
        <f t="shared" ref="AE585" si="1370">SUM(AE574:AE584)</f>
        <v>#N/A</v>
      </c>
      <c r="AF585" s="34" t="e">
        <f t="shared" ref="AF585" si="1371">SUM(AF574:AF584)</f>
        <v>#N/A</v>
      </c>
      <c r="AG585" s="34" t="e">
        <f t="shared" ref="AG585" si="1372">SUM(AG574:AG584)</f>
        <v>#N/A</v>
      </c>
      <c r="AH585" s="34" t="e">
        <f t="shared" ref="AH585" si="1373">SUM(AH574:AH584)</f>
        <v>#N/A</v>
      </c>
      <c r="AI585" s="34" t="e">
        <f t="shared" ref="AI585" si="1374">SUM(AI574:AI584)</f>
        <v>#N/A</v>
      </c>
      <c r="AJ585" s="34" t="e">
        <f t="shared" ref="AJ585" si="1375">SUM(AJ574:AJ584)</f>
        <v>#N/A</v>
      </c>
      <c r="AK585" s="34" t="e">
        <f t="shared" ref="AK585" si="1376">SUM(AK574:AK584)</f>
        <v>#N/A</v>
      </c>
      <c r="AL585" s="34" t="e">
        <f t="shared" ref="AL585" si="1377">SUM(AL574:AL584)</f>
        <v>#N/A</v>
      </c>
      <c r="AM585" s="34" t="e">
        <f t="shared" ref="AM585" si="1378">SUM(AM574:AM584)</f>
        <v>#N/A</v>
      </c>
      <c r="AN585" s="34" t="e">
        <f t="shared" ref="AN585" si="1379">SUM(AN574:AN584)</f>
        <v>#N/A</v>
      </c>
      <c r="AO585" s="34" t="e">
        <f t="shared" ref="AO585" si="1380">SUM(AO574:AO584)</f>
        <v>#N/A</v>
      </c>
      <c r="AP585" s="34" t="e">
        <f t="shared" ref="AP585" si="1381">SUM(AP574:AP584)</f>
        <v>#N/A</v>
      </c>
      <c r="AQ585" s="34" t="e">
        <f t="shared" ref="AQ585" si="1382">SUM(AQ574:AQ584)</f>
        <v>#N/A</v>
      </c>
      <c r="AR585" s="34" t="e">
        <f t="shared" ref="AR585" si="1383">SUM(AR574:AR584)</f>
        <v>#N/A</v>
      </c>
      <c r="AS585" s="27"/>
      <c r="AT585" s="41"/>
      <c r="AU585" s="41"/>
      <c r="AV585" s="43"/>
      <c r="AW585" s="43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30"/>
    </row>
    <row r="586" spans="1:66" ht="11.25" customHeight="1" x14ac:dyDescent="0.2">
      <c r="A586" s="75" t="s">
        <v>63</v>
      </c>
      <c r="B586" s="76"/>
      <c r="C586" s="21"/>
      <c r="D586" s="22" t="s">
        <v>75</v>
      </c>
      <c r="E586" s="23" t="s">
        <v>70</v>
      </c>
      <c r="F586" s="23">
        <v>0</v>
      </c>
      <c r="G586" s="23">
        <v>1</v>
      </c>
      <c r="H586" s="23">
        <v>2</v>
      </c>
      <c r="I586" s="23">
        <v>3</v>
      </c>
      <c r="J586" s="23">
        <v>4</v>
      </c>
      <c r="K586" s="23">
        <v>5</v>
      </c>
      <c r="L586" s="23">
        <v>6</v>
      </c>
      <c r="M586" s="23">
        <v>7</v>
      </c>
      <c r="N586" s="23">
        <v>8</v>
      </c>
      <c r="O586" s="23">
        <v>9</v>
      </c>
      <c r="P586" s="23">
        <v>10</v>
      </c>
      <c r="Q586" s="23">
        <v>11</v>
      </c>
      <c r="R586" s="23">
        <v>12</v>
      </c>
      <c r="S586" s="23">
        <v>13</v>
      </c>
      <c r="T586" s="23">
        <v>14</v>
      </c>
      <c r="U586" s="23">
        <v>15</v>
      </c>
      <c r="V586" s="23">
        <v>16</v>
      </c>
      <c r="W586" s="23">
        <v>17</v>
      </c>
      <c r="X586" s="24"/>
      <c r="Y586" s="17"/>
      <c r="Z586" s="25" t="s">
        <v>64</v>
      </c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7"/>
      <c r="AT586" s="28"/>
      <c r="AU586" s="28" t="s">
        <v>64</v>
      </c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30"/>
    </row>
    <row r="587" spans="1:66" ht="11.25" customHeight="1" x14ac:dyDescent="0.2">
      <c r="A587" s="32"/>
      <c r="B587" s="72">
        <v>40</v>
      </c>
      <c r="C587" s="33">
        <v>1</v>
      </c>
      <c r="D587" s="13" t="s">
        <v>395</v>
      </c>
      <c r="E587" s="16">
        <f t="shared" ref="E587:E593" si="1384">SUM(F587:W587)</f>
        <v>8</v>
      </c>
      <c r="F587" s="16">
        <f>SUMIFS([0]!VOTOS2,[0]!TURNO1,F$31,[0]!CANDIDATO1,$C587,[0]!MUNICIPIO1,$B$587)</f>
        <v>8</v>
      </c>
      <c r="G587" s="16">
        <f>SUMIFS([0]!VOTOS2,[0]!TURNO1,G$31,[0]!CANDIDATO1,$C587,[0]!MUNICIPIO1,$B$587)</f>
        <v>0</v>
      </c>
      <c r="H587" s="16">
        <f>SUMIFS([0]!VOTOS2,[0]!TURNO1,H$31,[0]!CANDIDATO1,$C587,[0]!MUNICIPIO1,$B$587)</f>
        <v>0</v>
      </c>
      <c r="I587" s="16">
        <f>SUMIFS([0]!VOTOS2,[0]!TURNO1,I$31,[0]!CANDIDATO1,$C587,[0]!MUNICIPIO1,$B$587)</f>
        <v>0</v>
      </c>
      <c r="J587" s="16">
        <f>SUMIFS([0]!VOTOS2,[0]!TURNO1,J$31,[0]!CANDIDATO1,$C587,[0]!MUNICIPIO1,$B$587)</f>
        <v>0</v>
      </c>
      <c r="K587" s="16">
        <f>SUMIFS([0]!VOTOS2,[0]!TURNO1,K$31,[0]!CANDIDATO1,$C587,[0]!MUNICIPIO1,$B$587)</f>
        <v>0</v>
      </c>
      <c r="L587" s="16">
        <f>SUMIFS([0]!VOTOS2,[0]!TURNO1,L$31,[0]!CANDIDATO1,$C587,[0]!MUNICIPIO1,$B$587)</f>
        <v>0</v>
      </c>
      <c r="M587" s="16">
        <f>SUMIFS([0]!VOTOS2,[0]!TURNO1,M$31,[0]!CANDIDATO1,$C587,[0]!MUNICIPIO1,$B$587)</f>
        <v>0</v>
      </c>
      <c r="N587" s="16">
        <f>SUMIFS([0]!VOTOS2,[0]!TURNO1,N$31,[0]!CANDIDATO1,$C587,[0]!MUNICIPIO1,$B$587)</f>
        <v>0</v>
      </c>
      <c r="O587" s="16">
        <f>SUMIFS([0]!VOTOS2,[0]!TURNO1,O$31,[0]!CANDIDATO1,$C587,[0]!MUNICIPIO1,$B$587)</f>
        <v>0</v>
      </c>
      <c r="P587" s="16">
        <f>SUMIFS([0]!VOTOS2,[0]!TURNO1,P$31,[0]!CANDIDATO1,$C587,[0]!MUNICIPIO1,$B$587)</f>
        <v>0</v>
      </c>
      <c r="Q587" s="16">
        <f>SUMIFS([0]!VOTOS2,[0]!TURNO1,Q$31,[0]!CANDIDATO1,$C587,[0]!MUNICIPIO1,$B$587)</f>
        <v>0</v>
      </c>
      <c r="R587" s="16">
        <f>SUMIFS([0]!VOTOS2,[0]!TURNO1,R$31,[0]!CANDIDATO1,$C587,[0]!MUNICIPIO1,$B$587)</f>
        <v>0</v>
      </c>
      <c r="S587" s="16">
        <f>SUMIFS([0]!VOTOS2,[0]!TURNO1,S$31,[0]!CANDIDATO1,$C587,[0]!MUNICIPIO1,$B$587)</f>
        <v>0</v>
      </c>
      <c r="T587" s="16">
        <f>SUMIFS([0]!VOTOS2,[0]!TURNO1,T$31,[0]!CANDIDATO1,$C587,[0]!MUNICIPIO1,$B$587)</f>
        <v>0</v>
      </c>
      <c r="U587" s="16">
        <f>SUMIFS([0]!VOTOS2,[0]!TURNO1,U$31,[0]!CANDIDATO1,$C587,[0]!MUNICIPIO1,$B$587)</f>
        <v>0</v>
      </c>
      <c r="V587" s="16">
        <f>SUMIFS([0]!VOTOS2,[0]!TURNO1,V$31,[0]!CANDIDATO1,$C587,[0]!MUNICIPIO1,$B$587)</f>
        <v>0</v>
      </c>
      <c r="W587" s="16">
        <f>SUMIFS([0]!VOTOS2,[0]!TURNO1,W$31,[0]!CANDIDATO1,$C587,[0]!MUNICIPIO1,$B$587)</f>
        <v>0</v>
      </c>
      <c r="X587" s="24"/>
      <c r="Y587" s="18" t="str">
        <f t="shared" ref="Y587:Y593" si="1385">D587</f>
        <v>JULIO RODRIGUEZ</v>
      </c>
      <c r="Z587" s="34">
        <f t="shared" ref="Z587:Z593" si="1386">E587</f>
        <v>8</v>
      </c>
      <c r="AA587" s="34">
        <f t="shared" ref="AA587:AA593" si="1387">F587</f>
        <v>8</v>
      </c>
      <c r="AB587" s="34" t="e">
        <f t="shared" ref="AB587:AR587" si="1388">IF(SUM(G587:G599)=0,NA(),G587+AA587)</f>
        <v>#N/A</v>
      </c>
      <c r="AC587" s="34" t="e">
        <f t="shared" si="1388"/>
        <v>#N/A</v>
      </c>
      <c r="AD587" s="34" t="e">
        <f t="shared" si="1388"/>
        <v>#N/A</v>
      </c>
      <c r="AE587" s="34" t="e">
        <f t="shared" si="1388"/>
        <v>#N/A</v>
      </c>
      <c r="AF587" s="34" t="e">
        <f t="shared" si="1388"/>
        <v>#N/A</v>
      </c>
      <c r="AG587" s="34" t="e">
        <f t="shared" si="1388"/>
        <v>#N/A</v>
      </c>
      <c r="AH587" s="34" t="e">
        <f t="shared" si="1388"/>
        <v>#N/A</v>
      </c>
      <c r="AI587" s="34" t="e">
        <f t="shared" si="1388"/>
        <v>#N/A</v>
      </c>
      <c r="AJ587" s="34" t="e">
        <f t="shared" si="1388"/>
        <v>#N/A</v>
      </c>
      <c r="AK587" s="34" t="e">
        <f t="shared" si="1388"/>
        <v>#N/A</v>
      </c>
      <c r="AL587" s="34" t="e">
        <f t="shared" si="1388"/>
        <v>#N/A</v>
      </c>
      <c r="AM587" s="34" t="e">
        <f t="shared" si="1388"/>
        <v>#N/A</v>
      </c>
      <c r="AN587" s="34" t="e">
        <f t="shared" si="1388"/>
        <v>#N/A</v>
      </c>
      <c r="AO587" s="34" t="e">
        <f t="shared" si="1388"/>
        <v>#N/A</v>
      </c>
      <c r="AP587" s="34" t="e">
        <f t="shared" si="1388"/>
        <v>#N/A</v>
      </c>
      <c r="AQ587" s="34" t="e">
        <f t="shared" si="1388"/>
        <v>#N/A</v>
      </c>
      <c r="AR587" s="34" t="e">
        <f t="shared" si="1388"/>
        <v>#N/A</v>
      </c>
      <c r="AS587" s="27"/>
      <c r="AT587" s="35" t="str">
        <f t="shared" ref="AT587:AT588" si="1389">Y587</f>
        <v>JULIO RODRIGUEZ</v>
      </c>
      <c r="AU587" s="36">
        <f t="shared" ref="AU587:BM587" si="1390">Z587/(Z587+Z588+Z600)</f>
        <v>0.5</v>
      </c>
      <c r="AV587" s="36">
        <f t="shared" si="1390"/>
        <v>0.5</v>
      </c>
      <c r="AW587" s="36" t="e">
        <f t="shared" si="1390"/>
        <v>#N/A</v>
      </c>
      <c r="AX587" s="36" t="e">
        <f t="shared" si="1390"/>
        <v>#N/A</v>
      </c>
      <c r="AY587" s="36" t="e">
        <f t="shared" si="1390"/>
        <v>#N/A</v>
      </c>
      <c r="AZ587" s="36" t="e">
        <f t="shared" si="1390"/>
        <v>#N/A</v>
      </c>
      <c r="BA587" s="36" t="e">
        <f t="shared" si="1390"/>
        <v>#N/A</v>
      </c>
      <c r="BB587" s="36" t="e">
        <f t="shared" si="1390"/>
        <v>#N/A</v>
      </c>
      <c r="BC587" s="36" t="e">
        <f t="shared" si="1390"/>
        <v>#N/A</v>
      </c>
      <c r="BD587" s="36" t="e">
        <f t="shared" si="1390"/>
        <v>#N/A</v>
      </c>
      <c r="BE587" s="36" t="e">
        <f t="shared" si="1390"/>
        <v>#N/A</v>
      </c>
      <c r="BF587" s="36" t="e">
        <f t="shared" si="1390"/>
        <v>#N/A</v>
      </c>
      <c r="BG587" s="36" t="e">
        <f t="shared" si="1390"/>
        <v>#N/A</v>
      </c>
      <c r="BH587" s="36" t="e">
        <f t="shared" si="1390"/>
        <v>#N/A</v>
      </c>
      <c r="BI587" s="36" t="e">
        <f t="shared" si="1390"/>
        <v>#N/A</v>
      </c>
      <c r="BJ587" s="36" t="e">
        <f t="shared" si="1390"/>
        <v>#N/A</v>
      </c>
      <c r="BK587" s="36" t="e">
        <f t="shared" si="1390"/>
        <v>#N/A</v>
      </c>
      <c r="BL587" s="36" t="e">
        <f t="shared" si="1390"/>
        <v>#N/A</v>
      </c>
      <c r="BM587" s="36" t="e">
        <f t="shared" si="1390"/>
        <v>#N/A</v>
      </c>
      <c r="BN587" s="30"/>
    </row>
    <row r="588" spans="1:66" ht="11.25" customHeight="1" x14ac:dyDescent="0.2">
      <c r="A588" s="37"/>
      <c r="B588" s="73"/>
      <c r="C588" s="33">
        <v>2</v>
      </c>
      <c r="D588" s="13" t="s">
        <v>396</v>
      </c>
      <c r="E588" s="16">
        <f t="shared" si="1384"/>
        <v>8</v>
      </c>
      <c r="F588" s="16">
        <f>SUMIFS([0]!VOTOS2,[0]!TURNO1,F$31,[0]!CANDIDATO1,$C588,[0]!MUNICIPIO1,$B$587)</f>
        <v>8</v>
      </c>
      <c r="G588" s="16">
        <f>SUMIFS([0]!VOTOS2,[0]!TURNO1,G$31,[0]!CANDIDATO1,$C588,[0]!MUNICIPIO1,$B$587)</f>
        <v>0</v>
      </c>
      <c r="H588" s="16">
        <f>SUMIFS([0]!VOTOS2,[0]!TURNO1,H$31,[0]!CANDIDATO1,$C588,[0]!MUNICIPIO1,$B$587)</f>
        <v>0</v>
      </c>
      <c r="I588" s="16">
        <f>SUMIFS([0]!VOTOS2,[0]!TURNO1,I$31,[0]!CANDIDATO1,$C588,[0]!MUNICIPIO1,$B$587)</f>
        <v>0</v>
      </c>
      <c r="J588" s="16">
        <f>SUMIFS([0]!VOTOS2,[0]!TURNO1,J$31,[0]!CANDIDATO1,$C588,[0]!MUNICIPIO1,$B$587)</f>
        <v>0</v>
      </c>
      <c r="K588" s="16">
        <f>SUMIFS([0]!VOTOS2,[0]!TURNO1,K$31,[0]!CANDIDATO1,$C588,[0]!MUNICIPIO1,$B$587)</f>
        <v>0</v>
      </c>
      <c r="L588" s="16">
        <f>SUMIFS([0]!VOTOS2,[0]!TURNO1,L$31,[0]!CANDIDATO1,$C588,[0]!MUNICIPIO1,$B$587)</f>
        <v>0</v>
      </c>
      <c r="M588" s="16">
        <f>SUMIFS([0]!VOTOS2,[0]!TURNO1,M$31,[0]!CANDIDATO1,$C588,[0]!MUNICIPIO1,$B$587)</f>
        <v>0</v>
      </c>
      <c r="N588" s="16">
        <f>SUMIFS([0]!VOTOS2,[0]!TURNO1,N$31,[0]!CANDIDATO1,$C588,[0]!MUNICIPIO1,$B$587)</f>
        <v>0</v>
      </c>
      <c r="O588" s="16">
        <f>SUMIFS([0]!VOTOS2,[0]!TURNO1,O$31,[0]!CANDIDATO1,$C588,[0]!MUNICIPIO1,$B$587)</f>
        <v>0</v>
      </c>
      <c r="P588" s="16">
        <f>SUMIFS([0]!VOTOS2,[0]!TURNO1,P$31,[0]!CANDIDATO1,$C588,[0]!MUNICIPIO1,$B$587)</f>
        <v>0</v>
      </c>
      <c r="Q588" s="16">
        <f>SUMIFS([0]!VOTOS2,[0]!TURNO1,Q$31,[0]!CANDIDATO1,$C588,[0]!MUNICIPIO1,$B$587)</f>
        <v>0</v>
      </c>
      <c r="R588" s="16">
        <f>SUMIFS([0]!VOTOS2,[0]!TURNO1,R$31,[0]!CANDIDATO1,$C588,[0]!MUNICIPIO1,$B$587)</f>
        <v>0</v>
      </c>
      <c r="S588" s="16">
        <f>SUMIFS([0]!VOTOS2,[0]!TURNO1,S$31,[0]!CANDIDATO1,$C588,[0]!MUNICIPIO1,$B$587)</f>
        <v>0</v>
      </c>
      <c r="T588" s="16">
        <f>SUMIFS([0]!VOTOS2,[0]!TURNO1,T$31,[0]!CANDIDATO1,$C588,[0]!MUNICIPIO1,$B$587)</f>
        <v>0</v>
      </c>
      <c r="U588" s="16">
        <f>SUMIFS([0]!VOTOS2,[0]!TURNO1,U$31,[0]!CANDIDATO1,$C588,[0]!MUNICIPIO1,$B$587)</f>
        <v>0</v>
      </c>
      <c r="V588" s="16">
        <f>SUMIFS([0]!VOTOS2,[0]!TURNO1,V$31,[0]!CANDIDATO1,$C588,[0]!MUNICIPIO1,$B$587)</f>
        <v>0</v>
      </c>
      <c r="W588" s="16">
        <f>SUMIFS([0]!VOTOS2,[0]!TURNO1,W$31,[0]!CANDIDATO1,$C588,[0]!MUNICIPIO1,$B$587)</f>
        <v>0</v>
      </c>
      <c r="X588" s="24"/>
      <c r="Y588" s="18" t="str">
        <f t="shared" si="1385"/>
        <v>MARIO FERRIGNO</v>
      </c>
      <c r="Z588" s="34">
        <f t="shared" si="1386"/>
        <v>8</v>
      </c>
      <c r="AA588" s="34">
        <f t="shared" si="1387"/>
        <v>8</v>
      </c>
      <c r="AB588" s="34" t="e">
        <f t="shared" ref="AB588:AR588" si="1391">IF(SUM(G587:G599)=0,NA(),G588+AA588)</f>
        <v>#N/A</v>
      </c>
      <c r="AC588" s="34" t="e">
        <f t="shared" si="1391"/>
        <v>#N/A</v>
      </c>
      <c r="AD588" s="34" t="e">
        <f t="shared" si="1391"/>
        <v>#N/A</v>
      </c>
      <c r="AE588" s="34" t="e">
        <f t="shared" si="1391"/>
        <v>#N/A</v>
      </c>
      <c r="AF588" s="34" t="e">
        <f t="shared" si="1391"/>
        <v>#N/A</v>
      </c>
      <c r="AG588" s="34" t="e">
        <f t="shared" si="1391"/>
        <v>#N/A</v>
      </c>
      <c r="AH588" s="34" t="e">
        <f t="shared" si="1391"/>
        <v>#N/A</v>
      </c>
      <c r="AI588" s="34" t="e">
        <f t="shared" si="1391"/>
        <v>#N/A</v>
      </c>
      <c r="AJ588" s="34" t="e">
        <f t="shared" si="1391"/>
        <v>#N/A</v>
      </c>
      <c r="AK588" s="34" t="e">
        <f t="shared" si="1391"/>
        <v>#N/A</v>
      </c>
      <c r="AL588" s="34" t="e">
        <f t="shared" si="1391"/>
        <v>#N/A</v>
      </c>
      <c r="AM588" s="34" t="e">
        <f t="shared" si="1391"/>
        <v>#N/A</v>
      </c>
      <c r="AN588" s="34" t="e">
        <f t="shared" si="1391"/>
        <v>#N/A</v>
      </c>
      <c r="AO588" s="34" t="e">
        <f t="shared" si="1391"/>
        <v>#N/A</v>
      </c>
      <c r="AP588" s="34" t="e">
        <f t="shared" si="1391"/>
        <v>#N/A</v>
      </c>
      <c r="AQ588" s="34" t="e">
        <f t="shared" si="1391"/>
        <v>#N/A</v>
      </c>
      <c r="AR588" s="34" t="e">
        <f t="shared" si="1391"/>
        <v>#N/A</v>
      </c>
      <c r="AS588" s="27"/>
      <c r="AT588" s="35" t="str">
        <f t="shared" si="1389"/>
        <v>MARIO FERRIGNO</v>
      </c>
      <c r="AU588" s="36">
        <f t="shared" ref="AU588:BM588" si="1392">Z588/(Z587+Z588+Z600)</f>
        <v>0.5</v>
      </c>
      <c r="AV588" s="36">
        <f t="shared" si="1392"/>
        <v>0.5</v>
      </c>
      <c r="AW588" s="36" t="e">
        <f t="shared" si="1392"/>
        <v>#N/A</v>
      </c>
      <c r="AX588" s="36" t="e">
        <f t="shared" si="1392"/>
        <v>#N/A</v>
      </c>
      <c r="AY588" s="36" t="e">
        <f t="shared" si="1392"/>
        <v>#N/A</v>
      </c>
      <c r="AZ588" s="36" t="e">
        <f t="shared" si="1392"/>
        <v>#N/A</v>
      </c>
      <c r="BA588" s="36" t="e">
        <f t="shared" si="1392"/>
        <v>#N/A</v>
      </c>
      <c r="BB588" s="36" t="e">
        <f t="shared" si="1392"/>
        <v>#N/A</v>
      </c>
      <c r="BC588" s="36" t="e">
        <f t="shared" si="1392"/>
        <v>#N/A</v>
      </c>
      <c r="BD588" s="36" t="e">
        <f t="shared" si="1392"/>
        <v>#N/A</v>
      </c>
      <c r="BE588" s="36" t="e">
        <f t="shared" si="1392"/>
        <v>#N/A</v>
      </c>
      <c r="BF588" s="36" t="e">
        <f t="shared" si="1392"/>
        <v>#N/A</v>
      </c>
      <c r="BG588" s="36" t="e">
        <f t="shared" si="1392"/>
        <v>#N/A</v>
      </c>
      <c r="BH588" s="36" t="e">
        <f t="shared" si="1392"/>
        <v>#N/A</v>
      </c>
      <c r="BI588" s="36" t="e">
        <f t="shared" si="1392"/>
        <v>#N/A</v>
      </c>
      <c r="BJ588" s="36" t="e">
        <f t="shared" si="1392"/>
        <v>#N/A</v>
      </c>
      <c r="BK588" s="36" t="e">
        <f t="shared" si="1392"/>
        <v>#N/A</v>
      </c>
      <c r="BL588" s="36" t="e">
        <f t="shared" si="1392"/>
        <v>#N/A</v>
      </c>
      <c r="BM588" s="36" t="e">
        <f t="shared" si="1392"/>
        <v>#N/A</v>
      </c>
      <c r="BN588" s="30"/>
    </row>
    <row r="589" spans="1:66" ht="11.25" customHeight="1" x14ac:dyDescent="0.2">
      <c r="A589" s="37"/>
      <c r="B589" s="73"/>
      <c r="C589" s="33">
        <v>3</v>
      </c>
      <c r="D589" s="13" t="s">
        <v>397</v>
      </c>
      <c r="E589" s="16">
        <f t="shared" si="1384"/>
        <v>0</v>
      </c>
      <c r="F589" s="16">
        <f>SUMIFS([0]!VOTOS2,[0]!TURNO1,F$31,[0]!CANDIDATO1,$C589,[0]!MUNICIPIO1,$B$587)</f>
        <v>0</v>
      </c>
      <c r="G589" s="16">
        <f>SUMIFS([0]!VOTOS2,[0]!TURNO1,G$31,[0]!CANDIDATO1,$C589,[0]!MUNICIPIO1,$B$587)</f>
        <v>0</v>
      </c>
      <c r="H589" s="16">
        <f>SUMIFS([0]!VOTOS2,[0]!TURNO1,H$31,[0]!CANDIDATO1,$C589,[0]!MUNICIPIO1,$B$587)</f>
        <v>0</v>
      </c>
      <c r="I589" s="16">
        <f>SUMIFS([0]!VOTOS2,[0]!TURNO1,I$31,[0]!CANDIDATO1,$C589,[0]!MUNICIPIO1,$B$587)</f>
        <v>0</v>
      </c>
      <c r="J589" s="16">
        <f>SUMIFS([0]!VOTOS2,[0]!TURNO1,J$31,[0]!CANDIDATO1,$C589,[0]!MUNICIPIO1,$B$587)</f>
        <v>0</v>
      </c>
      <c r="K589" s="16">
        <f>SUMIFS([0]!VOTOS2,[0]!TURNO1,K$31,[0]!CANDIDATO1,$C589,[0]!MUNICIPIO1,$B$587)</f>
        <v>0</v>
      </c>
      <c r="L589" s="16">
        <f>SUMIFS([0]!VOTOS2,[0]!TURNO1,L$31,[0]!CANDIDATO1,$C589,[0]!MUNICIPIO1,$B$587)</f>
        <v>0</v>
      </c>
      <c r="M589" s="16">
        <f>SUMIFS([0]!VOTOS2,[0]!TURNO1,M$31,[0]!CANDIDATO1,$C589,[0]!MUNICIPIO1,$B$587)</f>
        <v>0</v>
      </c>
      <c r="N589" s="16">
        <f>SUMIFS([0]!VOTOS2,[0]!TURNO1,N$31,[0]!CANDIDATO1,$C589,[0]!MUNICIPIO1,$B$587)</f>
        <v>0</v>
      </c>
      <c r="O589" s="16">
        <f>SUMIFS([0]!VOTOS2,[0]!TURNO1,O$31,[0]!CANDIDATO1,$C589,[0]!MUNICIPIO1,$B$587)</f>
        <v>0</v>
      </c>
      <c r="P589" s="16">
        <f>SUMIFS([0]!VOTOS2,[0]!TURNO1,P$31,[0]!CANDIDATO1,$C589,[0]!MUNICIPIO1,$B$587)</f>
        <v>0</v>
      </c>
      <c r="Q589" s="16">
        <f>SUMIFS([0]!VOTOS2,[0]!TURNO1,Q$31,[0]!CANDIDATO1,$C589,[0]!MUNICIPIO1,$B$587)</f>
        <v>0</v>
      </c>
      <c r="R589" s="16">
        <f>SUMIFS([0]!VOTOS2,[0]!TURNO1,R$31,[0]!CANDIDATO1,$C589,[0]!MUNICIPIO1,$B$587)</f>
        <v>0</v>
      </c>
      <c r="S589" s="16">
        <f>SUMIFS([0]!VOTOS2,[0]!TURNO1,S$31,[0]!CANDIDATO1,$C589,[0]!MUNICIPIO1,$B$587)</f>
        <v>0</v>
      </c>
      <c r="T589" s="16">
        <f>SUMIFS([0]!VOTOS2,[0]!TURNO1,T$31,[0]!CANDIDATO1,$C589,[0]!MUNICIPIO1,$B$587)</f>
        <v>0</v>
      </c>
      <c r="U589" s="16">
        <f>SUMIFS([0]!VOTOS2,[0]!TURNO1,U$31,[0]!CANDIDATO1,$C589,[0]!MUNICIPIO1,$B$587)</f>
        <v>0</v>
      </c>
      <c r="V589" s="16">
        <f>SUMIFS([0]!VOTOS2,[0]!TURNO1,V$31,[0]!CANDIDATO1,$C589,[0]!MUNICIPIO1,$B$587)</f>
        <v>0</v>
      </c>
      <c r="W589" s="16">
        <f>SUMIFS([0]!VOTOS2,[0]!TURNO1,W$31,[0]!CANDIDATO1,$C589,[0]!MUNICIPIO1,$B$587)</f>
        <v>0</v>
      </c>
      <c r="X589" s="24"/>
      <c r="Y589" s="18" t="str">
        <f t="shared" si="1385"/>
        <v>NAPOLEON BARRIOS</v>
      </c>
      <c r="Z589" s="34">
        <f t="shared" si="1386"/>
        <v>0</v>
      </c>
      <c r="AA589" s="34">
        <f t="shared" si="1387"/>
        <v>0</v>
      </c>
      <c r="AB589" s="34" t="e">
        <f t="shared" ref="AB589:AR589" si="1393">IF(SUM(G587:G599)=0,NA(),G589+AA589)</f>
        <v>#N/A</v>
      </c>
      <c r="AC589" s="34" t="e">
        <f t="shared" si="1393"/>
        <v>#N/A</v>
      </c>
      <c r="AD589" s="34" t="e">
        <f t="shared" si="1393"/>
        <v>#N/A</v>
      </c>
      <c r="AE589" s="34" t="e">
        <f t="shared" si="1393"/>
        <v>#N/A</v>
      </c>
      <c r="AF589" s="34" t="e">
        <f t="shared" si="1393"/>
        <v>#N/A</v>
      </c>
      <c r="AG589" s="34" t="e">
        <f t="shared" si="1393"/>
        <v>#N/A</v>
      </c>
      <c r="AH589" s="34" t="e">
        <f t="shared" si="1393"/>
        <v>#N/A</v>
      </c>
      <c r="AI589" s="34" t="e">
        <f t="shared" si="1393"/>
        <v>#N/A</v>
      </c>
      <c r="AJ589" s="34" t="e">
        <f t="shared" si="1393"/>
        <v>#N/A</v>
      </c>
      <c r="AK589" s="34" t="e">
        <f t="shared" si="1393"/>
        <v>#N/A</v>
      </c>
      <c r="AL589" s="34" t="e">
        <f t="shared" si="1393"/>
        <v>#N/A</v>
      </c>
      <c r="AM589" s="34" t="e">
        <f t="shared" si="1393"/>
        <v>#N/A</v>
      </c>
      <c r="AN589" s="34" t="e">
        <f t="shared" si="1393"/>
        <v>#N/A</v>
      </c>
      <c r="AO589" s="34" t="e">
        <f t="shared" si="1393"/>
        <v>#N/A</v>
      </c>
      <c r="AP589" s="34" t="e">
        <f t="shared" si="1393"/>
        <v>#N/A</v>
      </c>
      <c r="AQ589" s="34" t="e">
        <f t="shared" si="1393"/>
        <v>#N/A</v>
      </c>
      <c r="AR589" s="34" t="e">
        <f t="shared" si="1393"/>
        <v>#N/A</v>
      </c>
      <c r="AS589" s="27"/>
      <c r="AT589" s="35" t="str">
        <f t="shared" ref="AT589" si="1394">Y600</f>
        <v>Otros</v>
      </c>
      <c r="AU589" s="36">
        <f t="shared" ref="AU589:BM589" si="1395">Z600/(Z587+Z588+Z600)</f>
        <v>0</v>
      </c>
      <c r="AV589" s="36">
        <f t="shared" si="1395"/>
        <v>0</v>
      </c>
      <c r="AW589" s="36" t="e">
        <f t="shared" si="1395"/>
        <v>#N/A</v>
      </c>
      <c r="AX589" s="36" t="e">
        <f t="shared" si="1395"/>
        <v>#N/A</v>
      </c>
      <c r="AY589" s="36" t="e">
        <f t="shared" si="1395"/>
        <v>#N/A</v>
      </c>
      <c r="AZ589" s="36" t="e">
        <f t="shared" si="1395"/>
        <v>#N/A</v>
      </c>
      <c r="BA589" s="36" t="e">
        <f t="shared" si="1395"/>
        <v>#N/A</v>
      </c>
      <c r="BB589" s="36" t="e">
        <f t="shared" si="1395"/>
        <v>#N/A</v>
      </c>
      <c r="BC589" s="36" t="e">
        <f t="shared" si="1395"/>
        <v>#N/A</v>
      </c>
      <c r="BD589" s="36" t="e">
        <f t="shared" si="1395"/>
        <v>#N/A</v>
      </c>
      <c r="BE589" s="36" t="e">
        <f t="shared" si="1395"/>
        <v>#N/A</v>
      </c>
      <c r="BF589" s="36" t="e">
        <f t="shared" si="1395"/>
        <v>#N/A</v>
      </c>
      <c r="BG589" s="36" t="e">
        <f t="shared" si="1395"/>
        <v>#N/A</v>
      </c>
      <c r="BH589" s="36" t="e">
        <f t="shared" si="1395"/>
        <v>#N/A</v>
      </c>
      <c r="BI589" s="36" t="e">
        <f t="shared" si="1395"/>
        <v>#N/A</v>
      </c>
      <c r="BJ589" s="36" t="e">
        <f t="shared" si="1395"/>
        <v>#N/A</v>
      </c>
      <c r="BK589" s="36" t="e">
        <f t="shared" si="1395"/>
        <v>#N/A</v>
      </c>
      <c r="BL589" s="36" t="e">
        <f t="shared" si="1395"/>
        <v>#N/A</v>
      </c>
      <c r="BM589" s="36" t="e">
        <f t="shared" si="1395"/>
        <v>#N/A</v>
      </c>
      <c r="BN589" s="30"/>
    </row>
    <row r="590" spans="1:66" ht="11.25" customHeight="1" x14ac:dyDescent="0.2">
      <c r="A590" s="38" t="s">
        <v>14</v>
      </c>
      <c r="B590" s="73"/>
      <c r="C590" s="33">
        <v>4</v>
      </c>
      <c r="D590" s="13" t="s">
        <v>398</v>
      </c>
      <c r="E590" s="16">
        <f t="shared" si="1384"/>
        <v>0</v>
      </c>
      <c r="F590" s="16">
        <f>SUMIFS([0]!VOTOS2,[0]!TURNO1,F$31,[0]!CANDIDATO1,$C590,[0]!MUNICIPIO1,$B$587)</f>
        <v>0</v>
      </c>
      <c r="G590" s="16">
        <f>SUMIFS([0]!VOTOS2,[0]!TURNO1,G$31,[0]!CANDIDATO1,$C590,[0]!MUNICIPIO1,$B$587)</f>
        <v>0</v>
      </c>
      <c r="H590" s="16">
        <f>SUMIFS([0]!VOTOS2,[0]!TURNO1,H$31,[0]!CANDIDATO1,$C590,[0]!MUNICIPIO1,$B$587)</f>
        <v>0</v>
      </c>
      <c r="I590" s="16">
        <f>SUMIFS([0]!VOTOS2,[0]!TURNO1,I$31,[0]!CANDIDATO1,$C590,[0]!MUNICIPIO1,$B$587)</f>
        <v>0</v>
      </c>
      <c r="J590" s="16">
        <f>SUMIFS([0]!VOTOS2,[0]!TURNO1,J$31,[0]!CANDIDATO1,$C590,[0]!MUNICIPIO1,$B$587)</f>
        <v>0</v>
      </c>
      <c r="K590" s="16">
        <f>SUMIFS([0]!VOTOS2,[0]!TURNO1,K$31,[0]!CANDIDATO1,$C590,[0]!MUNICIPIO1,$B$587)</f>
        <v>0</v>
      </c>
      <c r="L590" s="16">
        <f>SUMIFS([0]!VOTOS2,[0]!TURNO1,L$31,[0]!CANDIDATO1,$C590,[0]!MUNICIPIO1,$B$587)</f>
        <v>0</v>
      </c>
      <c r="M590" s="16">
        <f>SUMIFS([0]!VOTOS2,[0]!TURNO1,M$31,[0]!CANDIDATO1,$C590,[0]!MUNICIPIO1,$B$587)</f>
        <v>0</v>
      </c>
      <c r="N590" s="16">
        <f>SUMIFS([0]!VOTOS2,[0]!TURNO1,N$31,[0]!CANDIDATO1,$C590,[0]!MUNICIPIO1,$B$587)</f>
        <v>0</v>
      </c>
      <c r="O590" s="16">
        <f>SUMIFS([0]!VOTOS2,[0]!TURNO1,O$31,[0]!CANDIDATO1,$C590,[0]!MUNICIPIO1,$B$587)</f>
        <v>0</v>
      </c>
      <c r="P590" s="16">
        <f>SUMIFS([0]!VOTOS2,[0]!TURNO1,P$31,[0]!CANDIDATO1,$C590,[0]!MUNICIPIO1,$B$587)</f>
        <v>0</v>
      </c>
      <c r="Q590" s="16">
        <f>SUMIFS([0]!VOTOS2,[0]!TURNO1,Q$31,[0]!CANDIDATO1,$C590,[0]!MUNICIPIO1,$B$587)</f>
        <v>0</v>
      </c>
      <c r="R590" s="16">
        <f>SUMIFS([0]!VOTOS2,[0]!TURNO1,R$31,[0]!CANDIDATO1,$C590,[0]!MUNICIPIO1,$B$587)</f>
        <v>0</v>
      </c>
      <c r="S590" s="16">
        <f>SUMIFS([0]!VOTOS2,[0]!TURNO1,S$31,[0]!CANDIDATO1,$C590,[0]!MUNICIPIO1,$B$587)</f>
        <v>0</v>
      </c>
      <c r="T590" s="16">
        <f>SUMIFS([0]!VOTOS2,[0]!TURNO1,T$31,[0]!CANDIDATO1,$C590,[0]!MUNICIPIO1,$B$587)</f>
        <v>0</v>
      </c>
      <c r="U590" s="16">
        <f>SUMIFS([0]!VOTOS2,[0]!TURNO1,U$31,[0]!CANDIDATO1,$C590,[0]!MUNICIPIO1,$B$587)</f>
        <v>0</v>
      </c>
      <c r="V590" s="16">
        <f>SUMIFS([0]!VOTOS2,[0]!TURNO1,V$31,[0]!CANDIDATO1,$C590,[0]!MUNICIPIO1,$B$587)</f>
        <v>0</v>
      </c>
      <c r="W590" s="16">
        <f>SUMIFS([0]!VOTOS2,[0]!TURNO1,W$31,[0]!CANDIDATO1,$C590,[0]!MUNICIPIO1,$B$587)</f>
        <v>0</v>
      </c>
      <c r="X590" s="24"/>
      <c r="Y590" s="18" t="str">
        <f t="shared" si="1385"/>
        <v>JUMISAMARLY FRANCO</v>
      </c>
      <c r="Z590" s="34">
        <f t="shared" si="1386"/>
        <v>0</v>
      </c>
      <c r="AA590" s="34">
        <f t="shared" si="1387"/>
        <v>0</v>
      </c>
      <c r="AB590" s="34" t="e">
        <f t="shared" ref="AB590:AR590" si="1396">IF(SUM(G587:G599)=0,NA(),G590+AA590)</f>
        <v>#N/A</v>
      </c>
      <c r="AC590" s="34" t="e">
        <f t="shared" si="1396"/>
        <v>#N/A</v>
      </c>
      <c r="AD590" s="34" t="e">
        <f t="shared" si="1396"/>
        <v>#N/A</v>
      </c>
      <c r="AE590" s="34" t="e">
        <f t="shared" si="1396"/>
        <v>#N/A</v>
      </c>
      <c r="AF590" s="34" t="e">
        <f t="shared" si="1396"/>
        <v>#N/A</v>
      </c>
      <c r="AG590" s="34" t="e">
        <f t="shared" si="1396"/>
        <v>#N/A</v>
      </c>
      <c r="AH590" s="34" t="e">
        <f t="shared" si="1396"/>
        <v>#N/A</v>
      </c>
      <c r="AI590" s="34" t="e">
        <f t="shared" si="1396"/>
        <v>#N/A</v>
      </c>
      <c r="AJ590" s="34" t="e">
        <f t="shared" si="1396"/>
        <v>#N/A</v>
      </c>
      <c r="AK590" s="34" t="e">
        <f t="shared" si="1396"/>
        <v>#N/A</v>
      </c>
      <c r="AL590" s="34" t="e">
        <f t="shared" si="1396"/>
        <v>#N/A</v>
      </c>
      <c r="AM590" s="34" t="e">
        <f t="shared" si="1396"/>
        <v>#N/A</v>
      </c>
      <c r="AN590" s="34" t="e">
        <f t="shared" si="1396"/>
        <v>#N/A</v>
      </c>
      <c r="AO590" s="34" t="e">
        <f t="shared" si="1396"/>
        <v>#N/A</v>
      </c>
      <c r="AP590" s="34" t="e">
        <f t="shared" si="1396"/>
        <v>#N/A</v>
      </c>
      <c r="AQ590" s="34" t="e">
        <f t="shared" si="1396"/>
        <v>#N/A</v>
      </c>
      <c r="AR590" s="34" t="e">
        <f t="shared" si="1396"/>
        <v>#N/A</v>
      </c>
      <c r="AS590" s="27"/>
      <c r="AT590" s="39"/>
      <c r="AU590" s="39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30"/>
    </row>
    <row r="591" spans="1:66" ht="11.25" customHeight="1" x14ac:dyDescent="0.2">
      <c r="A591" s="38" t="s">
        <v>47</v>
      </c>
      <c r="B591" s="73"/>
      <c r="C591" s="33">
        <v>5</v>
      </c>
      <c r="D591" s="13" t="s">
        <v>399</v>
      </c>
      <c r="E591" s="16">
        <f t="shared" si="1384"/>
        <v>0</v>
      </c>
      <c r="F591" s="16">
        <f>SUMIFS([0]!VOTOS2,[0]!TURNO1,F$31,[0]!CANDIDATO1,$C591,[0]!MUNICIPIO1,$B$587)</f>
        <v>0</v>
      </c>
      <c r="G591" s="16">
        <f>SUMIFS([0]!VOTOS2,[0]!TURNO1,G$31,[0]!CANDIDATO1,$C591,[0]!MUNICIPIO1,$B$587)</f>
        <v>0</v>
      </c>
      <c r="H591" s="16">
        <f>SUMIFS([0]!VOTOS2,[0]!TURNO1,H$31,[0]!CANDIDATO1,$C591,[0]!MUNICIPIO1,$B$587)</f>
        <v>0</v>
      </c>
      <c r="I591" s="16">
        <f>SUMIFS([0]!VOTOS2,[0]!TURNO1,I$31,[0]!CANDIDATO1,$C591,[0]!MUNICIPIO1,$B$587)</f>
        <v>0</v>
      </c>
      <c r="J591" s="16">
        <f>SUMIFS([0]!VOTOS2,[0]!TURNO1,J$31,[0]!CANDIDATO1,$C591,[0]!MUNICIPIO1,$B$587)</f>
        <v>0</v>
      </c>
      <c r="K591" s="16">
        <f>SUMIFS([0]!VOTOS2,[0]!TURNO1,K$31,[0]!CANDIDATO1,$C591,[0]!MUNICIPIO1,$B$587)</f>
        <v>0</v>
      </c>
      <c r="L591" s="16">
        <f>SUMIFS([0]!VOTOS2,[0]!TURNO1,L$31,[0]!CANDIDATO1,$C591,[0]!MUNICIPIO1,$B$587)</f>
        <v>0</v>
      </c>
      <c r="M591" s="16">
        <f>SUMIFS([0]!VOTOS2,[0]!TURNO1,M$31,[0]!CANDIDATO1,$C591,[0]!MUNICIPIO1,$B$587)</f>
        <v>0</v>
      </c>
      <c r="N591" s="16">
        <f>SUMIFS([0]!VOTOS2,[0]!TURNO1,N$31,[0]!CANDIDATO1,$C591,[0]!MUNICIPIO1,$B$587)</f>
        <v>0</v>
      </c>
      <c r="O591" s="16">
        <f>SUMIFS([0]!VOTOS2,[0]!TURNO1,O$31,[0]!CANDIDATO1,$C591,[0]!MUNICIPIO1,$B$587)</f>
        <v>0</v>
      </c>
      <c r="P591" s="16">
        <f>SUMIFS([0]!VOTOS2,[0]!TURNO1,P$31,[0]!CANDIDATO1,$C591,[0]!MUNICIPIO1,$B$587)</f>
        <v>0</v>
      </c>
      <c r="Q591" s="16">
        <f>SUMIFS([0]!VOTOS2,[0]!TURNO1,Q$31,[0]!CANDIDATO1,$C591,[0]!MUNICIPIO1,$B$587)</f>
        <v>0</v>
      </c>
      <c r="R591" s="16">
        <f>SUMIFS([0]!VOTOS2,[0]!TURNO1,R$31,[0]!CANDIDATO1,$C591,[0]!MUNICIPIO1,$B$587)</f>
        <v>0</v>
      </c>
      <c r="S591" s="16">
        <f>SUMIFS([0]!VOTOS2,[0]!TURNO1,S$31,[0]!CANDIDATO1,$C591,[0]!MUNICIPIO1,$B$587)</f>
        <v>0</v>
      </c>
      <c r="T591" s="16">
        <f>SUMIFS([0]!VOTOS2,[0]!TURNO1,T$31,[0]!CANDIDATO1,$C591,[0]!MUNICIPIO1,$B$587)</f>
        <v>0</v>
      </c>
      <c r="U591" s="16">
        <f>SUMIFS([0]!VOTOS2,[0]!TURNO1,U$31,[0]!CANDIDATO1,$C591,[0]!MUNICIPIO1,$B$587)</f>
        <v>0</v>
      </c>
      <c r="V591" s="16">
        <f>SUMIFS([0]!VOTOS2,[0]!TURNO1,V$31,[0]!CANDIDATO1,$C591,[0]!MUNICIPIO1,$B$587)</f>
        <v>0</v>
      </c>
      <c r="W591" s="16">
        <f>SUMIFS([0]!VOTOS2,[0]!TURNO1,W$31,[0]!CANDIDATO1,$C591,[0]!MUNICIPIO1,$B$587)</f>
        <v>0</v>
      </c>
      <c r="X591" s="24"/>
      <c r="Y591" s="18" t="str">
        <f t="shared" si="1385"/>
        <v>JONNATHAN MARIN</v>
      </c>
      <c r="Z591" s="34">
        <f t="shared" si="1386"/>
        <v>0</v>
      </c>
      <c r="AA591" s="34">
        <f t="shared" si="1387"/>
        <v>0</v>
      </c>
      <c r="AB591" s="34" t="e">
        <f t="shared" ref="AB591:AR591" si="1397">IF(SUM(G587:G599)=0,NA(),G591+AA591)</f>
        <v>#N/A</v>
      </c>
      <c r="AC591" s="34" t="e">
        <f t="shared" si="1397"/>
        <v>#N/A</v>
      </c>
      <c r="AD591" s="34" t="e">
        <f t="shared" si="1397"/>
        <v>#N/A</v>
      </c>
      <c r="AE591" s="34" t="e">
        <f t="shared" si="1397"/>
        <v>#N/A</v>
      </c>
      <c r="AF591" s="34" t="e">
        <f t="shared" si="1397"/>
        <v>#N/A</v>
      </c>
      <c r="AG591" s="34" t="e">
        <f t="shared" si="1397"/>
        <v>#N/A</v>
      </c>
      <c r="AH591" s="34" t="e">
        <f t="shared" si="1397"/>
        <v>#N/A</v>
      </c>
      <c r="AI591" s="34" t="e">
        <f t="shared" si="1397"/>
        <v>#N/A</v>
      </c>
      <c r="AJ591" s="34" t="e">
        <f t="shared" si="1397"/>
        <v>#N/A</v>
      </c>
      <c r="AK591" s="34" t="e">
        <f t="shared" si="1397"/>
        <v>#N/A</v>
      </c>
      <c r="AL591" s="34" t="e">
        <f t="shared" si="1397"/>
        <v>#N/A</v>
      </c>
      <c r="AM591" s="34" t="e">
        <f t="shared" si="1397"/>
        <v>#N/A</v>
      </c>
      <c r="AN591" s="34" t="e">
        <f t="shared" si="1397"/>
        <v>#N/A</v>
      </c>
      <c r="AO591" s="34" t="e">
        <f t="shared" si="1397"/>
        <v>#N/A</v>
      </c>
      <c r="AP591" s="34" t="e">
        <f t="shared" si="1397"/>
        <v>#N/A</v>
      </c>
      <c r="AQ591" s="34" t="e">
        <f t="shared" si="1397"/>
        <v>#N/A</v>
      </c>
      <c r="AR591" s="34" t="e">
        <f t="shared" si="1397"/>
        <v>#N/A</v>
      </c>
      <c r="AS591" s="27"/>
      <c r="AT591" s="39"/>
      <c r="AU591" s="39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30"/>
    </row>
    <row r="592" spans="1:66" ht="11.25" customHeight="1" x14ac:dyDescent="0.2">
      <c r="A592" s="37"/>
      <c r="B592" s="73"/>
      <c r="C592" s="33">
        <v>6</v>
      </c>
      <c r="D592" s="13" t="s">
        <v>400</v>
      </c>
      <c r="E592" s="16">
        <f t="shared" si="1384"/>
        <v>0</v>
      </c>
      <c r="F592" s="16">
        <f>SUMIFS([0]!VOTOS2,[0]!TURNO1,F$31,[0]!CANDIDATO1,$C592,[0]!MUNICIPIO1,$B$587)</f>
        <v>0</v>
      </c>
      <c r="G592" s="16">
        <f>SUMIFS([0]!VOTOS2,[0]!TURNO1,G$31,[0]!CANDIDATO1,$C592,[0]!MUNICIPIO1,$B$587)</f>
        <v>0</v>
      </c>
      <c r="H592" s="16">
        <f>SUMIFS([0]!VOTOS2,[0]!TURNO1,H$31,[0]!CANDIDATO1,$C592,[0]!MUNICIPIO1,$B$587)</f>
        <v>0</v>
      </c>
      <c r="I592" s="16">
        <f>SUMIFS([0]!VOTOS2,[0]!TURNO1,I$31,[0]!CANDIDATO1,$C592,[0]!MUNICIPIO1,$B$587)</f>
        <v>0</v>
      </c>
      <c r="J592" s="16">
        <f>SUMIFS([0]!VOTOS2,[0]!TURNO1,J$31,[0]!CANDIDATO1,$C592,[0]!MUNICIPIO1,$B$587)</f>
        <v>0</v>
      </c>
      <c r="K592" s="16">
        <f>SUMIFS([0]!VOTOS2,[0]!TURNO1,K$31,[0]!CANDIDATO1,$C592,[0]!MUNICIPIO1,$B$587)</f>
        <v>0</v>
      </c>
      <c r="L592" s="16">
        <f>SUMIFS([0]!VOTOS2,[0]!TURNO1,L$31,[0]!CANDIDATO1,$C592,[0]!MUNICIPIO1,$B$587)</f>
        <v>0</v>
      </c>
      <c r="M592" s="16">
        <f>SUMIFS([0]!VOTOS2,[0]!TURNO1,M$31,[0]!CANDIDATO1,$C592,[0]!MUNICIPIO1,$B$587)</f>
        <v>0</v>
      </c>
      <c r="N592" s="16">
        <f>SUMIFS([0]!VOTOS2,[0]!TURNO1,N$31,[0]!CANDIDATO1,$C592,[0]!MUNICIPIO1,$B$587)</f>
        <v>0</v>
      </c>
      <c r="O592" s="16">
        <f>SUMIFS([0]!VOTOS2,[0]!TURNO1,O$31,[0]!CANDIDATO1,$C592,[0]!MUNICIPIO1,$B$587)</f>
        <v>0</v>
      </c>
      <c r="P592" s="16">
        <f>SUMIFS([0]!VOTOS2,[0]!TURNO1,P$31,[0]!CANDIDATO1,$C592,[0]!MUNICIPIO1,$B$587)</f>
        <v>0</v>
      </c>
      <c r="Q592" s="16">
        <f>SUMIFS([0]!VOTOS2,[0]!TURNO1,Q$31,[0]!CANDIDATO1,$C592,[0]!MUNICIPIO1,$B$587)</f>
        <v>0</v>
      </c>
      <c r="R592" s="16">
        <f>SUMIFS([0]!VOTOS2,[0]!TURNO1,R$31,[0]!CANDIDATO1,$C592,[0]!MUNICIPIO1,$B$587)</f>
        <v>0</v>
      </c>
      <c r="S592" s="16">
        <f>SUMIFS([0]!VOTOS2,[0]!TURNO1,S$31,[0]!CANDIDATO1,$C592,[0]!MUNICIPIO1,$B$587)</f>
        <v>0</v>
      </c>
      <c r="T592" s="16">
        <f>SUMIFS([0]!VOTOS2,[0]!TURNO1,T$31,[0]!CANDIDATO1,$C592,[0]!MUNICIPIO1,$B$587)</f>
        <v>0</v>
      </c>
      <c r="U592" s="16">
        <f>SUMIFS([0]!VOTOS2,[0]!TURNO1,U$31,[0]!CANDIDATO1,$C592,[0]!MUNICIPIO1,$B$587)</f>
        <v>0</v>
      </c>
      <c r="V592" s="16">
        <f>SUMIFS([0]!VOTOS2,[0]!TURNO1,V$31,[0]!CANDIDATO1,$C592,[0]!MUNICIPIO1,$B$587)</f>
        <v>0</v>
      </c>
      <c r="W592" s="16">
        <f>SUMIFS([0]!VOTOS2,[0]!TURNO1,W$31,[0]!CANDIDATO1,$C592,[0]!MUNICIPIO1,$B$587)</f>
        <v>0</v>
      </c>
      <c r="X592" s="24"/>
      <c r="Y592" s="18" t="str">
        <f t="shared" si="1385"/>
        <v>ASDRUBAL CEDEÑO</v>
      </c>
      <c r="Z592" s="34">
        <f t="shared" si="1386"/>
        <v>0</v>
      </c>
      <c r="AA592" s="34">
        <f t="shared" si="1387"/>
        <v>0</v>
      </c>
      <c r="AB592" s="34" t="e">
        <f t="shared" ref="AB592:AR592" si="1398">IF(SUM(G587:G599)=0,NA(),G592+AA592)</f>
        <v>#N/A</v>
      </c>
      <c r="AC592" s="34" t="e">
        <f t="shared" si="1398"/>
        <v>#N/A</v>
      </c>
      <c r="AD592" s="34" t="e">
        <f t="shared" si="1398"/>
        <v>#N/A</v>
      </c>
      <c r="AE592" s="34" t="e">
        <f t="shared" si="1398"/>
        <v>#N/A</v>
      </c>
      <c r="AF592" s="34" t="e">
        <f t="shared" si="1398"/>
        <v>#N/A</v>
      </c>
      <c r="AG592" s="34" t="e">
        <f t="shared" si="1398"/>
        <v>#N/A</v>
      </c>
      <c r="AH592" s="34" t="e">
        <f t="shared" si="1398"/>
        <v>#N/A</v>
      </c>
      <c r="AI592" s="34" t="e">
        <f t="shared" si="1398"/>
        <v>#N/A</v>
      </c>
      <c r="AJ592" s="34" t="e">
        <f t="shared" si="1398"/>
        <v>#N/A</v>
      </c>
      <c r="AK592" s="34" t="e">
        <f t="shared" si="1398"/>
        <v>#N/A</v>
      </c>
      <c r="AL592" s="34" t="e">
        <f t="shared" si="1398"/>
        <v>#N/A</v>
      </c>
      <c r="AM592" s="34" t="e">
        <f t="shared" si="1398"/>
        <v>#N/A</v>
      </c>
      <c r="AN592" s="34" t="e">
        <f t="shared" si="1398"/>
        <v>#N/A</v>
      </c>
      <c r="AO592" s="34" t="e">
        <f t="shared" si="1398"/>
        <v>#N/A</v>
      </c>
      <c r="AP592" s="34" t="e">
        <f t="shared" si="1398"/>
        <v>#N/A</v>
      </c>
      <c r="AQ592" s="34" t="e">
        <f t="shared" si="1398"/>
        <v>#N/A</v>
      </c>
      <c r="AR592" s="34" t="e">
        <f t="shared" si="1398"/>
        <v>#N/A</v>
      </c>
      <c r="AS592" s="27"/>
      <c r="AT592" s="39"/>
      <c r="AU592" s="39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30"/>
    </row>
    <row r="593" spans="1:66" ht="11.25" customHeight="1" x14ac:dyDescent="0.2">
      <c r="A593" s="42"/>
      <c r="B593" s="74"/>
      <c r="C593" s="33">
        <v>7</v>
      </c>
      <c r="D593" s="13" t="s">
        <v>401</v>
      </c>
      <c r="E593" s="16">
        <f t="shared" si="1384"/>
        <v>0</v>
      </c>
      <c r="F593" s="16">
        <f>SUMIFS([0]!VOTOS2,[0]!TURNO1,F$31,[0]!CANDIDATO1,$C593,[0]!MUNICIPIO1,$B$587)</f>
        <v>0</v>
      </c>
      <c r="G593" s="16">
        <f>SUMIFS([0]!VOTOS2,[0]!TURNO1,G$31,[0]!CANDIDATO1,$C593,[0]!MUNICIPIO1,$B$587)</f>
        <v>0</v>
      </c>
      <c r="H593" s="16">
        <f>SUMIFS([0]!VOTOS2,[0]!TURNO1,H$31,[0]!CANDIDATO1,$C593,[0]!MUNICIPIO1,$B$587)</f>
        <v>0</v>
      </c>
      <c r="I593" s="16">
        <f>SUMIFS([0]!VOTOS2,[0]!TURNO1,I$31,[0]!CANDIDATO1,$C593,[0]!MUNICIPIO1,$B$587)</f>
        <v>0</v>
      </c>
      <c r="J593" s="16">
        <f>SUMIFS([0]!VOTOS2,[0]!TURNO1,J$31,[0]!CANDIDATO1,$C593,[0]!MUNICIPIO1,$B$587)</f>
        <v>0</v>
      </c>
      <c r="K593" s="16">
        <f>SUMIFS([0]!VOTOS2,[0]!TURNO1,K$31,[0]!CANDIDATO1,$C593,[0]!MUNICIPIO1,$B$587)</f>
        <v>0</v>
      </c>
      <c r="L593" s="16">
        <f>SUMIFS([0]!VOTOS2,[0]!TURNO1,L$31,[0]!CANDIDATO1,$C593,[0]!MUNICIPIO1,$B$587)</f>
        <v>0</v>
      </c>
      <c r="M593" s="16">
        <f>SUMIFS([0]!VOTOS2,[0]!TURNO1,M$31,[0]!CANDIDATO1,$C593,[0]!MUNICIPIO1,$B$587)</f>
        <v>0</v>
      </c>
      <c r="N593" s="16">
        <f>SUMIFS([0]!VOTOS2,[0]!TURNO1,N$31,[0]!CANDIDATO1,$C593,[0]!MUNICIPIO1,$B$587)</f>
        <v>0</v>
      </c>
      <c r="O593" s="16">
        <f>SUMIFS([0]!VOTOS2,[0]!TURNO1,O$31,[0]!CANDIDATO1,$C593,[0]!MUNICIPIO1,$B$587)</f>
        <v>0</v>
      </c>
      <c r="P593" s="16">
        <f>SUMIFS([0]!VOTOS2,[0]!TURNO1,P$31,[0]!CANDIDATO1,$C593,[0]!MUNICIPIO1,$B$587)</f>
        <v>0</v>
      </c>
      <c r="Q593" s="16">
        <f>SUMIFS([0]!VOTOS2,[0]!TURNO1,Q$31,[0]!CANDIDATO1,$C593,[0]!MUNICIPIO1,$B$587)</f>
        <v>0</v>
      </c>
      <c r="R593" s="16">
        <f>SUMIFS([0]!VOTOS2,[0]!TURNO1,R$31,[0]!CANDIDATO1,$C593,[0]!MUNICIPIO1,$B$587)</f>
        <v>0</v>
      </c>
      <c r="S593" s="16">
        <f>SUMIFS([0]!VOTOS2,[0]!TURNO1,S$31,[0]!CANDIDATO1,$C593,[0]!MUNICIPIO1,$B$587)</f>
        <v>0</v>
      </c>
      <c r="T593" s="16">
        <f>SUMIFS([0]!VOTOS2,[0]!TURNO1,T$31,[0]!CANDIDATO1,$C593,[0]!MUNICIPIO1,$B$587)</f>
        <v>0</v>
      </c>
      <c r="U593" s="16">
        <f>SUMIFS([0]!VOTOS2,[0]!TURNO1,U$31,[0]!CANDIDATO1,$C593,[0]!MUNICIPIO1,$B$587)</f>
        <v>0</v>
      </c>
      <c r="V593" s="16">
        <f>SUMIFS([0]!VOTOS2,[0]!TURNO1,V$31,[0]!CANDIDATO1,$C593,[0]!MUNICIPIO1,$B$587)</f>
        <v>0</v>
      </c>
      <c r="W593" s="16">
        <f>SUMIFS([0]!VOTOS2,[0]!TURNO1,W$31,[0]!CANDIDATO1,$C593,[0]!MUNICIPIO1,$B$587)</f>
        <v>0</v>
      </c>
      <c r="X593" s="24"/>
      <c r="Y593" s="18" t="str">
        <f t="shared" si="1385"/>
        <v>ROSAURO CARBILLO</v>
      </c>
      <c r="Z593" s="34">
        <f t="shared" si="1386"/>
        <v>0</v>
      </c>
      <c r="AA593" s="34">
        <f t="shared" si="1387"/>
        <v>0</v>
      </c>
      <c r="AB593" s="34" t="e">
        <f t="shared" ref="AB593:AR593" si="1399">IF(SUM(G587:G599)=0,NA(),G593+AA593)</f>
        <v>#N/A</v>
      </c>
      <c r="AC593" s="34" t="e">
        <f t="shared" si="1399"/>
        <v>#N/A</v>
      </c>
      <c r="AD593" s="34" t="e">
        <f t="shared" si="1399"/>
        <v>#N/A</v>
      </c>
      <c r="AE593" s="34" t="e">
        <f t="shared" si="1399"/>
        <v>#N/A</v>
      </c>
      <c r="AF593" s="34" t="e">
        <f t="shared" si="1399"/>
        <v>#N/A</v>
      </c>
      <c r="AG593" s="34" t="e">
        <f t="shared" si="1399"/>
        <v>#N/A</v>
      </c>
      <c r="AH593" s="34" t="e">
        <f t="shared" si="1399"/>
        <v>#N/A</v>
      </c>
      <c r="AI593" s="34" t="e">
        <f t="shared" si="1399"/>
        <v>#N/A</v>
      </c>
      <c r="AJ593" s="34" t="e">
        <f t="shared" si="1399"/>
        <v>#N/A</v>
      </c>
      <c r="AK593" s="34" t="e">
        <f t="shared" si="1399"/>
        <v>#N/A</v>
      </c>
      <c r="AL593" s="34" t="e">
        <f t="shared" si="1399"/>
        <v>#N/A</v>
      </c>
      <c r="AM593" s="34" t="e">
        <f t="shared" si="1399"/>
        <v>#N/A</v>
      </c>
      <c r="AN593" s="34" t="e">
        <f t="shared" si="1399"/>
        <v>#N/A</v>
      </c>
      <c r="AO593" s="34" t="e">
        <f t="shared" si="1399"/>
        <v>#N/A</v>
      </c>
      <c r="AP593" s="34" t="e">
        <f t="shared" si="1399"/>
        <v>#N/A</v>
      </c>
      <c r="AQ593" s="34" t="e">
        <f t="shared" si="1399"/>
        <v>#N/A</v>
      </c>
      <c r="AR593" s="34" t="e">
        <f t="shared" si="1399"/>
        <v>#N/A</v>
      </c>
      <c r="AS593" s="27"/>
      <c r="AT593" s="39"/>
      <c r="AU593" s="39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30"/>
    </row>
    <row r="594" spans="1:66" ht="11.25" customHeight="1" x14ac:dyDescent="0.2">
      <c r="A594" s="44"/>
      <c r="B594" s="45"/>
      <c r="C594" s="46">
        <v>8</v>
      </c>
      <c r="D594" s="14" t="s">
        <v>76</v>
      </c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24"/>
      <c r="Y594" s="18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27"/>
      <c r="AT594" s="41"/>
      <c r="AU594" s="41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30"/>
    </row>
    <row r="595" spans="1:66" ht="11.25" customHeight="1" x14ac:dyDescent="0.2">
      <c r="A595" s="44"/>
      <c r="B595" s="45"/>
      <c r="C595" s="46">
        <v>9</v>
      </c>
      <c r="D595" s="14" t="s">
        <v>76</v>
      </c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24"/>
      <c r="Y595" s="18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27"/>
      <c r="AT595" s="41"/>
      <c r="AU595" s="41"/>
      <c r="AV595" s="43"/>
      <c r="AW595" s="43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30"/>
    </row>
    <row r="596" spans="1:66" ht="11.25" customHeight="1" x14ac:dyDescent="0.2">
      <c r="A596" s="44"/>
      <c r="B596" s="45"/>
      <c r="C596" s="46">
        <v>10</v>
      </c>
      <c r="D596" s="14" t="s">
        <v>76</v>
      </c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24"/>
      <c r="Y596" s="18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27"/>
      <c r="AT596" s="41"/>
      <c r="AU596" s="41"/>
      <c r="AV596" s="43"/>
      <c r="AW596" s="43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/>
      <c r="BK596" s="43"/>
      <c r="BL596" s="43"/>
      <c r="BM596" s="43"/>
      <c r="BN596" s="30"/>
    </row>
    <row r="597" spans="1:66" ht="11.25" customHeight="1" x14ac:dyDescent="0.2">
      <c r="A597" s="44"/>
      <c r="B597" s="45"/>
      <c r="C597" s="46">
        <v>11</v>
      </c>
      <c r="D597" s="14" t="s">
        <v>76</v>
      </c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24"/>
      <c r="Y597" s="18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27"/>
      <c r="AT597" s="41"/>
      <c r="AU597" s="41"/>
      <c r="AV597" s="43"/>
      <c r="AW597" s="43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  <c r="BL597" s="43"/>
      <c r="BM597" s="43"/>
      <c r="BN597" s="30"/>
    </row>
    <row r="598" spans="1:66" ht="11.25" customHeight="1" x14ac:dyDescent="0.2">
      <c r="A598" s="44"/>
      <c r="B598" s="45"/>
      <c r="C598" s="46">
        <v>12</v>
      </c>
      <c r="D598" s="14" t="s">
        <v>76</v>
      </c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24"/>
      <c r="Y598" s="18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27"/>
      <c r="AT598" s="41"/>
      <c r="AU598" s="41"/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  <c r="BL598" s="43"/>
      <c r="BM598" s="43"/>
      <c r="BN598" s="30"/>
    </row>
    <row r="599" spans="1:66" ht="11.25" customHeight="1" x14ac:dyDescent="0.2">
      <c r="A599" s="44"/>
      <c r="B599" s="45"/>
      <c r="C599" s="46">
        <v>13</v>
      </c>
      <c r="D599" s="14" t="s">
        <v>76</v>
      </c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24"/>
      <c r="Y599" s="18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27"/>
      <c r="AT599" s="41"/>
      <c r="AU599" s="41"/>
      <c r="AV599" s="43"/>
      <c r="AW599" s="43"/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  <c r="BL599" s="43"/>
      <c r="BM599" s="43"/>
      <c r="BN599" s="30"/>
    </row>
    <row r="600" spans="1:66" ht="11.25" customHeight="1" x14ac:dyDescent="0.2">
      <c r="X600" s="24"/>
      <c r="Y600" s="19" t="s">
        <v>79</v>
      </c>
      <c r="Z600" s="34">
        <f t="shared" ref="Z600" si="1400">SUM(Z589:Z599)</f>
        <v>0</v>
      </c>
      <c r="AA600" s="34">
        <f t="shared" ref="AA600" si="1401">SUM(AA589:AA599)</f>
        <v>0</v>
      </c>
      <c r="AB600" s="34" t="e">
        <f t="shared" ref="AB600" si="1402">SUM(AB589:AB599)</f>
        <v>#N/A</v>
      </c>
      <c r="AC600" s="34" t="e">
        <f t="shared" ref="AC600" si="1403">SUM(AC589:AC599)</f>
        <v>#N/A</v>
      </c>
      <c r="AD600" s="34" t="e">
        <f t="shared" ref="AD600" si="1404">SUM(AD589:AD599)</f>
        <v>#N/A</v>
      </c>
      <c r="AE600" s="34" t="e">
        <f t="shared" ref="AE600" si="1405">SUM(AE589:AE599)</f>
        <v>#N/A</v>
      </c>
      <c r="AF600" s="34" t="e">
        <f t="shared" ref="AF600" si="1406">SUM(AF589:AF599)</f>
        <v>#N/A</v>
      </c>
      <c r="AG600" s="34" t="e">
        <f t="shared" ref="AG600" si="1407">SUM(AG589:AG599)</f>
        <v>#N/A</v>
      </c>
      <c r="AH600" s="34" t="e">
        <f t="shared" ref="AH600" si="1408">SUM(AH589:AH599)</f>
        <v>#N/A</v>
      </c>
      <c r="AI600" s="34" t="e">
        <f t="shared" ref="AI600" si="1409">SUM(AI589:AI599)</f>
        <v>#N/A</v>
      </c>
      <c r="AJ600" s="34" t="e">
        <f t="shared" ref="AJ600" si="1410">SUM(AJ589:AJ599)</f>
        <v>#N/A</v>
      </c>
      <c r="AK600" s="34" t="e">
        <f t="shared" ref="AK600" si="1411">SUM(AK589:AK599)</f>
        <v>#N/A</v>
      </c>
      <c r="AL600" s="34" t="e">
        <f t="shared" ref="AL600" si="1412">SUM(AL589:AL599)</f>
        <v>#N/A</v>
      </c>
      <c r="AM600" s="34" t="e">
        <f t="shared" ref="AM600" si="1413">SUM(AM589:AM599)</f>
        <v>#N/A</v>
      </c>
      <c r="AN600" s="34" t="e">
        <f t="shared" ref="AN600" si="1414">SUM(AN589:AN599)</f>
        <v>#N/A</v>
      </c>
      <c r="AO600" s="34" t="e">
        <f t="shared" ref="AO600" si="1415">SUM(AO589:AO599)</f>
        <v>#N/A</v>
      </c>
      <c r="AP600" s="34" t="e">
        <f t="shared" ref="AP600" si="1416">SUM(AP589:AP599)</f>
        <v>#N/A</v>
      </c>
      <c r="AQ600" s="34" t="e">
        <f t="shared" ref="AQ600" si="1417">SUM(AQ589:AQ599)</f>
        <v>#N/A</v>
      </c>
      <c r="AR600" s="34" t="e">
        <f t="shared" ref="AR600" si="1418">SUM(AR589:AR599)</f>
        <v>#N/A</v>
      </c>
      <c r="AS600" s="27"/>
      <c r="AT600" s="41"/>
      <c r="AU600" s="41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30"/>
    </row>
    <row r="601" spans="1:66" ht="11.25" customHeight="1" x14ac:dyDescent="0.2">
      <c r="A601" s="75" t="s">
        <v>63</v>
      </c>
      <c r="B601" s="76"/>
      <c r="C601" s="21"/>
      <c r="D601" s="22" t="s">
        <v>75</v>
      </c>
      <c r="E601" s="23" t="s">
        <v>70</v>
      </c>
      <c r="F601" s="23">
        <v>0</v>
      </c>
      <c r="G601" s="23">
        <v>1</v>
      </c>
      <c r="H601" s="23">
        <v>2</v>
      </c>
      <c r="I601" s="23">
        <v>3</v>
      </c>
      <c r="J601" s="23">
        <v>4</v>
      </c>
      <c r="K601" s="23">
        <v>5</v>
      </c>
      <c r="L601" s="23">
        <v>6</v>
      </c>
      <c r="M601" s="23">
        <v>7</v>
      </c>
      <c r="N601" s="23">
        <v>8</v>
      </c>
      <c r="O601" s="23">
        <v>9</v>
      </c>
      <c r="P601" s="23">
        <v>10</v>
      </c>
      <c r="Q601" s="23">
        <v>11</v>
      </c>
      <c r="R601" s="23">
        <v>12</v>
      </c>
      <c r="S601" s="23">
        <v>13</v>
      </c>
      <c r="T601" s="23">
        <v>14</v>
      </c>
      <c r="U601" s="23">
        <v>15</v>
      </c>
      <c r="V601" s="23">
        <v>16</v>
      </c>
      <c r="W601" s="23">
        <v>17</v>
      </c>
      <c r="X601" s="24"/>
      <c r="Y601" s="17"/>
      <c r="Z601" s="25" t="s">
        <v>64</v>
      </c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7"/>
      <c r="AT601" s="28"/>
      <c r="AU601" s="28" t="s">
        <v>64</v>
      </c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30"/>
    </row>
    <row r="602" spans="1:66" ht="11.25" customHeight="1" x14ac:dyDescent="0.2">
      <c r="A602" s="32"/>
      <c r="B602" s="72">
        <v>41</v>
      </c>
      <c r="C602" s="33">
        <v>1</v>
      </c>
      <c r="D602" s="13" t="s">
        <v>402</v>
      </c>
      <c r="E602" s="16">
        <f t="shared" ref="E602:E609" si="1419">SUM(F602:W602)</f>
        <v>10</v>
      </c>
      <c r="F602" s="16">
        <f>SUMIFS([0]!VOTOS2,[0]!TURNO1,F$31,[0]!CANDIDATO1,$C602,[0]!MUNICIPIO1,$B$602)</f>
        <v>10</v>
      </c>
      <c r="G602" s="16">
        <f>SUMIFS([0]!VOTOS2,[0]!TURNO1,G$31,[0]!CANDIDATO1,$C602,[0]!MUNICIPIO1,$B$602)</f>
        <v>0</v>
      </c>
      <c r="H602" s="16">
        <f>SUMIFS([0]!VOTOS2,[0]!TURNO1,H$31,[0]!CANDIDATO1,$C602,[0]!MUNICIPIO1,$B$602)</f>
        <v>0</v>
      </c>
      <c r="I602" s="16">
        <f>SUMIFS([0]!VOTOS2,[0]!TURNO1,I$31,[0]!CANDIDATO1,$C602,[0]!MUNICIPIO1,$B$602)</f>
        <v>0</v>
      </c>
      <c r="J602" s="16">
        <f>SUMIFS([0]!VOTOS2,[0]!TURNO1,J$31,[0]!CANDIDATO1,$C602,[0]!MUNICIPIO1,$B$602)</f>
        <v>0</v>
      </c>
      <c r="K602" s="16">
        <f>SUMIFS([0]!VOTOS2,[0]!TURNO1,K$31,[0]!CANDIDATO1,$C602,[0]!MUNICIPIO1,$B$602)</f>
        <v>0</v>
      </c>
      <c r="L602" s="16">
        <f>SUMIFS([0]!VOTOS2,[0]!TURNO1,L$31,[0]!CANDIDATO1,$C602,[0]!MUNICIPIO1,$B$602)</f>
        <v>0</v>
      </c>
      <c r="M602" s="16">
        <f>SUMIFS([0]!VOTOS2,[0]!TURNO1,M$31,[0]!CANDIDATO1,$C602,[0]!MUNICIPIO1,$B$602)</f>
        <v>0</v>
      </c>
      <c r="N602" s="16">
        <f>SUMIFS([0]!VOTOS2,[0]!TURNO1,N$31,[0]!CANDIDATO1,$C602,[0]!MUNICIPIO1,$B$602)</f>
        <v>0</v>
      </c>
      <c r="O602" s="16">
        <f>SUMIFS([0]!VOTOS2,[0]!TURNO1,O$31,[0]!CANDIDATO1,$C602,[0]!MUNICIPIO1,$B$602)</f>
        <v>0</v>
      </c>
      <c r="P602" s="16">
        <f>SUMIFS([0]!VOTOS2,[0]!TURNO1,P$31,[0]!CANDIDATO1,$C602,[0]!MUNICIPIO1,$B$602)</f>
        <v>0</v>
      </c>
      <c r="Q602" s="16">
        <f>SUMIFS([0]!VOTOS2,[0]!TURNO1,Q$31,[0]!CANDIDATO1,$C602,[0]!MUNICIPIO1,$B$602)</f>
        <v>0</v>
      </c>
      <c r="R602" s="16">
        <f>SUMIFS([0]!VOTOS2,[0]!TURNO1,R$31,[0]!CANDIDATO1,$C602,[0]!MUNICIPIO1,$B$602)</f>
        <v>0</v>
      </c>
      <c r="S602" s="16">
        <f>SUMIFS([0]!VOTOS2,[0]!TURNO1,S$31,[0]!CANDIDATO1,$C602,[0]!MUNICIPIO1,$B$602)</f>
        <v>0</v>
      </c>
      <c r="T602" s="16">
        <f>SUMIFS([0]!VOTOS2,[0]!TURNO1,T$31,[0]!CANDIDATO1,$C602,[0]!MUNICIPIO1,$B$602)</f>
        <v>0</v>
      </c>
      <c r="U602" s="16">
        <f>SUMIFS([0]!VOTOS2,[0]!TURNO1,U$31,[0]!CANDIDATO1,$C602,[0]!MUNICIPIO1,$B$602)</f>
        <v>0</v>
      </c>
      <c r="V602" s="16">
        <f>SUMIFS([0]!VOTOS2,[0]!TURNO1,V$31,[0]!CANDIDATO1,$C602,[0]!MUNICIPIO1,$B$602)</f>
        <v>0</v>
      </c>
      <c r="W602" s="16">
        <f>SUMIFS([0]!VOTOS2,[0]!TURNO1,W$31,[0]!CANDIDATO1,$C602,[0]!MUNICIPIO1,$B$602)</f>
        <v>0</v>
      </c>
      <c r="X602" s="24"/>
      <c r="Y602" s="18" t="str">
        <f t="shared" ref="Y602:Y609" si="1420">D602</f>
        <v>DAVID VELASQUEZ</v>
      </c>
      <c r="Z602" s="34">
        <f t="shared" ref="Z602:Z609" si="1421">E602</f>
        <v>10</v>
      </c>
      <c r="AA602" s="34">
        <f t="shared" ref="AA602:AA609" si="1422">F602</f>
        <v>10</v>
      </c>
      <c r="AB602" s="34" t="e">
        <f t="shared" ref="AB602:AR602" si="1423">IF(SUM(G602:G614)=0,NA(),G602+AA602)</f>
        <v>#N/A</v>
      </c>
      <c r="AC602" s="34" t="e">
        <f t="shared" si="1423"/>
        <v>#N/A</v>
      </c>
      <c r="AD602" s="34" t="e">
        <f t="shared" si="1423"/>
        <v>#N/A</v>
      </c>
      <c r="AE602" s="34" t="e">
        <f t="shared" si="1423"/>
        <v>#N/A</v>
      </c>
      <c r="AF602" s="34" t="e">
        <f t="shared" si="1423"/>
        <v>#N/A</v>
      </c>
      <c r="AG602" s="34" t="e">
        <f t="shared" si="1423"/>
        <v>#N/A</v>
      </c>
      <c r="AH602" s="34" t="e">
        <f t="shared" si="1423"/>
        <v>#N/A</v>
      </c>
      <c r="AI602" s="34" t="e">
        <f t="shared" si="1423"/>
        <v>#N/A</v>
      </c>
      <c r="AJ602" s="34" t="e">
        <f t="shared" si="1423"/>
        <v>#N/A</v>
      </c>
      <c r="AK602" s="34" t="e">
        <f t="shared" si="1423"/>
        <v>#N/A</v>
      </c>
      <c r="AL602" s="34" t="e">
        <f t="shared" si="1423"/>
        <v>#N/A</v>
      </c>
      <c r="AM602" s="34" t="e">
        <f t="shared" si="1423"/>
        <v>#N/A</v>
      </c>
      <c r="AN602" s="34" t="e">
        <f t="shared" si="1423"/>
        <v>#N/A</v>
      </c>
      <c r="AO602" s="34" t="e">
        <f t="shared" si="1423"/>
        <v>#N/A</v>
      </c>
      <c r="AP602" s="34" t="e">
        <f t="shared" si="1423"/>
        <v>#N/A</v>
      </c>
      <c r="AQ602" s="34" t="e">
        <f t="shared" si="1423"/>
        <v>#N/A</v>
      </c>
      <c r="AR602" s="34" t="e">
        <f t="shared" si="1423"/>
        <v>#N/A</v>
      </c>
      <c r="AS602" s="27"/>
      <c r="AT602" s="35" t="str">
        <f t="shared" ref="AT602:AT603" si="1424">Y602</f>
        <v>DAVID VELASQUEZ</v>
      </c>
      <c r="AU602" s="36">
        <f t="shared" ref="AU602:BM602" si="1425">Z602/(Z602+Z603+Z615)</f>
        <v>0.5</v>
      </c>
      <c r="AV602" s="36">
        <f t="shared" si="1425"/>
        <v>0.5</v>
      </c>
      <c r="AW602" s="36" t="e">
        <f t="shared" si="1425"/>
        <v>#N/A</v>
      </c>
      <c r="AX602" s="36" t="e">
        <f t="shared" si="1425"/>
        <v>#N/A</v>
      </c>
      <c r="AY602" s="36" t="e">
        <f t="shared" si="1425"/>
        <v>#N/A</v>
      </c>
      <c r="AZ602" s="36" t="e">
        <f t="shared" si="1425"/>
        <v>#N/A</v>
      </c>
      <c r="BA602" s="36" t="e">
        <f t="shared" si="1425"/>
        <v>#N/A</v>
      </c>
      <c r="BB602" s="36" t="e">
        <f t="shared" si="1425"/>
        <v>#N/A</v>
      </c>
      <c r="BC602" s="36" t="e">
        <f t="shared" si="1425"/>
        <v>#N/A</v>
      </c>
      <c r="BD602" s="36" t="e">
        <f t="shared" si="1425"/>
        <v>#N/A</v>
      </c>
      <c r="BE602" s="36" t="e">
        <f t="shared" si="1425"/>
        <v>#N/A</v>
      </c>
      <c r="BF602" s="36" t="e">
        <f t="shared" si="1425"/>
        <v>#N/A</v>
      </c>
      <c r="BG602" s="36" t="e">
        <f t="shared" si="1425"/>
        <v>#N/A</v>
      </c>
      <c r="BH602" s="36" t="e">
        <f t="shared" si="1425"/>
        <v>#N/A</v>
      </c>
      <c r="BI602" s="36" t="e">
        <f t="shared" si="1425"/>
        <v>#N/A</v>
      </c>
      <c r="BJ602" s="36" t="e">
        <f t="shared" si="1425"/>
        <v>#N/A</v>
      </c>
      <c r="BK602" s="36" t="e">
        <f t="shared" si="1425"/>
        <v>#N/A</v>
      </c>
      <c r="BL602" s="36" t="e">
        <f t="shared" si="1425"/>
        <v>#N/A</v>
      </c>
      <c r="BM602" s="36" t="e">
        <f t="shared" si="1425"/>
        <v>#N/A</v>
      </c>
      <c r="BN602" s="30"/>
    </row>
    <row r="603" spans="1:66" ht="11.25" customHeight="1" x14ac:dyDescent="0.2">
      <c r="A603" s="37"/>
      <c r="B603" s="73"/>
      <c r="C603" s="33">
        <v>2</v>
      </c>
      <c r="D603" s="13" t="s">
        <v>403</v>
      </c>
      <c r="E603" s="16">
        <f t="shared" si="1419"/>
        <v>10</v>
      </c>
      <c r="F603" s="16">
        <f>SUMIFS([0]!VOTOS2,[0]!TURNO1,F$31,[0]!CANDIDATO1,$C603,[0]!MUNICIPIO1,$B$602)</f>
        <v>10</v>
      </c>
      <c r="G603" s="16">
        <f>SUMIFS([0]!VOTOS2,[0]!TURNO1,G$31,[0]!CANDIDATO1,$C603,[0]!MUNICIPIO1,$B$602)</f>
        <v>0</v>
      </c>
      <c r="H603" s="16">
        <f>SUMIFS([0]!VOTOS2,[0]!TURNO1,H$31,[0]!CANDIDATO1,$C603,[0]!MUNICIPIO1,$B$602)</f>
        <v>0</v>
      </c>
      <c r="I603" s="16">
        <f>SUMIFS([0]!VOTOS2,[0]!TURNO1,I$31,[0]!CANDIDATO1,$C603,[0]!MUNICIPIO1,$B$602)</f>
        <v>0</v>
      </c>
      <c r="J603" s="16">
        <f>SUMIFS([0]!VOTOS2,[0]!TURNO1,J$31,[0]!CANDIDATO1,$C603,[0]!MUNICIPIO1,$B$602)</f>
        <v>0</v>
      </c>
      <c r="K603" s="16">
        <f>SUMIFS([0]!VOTOS2,[0]!TURNO1,K$31,[0]!CANDIDATO1,$C603,[0]!MUNICIPIO1,$B$602)</f>
        <v>0</v>
      </c>
      <c r="L603" s="16">
        <f>SUMIFS([0]!VOTOS2,[0]!TURNO1,L$31,[0]!CANDIDATO1,$C603,[0]!MUNICIPIO1,$B$602)</f>
        <v>0</v>
      </c>
      <c r="M603" s="16">
        <f>SUMIFS([0]!VOTOS2,[0]!TURNO1,M$31,[0]!CANDIDATO1,$C603,[0]!MUNICIPIO1,$B$602)</f>
        <v>0</v>
      </c>
      <c r="N603" s="16">
        <f>SUMIFS([0]!VOTOS2,[0]!TURNO1,N$31,[0]!CANDIDATO1,$C603,[0]!MUNICIPIO1,$B$602)</f>
        <v>0</v>
      </c>
      <c r="O603" s="16">
        <f>SUMIFS([0]!VOTOS2,[0]!TURNO1,O$31,[0]!CANDIDATO1,$C603,[0]!MUNICIPIO1,$B$602)</f>
        <v>0</v>
      </c>
      <c r="P603" s="16">
        <f>SUMIFS([0]!VOTOS2,[0]!TURNO1,P$31,[0]!CANDIDATO1,$C603,[0]!MUNICIPIO1,$B$602)</f>
        <v>0</v>
      </c>
      <c r="Q603" s="16">
        <f>SUMIFS([0]!VOTOS2,[0]!TURNO1,Q$31,[0]!CANDIDATO1,$C603,[0]!MUNICIPIO1,$B$602)</f>
        <v>0</v>
      </c>
      <c r="R603" s="16">
        <f>SUMIFS([0]!VOTOS2,[0]!TURNO1,R$31,[0]!CANDIDATO1,$C603,[0]!MUNICIPIO1,$B$602)</f>
        <v>0</v>
      </c>
      <c r="S603" s="16">
        <f>SUMIFS([0]!VOTOS2,[0]!TURNO1,S$31,[0]!CANDIDATO1,$C603,[0]!MUNICIPIO1,$B$602)</f>
        <v>0</v>
      </c>
      <c r="T603" s="16">
        <f>SUMIFS([0]!VOTOS2,[0]!TURNO1,T$31,[0]!CANDIDATO1,$C603,[0]!MUNICIPIO1,$B$602)</f>
        <v>0</v>
      </c>
      <c r="U603" s="16">
        <f>SUMIFS([0]!VOTOS2,[0]!TURNO1,U$31,[0]!CANDIDATO1,$C603,[0]!MUNICIPIO1,$B$602)</f>
        <v>0</v>
      </c>
      <c r="V603" s="16">
        <f>SUMIFS([0]!VOTOS2,[0]!TURNO1,V$31,[0]!CANDIDATO1,$C603,[0]!MUNICIPIO1,$B$602)</f>
        <v>0</v>
      </c>
      <c r="W603" s="16">
        <f>SUMIFS([0]!VOTOS2,[0]!TURNO1,W$31,[0]!CANDIDATO1,$C603,[0]!MUNICIPIO1,$B$602)</f>
        <v>0</v>
      </c>
      <c r="X603" s="24"/>
      <c r="Y603" s="18" t="str">
        <f t="shared" si="1420"/>
        <v>ROBERT ALCALA</v>
      </c>
      <c r="Z603" s="34">
        <f t="shared" si="1421"/>
        <v>10</v>
      </c>
      <c r="AA603" s="34">
        <f t="shared" si="1422"/>
        <v>10</v>
      </c>
      <c r="AB603" s="34" t="e">
        <f t="shared" ref="AB603:AR603" si="1426">IF(SUM(G602:G614)=0,NA(),G603+AA603)</f>
        <v>#N/A</v>
      </c>
      <c r="AC603" s="34" t="e">
        <f t="shared" si="1426"/>
        <v>#N/A</v>
      </c>
      <c r="AD603" s="34" t="e">
        <f t="shared" si="1426"/>
        <v>#N/A</v>
      </c>
      <c r="AE603" s="34" t="e">
        <f t="shared" si="1426"/>
        <v>#N/A</v>
      </c>
      <c r="AF603" s="34" t="e">
        <f t="shared" si="1426"/>
        <v>#N/A</v>
      </c>
      <c r="AG603" s="34" t="e">
        <f t="shared" si="1426"/>
        <v>#N/A</v>
      </c>
      <c r="AH603" s="34" t="e">
        <f t="shared" si="1426"/>
        <v>#N/A</v>
      </c>
      <c r="AI603" s="34" t="e">
        <f t="shared" si="1426"/>
        <v>#N/A</v>
      </c>
      <c r="AJ603" s="34" t="e">
        <f t="shared" si="1426"/>
        <v>#N/A</v>
      </c>
      <c r="AK603" s="34" t="e">
        <f t="shared" si="1426"/>
        <v>#N/A</v>
      </c>
      <c r="AL603" s="34" t="e">
        <f t="shared" si="1426"/>
        <v>#N/A</v>
      </c>
      <c r="AM603" s="34" t="e">
        <f t="shared" si="1426"/>
        <v>#N/A</v>
      </c>
      <c r="AN603" s="34" t="e">
        <f t="shared" si="1426"/>
        <v>#N/A</v>
      </c>
      <c r="AO603" s="34" t="e">
        <f t="shared" si="1426"/>
        <v>#N/A</v>
      </c>
      <c r="AP603" s="34" t="e">
        <f t="shared" si="1426"/>
        <v>#N/A</v>
      </c>
      <c r="AQ603" s="34" t="e">
        <f t="shared" si="1426"/>
        <v>#N/A</v>
      </c>
      <c r="AR603" s="34" t="e">
        <f t="shared" si="1426"/>
        <v>#N/A</v>
      </c>
      <c r="AS603" s="27"/>
      <c r="AT603" s="35" t="str">
        <f t="shared" si="1424"/>
        <v>ROBERT ALCALA</v>
      </c>
      <c r="AU603" s="36">
        <f t="shared" ref="AU603:BM603" si="1427">Z603/(Z602+Z603+Z615)</f>
        <v>0.5</v>
      </c>
      <c r="AV603" s="36">
        <f t="shared" si="1427"/>
        <v>0.5</v>
      </c>
      <c r="AW603" s="36" t="e">
        <f t="shared" si="1427"/>
        <v>#N/A</v>
      </c>
      <c r="AX603" s="36" t="e">
        <f t="shared" si="1427"/>
        <v>#N/A</v>
      </c>
      <c r="AY603" s="36" t="e">
        <f t="shared" si="1427"/>
        <v>#N/A</v>
      </c>
      <c r="AZ603" s="36" t="e">
        <f t="shared" si="1427"/>
        <v>#N/A</v>
      </c>
      <c r="BA603" s="36" t="e">
        <f t="shared" si="1427"/>
        <v>#N/A</v>
      </c>
      <c r="BB603" s="36" t="e">
        <f t="shared" si="1427"/>
        <v>#N/A</v>
      </c>
      <c r="BC603" s="36" t="e">
        <f t="shared" si="1427"/>
        <v>#N/A</v>
      </c>
      <c r="BD603" s="36" t="e">
        <f t="shared" si="1427"/>
        <v>#N/A</v>
      </c>
      <c r="BE603" s="36" t="e">
        <f t="shared" si="1427"/>
        <v>#N/A</v>
      </c>
      <c r="BF603" s="36" t="e">
        <f t="shared" si="1427"/>
        <v>#N/A</v>
      </c>
      <c r="BG603" s="36" t="e">
        <f t="shared" si="1427"/>
        <v>#N/A</v>
      </c>
      <c r="BH603" s="36" t="e">
        <f t="shared" si="1427"/>
        <v>#N/A</v>
      </c>
      <c r="BI603" s="36" t="e">
        <f t="shared" si="1427"/>
        <v>#N/A</v>
      </c>
      <c r="BJ603" s="36" t="e">
        <f t="shared" si="1427"/>
        <v>#N/A</v>
      </c>
      <c r="BK603" s="36" t="e">
        <f t="shared" si="1427"/>
        <v>#N/A</v>
      </c>
      <c r="BL603" s="36" t="e">
        <f t="shared" si="1427"/>
        <v>#N/A</v>
      </c>
      <c r="BM603" s="36" t="e">
        <f t="shared" si="1427"/>
        <v>#N/A</v>
      </c>
      <c r="BN603" s="30"/>
    </row>
    <row r="604" spans="1:66" ht="11.25" customHeight="1" x14ac:dyDescent="0.2">
      <c r="A604" s="37"/>
      <c r="B604" s="73"/>
      <c r="C604" s="33">
        <v>3</v>
      </c>
      <c r="D604" s="13" t="s">
        <v>404</v>
      </c>
      <c r="E604" s="16">
        <f t="shared" si="1419"/>
        <v>0</v>
      </c>
      <c r="F604" s="16">
        <f>SUMIFS([0]!VOTOS2,[0]!TURNO1,F$31,[0]!CANDIDATO1,$C604,[0]!MUNICIPIO1,$B$602)</f>
        <v>0</v>
      </c>
      <c r="G604" s="16">
        <f>SUMIFS([0]!VOTOS2,[0]!TURNO1,G$31,[0]!CANDIDATO1,$C604,[0]!MUNICIPIO1,$B$602)</f>
        <v>0</v>
      </c>
      <c r="H604" s="16">
        <f>SUMIFS([0]!VOTOS2,[0]!TURNO1,H$31,[0]!CANDIDATO1,$C604,[0]!MUNICIPIO1,$B$602)</f>
        <v>0</v>
      </c>
      <c r="I604" s="16">
        <f>SUMIFS([0]!VOTOS2,[0]!TURNO1,I$31,[0]!CANDIDATO1,$C604,[0]!MUNICIPIO1,$B$602)</f>
        <v>0</v>
      </c>
      <c r="J604" s="16">
        <f>SUMIFS([0]!VOTOS2,[0]!TURNO1,J$31,[0]!CANDIDATO1,$C604,[0]!MUNICIPIO1,$B$602)</f>
        <v>0</v>
      </c>
      <c r="K604" s="16">
        <f>SUMIFS([0]!VOTOS2,[0]!TURNO1,K$31,[0]!CANDIDATO1,$C604,[0]!MUNICIPIO1,$B$602)</f>
        <v>0</v>
      </c>
      <c r="L604" s="16">
        <f>SUMIFS([0]!VOTOS2,[0]!TURNO1,L$31,[0]!CANDIDATO1,$C604,[0]!MUNICIPIO1,$B$602)</f>
        <v>0</v>
      </c>
      <c r="M604" s="16">
        <f>SUMIFS([0]!VOTOS2,[0]!TURNO1,M$31,[0]!CANDIDATO1,$C604,[0]!MUNICIPIO1,$B$602)</f>
        <v>0</v>
      </c>
      <c r="N604" s="16">
        <f>SUMIFS([0]!VOTOS2,[0]!TURNO1,N$31,[0]!CANDIDATO1,$C604,[0]!MUNICIPIO1,$B$602)</f>
        <v>0</v>
      </c>
      <c r="O604" s="16">
        <f>SUMIFS([0]!VOTOS2,[0]!TURNO1,O$31,[0]!CANDIDATO1,$C604,[0]!MUNICIPIO1,$B$602)</f>
        <v>0</v>
      </c>
      <c r="P604" s="16">
        <f>SUMIFS([0]!VOTOS2,[0]!TURNO1,P$31,[0]!CANDIDATO1,$C604,[0]!MUNICIPIO1,$B$602)</f>
        <v>0</v>
      </c>
      <c r="Q604" s="16">
        <f>SUMIFS([0]!VOTOS2,[0]!TURNO1,Q$31,[0]!CANDIDATO1,$C604,[0]!MUNICIPIO1,$B$602)</f>
        <v>0</v>
      </c>
      <c r="R604" s="16">
        <f>SUMIFS([0]!VOTOS2,[0]!TURNO1,R$31,[0]!CANDIDATO1,$C604,[0]!MUNICIPIO1,$B$602)</f>
        <v>0</v>
      </c>
      <c r="S604" s="16">
        <f>SUMIFS([0]!VOTOS2,[0]!TURNO1,S$31,[0]!CANDIDATO1,$C604,[0]!MUNICIPIO1,$B$602)</f>
        <v>0</v>
      </c>
      <c r="T604" s="16">
        <f>SUMIFS([0]!VOTOS2,[0]!TURNO1,T$31,[0]!CANDIDATO1,$C604,[0]!MUNICIPIO1,$B$602)</f>
        <v>0</v>
      </c>
      <c r="U604" s="16">
        <f>SUMIFS([0]!VOTOS2,[0]!TURNO1,U$31,[0]!CANDIDATO1,$C604,[0]!MUNICIPIO1,$B$602)</f>
        <v>0</v>
      </c>
      <c r="V604" s="16">
        <f>SUMIFS([0]!VOTOS2,[0]!TURNO1,V$31,[0]!CANDIDATO1,$C604,[0]!MUNICIPIO1,$B$602)</f>
        <v>0</v>
      </c>
      <c r="W604" s="16">
        <f>SUMIFS([0]!VOTOS2,[0]!TURNO1,W$31,[0]!CANDIDATO1,$C604,[0]!MUNICIPIO1,$B$602)</f>
        <v>0</v>
      </c>
      <c r="X604" s="24"/>
      <c r="Y604" s="18" t="str">
        <f t="shared" si="1420"/>
        <v>JOSE DIAZ BRITO</v>
      </c>
      <c r="Z604" s="34">
        <f t="shared" si="1421"/>
        <v>0</v>
      </c>
      <c r="AA604" s="34">
        <f t="shared" si="1422"/>
        <v>0</v>
      </c>
      <c r="AB604" s="34" t="e">
        <f t="shared" ref="AB604:AR604" si="1428">IF(SUM(G602:G614)=0,NA(),G604+AA604)</f>
        <v>#N/A</v>
      </c>
      <c r="AC604" s="34" t="e">
        <f t="shared" si="1428"/>
        <v>#N/A</v>
      </c>
      <c r="AD604" s="34" t="e">
        <f t="shared" si="1428"/>
        <v>#N/A</v>
      </c>
      <c r="AE604" s="34" t="e">
        <f t="shared" si="1428"/>
        <v>#N/A</v>
      </c>
      <c r="AF604" s="34" t="e">
        <f t="shared" si="1428"/>
        <v>#N/A</v>
      </c>
      <c r="AG604" s="34" t="e">
        <f t="shared" si="1428"/>
        <v>#N/A</v>
      </c>
      <c r="AH604" s="34" t="e">
        <f t="shared" si="1428"/>
        <v>#N/A</v>
      </c>
      <c r="AI604" s="34" t="e">
        <f t="shared" si="1428"/>
        <v>#N/A</v>
      </c>
      <c r="AJ604" s="34" t="e">
        <f t="shared" si="1428"/>
        <v>#N/A</v>
      </c>
      <c r="AK604" s="34" t="e">
        <f t="shared" si="1428"/>
        <v>#N/A</v>
      </c>
      <c r="AL604" s="34" t="e">
        <f t="shared" si="1428"/>
        <v>#N/A</v>
      </c>
      <c r="AM604" s="34" t="e">
        <f t="shared" si="1428"/>
        <v>#N/A</v>
      </c>
      <c r="AN604" s="34" t="e">
        <f t="shared" si="1428"/>
        <v>#N/A</v>
      </c>
      <c r="AO604" s="34" t="e">
        <f t="shared" si="1428"/>
        <v>#N/A</v>
      </c>
      <c r="AP604" s="34" t="e">
        <f t="shared" si="1428"/>
        <v>#N/A</v>
      </c>
      <c r="AQ604" s="34" t="e">
        <f t="shared" si="1428"/>
        <v>#N/A</v>
      </c>
      <c r="AR604" s="34" t="e">
        <f t="shared" si="1428"/>
        <v>#N/A</v>
      </c>
      <c r="AS604" s="27"/>
      <c r="AT604" s="35" t="str">
        <f t="shared" ref="AT604" si="1429">Y615</f>
        <v>Otros</v>
      </c>
      <c r="AU604" s="36">
        <f t="shared" ref="AU604:BM604" si="1430">Z615/(Z602+Z603+Z615)</f>
        <v>0</v>
      </c>
      <c r="AV604" s="36">
        <f t="shared" si="1430"/>
        <v>0</v>
      </c>
      <c r="AW604" s="36" t="e">
        <f t="shared" si="1430"/>
        <v>#N/A</v>
      </c>
      <c r="AX604" s="36" t="e">
        <f t="shared" si="1430"/>
        <v>#N/A</v>
      </c>
      <c r="AY604" s="36" t="e">
        <f t="shared" si="1430"/>
        <v>#N/A</v>
      </c>
      <c r="AZ604" s="36" t="e">
        <f t="shared" si="1430"/>
        <v>#N/A</v>
      </c>
      <c r="BA604" s="36" t="e">
        <f t="shared" si="1430"/>
        <v>#N/A</v>
      </c>
      <c r="BB604" s="36" t="e">
        <f t="shared" si="1430"/>
        <v>#N/A</v>
      </c>
      <c r="BC604" s="36" t="e">
        <f t="shared" si="1430"/>
        <v>#N/A</v>
      </c>
      <c r="BD604" s="36" t="e">
        <f t="shared" si="1430"/>
        <v>#N/A</v>
      </c>
      <c r="BE604" s="36" t="e">
        <f t="shared" si="1430"/>
        <v>#N/A</v>
      </c>
      <c r="BF604" s="36" t="e">
        <f t="shared" si="1430"/>
        <v>#N/A</v>
      </c>
      <c r="BG604" s="36" t="e">
        <f t="shared" si="1430"/>
        <v>#N/A</v>
      </c>
      <c r="BH604" s="36" t="e">
        <f t="shared" si="1430"/>
        <v>#N/A</v>
      </c>
      <c r="BI604" s="36" t="e">
        <f t="shared" si="1430"/>
        <v>#N/A</v>
      </c>
      <c r="BJ604" s="36" t="e">
        <f t="shared" si="1430"/>
        <v>#N/A</v>
      </c>
      <c r="BK604" s="36" t="e">
        <f t="shared" si="1430"/>
        <v>#N/A</v>
      </c>
      <c r="BL604" s="36" t="e">
        <f t="shared" si="1430"/>
        <v>#N/A</v>
      </c>
      <c r="BM604" s="36" t="e">
        <f t="shared" si="1430"/>
        <v>#N/A</v>
      </c>
      <c r="BN604" s="30"/>
    </row>
    <row r="605" spans="1:66" ht="11.25" customHeight="1" x14ac:dyDescent="0.2">
      <c r="A605" s="38" t="s">
        <v>14</v>
      </c>
      <c r="B605" s="73"/>
      <c r="C605" s="33">
        <v>4</v>
      </c>
      <c r="D605" s="13" t="s">
        <v>405</v>
      </c>
      <c r="E605" s="16">
        <f t="shared" si="1419"/>
        <v>0</v>
      </c>
      <c r="F605" s="16">
        <f>SUMIFS([0]!VOTOS2,[0]!TURNO1,F$31,[0]!CANDIDATO1,$C605,[0]!MUNICIPIO1,$B$602)</f>
        <v>0</v>
      </c>
      <c r="G605" s="16">
        <f>SUMIFS([0]!VOTOS2,[0]!TURNO1,G$31,[0]!CANDIDATO1,$C605,[0]!MUNICIPIO1,$B$602)</f>
        <v>0</v>
      </c>
      <c r="H605" s="16">
        <f>SUMIFS([0]!VOTOS2,[0]!TURNO1,H$31,[0]!CANDIDATO1,$C605,[0]!MUNICIPIO1,$B$602)</f>
        <v>0</v>
      </c>
      <c r="I605" s="16">
        <f>SUMIFS([0]!VOTOS2,[0]!TURNO1,I$31,[0]!CANDIDATO1,$C605,[0]!MUNICIPIO1,$B$602)</f>
        <v>0</v>
      </c>
      <c r="J605" s="16">
        <f>SUMIFS([0]!VOTOS2,[0]!TURNO1,J$31,[0]!CANDIDATO1,$C605,[0]!MUNICIPIO1,$B$602)</f>
        <v>0</v>
      </c>
      <c r="K605" s="16">
        <f>SUMIFS([0]!VOTOS2,[0]!TURNO1,K$31,[0]!CANDIDATO1,$C605,[0]!MUNICIPIO1,$B$602)</f>
        <v>0</v>
      </c>
      <c r="L605" s="16">
        <f>SUMIFS([0]!VOTOS2,[0]!TURNO1,L$31,[0]!CANDIDATO1,$C605,[0]!MUNICIPIO1,$B$602)</f>
        <v>0</v>
      </c>
      <c r="M605" s="16">
        <f>SUMIFS([0]!VOTOS2,[0]!TURNO1,M$31,[0]!CANDIDATO1,$C605,[0]!MUNICIPIO1,$B$602)</f>
        <v>0</v>
      </c>
      <c r="N605" s="16">
        <f>SUMIFS([0]!VOTOS2,[0]!TURNO1,N$31,[0]!CANDIDATO1,$C605,[0]!MUNICIPIO1,$B$602)</f>
        <v>0</v>
      </c>
      <c r="O605" s="16">
        <f>SUMIFS([0]!VOTOS2,[0]!TURNO1,O$31,[0]!CANDIDATO1,$C605,[0]!MUNICIPIO1,$B$602)</f>
        <v>0</v>
      </c>
      <c r="P605" s="16">
        <f>SUMIFS([0]!VOTOS2,[0]!TURNO1,P$31,[0]!CANDIDATO1,$C605,[0]!MUNICIPIO1,$B$602)</f>
        <v>0</v>
      </c>
      <c r="Q605" s="16">
        <f>SUMIFS([0]!VOTOS2,[0]!TURNO1,Q$31,[0]!CANDIDATO1,$C605,[0]!MUNICIPIO1,$B$602)</f>
        <v>0</v>
      </c>
      <c r="R605" s="16">
        <f>SUMIFS([0]!VOTOS2,[0]!TURNO1,R$31,[0]!CANDIDATO1,$C605,[0]!MUNICIPIO1,$B$602)</f>
        <v>0</v>
      </c>
      <c r="S605" s="16">
        <f>SUMIFS([0]!VOTOS2,[0]!TURNO1,S$31,[0]!CANDIDATO1,$C605,[0]!MUNICIPIO1,$B$602)</f>
        <v>0</v>
      </c>
      <c r="T605" s="16">
        <f>SUMIFS([0]!VOTOS2,[0]!TURNO1,T$31,[0]!CANDIDATO1,$C605,[0]!MUNICIPIO1,$B$602)</f>
        <v>0</v>
      </c>
      <c r="U605" s="16">
        <f>SUMIFS([0]!VOTOS2,[0]!TURNO1,U$31,[0]!CANDIDATO1,$C605,[0]!MUNICIPIO1,$B$602)</f>
        <v>0</v>
      </c>
      <c r="V605" s="16">
        <f>SUMIFS([0]!VOTOS2,[0]!TURNO1,V$31,[0]!CANDIDATO1,$C605,[0]!MUNICIPIO1,$B$602)</f>
        <v>0</v>
      </c>
      <c r="W605" s="16">
        <f>SUMIFS([0]!VOTOS2,[0]!TURNO1,W$31,[0]!CANDIDATO1,$C605,[0]!MUNICIPIO1,$B$602)</f>
        <v>0</v>
      </c>
      <c r="X605" s="24"/>
      <c r="Y605" s="18" t="str">
        <f t="shared" si="1420"/>
        <v>JOSE LUIS MARCANO</v>
      </c>
      <c r="Z605" s="34">
        <f t="shared" si="1421"/>
        <v>0</v>
      </c>
      <c r="AA605" s="34">
        <f t="shared" si="1422"/>
        <v>0</v>
      </c>
      <c r="AB605" s="34" t="e">
        <f t="shared" ref="AB605:AR605" si="1431">IF(SUM(G602:G614)=0,NA(),G605+AA605)</f>
        <v>#N/A</v>
      </c>
      <c r="AC605" s="34" t="e">
        <f t="shared" si="1431"/>
        <v>#N/A</v>
      </c>
      <c r="AD605" s="34" t="e">
        <f t="shared" si="1431"/>
        <v>#N/A</v>
      </c>
      <c r="AE605" s="34" t="e">
        <f t="shared" si="1431"/>
        <v>#N/A</v>
      </c>
      <c r="AF605" s="34" t="e">
        <f t="shared" si="1431"/>
        <v>#N/A</v>
      </c>
      <c r="AG605" s="34" t="e">
        <f t="shared" si="1431"/>
        <v>#N/A</v>
      </c>
      <c r="AH605" s="34" t="e">
        <f t="shared" si="1431"/>
        <v>#N/A</v>
      </c>
      <c r="AI605" s="34" t="e">
        <f t="shared" si="1431"/>
        <v>#N/A</v>
      </c>
      <c r="AJ605" s="34" t="e">
        <f t="shared" si="1431"/>
        <v>#N/A</v>
      </c>
      <c r="AK605" s="34" t="e">
        <f t="shared" si="1431"/>
        <v>#N/A</v>
      </c>
      <c r="AL605" s="34" t="e">
        <f t="shared" si="1431"/>
        <v>#N/A</v>
      </c>
      <c r="AM605" s="34" t="e">
        <f t="shared" si="1431"/>
        <v>#N/A</v>
      </c>
      <c r="AN605" s="34" t="e">
        <f t="shared" si="1431"/>
        <v>#N/A</v>
      </c>
      <c r="AO605" s="34" t="e">
        <f t="shared" si="1431"/>
        <v>#N/A</v>
      </c>
      <c r="AP605" s="34" t="e">
        <f t="shared" si="1431"/>
        <v>#N/A</v>
      </c>
      <c r="AQ605" s="34" t="e">
        <f t="shared" si="1431"/>
        <v>#N/A</v>
      </c>
      <c r="AR605" s="34" t="e">
        <f t="shared" si="1431"/>
        <v>#N/A</v>
      </c>
      <c r="AS605" s="27"/>
      <c r="AT605" s="39"/>
      <c r="AU605" s="39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30"/>
    </row>
    <row r="606" spans="1:66" ht="11.25" customHeight="1" x14ac:dyDescent="0.2">
      <c r="A606" s="38" t="s">
        <v>14</v>
      </c>
      <c r="B606" s="73"/>
      <c r="C606" s="33">
        <v>5</v>
      </c>
      <c r="D606" s="13" t="s">
        <v>406</v>
      </c>
      <c r="E606" s="16">
        <f t="shared" si="1419"/>
        <v>0</v>
      </c>
      <c r="F606" s="16">
        <f>SUMIFS([0]!VOTOS2,[0]!TURNO1,F$31,[0]!CANDIDATO1,$C606,[0]!MUNICIPIO1,$B$602)</f>
        <v>0</v>
      </c>
      <c r="G606" s="16">
        <f>SUMIFS([0]!VOTOS2,[0]!TURNO1,G$31,[0]!CANDIDATO1,$C606,[0]!MUNICIPIO1,$B$602)</f>
        <v>0</v>
      </c>
      <c r="H606" s="16">
        <f>SUMIFS([0]!VOTOS2,[0]!TURNO1,H$31,[0]!CANDIDATO1,$C606,[0]!MUNICIPIO1,$B$602)</f>
        <v>0</v>
      </c>
      <c r="I606" s="16">
        <f>SUMIFS([0]!VOTOS2,[0]!TURNO1,I$31,[0]!CANDIDATO1,$C606,[0]!MUNICIPIO1,$B$602)</f>
        <v>0</v>
      </c>
      <c r="J606" s="16">
        <f>SUMIFS([0]!VOTOS2,[0]!TURNO1,J$31,[0]!CANDIDATO1,$C606,[0]!MUNICIPIO1,$B$602)</f>
        <v>0</v>
      </c>
      <c r="K606" s="16">
        <f>SUMIFS([0]!VOTOS2,[0]!TURNO1,K$31,[0]!CANDIDATO1,$C606,[0]!MUNICIPIO1,$B$602)</f>
        <v>0</v>
      </c>
      <c r="L606" s="16">
        <f>SUMIFS([0]!VOTOS2,[0]!TURNO1,L$31,[0]!CANDIDATO1,$C606,[0]!MUNICIPIO1,$B$602)</f>
        <v>0</v>
      </c>
      <c r="M606" s="16">
        <f>SUMIFS([0]!VOTOS2,[0]!TURNO1,M$31,[0]!CANDIDATO1,$C606,[0]!MUNICIPIO1,$B$602)</f>
        <v>0</v>
      </c>
      <c r="N606" s="16">
        <f>SUMIFS([0]!VOTOS2,[0]!TURNO1,N$31,[0]!CANDIDATO1,$C606,[0]!MUNICIPIO1,$B$602)</f>
        <v>0</v>
      </c>
      <c r="O606" s="16">
        <f>SUMIFS([0]!VOTOS2,[0]!TURNO1,O$31,[0]!CANDIDATO1,$C606,[0]!MUNICIPIO1,$B$602)</f>
        <v>0</v>
      </c>
      <c r="P606" s="16">
        <f>SUMIFS([0]!VOTOS2,[0]!TURNO1,P$31,[0]!CANDIDATO1,$C606,[0]!MUNICIPIO1,$B$602)</f>
        <v>0</v>
      </c>
      <c r="Q606" s="16">
        <f>SUMIFS([0]!VOTOS2,[0]!TURNO1,Q$31,[0]!CANDIDATO1,$C606,[0]!MUNICIPIO1,$B$602)</f>
        <v>0</v>
      </c>
      <c r="R606" s="16">
        <f>SUMIFS([0]!VOTOS2,[0]!TURNO1,R$31,[0]!CANDIDATO1,$C606,[0]!MUNICIPIO1,$B$602)</f>
        <v>0</v>
      </c>
      <c r="S606" s="16">
        <f>SUMIFS([0]!VOTOS2,[0]!TURNO1,S$31,[0]!CANDIDATO1,$C606,[0]!MUNICIPIO1,$B$602)</f>
        <v>0</v>
      </c>
      <c r="T606" s="16">
        <f>SUMIFS([0]!VOTOS2,[0]!TURNO1,T$31,[0]!CANDIDATO1,$C606,[0]!MUNICIPIO1,$B$602)</f>
        <v>0</v>
      </c>
      <c r="U606" s="16">
        <f>SUMIFS([0]!VOTOS2,[0]!TURNO1,U$31,[0]!CANDIDATO1,$C606,[0]!MUNICIPIO1,$B$602)</f>
        <v>0</v>
      </c>
      <c r="V606" s="16">
        <f>SUMIFS([0]!VOTOS2,[0]!TURNO1,V$31,[0]!CANDIDATO1,$C606,[0]!MUNICIPIO1,$B$602)</f>
        <v>0</v>
      </c>
      <c r="W606" s="16">
        <f>SUMIFS([0]!VOTOS2,[0]!TURNO1,W$31,[0]!CANDIDATO1,$C606,[0]!MUNICIPIO1,$B$602)</f>
        <v>0</v>
      </c>
      <c r="X606" s="24"/>
      <c r="Y606" s="18" t="str">
        <f t="shared" si="1420"/>
        <v>DUMILA VELASQUEZ</v>
      </c>
      <c r="Z606" s="34">
        <f t="shared" si="1421"/>
        <v>0</v>
      </c>
      <c r="AA606" s="34">
        <f t="shared" si="1422"/>
        <v>0</v>
      </c>
      <c r="AB606" s="34" t="e">
        <f t="shared" ref="AB606:AR606" si="1432">IF(SUM(G602:G614)=0,NA(),G606+AA606)</f>
        <v>#N/A</v>
      </c>
      <c r="AC606" s="34" t="e">
        <f t="shared" si="1432"/>
        <v>#N/A</v>
      </c>
      <c r="AD606" s="34" t="e">
        <f t="shared" si="1432"/>
        <v>#N/A</v>
      </c>
      <c r="AE606" s="34" t="e">
        <f t="shared" si="1432"/>
        <v>#N/A</v>
      </c>
      <c r="AF606" s="34" t="e">
        <f t="shared" si="1432"/>
        <v>#N/A</v>
      </c>
      <c r="AG606" s="34" t="e">
        <f t="shared" si="1432"/>
        <v>#N/A</v>
      </c>
      <c r="AH606" s="34" t="e">
        <f t="shared" si="1432"/>
        <v>#N/A</v>
      </c>
      <c r="AI606" s="34" t="e">
        <f t="shared" si="1432"/>
        <v>#N/A</v>
      </c>
      <c r="AJ606" s="34" t="e">
        <f t="shared" si="1432"/>
        <v>#N/A</v>
      </c>
      <c r="AK606" s="34" t="e">
        <f t="shared" si="1432"/>
        <v>#N/A</v>
      </c>
      <c r="AL606" s="34" t="e">
        <f t="shared" si="1432"/>
        <v>#N/A</v>
      </c>
      <c r="AM606" s="34" t="e">
        <f t="shared" si="1432"/>
        <v>#N/A</v>
      </c>
      <c r="AN606" s="34" t="e">
        <f t="shared" si="1432"/>
        <v>#N/A</v>
      </c>
      <c r="AO606" s="34" t="e">
        <f t="shared" si="1432"/>
        <v>#N/A</v>
      </c>
      <c r="AP606" s="34" t="e">
        <f t="shared" si="1432"/>
        <v>#N/A</v>
      </c>
      <c r="AQ606" s="34" t="e">
        <f t="shared" si="1432"/>
        <v>#N/A</v>
      </c>
      <c r="AR606" s="34" t="e">
        <f t="shared" si="1432"/>
        <v>#N/A</v>
      </c>
      <c r="AS606" s="27"/>
      <c r="AT606" s="39"/>
      <c r="AU606" s="39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30"/>
    </row>
    <row r="607" spans="1:66" ht="11.25" customHeight="1" x14ac:dyDescent="0.2">
      <c r="A607" s="37"/>
      <c r="B607" s="73"/>
      <c r="C607" s="33">
        <v>6</v>
      </c>
      <c r="D607" s="13" t="s">
        <v>407</v>
      </c>
      <c r="E607" s="16">
        <f t="shared" si="1419"/>
        <v>0</v>
      </c>
      <c r="F607" s="16">
        <f>SUMIFS([0]!VOTOS2,[0]!TURNO1,F$31,[0]!CANDIDATO1,$C607,[0]!MUNICIPIO1,$B$602)</f>
        <v>0</v>
      </c>
      <c r="G607" s="16">
        <f>SUMIFS([0]!VOTOS2,[0]!TURNO1,G$31,[0]!CANDIDATO1,$C607,[0]!MUNICIPIO1,$B$602)</f>
        <v>0</v>
      </c>
      <c r="H607" s="16">
        <f>SUMIFS([0]!VOTOS2,[0]!TURNO1,H$31,[0]!CANDIDATO1,$C607,[0]!MUNICIPIO1,$B$602)</f>
        <v>0</v>
      </c>
      <c r="I607" s="16">
        <f>SUMIFS([0]!VOTOS2,[0]!TURNO1,I$31,[0]!CANDIDATO1,$C607,[0]!MUNICIPIO1,$B$602)</f>
        <v>0</v>
      </c>
      <c r="J607" s="16">
        <f>SUMIFS([0]!VOTOS2,[0]!TURNO1,J$31,[0]!CANDIDATO1,$C607,[0]!MUNICIPIO1,$B$602)</f>
        <v>0</v>
      </c>
      <c r="K607" s="16">
        <f>SUMIFS([0]!VOTOS2,[0]!TURNO1,K$31,[0]!CANDIDATO1,$C607,[0]!MUNICIPIO1,$B$602)</f>
        <v>0</v>
      </c>
      <c r="L607" s="16">
        <f>SUMIFS([0]!VOTOS2,[0]!TURNO1,L$31,[0]!CANDIDATO1,$C607,[0]!MUNICIPIO1,$B$602)</f>
        <v>0</v>
      </c>
      <c r="M607" s="16">
        <f>SUMIFS([0]!VOTOS2,[0]!TURNO1,M$31,[0]!CANDIDATO1,$C607,[0]!MUNICIPIO1,$B$602)</f>
        <v>0</v>
      </c>
      <c r="N607" s="16">
        <f>SUMIFS([0]!VOTOS2,[0]!TURNO1,N$31,[0]!CANDIDATO1,$C607,[0]!MUNICIPIO1,$B$602)</f>
        <v>0</v>
      </c>
      <c r="O607" s="16">
        <f>SUMIFS([0]!VOTOS2,[0]!TURNO1,O$31,[0]!CANDIDATO1,$C607,[0]!MUNICIPIO1,$B$602)</f>
        <v>0</v>
      </c>
      <c r="P607" s="16">
        <f>SUMIFS([0]!VOTOS2,[0]!TURNO1,P$31,[0]!CANDIDATO1,$C607,[0]!MUNICIPIO1,$B$602)</f>
        <v>0</v>
      </c>
      <c r="Q607" s="16">
        <f>SUMIFS([0]!VOTOS2,[0]!TURNO1,Q$31,[0]!CANDIDATO1,$C607,[0]!MUNICIPIO1,$B$602)</f>
        <v>0</v>
      </c>
      <c r="R607" s="16">
        <f>SUMIFS([0]!VOTOS2,[0]!TURNO1,R$31,[0]!CANDIDATO1,$C607,[0]!MUNICIPIO1,$B$602)</f>
        <v>0</v>
      </c>
      <c r="S607" s="16">
        <f>SUMIFS([0]!VOTOS2,[0]!TURNO1,S$31,[0]!CANDIDATO1,$C607,[0]!MUNICIPIO1,$B$602)</f>
        <v>0</v>
      </c>
      <c r="T607" s="16">
        <f>SUMIFS([0]!VOTOS2,[0]!TURNO1,T$31,[0]!CANDIDATO1,$C607,[0]!MUNICIPIO1,$B$602)</f>
        <v>0</v>
      </c>
      <c r="U607" s="16">
        <f>SUMIFS([0]!VOTOS2,[0]!TURNO1,U$31,[0]!CANDIDATO1,$C607,[0]!MUNICIPIO1,$B$602)</f>
        <v>0</v>
      </c>
      <c r="V607" s="16">
        <f>SUMIFS([0]!VOTOS2,[0]!TURNO1,V$31,[0]!CANDIDATO1,$C607,[0]!MUNICIPIO1,$B$602)</f>
        <v>0</v>
      </c>
      <c r="W607" s="16">
        <f>SUMIFS([0]!VOTOS2,[0]!TURNO1,W$31,[0]!CANDIDATO1,$C607,[0]!MUNICIPIO1,$B$602)</f>
        <v>0</v>
      </c>
      <c r="X607" s="24"/>
      <c r="Y607" s="18" t="str">
        <f t="shared" si="1420"/>
        <v>ELIAS OCQUE</v>
      </c>
      <c r="Z607" s="34">
        <f t="shared" si="1421"/>
        <v>0</v>
      </c>
      <c r="AA607" s="34">
        <f t="shared" si="1422"/>
        <v>0</v>
      </c>
      <c r="AB607" s="34" t="e">
        <f t="shared" ref="AB607:AR607" si="1433">IF(SUM(G602:G614)=0,NA(),G607+AA607)</f>
        <v>#N/A</v>
      </c>
      <c r="AC607" s="34" t="e">
        <f t="shared" si="1433"/>
        <v>#N/A</v>
      </c>
      <c r="AD607" s="34" t="e">
        <f t="shared" si="1433"/>
        <v>#N/A</v>
      </c>
      <c r="AE607" s="34" t="e">
        <f t="shared" si="1433"/>
        <v>#N/A</v>
      </c>
      <c r="AF607" s="34" t="e">
        <f t="shared" si="1433"/>
        <v>#N/A</v>
      </c>
      <c r="AG607" s="34" t="e">
        <f t="shared" si="1433"/>
        <v>#N/A</v>
      </c>
      <c r="AH607" s="34" t="e">
        <f t="shared" si="1433"/>
        <v>#N/A</v>
      </c>
      <c r="AI607" s="34" t="e">
        <f t="shared" si="1433"/>
        <v>#N/A</v>
      </c>
      <c r="AJ607" s="34" t="e">
        <f t="shared" si="1433"/>
        <v>#N/A</v>
      </c>
      <c r="AK607" s="34" t="e">
        <f t="shared" si="1433"/>
        <v>#N/A</v>
      </c>
      <c r="AL607" s="34" t="e">
        <f t="shared" si="1433"/>
        <v>#N/A</v>
      </c>
      <c r="AM607" s="34" t="e">
        <f t="shared" si="1433"/>
        <v>#N/A</v>
      </c>
      <c r="AN607" s="34" t="e">
        <f t="shared" si="1433"/>
        <v>#N/A</v>
      </c>
      <c r="AO607" s="34" t="e">
        <f t="shared" si="1433"/>
        <v>#N/A</v>
      </c>
      <c r="AP607" s="34" t="e">
        <f t="shared" si="1433"/>
        <v>#N/A</v>
      </c>
      <c r="AQ607" s="34" t="e">
        <f t="shared" si="1433"/>
        <v>#N/A</v>
      </c>
      <c r="AR607" s="34" t="e">
        <f t="shared" si="1433"/>
        <v>#N/A</v>
      </c>
      <c r="AS607" s="27"/>
      <c r="AT607" s="39"/>
      <c r="AU607" s="39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30"/>
    </row>
    <row r="608" spans="1:66" ht="11.25" customHeight="1" x14ac:dyDescent="0.2">
      <c r="A608" s="37"/>
      <c r="B608" s="73"/>
      <c r="C608" s="33">
        <v>7</v>
      </c>
      <c r="D608" s="13" t="s">
        <v>408</v>
      </c>
      <c r="E608" s="16">
        <f t="shared" si="1419"/>
        <v>0</v>
      </c>
      <c r="F608" s="16">
        <f>SUMIFS([0]!VOTOS2,[0]!TURNO1,F$31,[0]!CANDIDATO1,$C608,[0]!MUNICIPIO1,$B$602)</f>
        <v>0</v>
      </c>
      <c r="G608" s="16">
        <f>SUMIFS([0]!VOTOS2,[0]!TURNO1,G$31,[0]!CANDIDATO1,$C608,[0]!MUNICIPIO1,$B$602)</f>
        <v>0</v>
      </c>
      <c r="H608" s="16">
        <f>SUMIFS([0]!VOTOS2,[0]!TURNO1,H$31,[0]!CANDIDATO1,$C608,[0]!MUNICIPIO1,$B$602)</f>
        <v>0</v>
      </c>
      <c r="I608" s="16">
        <f>SUMIFS([0]!VOTOS2,[0]!TURNO1,I$31,[0]!CANDIDATO1,$C608,[0]!MUNICIPIO1,$B$602)</f>
        <v>0</v>
      </c>
      <c r="J608" s="16">
        <f>SUMIFS([0]!VOTOS2,[0]!TURNO1,J$31,[0]!CANDIDATO1,$C608,[0]!MUNICIPIO1,$B$602)</f>
        <v>0</v>
      </c>
      <c r="K608" s="16">
        <f>SUMIFS([0]!VOTOS2,[0]!TURNO1,K$31,[0]!CANDIDATO1,$C608,[0]!MUNICIPIO1,$B$602)</f>
        <v>0</v>
      </c>
      <c r="L608" s="16">
        <f>SUMIFS([0]!VOTOS2,[0]!TURNO1,L$31,[0]!CANDIDATO1,$C608,[0]!MUNICIPIO1,$B$602)</f>
        <v>0</v>
      </c>
      <c r="M608" s="16">
        <f>SUMIFS([0]!VOTOS2,[0]!TURNO1,M$31,[0]!CANDIDATO1,$C608,[0]!MUNICIPIO1,$B$602)</f>
        <v>0</v>
      </c>
      <c r="N608" s="16">
        <f>SUMIFS([0]!VOTOS2,[0]!TURNO1,N$31,[0]!CANDIDATO1,$C608,[0]!MUNICIPIO1,$B$602)</f>
        <v>0</v>
      </c>
      <c r="O608" s="16">
        <f>SUMIFS([0]!VOTOS2,[0]!TURNO1,O$31,[0]!CANDIDATO1,$C608,[0]!MUNICIPIO1,$B$602)</f>
        <v>0</v>
      </c>
      <c r="P608" s="16">
        <f>SUMIFS([0]!VOTOS2,[0]!TURNO1,P$31,[0]!CANDIDATO1,$C608,[0]!MUNICIPIO1,$B$602)</f>
        <v>0</v>
      </c>
      <c r="Q608" s="16">
        <f>SUMIFS([0]!VOTOS2,[0]!TURNO1,Q$31,[0]!CANDIDATO1,$C608,[0]!MUNICIPIO1,$B$602)</f>
        <v>0</v>
      </c>
      <c r="R608" s="16">
        <f>SUMIFS([0]!VOTOS2,[0]!TURNO1,R$31,[0]!CANDIDATO1,$C608,[0]!MUNICIPIO1,$B$602)</f>
        <v>0</v>
      </c>
      <c r="S608" s="16">
        <f>SUMIFS([0]!VOTOS2,[0]!TURNO1,S$31,[0]!CANDIDATO1,$C608,[0]!MUNICIPIO1,$B$602)</f>
        <v>0</v>
      </c>
      <c r="T608" s="16">
        <f>SUMIFS([0]!VOTOS2,[0]!TURNO1,T$31,[0]!CANDIDATO1,$C608,[0]!MUNICIPIO1,$B$602)</f>
        <v>0</v>
      </c>
      <c r="U608" s="16">
        <f>SUMIFS([0]!VOTOS2,[0]!TURNO1,U$31,[0]!CANDIDATO1,$C608,[0]!MUNICIPIO1,$B$602)</f>
        <v>0</v>
      </c>
      <c r="V608" s="16">
        <f>SUMIFS([0]!VOTOS2,[0]!TURNO1,V$31,[0]!CANDIDATO1,$C608,[0]!MUNICIPIO1,$B$602)</f>
        <v>0</v>
      </c>
      <c r="W608" s="16">
        <f>SUMIFS([0]!VOTOS2,[0]!TURNO1,W$31,[0]!CANDIDATO1,$C608,[0]!MUNICIPIO1,$B$602)</f>
        <v>0</v>
      </c>
      <c r="X608" s="24"/>
      <c r="Y608" s="18" t="str">
        <f t="shared" si="1420"/>
        <v>JOSE ANTONIO GARCIA</v>
      </c>
      <c r="Z608" s="34">
        <f t="shared" si="1421"/>
        <v>0</v>
      </c>
      <c r="AA608" s="34">
        <f t="shared" si="1422"/>
        <v>0</v>
      </c>
      <c r="AB608" s="34" t="e">
        <f t="shared" ref="AB608:AR608" si="1434">IF(SUM(G602:G614)=0,NA(),G608+AA608)</f>
        <v>#N/A</v>
      </c>
      <c r="AC608" s="34" t="e">
        <f t="shared" si="1434"/>
        <v>#N/A</v>
      </c>
      <c r="AD608" s="34" t="e">
        <f t="shared" si="1434"/>
        <v>#N/A</v>
      </c>
      <c r="AE608" s="34" t="e">
        <f t="shared" si="1434"/>
        <v>#N/A</v>
      </c>
      <c r="AF608" s="34" t="e">
        <f t="shared" si="1434"/>
        <v>#N/A</v>
      </c>
      <c r="AG608" s="34" t="e">
        <f t="shared" si="1434"/>
        <v>#N/A</v>
      </c>
      <c r="AH608" s="34" t="e">
        <f t="shared" si="1434"/>
        <v>#N/A</v>
      </c>
      <c r="AI608" s="34" t="e">
        <f t="shared" si="1434"/>
        <v>#N/A</v>
      </c>
      <c r="AJ608" s="34" t="e">
        <f t="shared" si="1434"/>
        <v>#N/A</v>
      </c>
      <c r="AK608" s="34" t="e">
        <f t="shared" si="1434"/>
        <v>#N/A</v>
      </c>
      <c r="AL608" s="34" t="e">
        <f t="shared" si="1434"/>
        <v>#N/A</v>
      </c>
      <c r="AM608" s="34" t="e">
        <f t="shared" si="1434"/>
        <v>#N/A</v>
      </c>
      <c r="AN608" s="34" t="e">
        <f t="shared" si="1434"/>
        <v>#N/A</v>
      </c>
      <c r="AO608" s="34" t="e">
        <f t="shared" si="1434"/>
        <v>#N/A</v>
      </c>
      <c r="AP608" s="34" t="e">
        <f t="shared" si="1434"/>
        <v>#N/A</v>
      </c>
      <c r="AQ608" s="34" t="e">
        <f t="shared" si="1434"/>
        <v>#N/A</v>
      </c>
      <c r="AR608" s="34" t="e">
        <f t="shared" si="1434"/>
        <v>#N/A</v>
      </c>
      <c r="AS608" s="27"/>
      <c r="AT608" s="39"/>
      <c r="AU608" s="39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30"/>
    </row>
    <row r="609" spans="1:66" ht="11.25" customHeight="1" x14ac:dyDescent="0.2">
      <c r="A609" s="42"/>
      <c r="B609" s="74"/>
      <c r="C609" s="33">
        <v>8</v>
      </c>
      <c r="D609" s="13" t="s">
        <v>409</v>
      </c>
      <c r="E609" s="16">
        <f t="shared" si="1419"/>
        <v>0</v>
      </c>
      <c r="F609" s="16">
        <f>SUMIFS([0]!VOTOS2,[0]!TURNO1,F$31,[0]!CANDIDATO1,$C609,[0]!MUNICIPIO1,$B$602)</f>
        <v>0</v>
      </c>
      <c r="G609" s="16">
        <f>SUMIFS([0]!VOTOS2,[0]!TURNO1,G$31,[0]!CANDIDATO1,$C609,[0]!MUNICIPIO1,$B$602)</f>
        <v>0</v>
      </c>
      <c r="H609" s="16">
        <f>SUMIFS([0]!VOTOS2,[0]!TURNO1,H$31,[0]!CANDIDATO1,$C609,[0]!MUNICIPIO1,$B$602)</f>
        <v>0</v>
      </c>
      <c r="I609" s="16">
        <f>SUMIFS([0]!VOTOS2,[0]!TURNO1,I$31,[0]!CANDIDATO1,$C609,[0]!MUNICIPIO1,$B$602)</f>
        <v>0</v>
      </c>
      <c r="J609" s="16">
        <f>SUMIFS([0]!VOTOS2,[0]!TURNO1,J$31,[0]!CANDIDATO1,$C609,[0]!MUNICIPIO1,$B$602)</f>
        <v>0</v>
      </c>
      <c r="K609" s="16">
        <f>SUMIFS([0]!VOTOS2,[0]!TURNO1,K$31,[0]!CANDIDATO1,$C609,[0]!MUNICIPIO1,$B$602)</f>
        <v>0</v>
      </c>
      <c r="L609" s="16">
        <f>SUMIFS([0]!VOTOS2,[0]!TURNO1,L$31,[0]!CANDIDATO1,$C609,[0]!MUNICIPIO1,$B$602)</f>
        <v>0</v>
      </c>
      <c r="M609" s="16">
        <f>SUMIFS([0]!VOTOS2,[0]!TURNO1,M$31,[0]!CANDIDATO1,$C609,[0]!MUNICIPIO1,$B$602)</f>
        <v>0</v>
      </c>
      <c r="N609" s="16">
        <f>SUMIFS([0]!VOTOS2,[0]!TURNO1,N$31,[0]!CANDIDATO1,$C609,[0]!MUNICIPIO1,$B$602)</f>
        <v>0</v>
      </c>
      <c r="O609" s="16">
        <f>SUMIFS([0]!VOTOS2,[0]!TURNO1,O$31,[0]!CANDIDATO1,$C609,[0]!MUNICIPIO1,$B$602)</f>
        <v>0</v>
      </c>
      <c r="P609" s="16">
        <f>SUMIFS([0]!VOTOS2,[0]!TURNO1,P$31,[0]!CANDIDATO1,$C609,[0]!MUNICIPIO1,$B$602)</f>
        <v>0</v>
      </c>
      <c r="Q609" s="16">
        <f>SUMIFS([0]!VOTOS2,[0]!TURNO1,Q$31,[0]!CANDIDATO1,$C609,[0]!MUNICIPIO1,$B$602)</f>
        <v>0</v>
      </c>
      <c r="R609" s="16">
        <f>SUMIFS([0]!VOTOS2,[0]!TURNO1,R$31,[0]!CANDIDATO1,$C609,[0]!MUNICIPIO1,$B$602)</f>
        <v>0</v>
      </c>
      <c r="S609" s="16">
        <f>SUMIFS([0]!VOTOS2,[0]!TURNO1,S$31,[0]!CANDIDATO1,$C609,[0]!MUNICIPIO1,$B$602)</f>
        <v>0</v>
      </c>
      <c r="T609" s="16">
        <f>SUMIFS([0]!VOTOS2,[0]!TURNO1,T$31,[0]!CANDIDATO1,$C609,[0]!MUNICIPIO1,$B$602)</f>
        <v>0</v>
      </c>
      <c r="U609" s="16">
        <f>SUMIFS([0]!VOTOS2,[0]!TURNO1,U$31,[0]!CANDIDATO1,$C609,[0]!MUNICIPIO1,$B$602)</f>
        <v>0</v>
      </c>
      <c r="V609" s="16">
        <f>SUMIFS([0]!VOTOS2,[0]!TURNO1,V$31,[0]!CANDIDATO1,$C609,[0]!MUNICIPIO1,$B$602)</f>
        <v>0</v>
      </c>
      <c r="W609" s="16">
        <f>SUMIFS([0]!VOTOS2,[0]!TURNO1,W$31,[0]!CANDIDATO1,$C609,[0]!MUNICIPIO1,$B$602)</f>
        <v>0</v>
      </c>
      <c r="X609" s="24"/>
      <c r="Y609" s="18" t="str">
        <f t="shared" si="1420"/>
        <v>MIGUEL BERMUDEZ</v>
      </c>
      <c r="Z609" s="34">
        <f t="shared" si="1421"/>
        <v>0</v>
      </c>
      <c r="AA609" s="34">
        <f t="shared" si="1422"/>
        <v>0</v>
      </c>
      <c r="AB609" s="34" t="e">
        <f t="shared" ref="AB609:AR609" si="1435">IF(SUM(G602:G614)=0,NA(),G609+AA609)</f>
        <v>#N/A</v>
      </c>
      <c r="AC609" s="34" t="e">
        <f t="shared" si="1435"/>
        <v>#N/A</v>
      </c>
      <c r="AD609" s="34" t="e">
        <f t="shared" si="1435"/>
        <v>#N/A</v>
      </c>
      <c r="AE609" s="34" t="e">
        <f t="shared" si="1435"/>
        <v>#N/A</v>
      </c>
      <c r="AF609" s="34" t="e">
        <f t="shared" si="1435"/>
        <v>#N/A</v>
      </c>
      <c r="AG609" s="34" t="e">
        <f t="shared" si="1435"/>
        <v>#N/A</v>
      </c>
      <c r="AH609" s="34" t="e">
        <f t="shared" si="1435"/>
        <v>#N/A</v>
      </c>
      <c r="AI609" s="34" t="e">
        <f t="shared" si="1435"/>
        <v>#N/A</v>
      </c>
      <c r="AJ609" s="34" t="e">
        <f t="shared" si="1435"/>
        <v>#N/A</v>
      </c>
      <c r="AK609" s="34" t="e">
        <f t="shared" si="1435"/>
        <v>#N/A</v>
      </c>
      <c r="AL609" s="34" t="e">
        <f t="shared" si="1435"/>
        <v>#N/A</v>
      </c>
      <c r="AM609" s="34" t="e">
        <f t="shared" si="1435"/>
        <v>#N/A</v>
      </c>
      <c r="AN609" s="34" t="e">
        <f t="shared" si="1435"/>
        <v>#N/A</v>
      </c>
      <c r="AO609" s="34" t="e">
        <f t="shared" si="1435"/>
        <v>#N/A</v>
      </c>
      <c r="AP609" s="34" t="e">
        <f t="shared" si="1435"/>
        <v>#N/A</v>
      </c>
      <c r="AQ609" s="34" t="e">
        <f t="shared" si="1435"/>
        <v>#N/A</v>
      </c>
      <c r="AR609" s="34" t="e">
        <f t="shared" si="1435"/>
        <v>#N/A</v>
      </c>
      <c r="AS609" s="27"/>
      <c r="AT609" s="41"/>
      <c r="AU609" s="41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30"/>
    </row>
    <row r="610" spans="1:66" ht="11.25" customHeight="1" x14ac:dyDescent="0.2">
      <c r="A610" s="44"/>
      <c r="B610" s="45"/>
      <c r="C610" s="46">
        <v>9</v>
      </c>
      <c r="D610" s="14" t="s">
        <v>76</v>
      </c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24"/>
      <c r="Y610" s="18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27"/>
      <c r="AT610" s="41"/>
      <c r="AU610" s="41"/>
      <c r="AV610" s="43"/>
      <c r="AW610" s="43"/>
      <c r="AX610" s="43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/>
      <c r="BK610" s="43"/>
      <c r="BL610" s="43"/>
      <c r="BM610" s="43"/>
      <c r="BN610" s="30"/>
    </row>
    <row r="611" spans="1:66" ht="11.25" customHeight="1" x14ac:dyDescent="0.2">
      <c r="A611" s="44"/>
      <c r="B611" s="45"/>
      <c r="C611" s="46">
        <v>10</v>
      </c>
      <c r="D611" s="14" t="s">
        <v>76</v>
      </c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24"/>
      <c r="Y611" s="18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27"/>
      <c r="AT611" s="41"/>
      <c r="AU611" s="41"/>
      <c r="AV611" s="43"/>
      <c r="AW611" s="43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/>
      <c r="BK611" s="43"/>
      <c r="BL611" s="43"/>
      <c r="BM611" s="43"/>
      <c r="BN611" s="30"/>
    </row>
    <row r="612" spans="1:66" ht="11.25" customHeight="1" x14ac:dyDescent="0.2">
      <c r="A612" s="44"/>
      <c r="B612" s="45"/>
      <c r="C612" s="46">
        <v>11</v>
      </c>
      <c r="D612" s="14" t="s">
        <v>76</v>
      </c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24"/>
      <c r="Y612" s="18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27"/>
      <c r="AT612" s="41"/>
      <c r="AU612" s="41"/>
      <c r="AV612" s="43"/>
      <c r="AW612" s="43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/>
      <c r="BK612" s="43"/>
      <c r="BL612" s="43"/>
      <c r="BM612" s="43"/>
      <c r="BN612" s="30"/>
    </row>
    <row r="613" spans="1:66" ht="11.25" customHeight="1" x14ac:dyDescent="0.2">
      <c r="A613" s="44"/>
      <c r="B613" s="45"/>
      <c r="C613" s="46">
        <v>12</v>
      </c>
      <c r="D613" s="14" t="s">
        <v>76</v>
      </c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24"/>
      <c r="Y613" s="18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27"/>
      <c r="AT613" s="41"/>
      <c r="AU613" s="41"/>
      <c r="AV613" s="43"/>
      <c r="AW613" s="43"/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/>
      <c r="BK613" s="43"/>
      <c r="BL613" s="43"/>
      <c r="BM613" s="43"/>
      <c r="BN613" s="30"/>
    </row>
    <row r="614" spans="1:66" ht="11.25" customHeight="1" x14ac:dyDescent="0.2">
      <c r="A614" s="44"/>
      <c r="B614" s="45"/>
      <c r="C614" s="46">
        <v>13</v>
      </c>
      <c r="D614" s="14" t="s">
        <v>76</v>
      </c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24"/>
      <c r="Y614" s="18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27"/>
      <c r="AT614" s="41"/>
      <c r="AU614" s="41"/>
      <c r="AV614" s="43"/>
      <c r="AW614" s="43"/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/>
      <c r="BK614" s="43"/>
      <c r="BL614" s="43"/>
      <c r="BM614" s="43"/>
      <c r="BN614" s="30"/>
    </row>
    <row r="615" spans="1:66" ht="11.25" customHeight="1" x14ac:dyDescent="0.2">
      <c r="X615" s="24"/>
      <c r="Y615" s="19" t="s">
        <v>79</v>
      </c>
      <c r="Z615" s="34">
        <f t="shared" ref="Z615" si="1436">SUM(Z604:Z614)</f>
        <v>0</v>
      </c>
      <c r="AA615" s="34">
        <f t="shared" ref="AA615" si="1437">SUM(AA604:AA614)</f>
        <v>0</v>
      </c>
      <c r="AB615" s="34" t="e">
        <f t="shared" ref="AB615" si="1438">SUM(AB604:AB614)</f>
        <v>#N/A</v>
      </c>
      <c r="AC615" s="34" t="e">
        <f t="shared" ref="AC615" si="1439">SUM(AC604:AC614)</f>
        <v>#N/A</v>
      </c>
      <c r="AD615" s="34" t="e">
        <f t="shared" ref="AD615" si="1440">SUM(AD604:AD614)</f>
        <v>#N/A</v>
      </c>
      <c r="AE615" s="34" t="e">
        <f t="shared" ref="AE615" si="1441">SUM(AE604:AE614)</f>
        <v>#N/A</v>
      </c>
      <c r="AF615" s="34" t="e">
        <f t="shared" ref="AF615" si="1442">SUM(AF604:AF614)</f>
        <v>#N/A</v>
      </c>
      <c r="AG615" s="34" t="e">
        <f t="shared" ref="AG615" si="1443">SUM(AG604:AG614)</f>
        <v>#N/A</v>
      </c>
      <c r="AH615" s="34" t="e">
        <f t="shared" ref="AH615" si="1444">SUM(AH604:AH614)</f>
        <v>#N/A</v>
      </c>
      <c r="AI615" s="34" t="e">
        <f t="shared" ref="AI615" si="1445">SUM(AI604:AI614)</f>
        <v>#N/A</v>
      </c>
      <c r="AJ615" s="34" t="e">
        <f t="shared" ref="AJ615" si="1446">SUM(AJ604:AJ614)</f>
        <v>#N/A</v>
      </c>
      <c r="AK615" s="34" t="e">
        <f t="shared" ref="AK615" si="1447">SUM(AK604:AK614)</f>
        <v>#N/A</v>
      </c>
      <c r="AL615" s="34" t="e">
        <f t="shared" ref="AL615" si="1448">SUM(AL604:AL614)</f>
        <v>#N/A</v>
      </c>
      <c r="AM615" s="34" t="e">
        <f t="shared" ref="AM615" si="1449">SUM(AM604:AM614)</f>
        <v>#N/A</v>
      </c>
      <c r="AN615" s="34" t="e">
        <f t="shared" ref="AN615" si="1450">SUM(AN604:AN614)</f>
        <v>#N/A</v>
      </c>
      <c r="AO615" s="34" t="e">
        <f t="shared" ref="AO615" si="1451">SUM(AO604:AO614)</f>
        <v>#N/A</v>
      </c>
      <c r="AP615" s="34" t="e">
        <f t="shared" ref="AP615" si="1452">SUM(AP604:AP614)</f>
        <v>#N/A</v>
      </c>
      <c r="AQ615" s="34" t="e">
        <f t="shared" ref="AQ615" si="1453">SUM(AQ604:AQ614)</f>
        <v>#N/A</v>
      </c>
      <c r="AR615" s="34" t="e">
        <f t="shared" ref="AR615" si="1454">SUM(AR604:AR614)</f>
        <v>#N/A</v>
      </c>
      <c r="AS615" s="27"/>
      <c r="AT615" s="41"/>
      <c r="AU615" s="41"/>
      <c r="AV615" s="43"/>
      <c r="AW615" s="43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/>
      <c r="BK615" s="43"/>
      <c r="BL615" s="43"/>
      <c r="BM615" s="43"/>
      <c r="BN615" s="30"/>
    </row>
    <row r="616" spans="1:66" ht="11.25" customHeight="1" x14ac:dyDescent="0.2">
      <c r="A616" s="75" t="s">
        <v>63</v>
      </c>
      <c r="B616" s="76"/>
      <c r="C616" s="21"/>
      <c r="D616" s="22" t="s">
        <v>75</v>
      </c>
      <c r="E616" s="23" t="s">
        <v>70</v>
      </c>
      <c r="F616" s="23">
        <v>0</v>
      </c>
      <c r="G616" s="23">
        <v>1</v>
      </c>
      <c r="H616" s="23">
        <v>2</v>
      </c>
      <c r="I616" s="23">
        <v>3</v>
      </c>
      <c r="J616" s="23">
        <v>4</v>
      </c>
      <c r="K616" s="23">
        <v>5</v>
      </c>
      <c r="L616" s="23">
        <v>6</v>
      </c>
      <c r="M616" s="23">
        <v>7</v>
      </c>
      <c r="N616" s="23">
        <v>8</v>
      </c>
      <c r="O616" s="23">
        <v>9</v>
      </c>
      <c r="P616" s="23">
        <v>10</v>
      </c>
      <c r="Q616" s="23">
        <v>11</v>
      </c>
      <c r="R616" s="23">
        <v>12</v>
      </c>
      <c r="S616" s="23">
        <v>13</v>
      </c>
      <c r="T616" s="23">
        <v>14</v>
      </c>
      <c r="U616" s="23">
        <v>15</v>
      </c>
      <c r="V616" s="23">
        <v>16</v>
      </c>
      <c r="W616" s="23">
        <v>17</v>
      </c>
      <c r="X616" s="24"/>
      <c r="Y616" s="17"/>
      <c r="Z616" s="25" t="s">
        <v>64</v>
      </c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/>
      <c r="AP616" s="26"/>
      <c r="AQ616" s="26"/>
      <c r="AR616" s="26"/>
      <c r="AS616" s="27"/>
      <c r="AT616" s="28"/>
      <c r="AU616" s="28" t="s">
        <v>64</v>
      </c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30"/>
    </row>
    <row r="617" spans="1:66" ht="11.25" customHeight="1" x14ac:dyDescent="0.2">
      <c r="A617" s="32"/>
      <c r="B617" s="72">
        <v>42</v>
      </c>
      <c r="C617" s="33">
        <v>1</v>
      </c>
      <c r="D617" s="13" t="s">
        <v>410</v>
      </c>
      <c r="E617" s="16">
        <f t="shared" ref="E617:E625" si="1455">SUM(F617:W617)</f>
        <v>389</v>
      </c>
      <c r="F617" s="16">
        <f>SUMIFS([0]!VOTOS2,[0]!TURNO1,F$31,[0]!CANDIDATO1,$C617,[0]!MUNICIPIO1,$B$617)</f>
        <v>10</v>
      </c>
      <c r="G617" s="16">
        <f>SUMIFS([0]!VOTOS2,[0]!TURNO1,G$31,[0]!CANDIDATO1,$C617,[0]!MUNICIPIO1,$B$617)</f>
        <v>27</v>
      </c>
      <c r="H617" s="16">
        <f>SUMIFS([0]!VOTOS2,[0]!TURNO1,H$31,[0]!CANDIDATO1,$C617,[0]!MUNICIPIO1,$B$617)</f>
        <v>47</v>
      </c>
      <c r="I617" s="16">
        <f>SUMIFS([0]!VOTOS2,[0]!TURNO1,I$31,[0]!CANDIDATO1,$C617,[0]!MUNICIPIO1,$B$617)</f>
        <v>71</v>
      </c>
      <c r="J617" s="16">
        <f>SUMIFS([0]!VOTOS2,[0]!TURNO1,J$31,[0]!CANDIDATO1,$C617,[0]!MUNICIPIO1,$B$617)</f>
        <v>40</v>
      </c>
      <c r="K617" s="16">
        <f>SUMIFS([0]!VOTOS2,[0]!TURNO1,K$31,[0]!CANDIDATO1,$C617,[0]!MUNICIPIO1,$B$617)</f>
        <v>51</v>
      </c>
      <c r="L617" s="16">
        <f>SUMIFS([0]!VOTOS2,[0]!TURNO1,L$31,[0]!CANDIDATO1,$C617,[0]!MUNICIPIO1,$B$617)</f>
        <v>36</v>
      </c>
      <c r="M617" s="16">
        <f>SUMIFS([0]!VOTOS2,[0]!TURNO1,M$31,[0]!CANDIDATO1,$C617,[0]!MUNICIPIO1,$B$617)</f>
        <v>51</v>
      </c>
      <c r="N617" s="16">
        <f>SUMIFS([0]!VOTOS2,[0]!TURNO1,N$31,[0]!CANDIDATO1,$C617,[0]!MUNICIPIO1,$B$617)</f>
        <v>43</v>
      </c>
      <c r="O617" s="16">
        <f>SUMIFS([0]!VOTOS2,[0]!TURNO1,O$31,[0]!CANDIDATO1,$C617,[0]!MUNICIPIO1,$B$617)</f>
        <v>13</v>
      </c>
      <c r="P617" s="16">
        <f>SUMIFS([0]!VOTOS2,[0]!TURNO1,P$31,[0]!CANDIDATO1,$C617,[0]!MUNICIPIO1,$B$617)</f>
        <v>0</v>
      </c>
      <c r="Q617" s="16">
        <f>SUMIFS([0]!VOTOS2,[0]!TURNO1,Q$31,[0]!CANDIDATO1,$C617,[0]!MUNICIPIO1,$B$617)</f>
        <v>0</v>
      </c>
      <c r="R617" s="16">
        <f>SUMIFS([0]!VOTOS2,[0]!TURNO1,R$31,[0]!CANDIDATO1,$C617,[0]!MUNICIPIO1,$B$617)</f>
        <v>0</v>
      </c>
      <c r="S617" s="16">
        <f>SUMIFS([0]!VOTOS2,[0]!TURNO1,S$31,[0]!CANDIDATO1,$C617,[0]!MUNICIPIO1,$B$617)</f>
        <v>0</v>
      </c>
      <c r="T617" s="16">
        <f>SUMIFS([0]!VOTOS2,[0]!TURNO1,T$31,[0]!CANDIDATO1,$C617,[0]!MUNICIPIO1,$B$617)</f>
        <v>0</v>
      </c>
      <c r="U617" s="16">
        <f>SUMIFS([0]!VOTOS2,[0]!TURNO1,U$31,[0]!CANDIDATO1,$C617,[0]!MUNICIPIO1,$B$617)</f>
        <v>0</v>
      </c>
      <c r="V617" s="16">
        <f>SUMIFS([0]!VOTOS2,[0]!TURNO1,V$31,[0]!CANDIDATO1,$C617,[0]!MUNICIPIO1,$B$617)</f>
        <v>0</v>
      </c>
      <c r="W617" s="16">
        <f>SUMIFS([0]!VOTOS2,[0]!TURNO1,W$31,[0]!CANDIDATO1,$C617,[0]!MUNICIPIO1,$B$617)</f>
        <v>0</v>
      </c>
      <c r="X617" s="24"/>
      <c r="Y617" s="18" t="str">
        <f t="shared" ref="Y617:Y625" si="1456">D617</f>
        <v>JOSE ZAMBRANO</v>
      </c>
      <c r="Z617" s="34">
        <f t="shared" ref="Z617:Z625" si="1457">E617</f>
        <v>389</v>
      </c>
      <c r="AA617" s="34">
        <f t="shared" ref="AA617:AA625" si="1458">F617</f>
        <v>10</v>
      </c>
      <c r="AB617" s="34">
        <f t="shared" ref="AB617:AR617" si="1459">IF(SUM(G617:G629)=0,NA(),G617+AA617)</f>
        <v>37</v>
      </c>
      <c r="AC617" s="34">
        <f t="shared" si="1459"/>
        <v>84</v>
      </c>
      <c r="AD617" s="34">
        <f t="shared" si="1459"/>
        <v>155</v>
      </c>
      <c r="AE617" s="34">
        <f t="shared" si="1459"/>
        <v>195</v>
      </c>
      <c r="AF617" s="34">
        <f t="shared" si="1459"/>
        <v>246</v>
      </c>
      <c r="AG617" s="34">
        <f t="shared" si="1459"/>
        <v>282</v>
      </c>
      <c r="AH617" s="34">
        <f t="shared" si="1459"/>
        <v>333</v>
      </c>
      <c r="AI617" s="34">
        <f t="shared" si="1459"/>
        <v>376</v>
      </c>
      <c r="AJ617" s="34">
        <f t="shared" si="1459"/>
        <v>389</v>
      </c>
      <c r="AK617" s="34" t="e">
        <f t="shared" si="1459"/>
        <v>#N/A</v>
      </c>
      <c r="AL617" s="34" t="e">
        <f t="shared" si="1459"/>
        <v>#N/A</v>
      </c>
      <c r="AM617" s="34" t="e">
        <f t="shared" si="1459"/>
        <v>#N/A</v>
      </c>
      <c r="AN617" s="34" t="e">
        <f t="shared" si="1459"/>
        <v>#N/A</v>
      </c>
      <c r="AO617" s="34" t="e">
        <f t="shared" si="1459"/>
        <v>#N/A</v>
      </c>
      <c r="AP617" s="34" t="e">
        <f t="shared" si="1459"/>
        <v>#N/A</v>
      </c>
      <c r="AQ617" s="34" t="e">
        <f t="shared" si="1459"/>
        <v>#N/A</v>
      </c>
      <c r="AR617" s="34" t="e">
        <f t="shared" si="1459"/>
        <v>#N/A</v>
      </c>
      <c r="AS617" s="27"/>
      <c r="AT617" s="35" t="str">
        <f t="shared" ref="AT617:AT618" si="1460">Y617</f>
        <v>JOSE ZAMBRANO</v>
      </c>
      <c r="AU617" s="36">
        <f t="shared" ref="AU617:BM617" si="1461">Z617/(Z617+Z618+Z630)</f>
        <v>0.35951940850277264</v>
      </c>
      <c r="AV617" s="36">
        <f t="shared" si="1461"/>
        <v>0.5</v>
      </c>
      <c r="AW617" s="36">
        <f t="shared" si="1461"/>
        <v>0.37</v>
      </c>
      <c r="AX617" s="36">
        <f t="shared" si="1461"/>
        <v>0.40191387559808611</v>
      </c>
      <c r="AY617" s="36">
        <f t="shared" si="1461"/>
        <v>0.41554959785522788</v>
      </c>
      <c r="AZ617" s="36">
        <f t="shared" si="1461"/>
        <v>0.37937743190661477</v>
      </c>
      <c r="BA617" s="36">
        <f t="shared" si="1461"/>
        <v>0.37216338880484112</v>
      </c>
      <c r="BB617" s="36">
        <f t="shared" si="1461"/>
        <v>0.37105263157894736</v>
      </c>
      <c r="BC617" s="36">
        <f t="shared" si="1461"/>
        <v>0.36038961038961037</v>
      </c>
      <c r="BD617" s="36">
        <f t="shared" si="1461"/>
        <v>0.3618864292589028</v>
      </c>
      <c r="BE617" s="36">
        <f t="shared" si="1461"/>
        <v>0.35951940850277264</v>
      </c>
      <c r="BF617" s="36" t="e">
        <f t="shared" si="1461"/>
        <v>#N/A</v>
      </c>
      <c r="BG617" s="36" t="e">
        <f t="shared" si="1461"/>
        <v>#N/A</v>
      </c>
      <c r="BH617" s="36" t="e">
        <f t="shared" si="1461"/>
        <v>#N/A</v>
      </c>
      <c r="BI617" s="36" t="e">
        <f t="shared" si="1461"/>
        <v>#N/A</v>
      </c>
      <c r="BJ617" s="36" t="e">
        <f t="shared" si="1461"/>
        <v>#N/A</v>
      </c>
      <c r="BK617" s="36" t="e">
        <f t="shared" si="1461"/>
        <v>#N/A</v>
      </c>
      <c r="BL617" s="36" t="e">
        <f t="shared" si="1461"/>
        <v>#N/A</v>
      </c>
      <c r="BM617" s="36" t="e">
        <f t="shared" si="1461"/>
        <v>#N/A</v>
      </c>
      <c r="BN617" s="30"/>
    </row>
    <row r="618" spans="1:66" ht="11.25" customHeight="1" x14ac:dyDescent="0.2">
      <c r="A618" s="37"/>
      <c r="B618" s="73"/>
      <c r="C618" s="33">
        <v>2</v>
      </c>
      <c r="D618" s="13" t="s">
        <v>411</v>
      </c>
      <c r="E618" s="16">
        <f t="shared" si="1455"/>
        <v>648</v>
      </c>
      <c r="F618" s="16">
        <f>SUMIFS([0]!VOTOS2,[0]!TURNO1,F$31,[0]!CANDIDATO1,$C618,[0]!MUNICIPIO1,$B$617)</f>
        <v>10</v>
      </c>
      <c r="G618" s="16">
        <f>SUMIFS([0]!VOTOS2,[0]!TURNO1,G$31,[0]!CANDIDATO1,$C618,[0]!MUNICIPIO1,$B$617)</f>
        <v>37</v>
      </c>
      <c r="H618" s="16">
        <f>SUMIFS([0]!VOTOS2,[0]!TURNO1,H$31,[0]!CANDIDATO1,$C618,[0]!MUNICIPIO1,$B$617)</f>
        <v>61</v>
      </c>
      <c r="I618" s="16">
        <f>SUMIFS([0]!VOTOS2,[0]!TURNO1,I$31,[0]!CANDIDATO1,$C618,[0]!MUNICIPIO1,$B$617)</f>
        <v>88</v>
      </c>
      <c r="J618" s="16">
        <f>SUMIFS([0]!VOTOS2,[0]!TURNO1,J$31,[0]!CANDIDATO1,$C618,[0]!MUNICIPIO1,$B$617)</f>
        <v>96</v>
      </c>
      <c r="K618" s="16">
        <f>SUMIFS([0]!VOTOS2,[0]!TURNO1,K$31,[0]!CANDIDATO1,$C618,[0]!MUNICIPIO1,$B$617)</f>
        <v>87</v>
      </c>
      <c r="L618" s="16">
        <f>SUMIFS([0]!VOTOS2,[0]!TURNO1,L$31,[0]!CANDIDATO1,$C618,[0]!MUNICIPIO1,$B$617)</f>
        <v>63</v>
      </c>
      <c r="M618" s="16">
        <f>SUMIFS([0]!VOTOS2,[0]!TURNO1,M$31,[0]!CANDIDATO1,$C618,[0]!MUNICIPIO1,$B$617)</f>
        <v>106</v>
      </c>
      <c r="N618" s="16">
        <f>SUMIFS([0]!VOTOS2,[0]!TURNO1,N$31,[0]!CANDIDATO1,$C618,[0]!MUNICIPIO1,$B$617)</f>
        <v>72</v>
      </c>
      <c r="O618" s="16">
        <f>SUMIFS([0]!VOTOS2,[0]!TURNO1,O$31,[0]!CANDIDATO1,$C618,[0]!MUNICIPIO1,$B$617)</f>
        <v>28</v>
      </c>
      <c r="P618" s="16">
        <f>SUMIFS([0]!VOTOS2,[0]!TURNO1,P$31,[0]!CANDIDATO1,$C618,[0]!MUNICIPIO1,$B$617)</f>
        <v>0</v>
      </c>
      <c r="Q618" s="16">
        <f>SUMIFS([0]!VOTOS2,[0]!TURNO1,Q$31,[0]!CANDIDATO1,$C618,[0]!MUNICIPIO1,$B$617)</f>
        <v>0</v>
      </c>
      <c r="R618" s="16">
        <f>SUMIFS([0]!VOTOS2,[0]!TURNO1,R$31,[0]!CANDIDATO1,$C618,[0]!MUNICIPIO1,$B$617)</f>
        <v>0</v>
      </c>
      <c r="S618" s="16">
        <f>SUMIFS([0]!VOTOS2,[0]!TURNO1,S$31,[0]!CANDIDATO1,$C618,[0]!MUNICIPIO1,$B$617)</f>
        <v>0</v>
      </c>
      <c r="T618" s="16">
        <f>SUMIFS([0]!VOTOS2,[0]!TURNO1,T$31,[0]!CANDIDATO1,$C618,[0]!MUNICIPIO1,$B$617)</f>
        <v>0</v>
      </c>
      <c r="U618" s="16">
        <f>SUMIFS([0]!VOTOS2,[0]!TURNO1,U$31,[0]!CANDIDATO1,$C618,[0]!MUNICIPIO1,$B$617)</f>
        <v>0</v>
      </c>
      <c r="V618" s="16">
        <f>SUMIFS([0]!VOTOS2,[0]!TURNO1,V$31,[0]!CANDIDATO1,$C618,[0]!MUNICIPIO1,$B$617)</f>
        <v>0</v>
      </c>
      <c r="W618" s="16">
        <f>SUMIFS([0]!VOTOS2,[0]!TURNO1,W$31,[0]!CANDIDATO1,$C618,[0]!MUNICIPIO1,$B$617)</f>
        <v>0</v>
      </c>
      <c r="X618" s="24"/>
      <c r="Y618" s="18" t="str">
        <f t="shared" si="1456"/>
        <v>DANIEL CEBALLOS</v>
      </c>
      <c r="Z618" s="34">
        <f t="shared" si="1457"/>
        <v>648</v>
      </c>
      <c r="AA618" s="34">
        <f t="shared" si="1458"/>
        <v>10</v>
      </c>
      <c r="AB618" s="34">
        <f t="shared" ref="AB618:AR618" si="1462">IF(SUM(G617:G629)=0,NA(),G618+AA618)</f>
        <v>47</v>
      </c>
      <c r="AC618" s="34">
        <f t="shared" si="1462"/>
        <v>108</v>
      </c>
      <c r="AD618" s="34">
        <f t="shared" si="1462"/>
        <v>196</v>
      </c>
      <c r="AE618" s="34">
        <f t="shared" si="1462"/>
        <v>292</v>
      </c>
      <c r="AF618" s="34">
        <f t="shared" si="1462"/>
        <v>379</v>
      </c>
      <c r="AG618" s="34">
        <f t="shared" si="1462"/>
        <v>442</v>
      </c>
      <c r="AH618" s="34">
        <f t="shared" si="1462"/>
        <v>548</v>
      </c>
      <c r="AI618" s="34">
        <f t="shared" si="1462"/>
        <v>620</v>
      </c>
      <c r="AJ618" s="34">
        <f t="shared" si="1462"/>
        <v>648</v>
      </c>
      <c r="AK618" s="34" t="e">
        <f t="shared" si="1462"/>
        <v>#N/A</v>
      </c>
      <c r="AL618" s="34" t="e">
        <f t="shared" si="1462"/>
        <v>#N/A</v>
      </c>
      <c r="AM618" s="34" t="e">
        <f t="shared" si="1462"/>
        <v>#N/A</v>
      </c>
      <c r="AN618" s="34" t="e">
        <f t="shared" si="1462"/>
        <v>#N/A</v>
      </c>
      <c r="AO618" s="34" t="e">
        <f t="shared" si="1462"/>
        <v>#N/A</v>
      </c>
      <c r="AP618" s="34" t="e">
        <f t="shared" si="1462"/>
        <v>#N/A</v>
      </c>
      <c r="AQ618" s="34" t="e">
        <f t="shared" si="1462"/>
        <v>#N/A</v>
      </c>
      <c r="AR618" s="34" t="e">
        <f t="shared" si="1462"/>
        <v>#N/A</v>
      </c>
      <c r="AS618" s="27"/>
      <c r="AT618" s="35" t="str">
        <f t="shared" si="1460"/>
        <v>DANIEL CEBALLOS</v>
      </c>
      <c r="AU618" s="36">
        <f t="shared" ref="AU618:BM618" si="1463">Z618/(Z617+Z618+Z630)</f>
        <v>0.59889094269870613</v>
      </c>
      <c r="AV618" s="36">
        <f t="shared" si="1463"/>
        <v>0.5</v>
      </c>
      <c r="AW618" s="36">
        <f t="shared" si="1463"/>
        <v>0.47</v>
      </c>
      <c r="AX618" s="36">
        <f t="shared" si="1463"/>
        <v>0.51674641148325362</v>
      </c>
      <c r="AY618" s="36">
        <f t="shared" si="1463"/>
        <v>0.52546916890080431</v>
      </c>
      <c r="AZ618" s="36">
        <f t="shared" si="1463"/>
        <v>0.56809338521400776</v>
      </c>
      <c r="BA618" s="36">
        <f t="shared" si="1463"/>
        <v>0.57337367624810898</v>
      </c>
      <c r="BB618" s="36">
        <f t="shared" si="1463"/>
        <v>0.58157894736842108</v>
      </c>
      <c r="BC618" s="36">
        <f t="shared" si="1463"/>
        <v>0.59307359307359309</v>
      </c>
      <c r="BD618" s="36">
        <f t="shared" si="1463"/>
        <v>0.59672762271414825</v>
      </c>
      <c r="BE618" s="36">
        <f t="shared" si="1463"/>
        <v>0.59889094269870613</v>
      </c>
      <c r="BF618" s="36" t="e">
        <f t="shared" si="1463"/>
        <v>#N/A</v>
      </c>
      <c r="BG618" s="36" t="e">
        <f t="shared" si="1463"/>
        <v>#N/A</v>
      </c>
      <c r="BH618" s="36" t="e">
        <f t="shared" si="1463"/>
        <v>#N/A</v>
      </c>
      <c r="BI618" s="36" t="e">
        <f t="shared" si="1463"/>
        <v>#N/A</v>
      </c>
      <c r="BJ618" s="36" t="e">
        <f t="shared" si="1463"/>
        <v>#N/A</v>
      </c>
      <c r="BK618" s="36" t="e">
        <f t="shared" si="1463"/>
        <v>#N/A</v>
      </c>
      <c r="BL618" s="36" t="e">
        <f t="shared" si="1463"/>
        <v>#N/A</v>
      </c>
      <c r="BM618" s="36" t="e">
        <f t="shared" si="1463"/>
        <v>#N/A</v>
      </c>
      <c r="BN618" s="30"/>
    </row>
    <row r="619" spans="1:66" ht="11.25" customHeight="1" x14ac:dyDescent="0.2">
      <c r="A619" s="37"/>
      <c r="B619" s="73"/>
      <c r="C619" s="33">
        <v>3</v>
      </c>
      <c r="D619" s="13" t="s">
        <v>412</v>
      </c>
      <c r="E619" s="16">
        <f t="shared" si="1455"/>
        <v>6</v>
      </c>
      <c r="F619" s="16">
        <f>SUMIFS([0]!VOTOS2,[0]!TURNO1,F$31,[0]!CANDIDATO1,$C619,[0]!MUNICIPIO1,$B$617)</f>
        <v>0</v>
      </c>
      <c r="G619" s="16">
        <f>SUMIFS([0]!VOTOS2,[0]!TURNO1,G$31,[0]!CANDIDATO1,$C619,[0]!MUNICIPIO1,$B$617)</f>
        <v>1</v>
      </c>
      <c r="H619" s="16">
        <f>SUMIFS([0]!VOTOS2,[0]!TURNO1,H$31,[0]!CANDIDATO1,$C619,[0]!MUNICIPIO1,$B$617)</f>
        <v>0</v>
      </c>
      <c r="I619" s="16">
        <f>SUMIFS([0]!VOTOS2,[0]!TURNO1,I$31,[0]!CANDIDATO1,$C619,[0]!MUNICIPIO1,$B$617)</f>
        <v>1</v>
      </c>
      <c r="J619" s="16">
        <f>SUMIFS([0]!VOTOS2,[0]!TURNO1,J$31,[0]!CANDIDATO1,$C619,[0]!MUNICIPIO1,$B$617)</f>
        <v>1</v>
      </c>
      <c r="K619" s="16">
        <f>SUMIFS([0]!VOTOS2,[0]!TURNO1,K$31,[0]!CANDIDATO1,$C619,[0]!MUNICIPIO1,$B$617)</f>
        <v>1</v>
      </c>
      <c r="L619" s="16">
        <f>SUMIFS([0]!VOTOS2,[0]!TURNO1,L$31,[0]!CANDIDATO1,$C619,[0]!MUNICIPIO1,$B$617)</f>
        <v>0</v>
      </c>
      <c r="M619" s="16">
        <f>SUMIFS([0]!VOTOS2,[0]!TURNO1,M$31,[0]!CANDIDATO1,$C619,[0]!MUNICIPIO1,$B$617)</f>
        <v>2</v>
      </c>
      <c r="N619" s="16">
        <f>SUMIFS([0]!VOTOS2,[0]!TURNO1,N$31,[0]!CANDIDATO1,$C619,[0]!MUNICIPIO1,$B$617)</f>
        <v>0</v>
      </c>
      <c r="O619" s="16">
        <f>SUMIFS([0]!VOTOS2,[0]!TURNO1,O$31,[0]!CANDIDATO1,$C619,[0]!MUNICIPIO1,$B$617)</f>
        <v>0</v>
      </c>
      <c r="P619" s="16">
        <f>SUMIFS([0]!VOTOS2,[0]!TURNO1,P$31,[0]!CANDIDATO1,$C619,[0]!MUNICIPIO1,$B$617)</f>
        <v>0</v>
      </c>
      <c r="Q619" s="16">
        <f>SUMIFS([0]!VOTOS2,[0]!TURNO1,Q$31,[0]!CANDIDATO1,$C619,[0]!MUNICIPIO1,$B$617)</f>
        <v>0</v>
      </c>
      <c r="R619" s="16">
        <f>SUMIFS([0]!VOTOS2,[0]!TURNO1,R$31,[0]!CANDIDATO1,$C619,[0]!MUNICIPIO1,$B$617)</f>
        <v>0</v>
      </c>
      <c r="S619" s="16">
        <f>SUMIFS([0]!VOTOS2,[0]!TURNO1,S$31,[0]!CANDIDATO1,$C619,[0]!MUNICIPIO1,$B$617)</f>
        <v>0</v>
      </c>
      <c r="T619" s="16">
        <f>SUMIFS([0]!VOTOS2,[0]!TURNO1,T$31,[0]!CANDIDATO1,$C619,[0]!MUNICIPIO1,$B$617)</f>
        <v>0</v>
      </c>
      <c r="U619" s="16">
        <f>SUMIFS([0]!VOTOS2,[0]!TURNO1,U$31,[0]!CANDIDATO1,$C619,[0]!MUNICIPIO1,$B$617)</f>
        <v>0</v>
      </c>
      <c r="V619" s="16">
        <f>SUMIFS([0]!VOTOS2,[0]!TURNO1,V$31,[0]!CANDIDATO1,$C619,[0]!MUNICIPIO1,$B$617)</f>
        <v>0</v>
      </c>
      <c r="W619" s="16">
        <f>SUMIFS([0]!VOTOS2,[0]!TURNO1,W$31,[0]!CANDIDATO1,$C619,[0]!MUNICIPIO1,$B$617)</f>
        <v>0</v>
      </c>
      <c r="X619" s="24"/>
      <c r="Y619" s="18" t="str">
        <f t="shared" si="1456"/>
        <v>WILLIAM MENDEZ</v>
      </c>
      <c r="Z619" s="34">
        <f t="shared" si="1457"/>
        <v>6</v>
      </c>
      <c r="AA619" s="34">
        <f t="shared" si="1458"/>
        <v>0</v>
      </c>
      <c r="AB619" s="34">
        <f t="shared" ref="AB619:AR619" si="1464">IF(SUM(G617:G629)=0,NA(),G619+AA619)</f>
        <v>1</v>
      </c>
      <c r="AC619" s="34">
        <f t="shared" si="1464"/>
        <v>1</v>
      </c>
      <c r="AD619" s="34">
        <f t="shared" si="1464"/>
        <v>2</v>
      </c>
      <c r="AE619" s="34">
        <f t="shared" si="1464"/>
        <v>3</v>
      </c>
      <c r="AF619" s="34">
        <f t="shared" si="1464"/>
        <v>4</v>
      </c>
      <c r="AG619" s="34">
        <f t="shared" si="1464"/>
        <v>4</v>
      </c>
      <c r="AH619" s="34">
        <f t="shared" si="1464"/>
        <v>6</v>
      </c>
      <c r="AI619" s="34">
        <f t="shared" si="1464"/>
        <v>6</v>
      </c>
      <c r="AJ619" s="34">
        <f t="shared" si="1464"/>
        <v>6</v>
      </c>
      <c r="AK619" s="34" t="e">
        <f t="shared" si="1464"/>
        <v>#N/A</v>
      </c>
      <c r="AL619" s="34" t="e">
        <f t="shared" si="1464"/>
        <v>#N/A</v>
      </c>
      <c r="AM619" s="34" t="e">
        <f t="shared" si="1464"/>
        <v>#N/A</v>
      </c>
      <c r="AN619" s="34" t="e">
        <f t="shared" si="1464"/>
        <v>#N/A</v>
      </c>
      <c r="AO619" s="34" t="e">
        <f t="shared" si="1464"/>
        <v>#N/A</v>
      </c>
      <c r="AP619" s="34" t="e">
        <f t="shared" si="1464"/>
        <v>#N/A</v>
      </c>
      <c r="AQ619" s="34" t="e">
        <f t="shared" si="1464"/>
        <v>#N/A</v>
      </c>
      <c r="AR619" s="34" t="e">
        <f t="shared" si="1464"/>
        <v>#N/A</v>
      </c>
      <c r="AS619" s="27"/>
      <c r="AT619" s="35" t="str">
        <f t="shared" ref="AT619" si="1465">Y630</f>
        <v>Otros</v>
      </c>
      <c r="AU619" s="36">
        <f t="shared" ref="AU619:BM619" si="1466">Z630/(Z617+Z618+Z630)</f>
        <v>4.1589648798521256E-2</v>
      </c>
      <c r="AV619" s="36">
        <f t="shared" si="1466"/>
        <v>0</v>
      </c>
      <c r="AW619" s="36">
        <f t="shared" si="1466"/>
        <v>0.16</v>
      </c>
      <c r="AX619" s="36">
        <f t="shared" si="1466"/>
        <v>8.1339712918660281E-2</v>
      </c>
      <c r="AY619" s="36">
        <f t="shared" si="1466"/>
        <v>5.8981233243967826E-2</v>
      </c>
      <c r="AZ619" s="36">
        <f t="shared" si="1466"/>
        <v>5.2529182879377433E-2</v>
      </c>
      <c r="BA619" s="36">
        <f t="shared" si="1466"/>
        <v>5.4462934947049922E-2</v>
      </c>
      <c r="BB619" s="36">
        <f t="shared" si="1466"/>
        <v>4.736842105263158E-2</v>
      </c>
      <c r="BC619" s="36">
        <f t="shared" si="1466"/>
        <v>4.6536796536796536E-2</v>
      </c>
      <c r="BD619" s="36">
        <f t="shared" si="1466"/>
        <v>4.138594802694899E-2</v>
      </c>
      <c r="BE619" s="36">
        <f t="shared" si="1466"/>
        <v>4.1589648798521256E-2</v>
      </c>
      <c r="BF619" s="36" t="e">
        <f t="shared" si="1466"/>
        <v>#N/A</v>
      </c>
      <c r="BG619" s="36" t="e">
        <f t="shared" si="1466"/>
        <v>#N/A</v>
      </c>
      <c r="BH619" s="36" t="e">
        <f t="shared" si="1466"/>
        <v>#N/A</v>
      </c>
      <c r="BI619" s="36" t="e">
        <f t="shared" si="1466"/>
        <v>#N/A</v>
      </c>
      <c r="BJ619" s="36" t="e">
        <f t="shared" si="1466"/>
        <v>#N/A</v>
      </c>
      <c r="BK619" s="36" t="e">
        <f t="shared" si="1466"/>
        <v>#N/A</v>
      </c>
      <c r="BL619" s="36" t="e">
        <f t="shared" si="1466"/>
        <v>#N/A</v>
      </c>
      <c r="BM619" s="36" t="e">
        <f t="shared" si="1466"/>
        <v>#N/A</v>
      </c>
      <c r="BN619" s="30"/>
    </row>
    <row r="620" spans="1:66" ht="11.25" customHeight="1" x14ac:dyDescent="0.2">
      <c r="A620" s="38" t="s">
        <v>48</v>
      </c>
      <c r="B620" s="73"/>
      <c r="C620" s="33">
        <v>4</v>
      </c>
      <c r="D620" s="13" t="s">
        <v>413</v>
      </c>
      <c r="E620" s="16">
        <f t="shared" si="1455"/>
        <v>19</v>
      </c>
      <c r="F620" s="16">
        <f>SUMIFS([0]!VOTOS2,[0]!TURNO1,F$31,[0]!CANDIDATO1,$C620,[0]!MUNICIPIO1,$B$617)</f>
        <v>0</v>
      </c>
      <c r="G620" s="16">
        <f>SUMIFS([0]!VOTOS2,[0]!TURNO1,G$31,[0]!CANDIDATO1,$C620,[0]!MUNICIPIO1,$B$617)</f>
        <v>11</v>
      </c>
      <c r="H620" s="16">
        <f>SUMIFS([0]!VOTOS2,[0]!TURNO1,H$31,[0]!CANDIDATO1,$C620,[0]!MUNICIPIO1,$B$617)</f>
        <v>1</v>
      </c>
      <c r="I620" s="16">
        <f>SUMIFS([0]!VOTOS2,[0]!TURNO1,I$31,[0]!CANDIDATO1,$C620,[0]!MUNICIPIO1,$B$617)</f>
        <v>2</v>
      </c>
      <c r="J620" s="16">
        <f>SUMIFS([0]!VOTOS2,[0]!TURNO1,J$31,[0]!CANDIDATO1,$C620,[0]!MUNICIPIO1,$B$617)</f>
        <v>4</v>
      </c>
      <c r="K620" s="16">
        <f>SUMIFS([0]!VOTOS2,[0]!TURNO1,K$31,[0]!CANDIDATO1,$C620,[0]!MUNICIPIO1,$B$617)</f>
        <v>0</v>
      </c>
      <c r="L620" s="16">
        <f>SUMIFS([0]!VOTOS2,[0]!TURNO1,L$31,[0]!CANDIDATO1,$C620,[0]!MUNICIPIO1,$B$617)</f>
        <v>0</v>
      </c>
      <c r="M620" s="16">
        <f>SUMIFS([0]!VOTOS2,[0]!TURNO1,M$31,[0]!CANDIDATO1,$C620,[0]!MUNICIPIO1,$B$617)</f>
        <v>1</v>
      </c>
      <c r="N620" s="16">
        <f>SUMIFS([0]!VOTOS2,[0]!TURNO1,N$31,[0]!CANDIDATO1,$C620,[0]!MUNICIPIO1,$B$617)</f>
        <v>0</v>
      </c>
      <c r="O620" s="16">
        <f>SUMIFS([0]!VOTOS2,[0]!TURNO1,O$31,[0]!CANDIDATO1,$C620,[0]!MUNICIPIO1,$B$617)</f>
        <v>0</v>
      </c>
      <c r="P620" s="16">
        <f>SUMIFS([0]!VOTOS2,[0]!TURNO1,P$31,[0]!CANDIDATO1,$C620,[0]!MUNICIPIO1,$B$617)</f>
        <v>0</v>
      </c>
      <c r="Q620" s="16">
        <f>SUMIFS([0]!VOTOS2,[0]!TURNO1,Q$31,[0]!CANDIDATO1,$C620,[0]!MUNICIPIO1,$B$617)</f>
        <v>0</v>
      </c>
      <c r="R620" s="16">
        <f>SUMIFS([0]!VOTOS2,[0]!TURNO1,R$31,[0]!CANDIDATO1,$C620,[0]!MUNICIPIO1,$B$617)</f>
        <v>0</v>
      </c>
      <c r="S620" s="16">
        <f>SUMIFS([0]!VOTOS2,[0]!TURNO1,S$31,[0]!CANDIDATO1,$C620,[0]!MUNICIPIO1,$B$617)</f>
        <v>0</v>
      </c>
      <c r="T620" s="16">
        <f>SUMIFS([0]!VOTOS2,[0]!TURNO1,T$31,[0]!CANDIDATO1,$C620,[0]!MUNICIPIO1,$B$617)</f>
        <v>0</v>
      </c>
      <c r="U620" s="16">
        <f>SUMIFS([0]!VOTOS2,[0]!TURNO1,U$31,[0]!CANDIDATO1,$C620,[0]!MUNICIPIO1,$B$617)</f>
        <v>0</v>
      </c>
      <c r="V620" s="16">
        <f>SUMIFS([0]!VOTOS2,[0]!TURNO1,V$31,[0]!CANDIDATO1,$C620,[0]!MUNICIPIO1,$B$617)</f>
        <v>0</v>
      </c>
      <c r="W620" s="16">
        <f>SUMIFS([0]!VOTOS2,[0]!TURNO1,W$31,[0]!CANDIDATO1,$C620,[0]!MUNICIPIO1,$B$617)</f>
        <v>0</v>
      </c>
      <c r="X620" s="24"/>
      <c r="Y620" s="18" t="str">
        <f t="shared" si="1456"/>
        <v>ROSA VELAZCO</v>
      </c>
      <c r="Z620" s="34">
        <f t="shared" si="1457"/>
        <v>19</v>
      </c>
      <c r="AA620" s="34">
        <f t="shared" si="1458"/>
        <v>0</v>
      </c>
      <c r="AB620" s="34">
        <f t="shared" ref="AB620:AR620" si="1467">IF(SUM(G617:G629)=0,NA(),G620+AA620)</f>
        <v>11</v>
      </c>
      <c r="AC620" s="34">
        <f t="shared" si="1467"/>
        <v>12</v>
      </c>
      <c r="AD620" s="34">
        <f t="shared" si="1467"/>
        <v>14</v>
      </c>
      <c r="AE620" s="34">
        <f t="shared" si="1467"/>
        <v>18</v>
      </c>
      <c r="AF620" s="34">
        <f t="shared" si="1467"/>
        <v>18</v>
      </c>
      <c r="AG620" s="34">
        <f t="shared" si="1467"/>
        <v>18</v>
      </c>
      <c r="AH620" s="34">
        <f t="shared" si="1467"/>
        <v>19</v>
      </c>
      <c r="AI620" s="34">
        <f t="shared" si="1467"/>
        <v>19</v>
      </c>
      <c r="AJ620" s="34">
        <f t="shared" si="1467"/>
        <v>19</v>
      </c>
      <c r="AK620" s="34" t="e">
        <f t="shared" si="1467"/>
        <v>#N/A</v>
      </c>
      <c r="AL620" s="34" t="e">
        <f t="shared" si="1467"/>
        <v>#N/A</v>
      </c>
      <c r="AM620" s="34" t="e">
        <f t="shared" si="1467"/>
        <v>#N/A</v>
      </c>
      <c r="AN620" s="34" t="e">
        <f t="shared" si="1467"/>
        <v>#N/A</v>
      </c>
      <c r="AO620" s="34" t="e">
        <f t="shared" si="1467"/>
        <v>#N/A</v>
      </c>
      <c r="AP620" s="34" t="e">
        <f t="shared" si="1467"/>
        <v>#N/A</v>
      </c>
      <c r="AQ620" s="34" t="e">
        <f t="shared" si="1467"/>
        <v>#N/A</v>
      </c>
      <c r="AR620" s="34" t="e">
        <f t="shared" si="1467"/>
        <v>#N/A</v>
      </c>
      <c r="AS620" s="27"/>
      <c r="AT620" s="39"/>
      <c r="AU620" s="39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30"/>
    </row>
    <row r="621" spans="1:66" ht="11.25" customHeight="1" x14ac:dyDescent="0.2">
      <c r="A621" s="38" t="s">
        <v>49</v>
      </c>
      <c r="B621" s="73"/>
      <c r="C621" s="33">
        <v>5</v>
      </c>
      <c r="D621" s="13" t="s">
        <v>414</v>
      </c>
      <c r="E621" s="16">
        <f t="shared" si="1455"/>
        <v>3</v>
      </c>
      <c r="F621" s="16">
        <f>SUMIFS([0]!VOTOS2,[0]!TURNO1,F$31,[0]!CANDIDATO1,$C621,[0]!MUNICIPIO1,$B$617)</f>
        <v>0</v>
      </c>
      <c r="G621" s="16">
        <f>SUMIFS([0]!VOTOS2,[0]!TURNO1,G$31,[0]!CANDIDATO1,$C621,[0]!MUNICIPIO1,$B$617)</f>
        <v>1</v>
      </c>
      <c r="H621" s="16">
        <f>SUMIFS([0]!VOTOS2,[0]!TURNO1,H$31,[0]!CANDIDATO1,$C621,[0]!MUNICIPIO1,$B$617)</f>
        <v>0</v>
      </c>
      <c r="I621" s="16">
        <f>SUMIFS([0]!VOTOS2,[0]!TURNO1,I$31,[0]!CANDIDATO1,$C621,[0]!MUNICIPIO1,$B$617)</f>
        <v>0</v>
      </c>
      <c r="J621" s="16">
        <f>SUMIFS([0]!VOTOS2,[0]!TURNO1,J$31,[0]!CANDIDATO1,$C621,[0]!MUNICIPIO1,$B$617)</f>
        <v>0</v>
      </c>
      <c r="K621" s="16">
        <f>SUMIFS([0]!VOTOS2,[0]!TURNO1,K$31,[0]!CANDIDATO1,$C621,[0]!MUNICIPIO1,$B$617)</f>
        <v>0</v>
      </c>
      <c r="L621" s="16">
        <f>SUMIFS([0]!VOTOS2,[0]!TURNO1,L$31,[0]!CANDIDATO1,$C621,[0]!MUNICIPIO1,$B$617)</f>
        <v>0</v>
      </c>
      <c r="M621" s="16">
        <f>SUMIFS([0]!VOTOS2,[0]!TURNO1,M$31,[0]!CANDIDATO1,$C621,[0]!MUNICIPIO1,$B$617)</f>
        <v>0</v>
      </c>
      <c r="N621" s="16">
        <f>SUMIFS([0]!VOTOS2,[0]!TURNO1,N$31,[0]!CANDIDATO1,$C621,[0]!MUNICIPIO1,$B$617)</f>
        <v>0</v>
      </c>
      <c r="O621" s="16">
        <f>SUMIFS([0]!VOTOS2,[0]!TURNO1,O$31,[0]!CANDIDATO1,$C621,[0]!MUNICIPIO1,$B$617)</f>
        <v>2</v>
      </c>
      <c r="P621" s="16">
        <f>SUMIFS([0]!VOTOS2,[0]!TURNO1,P$31,[0]!CANDIDATO1,$C621,[0]!MUNICIPIO1,$B$617)</f>
        <v>0</v>
      </c>
      <c r="Q621" s="16">
        <f>SUMIFS([0]!VOTOS2,[0]!TURNO1,Q$31,[0]!CANDIDATO1,$C621,[0]!MUNICIPIO1,$B$617)</f>
        <v>0</v>
      </c>
      <c r="R621" s="16">
        <f>SUMIFS([0]!VOTOS2,[0]!TURNO1,R$31,[0]!CANDIDATO1,$C621,[0]!MUNICIPIO1,$B$617)</f>
        <v>0</v>
      </c>
      <c r="S621" s="16">
        <f>SUMIFS([0]!VOTOS2,[0]!TURNO1,S$31,[0]!CANDIDATO1,$C621,[0]!MUNICIPIO1,$B$617)</f>
        <v>0</v>
      </c>
      <c r="T621" s="16">
        <f>SUMIFS([0]!VOTOS2,[0]!TURNO1,T$31,[0]!CANDIDATO1,$C621,[0]!MUNICIPIO1,$B$617)</f>
        <v>0</v>
      </c>
      <c r="U621" s="16">
        <f>SUMIFS([0]!VOTOS2,[0]!TURNO1,U$31,[0]!CANDIDATO1,$C621,[0]!MUNICIPIO1,$B$617)</f>
        <v>0</v>
      </c>
      <c r="V621" s="16">
        <f>SUMIFS([0]!VOTOS2,[0]!TURNO1,V$31,[0]!CANDIDATO1,$C621,[0]!MUNICIPIO1,$B$617)</f>
        <v>0</v>
      </c>
      <c r="W621" s="16">
        <f>SUMIFS([0]!VOTOS2,[0]!TURNO1,W$31,[0]!CANDIDATO1,$C621,[0]!MUNICIPIO1,$B$617)</f>
        <v>0</v>
      </c>
      <c r="X621" s="24"/>
      <c r="Y621" s="18" t="str">
        <f t="shared" si="1456"/>
        <v>LUIS RIVERA</v>
      </c>
      <c r="Z621" s="34">
        <f t="shared" si="1457"/>
        <v>3</v>
      </c>
      <c r="AA621" s="34">
        <f t="shared" si="1458"/>
        <v>0</v>
      </c>
      <c r="AB621" s="34">
        <f t="shared" ref="AB621:AR621" si="1468">IF(SUM(G617:G629)=0,NA(),G621+AA621)</f>
        <v>1</v>
      </c>
      <c r="AC621" s="34">
        <f t="shared" si="1468"/>
        <v>1</v>
      </c>
      <c r="AD621" s="34">
        <f t="shared" si="1468"/>
        <v>1</v>
      </c>
      <c r="AE621" s="34">
        <f t="shared" si="1468"/>
        <v>1</v>
      </c>
      <c r="AF621" s="34">
        <f t="shared" si="1468"/>
        <v>1</v>
      </c>
      <c r="AG621" s="34">
        <f t="shared" si="1468"/>
        <v>1</v>
      </c>
      <c r="AH621" s="34">
        <f t="shared" si="1468"/>
        <v>1</v>
      </c>
      <c r="AI621" s="34">
        <f t="shared" si="1468"/>
        <v>1</v>
      </c>
      <c r="AJ621" s="34">
        <f t="shared" si="1468"/>
        <v>3</v>
      </c>
      <c r="AK621" s="34" t="e">
        <f t="shared" si="1468"/>
        <v>#N/A</v>
      </c>
      <c r="AL621" s="34" t="e">
        <f t="shared" si="1468"/>
        <v>#N/A</v>
      </c>
      <c r="AM621" s="34" t="e">
        <f t="shared" si="1468"/>
        <v>#N/A</v>
      </c>
      <c r="AN621" s="34" t="e">
        <f t="shared" si="1468"/>
        <v>#N/A</v>
      </c>
      <c r="AO621" s="34" t="e">
        <f t="shared" si="1468"/>
        <v>#N/A</v>
      </c>
      <c r="AP621" s="34" t="e">
        <f t="shared" si="1468"/>
        <v>#N/A</v>
      </c>
      <c r="AQ621" s="34" t="e">
        <f t="shared" si="1468"/>
        <v>#N/A</v>
      </c>
      <c r="AR621" s="34" t="e">
        <f t="shared" si="1468"/>
        <v>#N/A</v>
      </c>
      <c r="AS621" s="27"/>
      <c r="AT621" s="39"/>
      <c r="AU621" s="39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30"/>
    </row>
    <row r="622" spans="1:66" ht="11.25" customHeight="1" x14ac:dyDescent="0.2">
      <c r="A622" s="37"/>
      <c r="B622" s="73"/>
      <c r="C622" s="33">
        <v>6</v>
      </c>
      <c r="D622" s="13" t="s">
        <v>415</v>
      </c>
      <c r="E622" s="16">
        <f t="shared" si="1455"/>
        <v>0</v>
      </c>
      <c r="F622" s="16">
        <f>SUMIFS([0]!VOTOS2,[0]!TURNO1,F$31,[0]!CANDIDATO1,$C622,[0]!MUNICIPIO1,$B$617)</f>
        <v>0</v>
      </c>
      <c r="G622" s="16">
        <f>SUMIFS([0]!VOTOS2,[0]!TURNO1,G$31,[0]!CANDIDATO1,$C622,[0]!MUNICIPIO1,$B$617)</f>
        <v>0</v>
      </c>
      <c r="H622" s="16">
        <f>SUMIFS([0]!VOTOS2,[0]!TURNO1,H$31,[0]!CANDIDATO1,$C622,[0]!MUNICIPIO1,$B$617)</f>
        <v>0</v>
      </c>
      <c r="I622" s="16">
        <f>SUMIFS([0]!VOTOS2,[0]!TURNO1,I$31,[0]!CANDIDATO1,$C622,[0]!MUNICIPIO1,$B$617)</f>
        <v>0</v>
      </c>
      <c r="J622" s="16">
        <f>SUMIFS([0]!VOTOS2,[0]!TURNO1,J$31,[0]!CANDIDATO1,$C622,[0]!MUNICIPIO1,$B$617)</f>
        <v>0</v>
      </c>
      <c r="K622" s="16">
        <f>SUMIFS([0]!VOTOS2,[0]!TURNO1,K$31,[0]!CANDIDATO1,$C622,[0]!MUNICIPIO1,$B$617)</f>
        <v>0</v>
      </c>
      <c r="L622" s="16">
        <f>SUMIFS([0]!VOTOS2,[0]!TURNO1,L$31,[0]!CANDIDATO1,$C622,[0]!MUNICIPIO1,$B$617)</f>
        <v>0</v>
      </c>
      <c r="M622" s="16">
        <f>SUMIFS([0]!VOTOS2,[0]!TURNO1,M$31,[0]!CANDIDATO1,$C622,[0]!MUNICIPIO1,$B$617)</f>
        <v>0</v>
      </c>
      <c r="N622" s="16">
        <f>SUMIFS([0]!VOTOS2,[0]!TURNO1,N$31,[0]!CANDIDATO1,$C622,[0]!MUNICIPIO1,$B$617)</f>
        <v>0</v>
      </c>
      <c r="O622" s="16">
        <f>SUMIFS([0]!VOTOS2,[0]!TURNO1,O$31,[0]!CANDIDATO1,$C622,[0]!MUNICIPIO1,$B$617)</f>
        <v>0</v>
      </c>
      <c r="P622" s="16">
        <f>SUMIFS([0]!VOTOS2,[0]!TURNO1,P$31,[0]!CANDIDATO1,$C622,[0]!MUNICIPIO1,$B$617)</f>
        <v>0</v>
      </c>
      <c r="Q622" s="16">
        <f>SUMIFS([0]!VOTOS2,[0]!TURNO1,Q$31,[0]!CANDIDATO1,$C622,[0]!MUNICIPIO1,$B$617)</f>
        <v>0</v>
      </c>
      <c r="R622" s="16">
        <f>SUMIFS([0]!VOTOS2,[0]!TURNO1,R$31,[0]!CANDIDATO1,$C622,[0]!MUNICIPIO1,$B$617)</f>
        <v>0</v>
      </c>
      <c r="S622" s="16">
        <f>SUMIFS([0]!VOTOS2,[0]!TURNO1,S$31,[0]!CANDIDATO1,$C622,[0]!MUNICIPIO1,$B$617)</f>
        <v>0</v>
      </c>
      <c r="T622" s="16">
        <f>SUMIFS([0]!VOTOS2,[0]!TURNO1,T$31,[0]!CANDIDATO1,$C622,[0]!MUNICIPIO1,$B$617)</f>
        <v>0</v>
      </c>
      <c r="U622" s="16">
        <f>SUMIFS([0]!VOTOS2,[0]!TURNO1,U$31,[0]!CANDIDATO1,$C622,[0]!MUNICIPIO1,$B$617)</f>
        <v>0</v>
      </c>
      <c r="V622" s="16">
        <f>SUMIFS([0]!VOTOS2,[0]!TURNO1,V$31,[0]!CANDIDATO1,$C622,[0]!MUNICIPIO1,$B$617)</f>
        <v>0</v>
      </c>
      <c r="W622" s="16">
        <f>SUMIFS([0]!VOTOS2,[0]!TURNO1,W$31,[0]!CANDIDATO1,$C622,[0]!MUNICIPIO1,$B$617)</f>
        <v>0</v>
      </c>
      <c r="X622" s="24"/>
      <c r="Y622" s="18" t="str">
        <f t="shared" si="1456"/>
        <v>IVAN USECHE</v>
      </c>
      <c r="Z622" s="34">
        <f t="shared" si="1457"/>
        <v>0</v>
      </c>
      <c r="AA622" s="34">
        <f t="shared" si="1458"/>
        <v>0</v>
      </c>
      <c r="AB622" s="34">
        <f t="shared" ref="AB622:AR622" si="1469">IF(SUM(G617:G629)=0,NA(),G622+AA622)</f>
        <v>0</v>
      </c>
      <c r="AC622" s="34">
        <f t="shared" si="1469"/>
        <v>0</v>
      </c>
      <c r="AD622" s="34">
        <f t="shared" si="1469"/>
        <v>0</v>
      </c>
      <c r="AE622" s="34">
        <f t="shared" si="1469"/>
        <v>0</v>
      </c>
      <c r="AF622" s="34">
        <f t="shared" si="1469"/>
        <v>0</v>
      </c>
      <c r="AG622" s="34">
        <f t="shared" si="1469"/>
        <v>0</v>
      </c>
      <c r="AH622" s="34">
        <f t="shared" si="1469"/>
        <v>0</v>
      </c>
      <c r="AI622" s="34">
        <f t="shared" si="1469"/>
        <v>0</v>
      </c>
      <c r="AJ622" s="34">
        <f t="shared" si="1469"/>
        <v>0</v>
      </c>
      <c r="AK622" s="34" t="e">
        <f t="shared" si="1469"/>
        <v>#N/A</v>
      </c>
      <c r="AL622" s="34" t="e">
        <f t="shared" si="1469"/>
        <v>#N/A</v>
      </c>
      <c r="AM622" s="34" t="e">
        <f t="shared" si="1469"/>
        <v>#N/A</v>
      </c>
      <c r="AN622" s="34" t="e">
        <f t="shared" si="1469"/>
        <v>#N/A</v>
      </c>
      <c r="AO622" s="34" t="e">
        <f t="shared" si="1469"/>
        <v>#N/A</v>
      </c>
      <c r="AP622" s="34" t="e">
        <f t="shared" si="1469"/>
        <v>#N/A</v>
      </c>
      <c r="AQ622" s="34" t="e">
        <f t="shared" si="1469"/>
        <v>#N/A</v>
      </c>
      <c r="AR622" s="34" t="e">
        <f t="shared" si="1469"/>
        <v>#N/A</v>
      </c>
      <c r="AS622" s="27"/>
      <c r="AT622" s="39"/>
      <c r="AU622" s="39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30"/>
    </row>
    <row r="623" spans="1:66" ht="11.25" customHeight="1" x14ac:dyDescent="0.2">
      <c r="A623" s="37"/>
      <c r="B623" s="73"/>
      <c r="C623" s="33">
        <v>7</v>
      </c>
      <c r="D623" s="13" t="s">
        <v>416</v>
      </c>
      <c r="E623" s="16">
        <f t="shared" si="1455"/>
        <v>0</v>
      </c>
      <c r="F623" s="16">
        <f>SUMIFS([0]!VOTOS2,[0]!TURNO1,F$31,[0]!CANDIDATO1,$C623,[0]!MUNICIPIO1,$B$617)</f>
        <v>0</v>
      </c>
      <c r="G623" s="16">
        <f>SUMIFS([0]!VOTOS2,[0]!TURNO1,G$31,[0]!CANDIDATO1,$C623,[0]!MUNICIPIO1,$B$617)</f>
        <v>0</v>
      </c>
      <c r="H623" s="16">
        <f>SUMIFS([0]!VOTOS2,[0]!TURNO1,H$31,[0]!CANDIDATO1,$C623,[0]!MUNICIPIO1,$B$617)</f>
        <v>0</v>
      </c>
      <c r="I623" s="16">
        <f>SUMIFS([0]!VOTOS2,[0]!TURNO1,I$31,[0]!CANDIDATO1,$C623,[0]!MUNICIPIO1,$B$617)</f>
        <v>0</v>
      </c>
      <c r="J623" s="16">
        <f>SUMIFS([0]!VOTOS2,[0]!TURNO1,J$31,[0]!CANDIDATO1,$C623,[0]!MUNICIPIO1,$B$617)</f>
        <v>0</v>
      </c>
      <c r="K623" s="16">
        <f>SUMIFS([0]!VOTOS2,[0]!TURNO1,K$31,[0]!CANDIDATO1,$C623,[0]!MUNICIPIO1,$B$617)</f>
        <v>0</v>
      </c>
      <c r="L623" s="16">
        <f>SUMIFS([0]!VOTOS2,[0]!TURNO1,L$31,[0]!CANDIDATO1,$C623,[0]!MUNICIPIO1,$B$617)</f>
        <v>0</v>
      </c>
      <c r="M623" s="16">
        <f>SUMIFS([0]!VOTOS2,[0]!TURNO1,M$31,[0]!CANDIDATO1,$C623,[0]!MUNICIPIO1,$B$617)</f>
        <v>0</v>
      </c>
      <c r="N623" s="16">
        <f>SUMIFS([0]!VOTOS2,[0]!TURNO1,N$31,[0]!CANDIDATO1,$C623,[0]!MUNICIPIO1,$B$617)</f>
        <v>0</v>
      </c>
      <c r="O623" s="16">
        <f>SUMIFS([0]!VOTOS2,[0]!TURNO1,O$31,[0]!CANDIDATO1,$C623,[0]!MUNICIPIO1,$B$617)</f>
        <v>0</v>
      </c>
      <c r="P623" s="16">
        <f>SUMIFS([0]!VOTOS2,[0]!TURNO1,P$31,[0]!CANDIDATO1,$C623,[0]!MUNICIPIO1,$B$617)</f>
        <v>0</v>
      </c>
      <c r="Q623" s="16">
        <f>SUMIFS([0]!VOTOS2,[0]!TURNO1,Q$31,[0]!CANDIDATO1,$C623,[0]!MUNICIPIO1,$B$617)</f>
        <v>0</v>
      </c>
      <c r="R623" s="16">
        <f>SUMIFS([0]!VOTOS2,[0]!TURNO1,R$31,[0]!CANDIDATO1,$C623,[0]!MUNICIPIO1,$B$617)</f>
        <v>0</v>
      </c>
      <c r="S623" s="16">
        <f>SUMIFS([0]!VOTOS2,[0]!TURNO1,S$31,[0]!CANDIDATO1,$C623,[0]!MUNICIPIO1,$B$617)</f>
        <v>0</v>
      </c>
      <c r="T623" s="16">
        <f>SUMIFS([0]!VOTOS2,[0]!TURNO1,T$31,[0]!CANDIDATO1,$C623,[0]!MUNICIPIO1,$B$617)</f>
        <v>0</v>
      </c>
      <c r="U623" s="16">
        <f>SUMIFS([0]!VOTOS2,[0]!TURNO1,U$31,[0]!CANDIDATO1,$C623,[0]!MUNICIPIO1,$B$617)</f>
        <v>0</v>
      </c>
      <c r="V623" s="16">
        <f>SUMIFS([0]!VOTOS2,[0]!TURNO1,V$31,[0]!CANDIDATO1,$C623,[0]!MUNICIPIO1,$B$617)</f>
        <v>0</v>
      </c>
      <c r="W623" s="16">
        <f>SUMIFS([0]!VOTOS2,[0]!TURNO1,W$31,[0]!CANDIDATO1,$C623,[0]!MUNICIPIO1,$B$617)</f>
        <v>0</v>
      </c>
      <c r="X623" s="24"/>
      <c r="Y623" s="18" t="str">
        <f t="shared" si="1456"/>
        <v>OMAIRA LEAL</v>
      </c>
      <c r="Z623" s="34">
        <f t="shared" si="1457"/>
        <v>0</v>
      </c>
      <c r="AA623" s="34">
        <f t="shared" si="1458"/>
        <v>0</v>
      </c>
      <c r="AB623" s="34">
        <f t="shared" ref="AB623:AR623" si="1470">IF(SUM(G617:G629)=0,NA(),G623+AA623)</f>
        <v>0</v>
      </c>
      <c r="AC623" s="34">
        <f t="shared" si="1470"/>
        <v>0</v>
      </c>
      <c r="AD623" s="34">
        <f t="shared" si="1470"/>
        <v>0</v>
      </c>
      <c r="AE623" s="34">
        <f t="shared" si="1470"/>
        <v>0</v>
      </c>
      <c r="AF623" s="34">
        <f t="shared" si="1470"/>
        <v>0</v>
      </c>
      <c r="AG623" s="34">
        <f t="shared" si="1470"/>
        <v>0</v>
      </c>
      <c r="AH623" s="34">
        <f t="shared" si="1470"/>
        <v>0</v>
      </c>
      <c r="AI623" s="34">
        <f t="shared" si="1470"/>
        <v>0</v>
      </c>
      <c r="AJ623" s="34">
        <f t="shared" si="1470"/>
        <v>0</v>
      </c>
      <c r="AK623" s="34" t="e">
        <f t="shared" si="1470"/>
        <v>#N/A</v>
      </c>
      <c r="AL623" s="34" t="e">
        <f t="shared" si="1470"/>
        <v>#N/A</v>
      </c>
      <c r="AM623" s="34" t="e">
        <f t="shared" si="1470"/>
        <v>#N/A</v>
      </c>
      <c r="AN623" s="34" t="e">
        <f t="shared" si="1470"/>
        <v>#N/A</v>
      </c>
      <c r="AO623" s="34" t="e">
        <f t="shared" si="1470"/>
        <v>#N/A</v>
      </c>
      <c r="AP623" s="34" t="e">
        <f t="shared" si="1470"/>
        <v>#N/A</v>
      </c>
      <c r="AQ623" s="34" t="e">
        <f t="shared" si="1470"/>
        <v>#N/A</v>
      </c>
      <c r="AR623" s="34" t="e">
        <f t="shared" si="1470"/>
        <v>#N/A</v>
      </c>
      <c r="AS623" s="27"/>
      <c r="AT623" s="39"/>
      <c r="AU623" s="39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30"/>
    </row>
    <row r="624" spans="1:66" ht="11.25" customHeight="1" x14ac:dyDescent="0.2">
      <c r="A624" s="37"/>
      <c r="B624" s="73"/>
      <c r="C624" s="33">
        <v>8</v>
      </c>
      <c r="D624" s="13" t="s">
        <v>417</v>
      </c>
      <c r="E624" s="16">
        <f t="shared" si="1455"/>
        <v>14</v>
      </c>
      <c r="F624" s="16">
        <f>SUMIFS([0]!VOTOS2,[0]!TURNO1,F$31,[0]!CANDIDATO1,$C624,[0]!MUNICIPIO1,$B$617)</f>
        <v>0</v>
      </c>
      <c r="G624" s="16">
        <f>SUMIFS([0]!VOTOS2,[0]!TURNO1,G$31,[0]!CANDIDATO1,$C624,[0]!MUNICIPIO1,$B$617)</f>
        <v>2</v>
      </c>
      <c r="H624" s="16">
        <f>SUMIFS([0]!VOTOS2,[0]!TURNO1,H$31,[0]!CANDIDATO1,$C624,[0]!MUNICIPIO1,$B$617)</f>
        <v>0</v>
      </c>
      <c r="I624" s="16">
        <f>SUMIFS([0]!VOTOS2,[0]!TURNO1,I$31,[0]!CANDIDATO1,$C624,[0]!MUNICIPIO1,$B$617)</f>
        <v>2</v>
      </c>
      <c r="J624" s="16">
        <f>SUMIFS([0]!VOTOS2,[0]!TURNO1,J$31,[0]!CANDIDATO1,$C624,[0]!MUNICIPIO1,$B$617)</f>
        <v>0</v>
      </c>
      <c r="K624" s="16">
        <f>SUMIFS([0]!VOTOS2,[0]!TURNO1,K$31,[0]!CANDIDATO1,$C624,[0]!MUNICIPIO1,$B$617)</f>
        <v>6</v>
      </c>
      <c r="L624" s="16">
        <f>SUMIFS([0]!VOTOS2,[0]!TURNO1,L$31,[0]!CANDIDATO1,$C624,[0]!MUNICIPIO1,$B$617)</f>
        <v>0</v>
      </c>
      <c r="M624" s="16">
        <f>SUMIFS([0]!VOTOS2,[0]!TURNO1,M$31,[0]!CANDIDATO1,$C624,[0]!MUNICIPIO1,$B$617)</f>
        <v>4</v>
      </c>
      <c r="N624" s="16">
        <f>SUMIFS([0]!VOTOS2,[0]!TURNO1,N$31,[0]!CANDIDATO1,$C624,[0]!MUNICIPIO1,$B$617)</f>
        <v>0</v>
      </c>
      <c r="O624" s="16">
        <f>SUMIFS([0]!VOTOS2,[0]!TURNO1,O$31,[0]!CANDIDATO1,$C624,[0]!MUNICIPIO1,$B$617)</f>
        <v>0</v>
      </c>
      <c r="P624" s="16">
        <f>SUMIFS([0]!VOTOS2,[0]!TURNO1,P$31,[0]!CANDIDATO1,$C624,[0]!MUNICIPIO1,$B$617)</f>
        <v>0</v>
      </c>
      <c r="Q624" s="16">
        <f>SUMIFS([0]!VOTOS2,[0]!TURNO1,Q$31,[0]!CANDIDATO1,$C624,[0]!MUNICIPIO1,$B$617)</f>
        <v>0</v>
      </c>
      <c r="R624" s="16">
        <f>SUMIFS([0]!VOTOS2,[0]!TURNO1,R$31,[0]!CANDIDATO1,$C624,[0]!MUNICIPIO1,$B$617)</f>
        <v>0</v>
      </c>
      <c r="S624" s="16">
        <f>SUMIFS([0]!VOTOS2,[0]!TURNO1,S$31,[0]!CANDIDATO1,$C624,[0]!MUNICIPIO1,$B$617)</f>
        <v>0</v>
      </c>
      <c r="T624" s="16">
        <f>SUMIFS([0]!VOTOS2,[0]!TURNO1,T$31,[0]!CANDIDATO1,$C624,[0]!MUNICIPIO1,$B$617)</f>
        <v>0</v>
      </c>
      <c r="U624" s="16">
        <f>SUMIFS([0]!VOTOS2,[0]!TURNO1,U$31,[0]!CANDIDATO1,$C624,[0]!MUNICIPIO1,$B$617)</f>
        <v>0</v>
      </c>
      <c r="V624" s="16">
        <f>SUMIFS([0]!VOTOS2,[0]!TURNO1,V$31,[0]!CANDIDATO1,$C624,[0]!MUNICIPIO1,$B$617)</f>
        <v>0</v>
      </c>
      <c r="W624" s="16">
        <f>SUMIFS([0]!VOTOS2,[0]!TURNO1,W$31,[0]!CANDIDATO1,$C624,[0]!MUNICIPIO1,$B$617)</f>
        <v>0</v>
      </c>
      <c r="X624" s="24"/>
      <c r="Y624" s="18" t="str">
        <f t="shared" si="1456"/>
        <v>SERGIO O CALDERON</v>
      </c>
      <c r="Z624" s="34">
        <f t="shared" si="1457"/>
        <v>14</v>
      </c>
      <c r="AA624" s="34">
        <f t="shared" si="1458"/>
        <v>0</v>
      </c>
      <c r="AB624" s="34">
        <f t="shared" ref="AB624:AR624" si="1471">IF(SUM(G617:G629)=0,NA(),G624+AA624)</f>
        <v>2</v>
      </c>
      <c r="AC624" s="34">
        <f t="shared" si="1471"/>
        <v>2</v>
      </c>
      <c r="AD624" s="34">
        <f t="shared" si="1471"/>
        <v>4</v>
      </c>
      <c r="AE624" s="34">
        <f t="shared" si="1471"/>
        <v>4</v>
      </c>
      <c r="AF624" s="34">
        <f t="shared" si="1471"/>
        <v>10</v>
      </c>
      <c r="AG624" s="34">
        <f t="shared" si="1471"/>
        <v>10</v>
      </c>
      <c r="AH624" s="34">
        <f t="shared" si="1471"/>
        <v>14</v>
      </c>
      <c r="AI624" s="34">
        <f t="shared" si="1471"/>
        <v>14</v>
      </c>
      <c r="AJ624" s="34">
        <f t="shared" si="1471"/>
        <v>14</v>
      </c>
      <c r="AK624" s="34" t="e">
        <f t="shared" si="1471"/>
        <v>#N/A</v>
      </c>
      <c r="AL624" s="34" t="e">
        <f t="shared" si="1471"/>
        <v>#N/A</v>
      </c>
      <c r="AM624" s="34" t="e">
        <f t="shared" si="1471"/>
        <v>#N/A</v>
      </c>
      <c r="AN624" s="34" t="e">
        <f t="shared" si="1471"/>
        <v>#N/A</v>
      </c>
      <c r="AO624" s="34" t="e">
        <f t="shared" si="1471"/>
        <v>#N/A</v>
      </c>
      <c r="AP624" s="34" t="e">
        <f t="shared" si="1471"/>
        <v>#N/A</v>
      </c>
      <c r="AQ624" s="34" t="e">
        <f t="shared" si="1471"/>
        <v>#N/A</v>
      </c>
      <c r="AR624" s="34" t="e">
        <f t="shared" si="1471"/>
        <v>#N/A</v>
      </c>
      <c r="AS624" s="27"/>
      <c r="AT624" s="41"/>
      <c r="AU624" s="41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30"/>
    </row>
    <row r="625" spans="1:66" ht="11.25" customHeight="1" x14ac:dyDescent="0.2">
      <c r="A625" s="42"/>
      <c r="B625" s="74"/>
      <c r="C625" s="33">
        <v>9</v>
      </c>
      <c r="D625" s="13" t="s">
        <v>418</v>
      </c>
      <c r="E625" s="16">
        <f t="shared" si="1455"/>
        <v>3</v>
      </c>
      <c r="F625" s="16">
        <f>SUMIFS([0]!VOTOS2,[0]!TURNO1,F$31,[0]!CANDIDATO1,$C625,[0]!MUNICIPIO1,$B$617)</f>
        <v>0</v>
      </c>
      <c r="G625" s="16">
        <f>SUMIFS([0]!VOTOS2,[0]!TURNO1,G$31,[0]!CANDIDATO1,$C625,[0]!MUNICIPIO1,$B$617)</f>
        <v>1</v>
      </c>
      <c r="H625" s="16">
        <f>SUMIFS([0]!VOTOS2,[0]!TURNO1,H$31,[0]!CANDIDATO1,$C625,[0]!MUNICIPIO1,$B$617)</f>
        <v>0</v>
      </c>
      <c r="I625" s="16">
        <f>SUMIFS([0]!VOTOS2,[0]!TURNO1,I$31,[0]!CANDIDATO1,$C625,[0]!MUNICIPIO1,$B$617)</f>
        <v>0</v>
      </c>
      <c r="J625" s="16">
        <f>SUMIFS([0]!VOTOS2,[0]!TURNO1,J$31,[0]!CANDIDATO1,$C625,[0]!MUNICIPIO1,$B$617)</f>
        <v>0</v>
      </c>
      <c r="K625" s="16">
        <f>SUMIFS([0]!VOTOS2,[0]!TURNO1,K$31,[0]!CANDIDATO1,$C625,[0]!MUNICIPIO1,$B$617)</f>
        <v>2</v>
      </c>
      <c r="L625" s="16">
        <f>SUMIFS([0]!VOTOS2,[0]!TURNO1,L$31,[0]!CANDIDATO1,$C625,[0]!MUNICIPIO1,$B$617)</f>
        <v>0</v>
      </c>
      <c r="M625" s="16">
        <f>SUMIFS([0]!VOTOS2,[0]!TURNO1,M$31,[0]!CANDIDATO1,$C625,[0]!MUNICIPIO1,$B$617)</f>
        <v>0</v>
      </c>
      <c r="N625" s="16">
        <f>SUMIFS([0]!VOTOS2,[0]!TURNO1,N$31,[0]!CANDIDATO1,$C625,[0]!MUNICIPIO1,$B$617)</f>
        <v>0</v>
      </c>
      <c r="O625" s="16">
        <f>SUMIFS([0]!VOTOS2,[0]!TURNO1,O$31,[0]!CANDIDATO1,$C625,[0]!MUNICIPIO1,$B$617)</f>
        <v>0</v>
      </c>
      <c r="P625" s="16">
        <f>SUMIFS([0]!VOTOS2,[0]!TURNO1,P$31,[0]!CANDIDATO1,$C625,[0]!MUNICIPIO1,$B$617)</f>
        <v>0</v>
      </c>
      <c r="Q625" s="16">
        <f>SUMIFS([0]!VOTOS2,[0]!TURNO1,Q$31,[0]!CANDIDATO1,$C625,[0]!MUNICIPIO1,$B$617)</f>
        <v>0</v>
      </c>
      <c r="R625" s="16">
        <f>SUMIFS([0]!VOTOS2,[0]!TURNO1,R$31,[0]!CANDIDATO1,$C625,[0]!MUNICIPIO1,$B$617)</f>
        <v>0</v>
      </c>
      <c r="S625" s="16">
        <f>SUMIFS([0]!VOTOS2,[0]!TURNO1,S$31,[0]!CANDIDATO1,$C625,[0]!MUNICIPIO1,$B$617)</f>
        <v>0</v>
      </c>
      <c r="T625" s="16">
        <f>SUMIFS([0]!VOTOS2,[0]!TURNO1,T$31,[0]!CANDIDATO1,$C625,[0]!MUNICIPIO1,$B$617)</f>
        <v>0</v>
      </c>
      <c r="U625" s="16">
        <f>SUMIFS([0]!VOTOS2,[0]!TURNO1,U$31,[0]!CANDIDATO1,$C625,[0]!MUNICIPIO1,$B$617)</f>
        <v>0</v>
      </c>
      <c r="V625" s="16">
        <f>SUMIFS([0]!VOTOS2,[0]!TURNO1,V$31,[0]!CANDIDATO1,$C625,[0]!MUNICIPIO1,$B$617)</f>
        <v>0</v>
      </c>
      <c r="W625" s="16">
        <f>SUMIFS([0]!VOTOS2,[0]!TURNO1,W$31,[0]!CANDIDATO1,$C625,[0]!MUNICIPIO1,$B$617)</f>
        <v>0</v>
      </c>
      <c r="X625" s="24"/>
      <c r="Y625" s="18" t="str">
        <f t="shared" si="1456"/>
        <v>BERTA ELENA CEBALLOS</v>
      </c>
      <c r="Z625" s="34">
        <f t="shared" si="1457"/>
        <v>3</v>
      </c>
      <c r="AA625" s="34">
        <f t="shared" si="1458"/>
        <v>0</v>
      </c>
      <c r="AB625" s="34">
        <f t="shared" ref="AB625:AR625" si="1472">IF(SUM(G617:G629)=0,NA(),G625+AA625)</f>
        <v>1</v>
      </c>
      <c r="AC625" s="34">
        <f t="shared" si="1472"/>
        <v>1</v>
      </c>
      <c r="AD625" s="34">
        <f t="shared" si="1472"/>
        <v>1</v>
      </c>
      <c r="AE625" s="34">
        <f t="shared" si="1472"/>
        <v>1</v>
      </c>
      <c r="AF625" s="34">
        <f t="shared" si="1472"/>
        <v>3</v>
      </c>
      <c r="AG625" s="34">
        <f t="shared" si="1472"/>
        <v>3</v>
      </c>
      <c r="AH625" s="34">
        <f t="shared" si="1472"/>
        <v>3</v>
      </c>
      <c r="AI625" s="34">
        <f t="shared" si="1472"/>
        <v>3</v>
      </c>
      <c r="AJ625" s="34">
        <f t="shared" si="1472"/>
        <v>3</v>
      </c>
      <c r="AK625" s="34" t="e">
        <f t="shared" si="1472"/>
        <v>#N/A</v>
      </c>
      <c r="AL625" s="34" t="e">
        <f t="shared" si="1472"/>
        <v>#N/A</v>
      </c>
      <c r="AM625" s="34" t="e">
        <f t="shared" si="1472"/>
        <v>#N/A</v>
      </c>
      <c r="AN625" s="34" t="e">
        <f t="shared" si="1472"/>
        <v>#N/A</v>
      </c>
      <c r="AO625" s="34" t="e">
        <f t="shared" si="1472"/>
        <v>#N/A</v>
      </c>
      <c r="AP625" s="34" t="e">
        <f t="shared" si="1472"/>
        <v>#N/A</v>
      </c>
      <c r="AQ625" s="34" t="e">
        <f t="shared" si="1472"/>
        <v>#N/A</v>
      </c>
      <c r="AR625" s="34" t="e">
        <f t="shared" si="1472"/>
        <v>#N/A</v>
      </c>
      <c r="AS625" s="27"/>
      <c r="AT625" s="41"/>
      <c r="AU625" s="41"/>
      <c r="AV625" s="43"/>
      <c r="AW625" s="43"/>
      <c r="AX625" s="43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  <c r="BL625" s="43"/>
      <c r="BM625" s="43"/>
      <c r="BN625" s="30"/>
    </row>
    <row r="626" spans="1:66" ht="11.25" customHeight="1" x14ac:dyDescent="0.2">
      <c r="A626" s="44"/>
      <c r="B626" s="45"/>
      <c r="C626" s="46">
        <v>10</v>
      </c>
      <c r="D626" s="14" t="s">
        <v>76</v>
      </c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24"/>
      <c r="Y626" s="18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27"/>
      <c r="AT626" s="41"/>
      <c r="AU626" s="41"/>
      <c r="AV626" s="43"/>
      <c r="AW626" s="43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/>
      <c r="BK626" s="43"/>
      <c r="BL626" s="43"/>
      <c r="BM626" s="43"/>
      <c r="BN626" s="30"/>
    </row>
    <row r="627" spans="1:66" ht="11.25" customHeight="1" x14ac:dyDescent="0.2">
      <c r="A627" s="44"/>
      <c r="B627" s="45"/>
      <c r="C627" s="46">
        <v>11</v>
      </c>
      <c r="D627" s="14" t="s">
        <v>76</v>
      </c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24"/>
      <c r="Y627" s="18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27"/>
      <c r="AT627" s="41"/>
      <c r="AU627" s="41"/>
      <c r="AV627" s="43"/>
      <c r="AW627" s="43"/>
      <c r="AX627" s="43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43"/>
      <c r="BJ627" s="43"/>
      <c r="BK627" s="43"/>
      <c r="BL627" s="43"/>
      <c r="BM627" s="43"/>
      <c r="BN627" s="30"/>
    </row>
    <row r="628" spans="1:66" ht="11.25" customHeight="1" x14ac:dyDescent="0.2">
      <c r="A628" s="44"/>
      <c r="B628" s="45"/>
      <c r="C628" s="46">
        <v>12</v>
      </c>
      <c r="D628" s="14" t="s">
        <v>76</v>
      </c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24"/>
      <c r="Y628" s="18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27"/>
      <c r="AT628" s="41"/>
      <c r="AU628" s="41"/>
      <c r="AV628" s="43"/>
      <c r="AW628" s="43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30"/>
    </row>
    <row r="629" spans="1:66" ht="11.25" customHeight="1" x14ac:dyDescent="0.2">
      <c r="A629" s="44"/>
      <c r="B629" s="45"/>
      <c r="C629" s="46">
        <v>13</v>
      </c>
      <c r="D629" s="14" t="s">
        <v>76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24"/>
      <c r="Y629" s="18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27"/>
      <c r="AT629" s="41"/>
      <c r="AU629" s="41"/>
      <c r="AV629" s="43"/>
      <c r="AW629" s="43"/>
      <c r="AX629" s="43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43"/>
      <c r="BJ629" s="43"/>
      <c r="BK629" s="43"/>
      <c r="BL629" s="43"/>
      <c r="BM629" s="43"/>
      <c r="BN629" s="30"/>
    </row>
    <row r="630" spans="1:66" ht="11.25" customHeight="1" x14ac:dyDescent="0.2">
      <c r="X630" s="24"/>
      <c r="Y630" s="19" t="s">
        <v>79</v>
      </c>
      <c r="Z630" s="34">
        <f t="shared" ref="Z630" si="1473">SUM(Z619:Z629)</f>
        <v>45</v>
      </c>
      <c r="AA630" s="34">
        <f t="shared" ref="AA630" si="1474">SUM(AA619:AA629)</f>
        <v>0</v>
      </c>
      <c r="AB630" s="34">
        <f t="shared" ref="AB630" si="1475">SUM(AB619:AB629)</f>
        <v>16</v>
      </c>
      <c r="AC630" s="34">
        <f t="shared" ref="AC630" si="1476">SUM(AC619:AC629)</f>
        <v>17</v>
      </c>
      <c r="AD630" s="34">
        <f t="shared" ref="AD630" si="1477">SUM(AD619:AD629)</f>
        <v>22</v>
      </c>
      <c r="AE630" s="34">
        <f t="shared" ref="AE630" si="1478">SUM(AE619:AE629)</f>
        <v>27</v>
      </c>
      <c r="AF630" s="34">
        <f t="shared" ref="AF630" si="1479">SUM(AF619:AF629)</f>
        <v>36</v>
      </c>
      <c r="AG630" s="34">
        <f t="shared" ref="AG630" si="1480">SUM(AG619:AG629)</f>
        <v>36</v>
      </c>
      <c r="AH630" s="34">
        <f t="shared" ref="AH630" si="1481">SUM(AH619:AH629)</f>
        <v>43</v>
      </c>
      <c r="AI630" s="34">
        <f t="shared" ref="AI630" si="1482">SUM(AI619:AI629)</f>
        <v>43</v>
      </c>
      <c r="AJ630" s="34">
        <f t="shared" ref="AJ630" si="1483">SUM(AJ619:AJ629)</f>
        <v>45</v>
      </c>
      <c r="AK630" s="34" t="e">
        <f t="shared" ref="AK630" si="1484">SUM(AK619:AK629)</f>
        <v>#N/A</v>
      </c>
      <c r="AL630" s="34" t="e">
        <f t="shared" ref="AL630" si="1485">SUM(AL619:AL629)</f>
        <v>#N/A</v>
      </c>
      <c r="AM630" s="34" t="e">
        <f t="shared" ref="AM630" si="1486">SUM(AM619:AM629)</f>
        <v>#N/A</v>
      </c>
      <c r="AN630" s="34" t="e">
        <f t="shared" ref="AN630" si="1487">SUM(AN619:AN629)</f>
        <v>#N/A</v>
      </c>
      <c r="AO630" s="34" t="e">
        <f t="shared" ref="AO630" si="1488">SUM(AO619:AO629)</f>
        <v>#N/A</v>
      </c>
      <c r="AP630" s="34" t="e">
        <f t="shared" ref="AP630" si="1489">SUM(AP619:AP629)</f>
        <v>#N/A</v>
      </c>
      <c r="AQ630" s="34" t="e">
        <f t="shared" ref="AQ630" si="1490">SUM(AQ619:AQ629)</f>
        <v>#N/A</v>
      </c>
      <c r="AR630" s="34" t="e">
        <f t="shared" ref="AR630" si="1491">SUM(AR619:AR629)</f>
        <v>#N/A</v>
      </c>
      <c r="AS630" s="27"/>
      <c r="AT630" s="41"/>
      <c r="AU630" s="41"/>
      <c r="AV630" s="43"/>
      <c r="AW630" s="43"/>
      <c r="AX630" s="43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43"/>
      <c r="BJ630" s="43"/>
      <c r="BK630" s="43"/>
      <c r="BL630" s="43"/>
      <c r="BM630" s="43"/>
      <c r="BN630" s="30"/>
    </row>
    <row r="631" spans="1:66" ht="11.25" customHeight="1" x14ac:dyDescent="0.2">
      <c r="A631" s="75" t="s">
        <v>63</v>
      </c>
      <c r="B631" s="76"/>
      <c r="C631" s="21"/>
      <c r="D631" s="22" t="s">
        <v>75</v>
      </c>
      <c r="E631" s="23" t="s">
        <v>70</v>
      </c>
      <c r="F631" s="23">
        <v>0</v>
      </c>
      <c r="G631" s="23">
        <v>1</v>
      </c>
      <c r="H631" s="23">
        <v>2</v>
      </c>
      <c r="I631" s="23">
        <v>3</v>
      </c>
      <c r="J631" s="23">
        <v>4</v>
      </c>
      <c r="K631" s="23">
        <v>5</v>
      </c>
      <c r="L631" s="23">
        <v>6</v>
      </c>
      <c r="M631" s="23">
        <v>7</v>
      </c>
      <c r="N631" s="23">
        <v>8</v>
      </c>
      <c r="O631" s="23">
        <v>9</v>
      </c>
      <c r="P631" s="23">
        <v>10</v>
      </c>
      <c r="Q631" s="23">
        <v>11</v>
      </c>
      <c r="R631" s="23">
        <v>12</v>
      </c>
      <c r="S631" s="23">
        <v>13</v>
      </c>
      <c r="T631" s="23">
        <v>14</v>
      </c>
      <c r="U631" s="23">
        <v>15</v>
      </c>
      <c r="V631" s="23">
        <v>16</v>
      </c>
      <c r="W631" s="23">
        <v>17</v>
      </c>
      <c r="X631" s="24"/>
      <c r="Y631" s="17"/>
      <c r="Z631" s="25" t="s">
        <v>64</v>
      </c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7"/>
      <c r="AT631" s="28"/>
      <c r="AU631" s="28" t="s">
        <v>64</v>
      </c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30"/>
    </row>
    <row r="632" spans="1:66" ht="11.25" customHeight="1" x14ac:dyDescent="0.2">
      <c r="A632" s="32"/>
      <c r="B632" s="72">
        <v>43</v>
      </c>
      <c r="C632" s="33">
        <v>1</v>
      </c>
      <c r="D632" s="13" t="s">
        <v>419</v>
      </c>
      <c r="E632" s="16">
        <f t="shared" ref="E632:E638" si="1492">SUM(F632:W632)</f>
        <v>10</v>
      </c>
      <c r="F632" s="16">
        <f>SUMIFS([0]!VOTOS2,[0]!TURNO1,F$31,[0]!CANDIDATO1,$C632,[0]!MUNICIPIO1,$B$632)</f>
        <v>10</v>
      </c>
      <c r="G632" s="16">
        <f>SUMIFS([0]!VOTOS2,[0]!TURNO1,G$31,[0]!CANDIDATO1,$C632,[0]!MUNICIPIO1,$B$632)</f>
        <v>0</v>
      </c>
      <c r="H632" s="16">
        <f>SUMIFS([0]!VOTOS2,[0]!TURNO1,H$31,[0]!CANDIDATO1,$C632,[0]!MUNICIPIO1,$B$632)</f>
        <v>0</v>
      </c>
      <c r="I632" s="16">
        <f>SUMIFS([0]!VOTOS2,[0]!TURNO1,I$31,[0]!CANDIDATO1,$C632,[0]!MUNICIPIO1,$B$632)</f>
        <v>0</v>
      </c>
      <c r="J632" s="16">
        <f>SUMIFS([0]!VOTOS2,[0]!TURNO1,J$31,[0]!CANDIDATO1,$C632,[0]!MUNICIPIO1,$B$632)</f>
        <v>0</v>
      </c>
      <c r="K632" s="16">
        <f>SUMIFS([0]!VOTOS2,[0]!TURNO1,K$31,[0]!CANDIDATO1,$C632,[0]!MUNICIPIO1,$B$632)</f>
        <v>0</v>
      </c>
      <c r="L632" s="16">
        <f>SUMIFS([0]!VOTOS2,[0]!TURNO1,L$31,[0]!CANDIDATO1,$C632,[0]!MUNICIPIO1,$B$632)</f>
        <v>0</v>
      </c>
      <c r="M632" s="16">
        <f>SUMIFS([0]!VOTOS2,[0]!TURNO1,M$31,[0]!CANDIDATO1,$C632,[0]!MUNICIPIO1,$B$632)</f>
        <v>0</v>
      </c>
      <c r="N632" s="16">
        <f>SUMIFS([0]!VOTOS2,[0]!TURNO1,N$31,[0]!CANDIDATO1,$C632,[0]!MUNICIPIO1,$B$632)</f>
        <v>0</v>
      </c>
      <c r="O632" s="16">
        <f>SUMIFS([0]!VOTOS2,[0]!TURNO1,O$31,[0]!CANDIDATO1,$C632,[0]!MUNICIPIO1,$B$632)</f>
        <v>0</v>
      </c>
      <c r="P632" s="16">
        <f>SUMIFS([0]!VOTOS2,[0]!TURNO1,P$31,[0]!CANDIDATO1,$C632,[0]!MUNICIPIO1,$B$632)</f>
        <v>0</v>
      </c>
      <c r="Q632" s="16">
        <f>SUMIFS([0]!VOTOS2,[0]!TURNO1,Q$31,[0]!CANDIDATO1,$C632,[0]!MUNICIPIO1,$B$632)</f>
        <v>0</v>
      </c>
      <c r="R632" s="16">
        <f>SUMIFS([0]!VOTOS2,[0]!TURNO1,R$31,[0]!CANDIDATO1,$C632,[0]!MUNICIPIO1,$B$632)</f>
        <v>0</v>
      </c>
      <c r="S632" s="16">
        <f>SUMIFS([0]!VOTOS2,[0]!TURNO1,S$31,[0]!CANDIDATO1,$C632,[0]!MUNICIPIO1,$B$632)</f>
        <v>0</v>
      </c>
      <c r="T632" s="16">
        <f>SUMIFS([0]!VOTOS2,[0]!TURNO1,T$31,[0]!CANDIDATO1,$C632,[0]!MUNICIPIO1,$B$632)</f>
        <v>0</v>
      </c>
      <c r="U632" s="16">
        <f>SUMIFS([0]!VOTOS2,[0]!TURNO1,U$31,[0]!CANDIDATO1,$C632,[0]!MUNICIPIO1,$B$632)</f>
        <v>0</v>
      </c>
      <c r="V632" s="16">
        <f>SUMIFS([0]!VOTOS2,[0]!TURNO1,V$31,[0]!CANDIDATO1,$C632,[0]!MUNICIPIO1,$B$632)</f>
        <v>0</v>
      </c>
      <c r="W632" s="16">
        <f>SUMIFS([0]!VOTOS2,[0]!TURNO1,W$31,[0]!CANDIDATO1,$C632,[0]!MUNICIPIO1,$B$632)</f>
        <v>0</v>
      </c>
      <c r="X632" s="24"/>
      <c r="Y632" s="18" t="str">
        <f t="shared" ref="Y632:Y638" si="1493">D632</f>
        <v>GILBERTO HERNANDE</v>
      </c>
      <c r="Z632" s="34">
        <f t="shared" ref="Z632:Z638" si="1494">E632</f>
        <v>10</v>
      </c>
      <c r="AA632" s="34">
        <f t="shared" ref="AA632:AA638" si="1495">F632</f>
        <v>10</v>
      </c>
      <c r="AB632" s="34" t="e">
        <f t="shared" ref="AB632:AR632" si="1496">IF(SUM(G632:G644)=0,NA(),G632+AA632)</f>
        <v>#N/A</v>
      </c>
      <c r="AC632" s="34" t="e">
        <f t="shared" si="1496"/>
        <v>#N/A</v>
      </c>
      <c r="AD632" s="34" t="e">
        <f t="shared" si="1496"/>
        <v>#N/A</v>
      </c>
      <c r="AE632" s="34" t="e">
        <f t="shared" si="1496"/>
        <v>#N/A</v>
      </c>
      <c r="AF632" s="34" t="e">
        <f t="shared" si="1496"/>
        <v>#N/A</v>
      </c>
      <c r="AG632" s="34" t="e">
        <f t="shared" si="1496"/>
        <v>#N/A</v>
      </c>
      <c r="AH632" s="34" t="e">
        <f t="shared" si="1496"/>
        <v>#N/A</v>
      </c>
      <c r="AI632" s="34" t="e">
        <f t="shared" si="1496"/>
        <v>#N/A</v>
      </c>
      <c r="AJ632" s="34" t="e">
        <f t="shared" si="1496"/>
        <v>#N/A</v>
      </c>
      <c r="AK632" s="34" t="e">
        <f t="shared" si="1496"/>
        <v>#N/A</v>
      </c>
      <c r="AL632" s="34" t="e">
        <f t="shared" si="1496"/>
        <v>#N/A</v>
      </c>
      <c r="AM632" s="34" t="e">
        <f t="shared" si="1496"/>
        <v>#N/A</v>
      </c>
      <c r="AN632" s="34" t="e">
        <f t="shared" si="1496"/>
        <v>#N/A</v>
      </c>
      <c r="AO632" s="34" t="e">
        <f t="shared" si="1496"/>
        <v>#N/A</v>
      </c>
      <c r="AP632" s="34" t="e">
        <f t="shared" si="1496"/>
        <v>#N/A</v>
      </c>
      <c r="AQ632" s="34" t="e">
        <f t="shared" si="1496"/>
        <v>#N/A</v>
      </c>
      <c r="AR632" s="34" t="e">
        <f t="shared" si="1496"/>
        <v>#N/A</v>
      </c>
      <c r="AS632" s="27"/>
      <c r="AT632" s="35" t="str">
        <f t="shared" ref="AT632:AT633" si="1497">Y632</f>
        <v>GILBERTO HERNANDE</v>
      </c>
      <c r="AU632" s="36">
        <f t="shared" ref="AU632:BM632" si="1498">Z632/(Z632+Z633+Z645)</f>
        <v>0.5</v>
      </c>
      <c r="AV632" s="36">
        <f t="shared" si="1498"/>
        <v>0.5</v>
      </c>
      <c r="AW632" s="36" t="e">
        <f t="shared" si="1498"/>
        <v>#N/A</v>
      </c>
      <c r="AX632" s="36" t="e">
        <f t="shared" si="1498"/>
        <v>#N/A</v>
      </c>
      <c r="AY632" s="36" t="e">
        <f t="shared" si="1498"/>
        <v>#N/A</v>
      </c>
      <c r="AZ632" s="36" t="e">
        <f t="shared" si="1498"/>
        <v>#N/A</v>
      </c>
      <c r="BA632" s="36" t="e">
        <f t="shared" si="1498"/>
        <v>#N/A</v>
      </c>
      <c r="BB632" s="36" t="e">
        <f t="shared" si="1498"/>
        <v>#N/A</v>
      </c>
      <c r="BC632" s="36" t="e">
        <f t="shared" si="1498"/>
        <v>#N/A</v>
      </c>
      <c r="BD632" s="36" t="e">
        <f t="shared" si="1498"/>
        <v>#N/A</v>
      </c>
      <c r="BE632" s="36" t="e">
        <f t="shared" si="1498"/>
        <v>#N/A</v>
      </c>
      <c r="BF632" s="36" t="e">
        <f t="shared" si="1498"/>
        <v>#N/A</v>
      </c>
      <c r="BG632" s="36" t="e">
        <f t="shared" si="1498"/>
        <v>#N/A</v>
      </c>
      <c r="BH632" s="36" t="e">
        <f t="shared" si="1498"/>
        <v>#N/A</v>
      </c>
      <c r="BI632" s="36" t="e">
        <f t="shared" si="1498"/>
        <v>#N/A</v>
      </c>
      <c r="BJ632" s="36" t="e">
        <f t="shared" si="1498"/>
        <v>#N/A</v>
      </c>
      <c r="BK632" s="36" t="e">
        <f t="shared" si="1498"/>
        <v>#N/A</v>
      </c>
      <c r="BL632" s="36" t="e">
        <f t="shared" si="1498"/>
        <v>#N/A</v>
      </c>
      <c r="BM632" s="36" t="e">
        <f t="shared" si="1498"/>
        <v>#N/A</v>
      </c>
      <c r="BN632" s="30"/>
    </row>
    <row r="633" spans="1:66" ht="11.25" customHeight="1" x14ac:dyDescent="0.2">
      <c r="A633" s="37"/>
      <c r="B633" s="73"/>
      <c r="C633" s="33">
        <v>2</v>
      </c>
      <c r="D633" s="13" t="s">
        <v>420</v>
      </c>
      <c r="E633" s="16">
        <f t="shared" si="1492"/>
        <v>10</v>
      </c>
      <c r="F633" s="16">
        <f>SUMIFS([0]!VOTOS2,[0]!TURNO1,F$31,[0]!CANDIDATO1,$C633,[0]!MUNICIPIO1,$B$632)</f>
        <v>10</v>
      </c>
      <c r="G633" s="16">
        <f>SUMIFS([0]!VOTOS2,[0]!TURNO1,G$31,[0]!CANDIDATO1,$C633,[0]!MUNICIPIO1,$B$632)</f>
        <v>0</v>
      </c>
      <c r="H633" s="16">
        <f>SUMIFS([0]!VOTOS2,[0]!TURNO1,H$31,[0]!CANDIDATO1,$C633,[0]!MUNICIPIO1,$B$632)</f>
        <v>0</v>
      </c>
      <c r="I633" s="16">
        <f>SUMIFS([0]!VOTOS2,[0]!TURNO1,I$31,[0]!CANDIDATO1,$C633,[0]!MUNICIPIO1,$B$632)</f>
        <v>0</v>
      </c>
      <c r="J633" s="16">
        <f>SUMIFS([0]!VOTOS2,[0]!TURNO1,J$31,[0]!CANDIDATO1,$C633,[0]!MUNICIPIO1,$B$632)</f>
        <v>0</v>
      </c>
      <c r="K633" s="16">
        <f>SUMIFS([0]!VOTOS2,[0]!TURNO1,K$31,[0]!CANDIDATO1,$C633,[0]!MUNICIPIO1,$B$632)</f>
        <v>0</v>
      </c>
      <c r="L633" s="16">
        <f>SUMIFS([0]!VOTOS2,[0]!TURNO1,L$31,[0]!CANDIDATO1,$C633,[0]!MUNICIPIO1,$B$632)</f>
        <v>0</v>
      </c>
      <c r="M633" s="16">
        <f>SUMIFS([0]!VOTOS2,[0]!TURNO1,M$31,[0]!CANDIDATO1,$C633,[0]!MUNICIPIO1,$B$632)</f>
        <v>0</v>
      </c>
      <c r="N633" s="16">
        <f>SUMIFS([0]!VOTOS2,[0]!TURNO1,N$31,[0]!CANDIDATO1,$C633,[0]!MUNICIPIO1,$B$632)</f>
        <v>0</v>
      </c>
      <c r="O633" s="16">
        <f>SUMIFS([0]!VOTOS2,[0]!TURNO1,O$31,[0]!CANDIDATO1,$C633,[0]!MUNICIPIO1,$B$632)</f>
        <v>0</v>
      </c>
      <c r="P633" s="16">
        <f>SUMIFS([0]!VOTOS2,[0]!TURNO1,P$31,[0]!CANDIDATO1,$C633,[0]!MUNICIPIO1,$B$632)</f>
        <v>0</v>
      </c>
      <c r="Q633" s="16">
        <f>SUMIFS([0]!VOTOS2,[0]!TURNO1,Q$31,[0]!CANDIDATO1,$C633,[0]!MUNICIPIO1,$B$632)</f>
        <v>0</v>
      </c>
      <c r="R633" s="16">
        <f>SUMIFS([0]!VOTOS2,[0]!TURNO1,R$31,[0]!CANDIDATO1,$C633,[0]!MUNICIPIO1,$B$632)</f>
        <v>0</v>
      </c>
      <c r="S633" s="16">
        <f>SUMIFS([0]!VOTOS2,[0]!TURNO1,S$31,[0]!CANDIDATO1,$C633,[0]!MUNICIPIO1,$B$632)</f>
        <v>0</v>
      </c>
      <c r="T633" s="16">
        <f>SUMIFS([0]!VOTOS2,[0]!TURNO1,T$31,[0]!CANDIDATO1,$C633,[0]!MUNICIPIO1,$B$632)</f>
        <v>0</v>
      </c>
      <c r="U633" s="16">
        <f>SUMIFS([0]!VOTOS2,[0]!TURNO1,U$31,[0]!CANDIDATO1,$C633,[0]!MUNICIPIO1,$B$632)</f>
        <v>0</v>
      </c>
      <c r="V633" s="16">
        <f>SUMIFS([0]!VOTOS2,[0]!TURNO1,V$31,[0]!CANDIDATO1,$C633,[0]!MUNICIPIO1,$B$632)</f>
        <v>0</v>
      </c>
      <c r="W633" s="16">
        <f>SUMIFS([0]!VOTOS2,[0]!TURNO1,W$31,[0]!CANDIDATO1,$C633,[0]!MUNICIPIO1,$B$632)</f>
        <v>0</v>
      </c>
      <c r="X633" s="24"/>
      <c r="Y633" s="18" t="str">
        <f t="shared" si="1493"/>
        <v>JOSE KARKOM</v>
      </c>
      <c r="Z633" s="34">
        <f t="shared" si="1494"/>
        <v>10</v>
      </c>
      <c r="AA633" s="34">
        <f t="shared" si="1495"/>
        <v>10</v>
      </c>
      <c r="AB633" s="34" t="e">
        <f t="shared" ref="AB633:AR633" si="1499">IF(SUM(G632:G644)=0,NA(),G633+AA633)</f>
        <v>#N/A</v>
      </c>
      <c r="AC633" s="34" t="e">
        <f t="shared" si="1499"/>
        <v>#N/A</v>
      </c>
      <c r="AD633" s="34" t="e">
        <f t="shared" si="1499"/>
        <v>#N/A</v>
      </c>
      <c r="AE633" s="34" t="e">
        <f t="shared" si="1499"/>
        <v>#N/A</v>
      </c>
      <c r="AF633" s="34" t="e">
        <f t="shared" si="1499"/>
        <v>#N/A</v>
      </c>
      <c r="AG633" s="34" t="e">
        <f t="shared" si="1499"/>
        <v>#N/A</v>
      </c>
      <c r="AH633" s="34" t="e">
        <f t="shared" si="1499"/>
        <v>#N/A</v>
      </c>
      <c r="AI633" s="34" t="e">
        <f t="shared" si="1499"/>
        <v>#N/A</v>
      </c>
      <c r="AJ633" s="34" t="e">
        <f t="shared" si="1499"/>
        <v>#N/A</v>
      </c>
      <c r="AK633" s="34" t="e">
        <f t="shared" si="1499"/>
        <v>#N/A</v>
      </c>
      <c r="AL633" s="34" t="e">
        <f t="shared" si="1499"/>
        <v>#N/A</v>
      </c>
      <c r="AM633" s="34" t="e">
        <f t="shared" si="1499"/>
        <v>#N/A</v>
      </c>
      <c r="AN633" s="34" t="e">
        <f t="shared" si="1499"/>
        <v>#N/A</v>
      </c>
      <c r="AO633" s="34" t="e">
        <f t="shared" si="1499"/>
        <v>#N/A</v>
      </c>
      <c r="AP633" s="34" t="e">
        <f t="shared" si="1499"/>
        <v>#N/A</v>
      </c>
      <c r="AQ633" s="34" t="e">
        <f t="shared" si="1499"/>
        <v>#N/A</v>
      </c>
      <c r="AR633" s="34" t="e">
        <f t="shared" si="1499"/>
        <v>#N/A</v>
      </c>
      <c r="AS633" s="27"/>
      <c r="AT633" s="35" t="str">
        <f t="shared" si="1497"/>
        <v>JOSE KARKOM</v>
      </c>
      <c r="AU633" s="36">
        <f t="shared" ref="AU633:BM633" si="1500">Z633/(Z632+Z633+Z645)</f>
        <v>0.5</v>
      </c>
      <c r="AV633" s="36">
        <f t="shared" si="1500"/>
        <v>0.5</v>
      </c>
      <c r="AW633" s="36" t="e">
        <f t="shared" si="1500"/>
        <v>#N/A</v>
      </c>
      <c r="AX633" s="36" t="e">
        <f t="shared" si="1500"/>
        <v>#N/A</v>
      </c>
      <c r="AY633" s="36" t="e">
        <f t="shared" si="1500"/>
        <v>#N/A</v>
      </c>
      <c r="AZ633" s="36" t="e">
        <f t="shared" si="1500"/>
        <v>#N/A</v>
      </c>
      <c r="BA633" s="36" t="e">
        <f t="shared" si="1500"/>
        <v>#N/A</v>
      </c>
      <c r="BB633" s="36" t="e">
        <f t="shared" si="1500"/>
        <v>#N/A</v>
      </c>
      <c r="BC633" s="36" t="e">
        <f t="shared" si="1500"/>
        <v>#N/A</v>
      </c>
      <c r="BD633" s="36" t="e">
        <f t="shared" si="1500"/>
        <v>#N/A</v>
      </c>
      <c r="BE633" s="36" t="e">
        <f t="shared" si="1500"/>
        <v>#N/A</v>
      </c>
      <c r="BF633" s="36" t="e">
        <f t="shared" si="1500"/>
        <v>#N/A</v>
      </c>
      <c r="BG633" s="36" t="e">
        <f t="shared" si="1500"/>
        <v>#N/A</v>
      </c>
      <c r="BH633" s="36" t="e">
        <f t="shared" si="1500"/>
        <v>#N/A</v>
      </c>
      <c r="BI633" s="36" t="e">
        <f t="shared" si="1500"/>
        <v>#N/A</v>
      </c>
      <c r="BJ633" s="36" t="e">
        <f t="shared" si="1500"/>
        <v>#N/A</v>
      </c>
      <c r="BK633" s="36" t="e">
        <f t="shared" si="1500"/>
        <v>#N/A</v>
      </c>
      <c r="BL633" s="36" t="e">
        <f t="shared" si="1500"/>
        <v>#N/A</v>
      </c>
      <c r="BM633" s="36" t="e">
        <f t="shared" si="1500"/>
        <v>#N/A</v>
      </c>
      <c r="BN633" s="30"/>
    </row>
    <row r="634" spans="1:66" ht="11.25" customHeight="1" x14ac:dyDescent="0.2">
      <c r="A634" s="37"/>
      <c r="B634" s="73"/>
      <c r="C634" s="33">
        <v>3</v>
      </c>
      <c r="D634" s="13" t="s">
        <v>421</v>
      </c>
      <c r="E634" s="16">
        <f t="shared" si="1492"/>
        <v>0</v>
      </c>
      <c r="F634" s="16">
        <f>SUMIFS([0]!VOTOS2,[0]!TURNO1,F$31,[0]!CANDIDATO1,$C634,[0]!MUNICIPIO1,$B$632)</f>
        <v>0</v>
      </c>
      <c r="G634" s="16">
        <f>SUMIFS([0]!VOTOS2,[0]!TURNO1,G$31,[0]!CANDIDATO1,$C634,[0]!MUNICIPIO1,$B$632)</f>
        <v>0</v>
      </c>
      <c r="H634" s="16">
        <f>SUMIFS([0]!VOTOS2,[0]!TURNO1,H$31,[0]!CANDIDATO1,$C634,[0]!MUNICIPIO1,$B$632)</f>
        <v>0</v>
      </c>
      <c r="I634" s="16">
        <f>SUMIFS([0]!VOTOS2,[0]!TURNO1,I$31,[0]!CANDIDATO1,$C634,[0]!MUNICIPIO1,$B$632)</f>
        <v>0</v>
      </c>
      <c r="J634" s="16">
        <f>SUMIFS([0]!VOTOS2,[0]!TURNO1,J$31,[0]!CANDIDATO1,$C634,[0]!MUNICIPIO1,$B$632)</f>
        <v>0</v>
      </c>
      <c r="K634" s="16">
        <f>SUMIFS([0]!VOTOS2,[0]!TURNO1,K$31,[0]!CANDIDATO1,$C634,[0]!MUNICIPIO1,$B$632)</f>
        <v>0</v>
      </c>
      <c r="L634" s="16">
        <f>SUMIFS([0]!VOTOS2,[0]!TURNO1,L$31,[0]!CANDIDATO1,$C634,[0]!MUNICIPIO1,$B$632)</f>
        <v>0</v>
      </c>
      <c r="M634" s="16">
        <f>SUMIFS([0]!VOTOS2,[0]!TURNO1,M$31,[0]!CANDIDATO1,$C634,[0]!MUNICIPIO1,$B$632)</f>
        <v>0</v>
      </c>
      <c r="N634" s="16">
        <f>SUMIFS([0]!VOTOS2,[0]!TURNO1,N$31,[0]!CANDIDATO1,$C634,[0]!MUNICIPIO1,$B$632)</f>
        <v>0</v>
      </c>
      <c r="O634" s="16">
        <f>SUMIFS([0]!VOTOS2,[0]!TURNO1,O$31,[0]!CANDIDATO1,$C634,[0]!MUNICIPIO1,$B$632)</f>
        <v>0</v>
      </c>
      <c r="P634" s="16">
        <f>SUMIFS([0]!VOTOS2,[0]!TURNO1,P$31,[0]!CANDIDATO1,$C634,[0]!MUNICIPIO1,$B$632)</f>
        <v>0</v>
      </c>
      <c r="Q634" s="16">
        <f>SUMIFS([0]!VOTOS2,[0]!TURNO1,Q$31,[0]!CANDIDATO1,$C634,[0]!MUNICIPIO1,$B$632)</f>
        <v>0</v>
      </c>
      <c r="R634" s="16">
        <f>SUMIFS([0]!VOTOS2,[0]!TURNO1,R$31,[0]!CANDIDATO1,$C634,[0]!MUNICIPIO1,$B$632)</f>
        <v>0</v>
      </c>
      <c r="S634" s="16">
        <f>SUMIFS([0]!VOTOS2,[0]!TURNO1,S$31,[0]!CANDIDATO1,$C634,[0]!MUNICIPIO1,$B$632)</f>
        <v>0</v>
      </c>
      <c r="T634" s="16">
        <f>SUMIFS([0]!VOTOS2,[0]!TURNO1,T$31,[0]!CANDIDATO1,$C634,[0]!MUNICIPIO1,$B$632)</f>
        <v>0</v>
      </c>
      <c r="U634" s="16">
        <f>SUMIFS([0]!VOTOS2,[0]!TURNO1,U$31,[0]!CANDIDATO1,$C634,[0]!MUNICIPIO1,$B$632)</f>
        <v>0</v>
      </c>
      <c r="V634" s="16">
        <f>SUMIFS([0]!VOTOS2,[0]!TURNO1,V$31,[0]!CANDIDATO1,$C634,[0]!MUNICIPIO1,$B$632)</f>
        <v>0</v>
      </c>
      <c r="W634" s="16">
        <f>SUMIFS([0]!VOTOS2,[0]!TURNO1,W$31,[0]!CANDIDATO1,$C634,[0]!MUNICIPIO1,$B$632)</f>
        <v>0</v>
      </c>
      <c r="X634" s="24"/>
      <c r="Y634" s="18" t="str">
        <f t="shared" si="1493"/>
        <v>RODOLFO MICOLTA</v>
      </c>
      <c r="Z634" s="34">
        <f t="shared" si="1494"/>
        <v>0</v>
      </c>
      <c r="AA634" s="34">
        <f t="shared" si="1495"/>
        <v>0</v>
      </c>
      <c r="AB634" s="34" t="e">
        <f t="shared" ref="AB634:AR634" si="1501">IF(SUM(G632:G644)=0,NA(),G634+AA634)</f>
        <v>#N/A</v>
      </c>
      <c r="AC634" s="34" t="e">
        <f t="shared" si="1501"/>
        <v>#N/A</v>
      </c>
      <c r="AD634" s="34" t="e">
        <f t="shared" si="1501"/>
        <v>#N/A</v>
      </c>
      <c r="AE634" s="34" t="e">
        <f t="shared" si="1501"/>
        <v>#N/A</v>
      </c>
      <c r="AF634" s="34" t="e">
        <f t="shared" si="1501"/>
        <v>#N/A</v>
      </c>
      <c r="AG634" s="34" t="e">
        <f t="shared" si="1501"/>
        <v>#N/A</v>
      </c>
      <c r="AH634" s="34" t="e">
        <f t="shared" si="1501"/>
        <v>#N/A</v>
      </c>
      <c r="AI634" s="34" t="e">
        <f t="shared" si="1501"/>
        <v>#N/A</v>
      </c>
      <c r="AJ634" s="34" t="e">
        <f t="shared" si="1501"/>
        <v>#N/A</v>
      </c>
      <c r="AK634" s="34" t="e">
        <f t="shared" si="1501"/>
        <v>#N/A</v>
      </c>
      <c r="AL634" s="34" t="e">
        <f t="shared" si="1501"/>
        <v>#N/A</v>
      </c>
      <c r="AM634" s="34" t="e">
        <f t="shared" si="1501"/>
        <v>#N/A</v>
      </c>
      <c r="AN634" s="34" t="e">
        <f t="shared" si="1501"/>
        <v>#N/A</v>
      </c>
      <c r="AO634" s="34" t="e">
        <f t="shared" si="1501"/>
        <v>#N/A</v>
      </c>
      <c r="AP634" s="34" t="e">
        <f t="shared" si="1501"/>
        <v>#N/A</v>
      </c>
      <c r="AQ634" s="34" t="e">
        <f t="shared" si="1501"/>
        <v>#N/A</v>
      </c>
      <c r="AR634" s="34" t="e">
        <f t="shared" si="1501"/>
        <v>#N/A</v>
      </c>
      <c r="AS634" s="27"/>
      <c r="AT634" s="35" t="str">
        <f t="shared" ref="AT634" si="1502">Y645</f>
        <v>Otros</v>
      </c>
      <c r="AU634" s="36">
        <f t="shared" ref="AU634:BM634" si="1503">Z645/(Z632+Z633+Z645)</f>
        <v>0</v>
      </c>
      <c r="AV634" s="36">
        <f t="shared" si="1503"/>
        <v>0</v>
      </c>
      <c r="AW634" s="36" t="e">
        <f t="shared" si="1503"/>
        <v>#N/A</v>
      </c>
      <c r="AX634" s="36" t="e">
        <f t="shared" si="1503"/>
        <v>#N/A</v>
      </c>
      <c r="AY634" s="36" t="e">
        <f t="shared" si="1503"/>
        <v>#N/A</v>
      </c>
      <c r="AZ634" s="36" t="e">
        <f t="shared" si="1503"/>
        <v>#N/A</v>
      </c>
      <c r="BA634" s="36" t="e">
        <f t="shared" si="1503"/>
        <v>#N/A</v>
      </c>
      <c r="BB634" s="36" t="e">
        <f t="shared" si="1503"/>
        <v>#N/A</v>
      </c>
      <c r="BC634" s="36" t="e">
        <f t="shared" si="1503"/>
        <v>#N/A</v>
      </c>
      <c r="BD634" s="36" t="e">
        <f t="shared" si="1503"/>
        <v>#N/A</v>
      </c>
      <c r="BE634" s="36" t="e">
        <f t="shared" si="1503"/>
        <v>#N/A</v>
      </c>
      <c r="BF634" s="36" t="e">
        <f t="shared" si="1503"/>
        <v>#N/A</v>
      </c>
      <c r="BG634" s="36" t="e">
        <f t="shared" si="1503"/>
        <v>#N/A</v>
      </c>
      <c r="BH634" s="36" t="e">
        <f t="shared" si="1503"/>
        <v>#N/A</v>
      </c>
      <c r="BI634" s="36" t="e">
        <f t="shared" si="1503"/>
        <v>#N/A</v>
      </c>
      <c r="BJ634" s="36" t="e">
        <f t="shared" si="1503"/>
        <v>#N/A</v>
      </c>
      <c r="BK634" s="36" t="e">
        <f t="shared" si="1503"/>
        <v>#N/A</v>
      </c>
      <c r="BL634" s="36" t="e">
        <f t="shared" si="1503"/>
        <v>#N/A</v>
      </c>
      <c r="BM634" s="36" t="e">
        <f t="shared" si="1503"/>
        <v>#N/A</v>
      </c>
      <c r="BN634" s="30"/>
    </row>
    <row r="635" spans="1:66" ht="11.25" customHeight="1" x14ac:dyDescent="0.2">
      <c r="A635" s="38" t="s">
        <v>50</v>
      </c>
      <c r="B635" s="73"/>
      <c r="C635" s="33">
        <v>4</v>
      </c>
      <c r="D635" s="13" t="s">
        <v>422</v>
      </c>
      <c r="E635" s="16">
        <f t="shared" si="1492"/>
        <v>0</v>
      </c>
      <c r="F635" s="16">
        <f>SUMIFS([0]!VOTOS2,[0]!TURNO1,F$31,[0]!CANDIDATO1,$C635,[0]!MUNICIPIO1,$B$632)</f>
        <v>0</v>
      </c>
      <c r="G635" s="16">
        <f>SUMIFS([0]!VOTOS2,[0]!TURNO1,G$31,[0]!CANDIDATO1,$C635,[0]!MUNICIPIO1,$B$632)</f>
        <v>0</v>
      </c>
      <c r="H635" s="16">
        <f>SUMIFS([0]!VOTOS2,[0]!TURNO1,H$31,[0]!CANDIDATO1,$C635,[0]!MUNICIPIO1,$B$632)</f>
        <v>0</v>
      </c>
      <c r="I635" s="16">
        <f>SUMIFS([0]!VOTOS2,[0]!TURNO1,I$31,[0]!CANDIDATO1,$C635,[0]!MUNICIPIO1,$B$632)</f>
        <v>0</v>
      </c>
      <c r="J635" s="16">
        <f>SUMIFS([0]!VOTOS2,[0]!TURNO1,J$31,[0]!CANDIDATO1,$C635,[0]!MUNICIPIO1,$B$632)</f>
        <v>0</v>
      </c>
      <c r="K635" s="16">
        <f>SUMIFS([0]!VOTOS2,[0]!TURNO1,K$31,[0]!CANDIDATO1,$C635,[0]!MUNICIPIO1,$B$632)</f>
        <v>0</v>
      </c>
      <c r="L635" s="16">
        <f>SUMIFS([0]!VOTOS2,[0]!TURNO1,L$31,[0]!CANDIDATO1,$C635,[0]!MUNICIPIO1,$B$632)</f>
        <v>0</v>
      </c>
      <c r="M635" s="16">
        <f>SUMIFS([0]!VOTOS2,[0]!TURNO1,M$31,[0]!CANDIDATO1,$C635,[0]!MUNICIPIO1,$B$632)</f>
        <v>0</v>
      </c>
      <c r="N635" s="16">
        <f>SUMIFS([0]!VOTOS2,[0]!TURNO1,N$31,[0]!CANDIDATO1,$C635,[0]!MUNICIPIO1,$B$632)</f>
        <v>0</v>
      </c>
      <c r="O635" s="16">
        <f>SUMIFS([0]!VOTOS2,[0]!TURNO1,O$31,[0]!CANDIDATO1,$C635,[0]!MUNICIPIO1,$B$632)</f>
        <v>0</v>
      </c>
      <c r="P635" s="16">
        <f>SUMIFS([0]!VOTOS2,[0]!TURNO1,P$31,[0]!CANDIDATO1,$C635,[0]!MUNICIPIO1,$B$632)</f>
        <v>0</v>
      </c>
      <c r="Q635" s="16">
        <f>SUMIFS([0]!VOTOS2,[0]!TURNO1,Q$31,[0]!CANDIDATO1,$C635,[0]!MUNICIPIO1,$B$632)</f>
        <v>0</v>
      </c>
      <c r="R635" s="16">
        <f>SUMIFS([0]!VOTOS2,[0]!TURNO1,R$31,[0]!CANDIDATO1,$C635,[0]!MUNICIPIO1,$B$632)</f>
        <v>0</v>
      </c>
      <c r="S635" s="16">
        <f>SUMIFS([0]!VOTOS2,[0]!TURNO1,S$31,[0]!CANDIDATO1,$C635,[0]!MUNICIPIO1,$B$632)</f>
        <v>0</v>
      </c>
      <c r="T635" s="16">
        <f>SUMIFS([0]!VOTOS2,[0]!TURNO1,T$31,[0]!CANDIDATO1,$C635,[0]!MUNICIPIO1,$B$632)</f>
        <v>0</v>
      </c>
      <c r="U635" s="16">
        <f>SUMIFS([0]!VOTOS2,[0]!TURNO1,U$31,[0]!CANDIDATO1,$C635,[0]!MUNICIPIO1,$B$632)</f>
        <v>0</v>
      </c>
      <c r="V635" s="16">
        <f>SUMIFS([0]!VOTOS2,[0]!TURNO1,V$31,[0]!CANDIDATO1,$C635,[0]!MUNICIPIO1,$B$632)</f>
        <v>0</v>
      </c>
      <c r="W635" s="16">
        <f>SUMIFS([0]!VOTOS2,[0]!TURNO1,W$31,[0]!CANDIDATO1,$C635,[0]!MUNICIPIO1,$B$632)</f>
        <v>0</v>
      </c>
      <c r="X635" s="24"/>
      <c r="Y635" s="18" t="str">
        <f t="shared" si="1493"/>
        <v>JOSE CAZZORLA</v>
      </c>
      <c r="Z635" s="34">
        <f t="shared" si="1494"/>
        <v>0</v>
      </c>
      <c r="AA635" s="34">
        <f t="shared" si="1495"/>
        <v>0</v>
      </c>
      <c r="AB635" s="34" t="e">
        <f t="shared" ref="AB635:AR635" si="1504">IF(SUM(G632:G644)=0,NA(),G635+AA635)</f>
        <v>#N/A</v>
      </c>
      <c r="AC635" s="34" t="e">
        <f t="shared" si="1504"/>
        <v>#N/A</v>
      </c>
      <c r="AD635" s="34" t="e">
        <f t="shared" si="1504"/>
        <v>#N/A</v>
      </c>
      <c r="AE635" s="34" t="e">
        <f t="shared" si="1504"/>
        <v>#N/A</v>
      </c>
      <c r="AF635" s="34" t="e">
        <f t="shared" si="1504"/>
        <v>#N/A</v>
      </c>
      <c r="AG635" s="34" t="e">
        <f t="shared" si="1504"/>
        <v>#N/A</v>
      </c>
      <c r="AH635" s="34" t="e">
        <f t="shared" si="1504"/>
        <v>#N/A</v>
      </c>
      <c r="AI635" s="34" t="e">
        <f t="shared" si="1504"/>
        <v>#N/A</v>
      </c>
      <c r="AJ635" s="34" t="e">
        <f t="shared" si="1504"/>
        <v>#N/A</v>
      </c>
      <c r="AK635" s="34" t="e">
        <f t="shared" si="1504"/>
        <v>#N/A</v>
      </c>
      <c r="AL635" s="34" t="e">
        <f t="shared" si="1504"/>
        <v>#N/A</v>
      </c>
      <c r="AM635" s="34" t="e">
        <f t="shared" si="1504"/>
        <v>#N/A</v>
      </c>
      <c r="AN635" s="34" t="e">
        <f t="shared" si="1504"/>
        <v>#N/A</v>
      </c>
      <c r="AO635" s="34" t="e">
        <f t="shared" si="1504"/>
        <v>#N/A</v>
      </c>
      <c r="AP635" s="34" t="e">
        <f t="shared" si="1504"/>
        <v>#N/A</v>
      </c>
      <c r="AQ635" s="34" t="e">
        <f t="shared" si="1504"/>
        <v>#N/A</v>
      </c>
      <c r="AR635" s="34" t="e">
        <f t="shared" si="1504"/>
        <v>#N/A</v>
      </c>
      <c r="AS635" s="27"/>
      <c r="AT635" s="39"/>
      <c r="AU635" s="39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30"/>
    </row>
    <row r="636" spans="1:66" ht="11.25" customHeight="1" x14ac:dyDescent="0.2">
      <c r="A636" s="38" t="s">
        <v>60</v>
      </c>
      <c r="B636" s="73"/>
      <c r="C636" s="33">
        <v>5</v>
      </c>
      <c r="D636" s="13" t="s">
        <v>423</v>
      </c>
      <c r="E636" s="16">
        <f t="shared" si="1492"/>
        <v>0</v>
      </c>
      <c r="F636" s="16">
        <f>SUMIFS([0]!VOTOS2,[0]!TURNO1,F$31,[0]!CANDIDATO1,$C636,[0]!MUNICIPIO1,$B$632)</f>
        <v>0</v>
      </c>
      <c r="G636" s="16">
        <f>SUMIFS([0]!VOTOS2,[0]!TURNO1,G$31,[0]!CANDIDATO1,$C636,[0]!MUNICIPIO1,$B$632)</f>
        <v>0</v>
      </c>
      <c r="H636" s="16">
        <f>SUMIFS([0]!VOTOS2,[0]!TURNO1,H$31,[0]!CANDIDATO1,$C636,[0]!MUNICIPIO1,$B$632)</f>
        <v>0</v>
      </c>
      <c r="I636" s="16">
        <f>SUMIFS([0]!VOTOS2,[0]!TURNO1,I$31,[0]!CANDIDATO1,$C636,[0]!MUNICIPIO1,$B$632)</f>
        <v>0</v>
      </c>
      <c r="J636" s="16">
        <f>SUMIFS([0]!VOTOS2,[0]!TURNO1,J$31,[0]!CANDIDATO1,$C636,[0]!MUNICIPIO1,$B$632)</f>
        <v>0</v>
      </c>
      <c r="K636" s="16">
        <f>SUMIFS([0]!VOTOS2,[0]!TURNO1,K$31,[0]!CANDIDATO1,$C636,[0]!MUNICIPIO1,$B$632)</f>
        <v>0</v>
      </c>
      <c r="L636" s="16">
        <f>SUMIFS([0]!VOTOS2,[0]!TURNO1,L$31,[0]!CANDIDATO1,$C636,[0]!MUNICIPIO1,$B$632)</f>
        <v>0</v>
      </c>
      <c r="M636" s="16">
        <f>SUMIFS([0]!VOTOS2,[0]!TURNO1,M$31,[0]!CANDIDATO1,$C636,[0]!MUNICIPIO1,$B$632)</f>
        <v>0</v>
      </c>
      <c r="N636" s="16">
        <f>SUMIFS([0]!VOTOS2,[0]!TURNO1,N$31,[0]!CANDIDATO1,$C636,[0]!MUNICIPIO1,$B$632)</f>
        <v>0</v>
      </c>
      <c r="O636" s="16">
        <f>SUMIFS([0]!VOTOS2,[0]!TURNO1,O$31,[0]!CANDIDATO1,$C636,[0]!MUNICIPIO1,$B$632)</f>
        <v>0</v>
      </c>
      <c r="P636" s="16">
        <f>SUMIFS([0]!VOTOS2,[0]!TURNO1,P$31,[0]!CANDIDATO1,$C636,[0]!MUNICIPIO1,$B$632)</f>
        <v>0</v>
      </c>
      <c r="Q636" s="16">
        <f>SUMIFS([0]!VOTOS2,[0]!TURNO1,Q$31,[0]!CANDIDATO1,$C636,[0]!MUNICIPIO1,$B$632)</f>
        <v>0</v>
      </c>
      <c r="R636" s="16">
        <f>SUMIFS([0]!VOTOS2,[0]!TURNO1,R$31,[0]!CANDIDATO1,$C636,[0]!MUNICIPIO1,$B$632)</f>
        <v>0</v>
      </c>
      <c r="S636" s="16">
        <f>SUMIFS([0]!VOTOS2,[0]!TURNO1,S$31,[0]!CANDIDATO1,$C636,[0]!MUNICIPIO1,$B$632)</f>
        <v>0</v>
      </c>
      <c r="T636" s="16">
        <f>SUMIFS([0]!VOTOS2,[0]!TURNO1,T$31,[0]!CANDIDATO1,$C636,[0]!MUNICIPIO1,$B$632)</f>
        <v>0</v>
      </c>
      <c r="U636" s="16">
        <f>SUMIFS([0]!VOTOS2,[0]!TURNO1,U$31,[0]!CANDIDATO1,$C636,[0]!MUNICIPIO1,$B$632)</f>
        <v>0</v>
      </c>
      <c r="V636" s="16">
        <f>SUMIFS([0]!VOTOS2,[0]!TURNO1,V$31,[0]!CANDIDATO1,$C636,[0]!MUNICIPIO1,$B$632)</f>
        <v>0</v>
      </c>
      <c r="W636" s="16">
        <f>SUMIFS([0]!VOTOS2,[0]!TURNO1,W$31,[0]!CANDIDATO1,$C636,[0]!MUNICIPIO1,$B$632)</f>
        <v>0</v>
      </c>
      <c r="X636" s="24"/>
      <c r="Y636" s="18" t="str">
        <f t="shared" si="1493"/>
        <v>JOHAN ACEVEDO</v>
      </c>
      <c r="Z636" s="34">
        <f t="shared" si="1494"/>
        <v>0</v>
      </c>
      <c r="AA636" s="34">
        <f t="shared" si="1495"/>
        <v>0</v>
      </c>
      <c r="AB636" s="34" t="e">
        <f t="shared" ref="AB636:AR636" si="1505">IF(SUM(G632:G644)=0,NA(),G636+AA636)</f>
        <v>#N/A</v>
      </c>
      <c r="AC636" s="34" t="e">
        <f t="shared" si="1505"/>
        <v>#N/A</v>
      </c>
      <c r="AD636" s="34" t="e">
        <f t="shared" si="1505"/>
        <v>#N/A</v>
      </c>
      <c r="AE636" s="34" t="e">
        <f t="shared" si="1505"/>
        <v>#N/A</v>
      </c>
      <c r="AF636" s="34" t="e">
        <f t="shared" si="1505"/>
        <v>#N/A</v>
      </c>
      <c r="AG636" s="34" t="e">
        <f t="shared" si="1505"/>
        <v>#N/A</v>
      </c>
      <c r="AH636" s="34" t="e">
        <f t="shared" si="1505"/>
        <v>#N/A</v>
      </c>
      <c r="AI636" s="34" t="e">
        <f t="shared" si="1505"/>
        <v>#N/A</v>
      </c>
      <c r="AJ636" s="34" t="e">
        <f t="shared" si="1505"/>
        <v>#N/A</v>
      </c>
      <c r="AK636" s="34" t="e">
        <f t="shared" si="1505"/>
        <v>#N/A</v>
      </c>
      <c r="AL636" s="34" t="e">
        <f t="shared" si="1505"/>
        <v>#N/A</v>
      </c>
      <c r="AM636" s="34" t="e">
        <f t="shared" si="1505"/>
        <v>#N/A</v>
      </c>
      <c r="AN636" s="34" t="e">
        <f t="shared" si="1505"/>
        <v>#N/A</v>
      </c>
      <c r="AO636" s="34" t="e">
        <f t="shared" si="1505"/>
        <v>#N/A</v>
      </c>
      <c r="AP636" s="34" t="e">
        <f t="shared" si="1505"/>
        <v>#N/A</v>
      </c>
      <c r="AQ636" s="34" t="e">
        <f t="shared" si="1505"/>
        <v>#N/A</v>
      </c>
      <c r="AR636" s="34" t="e">
        <f t="shared" si="1505"/>
        <v>#N/A</v>
      </c>
      <c r="AS636" s="27"/>
      <c r="AT636" s="39"/>
      <c r="AU636" s="39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30"/>
    </row>
    <row r="637" spans="1:66" ht="11.25" customHeight="1" x14ac:dyDescent="0.2">
      <c r="A637" s="37"/>
      <c r="B637" s="73"/>
      <c r="C637" s="33">
        <v>6</v>
      </c>
      <c r="D637" s="13" t="s">
        <v>424</v>
      </c>
      <c r="E637" s="16">
        <f t="shared" si="1492"/>
        <v>0</v>
      </c>
      <c r="F637" s="16">
        <f>SUMIFS([0]!VOTOS2,[0]!TURNO1,F$31,[0]!CANDIDATO1,$C637,[0]!MUNICIPIO1,$B$632)</f>
        <v>0</v>
      </c>
      <c r="G637" s="16">
        <f>SUMIFS([0]!VOTOS2,[0]!TURNO1,G$31,[0]!CANDIDATO1,$C637,[0]!MUNICIPIO1,$B$632)</f>
        <v>0</v>
      </c>
      <c r="H637" s="16">
        <f>SUMIFS([0]!VOTOS2,[0]!TURNO1,H$31,[0]!CANDIDATO1,$C637,[0]!MUNICIPIO1,$B$632)</f>
        <v>0</v>
      </c>
      <c r="I637" s="16">
        <f>SUMIFS([0]!VOTOS2,[0]!TURNO1,I$31,[0]!CANDIDATO1,$C637,[0]!MUNICIPIO1,$B$632)</f>
        <v>0</v>
      </c>
      <c r="J637" s="16">
        <f>SUMIFS([0]!VOTOS2,[0]!TURNO1,J$31,[0]!CANDIDATO1,$C637,[0]!MUNICIPIO1,$B$632)</f>
        <v>0</v>
      </c>
      <c r="K637" s="16">
        <f>SUMIFS([0]!VOTOS2,[0]!TURNO1,K$31,[0]!CANDIDATO1,$C637,[0]!MUNICIPIO1,$B$632)</f>
        <v>0</v>
      </c>
      <c r="L637" s="16">
        <f>SUMIFS([0]!VOTOS2,[0]!TURNO1,L$31,[0]!CANDIDATO1,$C637,[0]!MUNICIPIO1,$B$632)</f>
        <v>0</v>
      </c>
      <c r="M637" s="16">
        <f>SUMIFS([0]!VOTOS2,[0]!TURNO1,M$31,[0]!CANDIDATO1,$C637,[0]!MUNICIPIO1,$B$632)</f>
        <v>0</v>
      </c>
      <c r="N637" s="16">
        <f>SUMIFS([0]!VOTOS2,[0]!TURNO1,N$31,[0]!CANDIDATO1,$C637,[0]!MUNICIPIO1,$B$632)</f>
        <v>0</v>
      </c>
      <c r="O637" s="16">
        <f>SUMIFS([0]!VOTOS2,[0]!TURNO1,O$31,[0]!CANDIDATO1,$C637,[0]!MUNICIPIO1,$B$632)</f>
        <v>0</v>
      </c>
      <c r="P637" s="16">
        <f>SUMIFS([0]!VOTOS2,[0]!TURNO1,P$31,[0]!CANDIDATO1,$C637,[0]!MUNICIPIO1,$B$632)</f>
        <v>0</v>
      </c>
      <c r="Q637" s="16">
        <f>SUMIFS([0]!VOTOS2,[0]!TURNO1,Q$31,[0]!CANDIDATO1,$C637,[0]!MUNICIPIO1,$B$632)</f>
        <v>0</v>
      </c>
      <c r="R637" s="16">
        <f>SUMIFS([0]!VOTOS2,[0]!TURNO1,R$31,[0]!CANDIDATO1,$C637,[0]!MUNICIPIO1,$B$632)</f>
        <v>0</v>
      </c>
      <c r="S637" s="16">
        <f>SUMIFS([0]!VOTOS2,[0]!TURNO1,S$31,[0]!CANDIDATO1,$C637,[0]!MUNICIPIO1,$B$632)</f>
        <v>0</v>
      </c>
      <c r="T637" s="16">
        <f>SUMIFS([0]!VOTOS2,[0]!TURNO1,T$31,[0]!CANDIDATO1,$C637,[0]!MUNICIPIO1,$B$632)</f>
        <v>0</v>
      </c>
      <c r="U637" s="16">
        <f>SUMIFS([0]!VOTOS2,[0]!TURNO1,U$31,[0]!CANDIDATO1,$C637,[0]!MUNICIPIO1,$B$632)</f>
        <v>0</v>
      </c>
      <c r="V637" s="16">
        <f>SUMIFS([0]!VOTOS2,[0]!TURNO1,V$31,[0]!CANDIDATO1,$C637,[0]!MUNICIPIO1,$B$632)</f>
        <v>0</v>
      </c>
      <c r="W637" s="16">
        <f>SUMIFS([0]!VOTOS2,[0]!TURNO1,W$31,[0]!CANDIDATO1,$C637,[0]!MUNICIPIO1,$B$632)</f>
        <v>0</v>
      </c>
      <c r="X637" s="24"/>
      <c r="Y637" s="18" t="str">
        <f t="shared" si="1493"/>
        <v>ALIRIO GIL</v>
      </c>
      <c r="Z637" s="34">
        <f t="shared" si="1494"/>
        <v>0</v>
      </c>
      <c r="AA637" s="34">
        <f t="shared" si="1495"/>
        <v>0</v>
      </c>
      <c r="AB637" s="34" t="e">
        <f t="shared" ref="AB637:AR637" si="1506">IF(SUM(G632:G644)=0,NA(),G637+AA637)</f>
        <v>#N/A</v>
      </c>
      <c r="AC637" s="34" t="e">
        <f t="shared" si="1506"/>
        <v>#N/A</v>
      </c>
      <c r="AD637" s="34" t="e">
        <f t="shared" si="1506"/>
        <v>#N/A</v>
      </c>
      <c r="AE637" s="34" t="e">
        <f t="shared" si="1506"/>
        <v>#N/A</v>
      </c>
      <c r="AF637" s="34" t="e">
        <f t="shared" si="1506"/>
        <v>#N/A</v>
      </c>
      <c r="AG637" s="34" t="e">
        <f t="shared" si="1506"/>
        <v>#N/A</v>
      </c>
      <c r="AH637" s="34" t="e">
        <f t="shared" si="1506"/>
        <v>#N/A</v>
      </c>
      <c r="AI637" s="34" t="e">
        <f t="shared" si="1506"/>
        <v>#N/A</v>
      </c>
      <c r="AJ637" s="34" t="e">
        <f t="shared" si="1506"/>
        <v>#N/A</v>
      </c>
      <c r="AK637" s="34" t="e">
        <f t="shared" si="1506"/>
        <v>#N/A</v>
      </c>
      <c r="AL637" s="34" t="e">
        <f t="shared" si="1506"/>
        <v>#N/A</v>
      </c>
      <c r="AM637" s="34" t="e">
        <f t="shared" si="1506"/>
        <v>#N/A</v>
      </c>
      <c r="AN637" s="34" t="e">
        <f t="shared" si="1506"/>
        <v>#N/A</v>
      </c>
      <c r="AO637" s="34" t="e">
        <f t="shared" si="1506"/>
        <v>#N/A</v>
      </c>
      <c r="AP637" s="34" t="e">
        <f t="shared" si="1506"/>
        <v>#N/A</v>
      </c>
      <c r="AQ637" s="34" t="e">
        <f t="shared" si="1506"/>
        <v>#N/A</v>
      </c>
      <c r="AR637" s="34" t="e">
        <f t="shared" si="1506"/>
        <v>#N/A</v>
      </c>
      <c r="AS637" s="27"/>
      <c r="AT637" s="39"/>
      <c r="AU637" s="39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30"/>
    </row>
    <row r="638" spans="1:66" ht="11.25" customHeight="1" x14ac:dyDescent="0.2">
      <c r="A638" s="42"/>
      <c r="B638" s="74"/>
      <c r="C638" s="33">
        <v>7</v>
      </c>
      <c r="D638" s="13" t="s">
        <v>425</v>
      </c>
      <c r="E638" s="16">
        <f t="shared" si="1492"/>
        <v>0</v>
      </c>
      <c r="F638" s="16">
        <f>SUMIFS([0]!VOTOS2,[0]!TURNO1,F$31,[0]!CANDIDATO1,$C638,[0]!MUNICIPIO1,$B$632)</f>
        <v>0</v>
      </c>
      <c r="G638" s="16">
        <f>SUMIFS([0]!VOTOS2,[0]!TURNO1,G$31,[0]!CANDIDATO1,$C638,[0]!MUNICIPIO1,$B$632)</f>
        <v>0</v>
      </c>
      <c r="H638" s="16">
        <f>SUMIFS([0]!VOTOS2,[0]!TURNO1,H$31,[0]!CANDIDATO1,$C638,[0]!MUNICIPIO1,$B$632)</f>
        <v>0</v>
      </c>
      <c r="I638" s="16">
        <f>SUMIFS([0]!VOTOS2,[0]!TURNO1,I$31,[0]!CANDIDATO1,$C638,[0]!MUNICIPIO1,$B$632)</f>
        <v>0</v>
      </c>
      <c r="J638" s="16">
        <f>SUMIFS([0]!VOTOS2,[0]!TURNO1,J$31,[0]!CANDIDATO1,$C638,[0]!MUNICIPIO1,$B$632)</f>
        <v>0</v>
      </c>
      <c r="K638" s="16">
        <f>SUMIFS([0]!VOTOS2,[0]!TURNO1,K$31,[0]!CANDIDATO1,$C638,[0]!MUNICIPIO1,$B$632)</f>
        <v>0</v>
      </c>
      <c r="L638" s="16">
        <f>SUMIFS([0]!VOTOS2,[0]!TURNO1,L$31,[0]!CANDIDATO1,$C638,[0]!MUNICIPIO1,$B$632)</f>
        <v>0</v>
      </c>
      <c r="M638" s="16">
        <f>SUMIFS([0]!VOTOS2,[0]!TURNO1,M$31,[0]!CANDIDATO1,$C638,[0]!MUNICIPIO1,$B$632)</f>
        <v>0</v>
      </c>
      <c r="N638" s="16">
        <f>SUMIFS([0]!VOTOS2,[0]!TURNO1,N$31,[0]!CANDIDATO1,$C638,[0]!MUNICIPIO1,$B$632)</f>
        <v>0</v>
      </c>
      <c r="O638" s="16">
        <f>SUMIFS([0]!VOTOS2,[0]!TURNO1,O$31,[0]!CANDIDATO1,$C638,[0]!MUNICIPIO1,$B$632)</f>
        <v>0</v>
      </c>
      <c r="P638" s="16">
        <f>SUMIFS([0]!VOTOS2,[0]!TURNO1,P$31,[0]!CANDIDATO1,$C638,[0]!MUNICIPIO1,$B$632)</f>
        <v>0</v>
      </c>
      <c r="Q638" s="16">
        <f>SUMIFS([0]!VOTOS2,[0]!TURNO1,Q$31,[0]!CANDIDATO1,$C638,[0]!MUNICIPIO1,$B$632)</f>
        <v>0</v>
      </c>
      <c r="R638" s="16">
        <f>SUMIFS([0]!VOTOS2,[0]!TURNO1,R$31,[0]!CANDIDATO1,$C638,[0]!MUNICIPIO1,$B$632)</f>
        <v>0</v>
      </c>
      <c r="S638" s="16">
        <f>SUMIFS([0]!VOTOS2,[0]!TURNO1,S$31,[0]!CANDIDATO1,$C638,[0]!MUNICIPIO1,$B$632)</f>
        <v>0</v>
      </c>
      <c r="T638" s="16">
        <f>SUMIFS([0]!VOTOS2,[0]!TURNO1,T$31,[0]!CANDIDATO1,$C638,[0]!MUNICIPIO1,$B$632)</f>
        <v>0</v>
      </c>
      <c r="U638" s="16">
        <f>SUMIFS([0]!VOTOS2,[0]!TURNO1,U$31,[0]!CANDIDATO1,$C638,[0]!MUNICIPIO1,$B$632)</f>
        <v>0</v>
      </c>
      <c r="V638" s="16">
        <f>SUMIFS([0]!VOTOS2,[0]!TURNO1,V$31,[0]!CANDIDATO1,$C638,[0]!MUNICIPIO1,$B$632)</f>
        <v>0</v>
      </c>
      <c r="W638" s="16">
        <f>SUMIFS([0]!VOTOS2,[0]!TURNO1,W$31,[0]!CANDIDATO1,$C638,[0]!MUNICIPIO1,$B$632)</f>
        <v>0</v>
      </c>
      <c r="X638" s="24"/>
      <c r="Y638" s="18" t="str">
        <f t="shared" si="1493"/>
        <v>JOSE DE J VILORIA</v>
      </c>
      <c r="Z638" s="34">
        <f t="shared" si="1494"/>
        <v>0</v>
      </c>
      <c r="AA638" s="34">
        <f t="shared" si="1495"/>
        <v>0</v>
      </c>
      <c r="AB638" s="34" t="e">
        <f t="shared" ref="AB638:AR638" si="1507">IF(SUM(G632:G644)=0,NA(),G638+AA638)</f>
        <v>#N/A</v>
      </c>
      <c r="AC638" s="34" t="e">
        <f t="shared" si="1507"/>
        <v>#N/A</v>
      </c>
      <c r="AD638" s="34" t="e">
        <f t="shared" si="1507"/>
        <v>#N/A</v>
      </c>
      <c r="AE638" s="34" t="e">
        <f t="shared" si="1507"/>
        <v>#N/A</v>
      </c>
      <c r="AF638" s="34" t="e">
        <f t="shared" si="1507"/>
        <v>#N/A</v>
      </c>
      <c r="AG638" s="34" t="e">
        <f t="shared" si="1507"/>
        <v>#N/A</v>
      </c>
      <c r="AH638" s="34" t="e">
        <f t="shared" si="1507"/>
        <v>#N/A</v>
      </c>
      <c r="AI638" s="34" t="e">
        <f t="shared" si="1507"/>
        <v>#N/A</v>
      </c>
      <c r="AJ638" s="34" t="e">
        <f t="shared" si="1507"/>
        <v>#N/A</v>
      </c>
      <c r="AK638" s="34" t="e">
        <f t="shared" si="1507"/>
        <v>#N/A</v>
      </c>
      <c r="AL638" s="34" t="e">
        <f t="shared" si="1507"/>
        <v>#N/A</v>
      </c>
      <c r="AM638" s="34" t="e">
        <f t="shared" si="1507"/>
        <v>#N/A</v>
      </c>
      <c r="AN638" s="34" t="e">
        <f t="shared" si="1507"/>
        <v>#N/A</v>
      </c>
      <c r="AO638" s="34" t="e">
        <f t="shared" si="1507"/>
        <v>#N/A</v>
      </c>
      <c r="AP638" s="34" t="e">
        <f t="shared" si="1507"/>
        <v>#N/A</v>
      </c>
      <c r="AQ638" s="34" t="e">
        <f t="shared" si="1507"/>
        <v>#N/A</v>
      </c>
      <c r="AR638" s="34" t="e">
        <f t="shared" si="1507"/>
        <v>#N/A</v>
      </c>
      <c r="AS638" s="27"/>
      <c r="AT638" s="39"/>
      <c r="AU638" s="39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30"/>
    </row>
    <row r="639" spans="1:66" ht="11.25" customHeight="1" x14ac:dyDescent="0.2">
      <c r="A639" s="44"/>
      <c r="B639" s="45"/>
      <c r="C639" s="46">
        <v>8</v>
      </c>
      <c r="D639" s="14" t="s">
        <v>76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24"/>
      <c r="Y639" s="18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27"/>
      <c r="AT639" s="41"/>
      <c r="AU639" s="41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30"/>
    </row>
    <row r="640" spans="1:66" ht="11.25" customHeight="1" x14ac:dyDescent="0.2">
      <c r="A640" s="44"/>
      <c r="B640" s="45"/>
      <c r="C640" s="46">
        <v>9</v>
      </c>
      <c r="D640" s="14" t="s">
        <v>76</v>
      </c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24"/>
      <c r="Y640" s="18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27"/>
      <c r="AT640" s="41"/>
      <c r="AU640" s="41"/>
      <c r="AV640" s="43"/>
      <c r="AW640" s="43"/>
      <c r="AX640" s="43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/>
      <c r="BK640" s="43"/>
      <c r="BL640" s="43"/>
      <c r="BM640" s="43"/>
      <c r="BN640" s="30"/>
    </row>
    <row r="641" spans="1:66" ht="11.25" customHeight="1" x14ac:dyDescent="0.2">
      <c r="A641" s="44"/>
      <c r="B641" s="45"/>
      <c r="C641" s="46">
        <v>10</v>
      </c>
      <c r="D641" s="14" t="s">
        <v>76</v>
      </c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24"/>
      <c r="Y641" s="18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27"/>
      <c r="AT641" s="41"/>
      <c r="AU641" s="41"/>
      <c r="AV641" s="43"/>
      <c r="AW641" s="43"/>
      <c r="AX641" s="43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/>
      <c r="BK641" s="43"/>
      <c r="BL641" s="43"/>
      <c r="BM641" s="43"/>
      <c r="BN641" s="30"/>
    </row>
    <row r="642" spans="1:66" ht="11.25" customHeight="1" x14ac:dyDescent="0.2">
      <c r="A642" s="44"/>
      <c r="B642" s="45"/>
      <c r="C642" s="46">
        <v>11</v>
      </c>
      <c r="D642" s="14" t="s">
        <v>76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24"/>
      <c r="Y642" s="18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27"/>
      <c r="AT642" s="41"/>
      <c r="AU642" s="41"/>
      <c r="AV642" s="43"/>
      <c r="AW642" s="43"/>
      <c r="AX642" s="43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/>
      <c r="BK642" s="43"/>
      <c r="BL642" s="43"/>
      <c r="BM642" s="43"/>
      <c r="BN642" s="30"/>
    </row>
    <row r="643" spans="1:66" ht="11.25" customHeight="1" x14ac:dyDescent="0.2">
      <c r="A643" s="44"/>
      <c r="B643" s="45"/>
      <c r="C643" s="46">
        <v>12</v>
      </c>
      <c r="D643" s="14" t="s">
        <v>76</v>
      </c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24"/>
      <c r="Y643" s="18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27"/>
      <c r="AT643" s="41"/>
      <c r="AU643" s="41"/>
      <c r="AV643" s="43"/>
      <c r="AW643" s="43"/>
      <c r="AX643" s="43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  <c r="BL643" s="43"/>
      <c r="BM643" s="43"/>
      <c r="BN643" s="30"/>
    </row>
    <row r="644" spans="1:66" ht="11.25" customHeight="1" x14ac:dyDescent="0.2">
      <c r="A644" s="44"/>
      <c r="B644" s="45"/>
      <c r="C644" s="46">
        <v>13</v>
      </c>
      <c r="D644" s="14" t="s">
        <v>76</v>
      </c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24"/>
      <c r="Y644" s="18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27"/>
      <c r="AT644" s="41"/>
      <c r="AU644" s="41"/>
      <c r="AV644" s="43"/>
      <c r="AW644" s="43"/>
      <c r="AX644" s="43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/>
      <c r="BK644" s="43"/>
      <c r="BL644" s="43"/>
      <c r="BM644" s="43"/>
      <c r="BN644" s="30"/>
    </row>
    <row r="645" spans="1:66" ht="11.25" customHeight="1" x14ac:dyDescent="0.2">
      <c r="X645" s="24"/>
      <c r="Y645" s="19" t="s">
        <v>79</v>
      </c>
      <c r="Z645" s="34">
        <f t="shared" ref="Z645" si="1508">SUM(Z634:Z644)</f>
        <v>0</v>
      </c>
      <c r="AA645" s="34">
        <f t="shared" ref="AA645" si="1509">SUM(AA634:AA644)</f>
        <v>0</v>
      </c>
      <c r="AB645" s="34" t="e">
        <f t="shared" ref="AB645" si="1510">SUM(AB634:AB644)</f>
        <v>#N/A</v>
      </c>
      <c r="AC645" s="34" t="e">
        <f t="shared" ref="AC645" si="1511">SUM(AC634:AC644)</f>
        <v>#N/A</v>
      </c>
      <c r="AD645" s="34" t="e">
        <f t="shared" ref="AD645" si="1512">SUM(AD634:AD644)</f>
        <v>#N/A</v>
      </c>
      <c r="AE645" s="34" t="e">
        <f t="shared" ref="AE645" si="1513">SUM(AE634:AE644)</f>
        <v>#N/A</v>
      </c>
      <c r="AF645" s="34" t="e">
        <f t="shared" ref="AF645" si="1514">SUM(AF634:AF644)</f>
        <v>#N/A</v>
      </c>
      <c r="AG645" s="34" t="e">
        <f t="shared" ref="AG645" si="1515">SUM(AG634:AG644)</f>
        <v>#N/A</v>
      </c>
      <c r="AH645" s="34" t="e">
        <f t="shared" ref="AH645" si="1516">SUM(AH634:AH644)</f>
        <v>#N/A</v>
      </c>
      <c r="AI645" s="34" t="e">
        <f t="shared" ref="AI645" si="1517">SUM(AI634:AI644)</f>
        <v>#N/A</v>
      </c>
      <c r="AJ645" s="34" t="e">
        <f t="shared" ref="AJ645" si="1518">SUM(AJ634:AJ644)</f>
        <v>#N/A</v>
      </c>
      <c r="AK645" s="34" t="e">
        <f t="shared" ref="AK645" si="1519">SUM(AK634:AK644)</f>
        <v>#N/A</v>
      </c>
      <c r="AL645" s="34" t="e">
        <f t="shared" ref="AL645" si="1520">SUM(AL634:AL644)</f>
        <v>#N/A</v>
      </c>
      <c r="AM645" s="34" t="e">
        <f t="shared" ref="AM645" si="1521">SUM(AM634:AM644)</f>
        <v>#N/A</v>
      </c>
      <c r="AN645" s="34" t="e">
        <f t="shared" ref="AN645" si="1522">SUM(AN634:AN644)</f>
        <v>#N/A</v>
      </c>
      <c r="AO645" s="34" t="e">
        <f t="shared" ref="AO645" si="1523">SUM(AO634:AO644)</f>
        <v>#N/A</v>
      </c>
      <c r="AP645" s="34" t="e">
        <f t="shared" ref="AP645" si="1524">SUM(AP634:AP644)</f>
        <v>#N/A</v>
      </c>
      <c r="AQ645" s="34" t="e">
        <f t="shared" ref="AQ645" si="1525">SUM(AQ634:AQ644)</f>
        <v>#N/A</v>
      </c>
      <c r="AR645" s="34" t="e">
        <f t="shared" ref="AR645" si="1526">SUM(AR634:AR644)</f>
        <v>#N/A</v>
      </c>
      <c r="AS645" s="27"/>
      <c r="AT645" s="41"/>
      <c r="AU645" s="41"/>
      <c r="AV645" s="43"/>
      <c r="AW645" s="43"/>
      <c r="AX645" s="43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30"/>
    </row>
    <row r="646" spans="1:66" ht="11.25" customHeight="1" x14ac:dyDescent="0.2">
      <c r="A646" s="75" t="s">
        <v>63</v>
      </c>
      <c r="B646" s="76"/>
      <c r="C646" s="21"/>
      <c r="D646" s="22" t="s">
        <v>75</v>
      </c>
      <c r="E646" s="23" t="s">
        <v>70</v>
      </c>
      <c r="F646" s="23">
        <v>0</v>
      </c>
      <c r="G646" s="23">
        <v>1</v>
      </c>
      <c r="H646" s="23">
        <v>2</v>
      </c>
      <c r="I646" s="23">
        <v>3</v>
      </c>
      <c r="J646" s="23">
        <v>4</v>
      </c>
      <c r="K646" s="23">
        <v>5</v>
      </c>
      <c r="L646" s="23">
        <v>6</v>
      </c>
      <c r="M646" s="23">
        <v>7</v>
      </c>
      <c r="N646" s="23">
        <v>8</v>
      </c>
      <c r="O646" s="23">
        <v>9</v>
      </c>
      <c r="P646" s="23">
        <v>10</v>
      </c>
      <c r="Q646" s="23">
        <v>11</v>
      </c>
      <c r="R646" s="23">
        <v>12</v>
      </c>
      <c r="S646" s="23">
        <v>13</v>
      </c>
      <c r="T646" s="23">
        <v>14</v>
      </c>
      <c r="U646" s="23">
        <v>15</v>
      </c>
      <c r="V646" s="23">
        <v>16</v>
      </c>
      <c r="W646" s="23">
        <v>17</v>
      </c>
      <c r="X646" s="24"/>
      <c r="Y646" s="17"/>
      <c r="Z646" s="25" t="s">
        <v>64</v>
      </c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/>
      <c r="AP646" s="26"/>
      <c r="AQ646" s="26"/>
      <c r="AR646" s="26"/>
      <c r="AS646" s="27"/>
      <c r="AT646" s="28"/>
      <c r="AU646" s="28" t="s">
        <v>64</v>
      </c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30"/>
    </row>
    <row r="647" spans="1:66" ht="11.25" customHeight="1" x14ac:dyDescent="0.2">
      <c r="A647" s="32"/>
      <c r="B647" s="72">
        <v>44</v>
      </c>
      <c r="C647" s="33">
        <v>1</v>
      </c>
      <c r="D647" s="13" t="s">
        <v>426</v>
      </c>
      <c r="E647" s="16">
        <f t="shared" ref="E647:E654" si="1527">SUM(F647:W647)</f>
        <v>640</v>
      </c>
      <c r="F647" s="16">
        <f>SUMIFS([0]!VOTOS2,[0]!TURNO1,F$31,[0]!CANDIDATO1,$C647,[0]!MUNICIPIO1,$B$647)</f>
        <v>10</v>
      </c>
      <c r="G647" s="16">
        <f>SUMIFS([0]!VOTOS2,[0]!TURNO1,G$31,[0]!CANDIDATO1,$C647,[0]!MUNICIPIO1,$B$647)</f>
        <v>80</v>
      </c>
      <c r="H647" s="16">
        <f>SUMIFS([0]!VOTOS2,[0]!TURNO1,H$31,[0]!CANDIDATO1,$C647,[0]!MUNICIPIO1,$B$647)</f>
        <v>85</v>
      </c>
      <c r="I647" s="16">
        <f>SUMIFS([0]!VOTOS2,[0]!TURNO1,I$31,[0]!CANDIDATO1,$C647,[0]!MUNICIPIO1,$B$647)</f>
        <v>65</v>
      </c>
      <c r="J647" s="16">
        <f>SUMIFS([0]!VOTOS2,[0]!TURNO1,J$31,[0]!CANDIDATO1,$C647,[0]!MUNICIPIO1,$B$647)</f>
        <v>75</v>
      </c>
      <c r="K647" s="16">
        <f>SUMIFS([0]!VOTOS2,[0]!TURNO1,K$31,[0]!CANDIDATO1,$C647,[0]!MUNICIPIO1,$B$647)</f>
        <v>64</v>
      </c>
      <c r="L647" s="16">
        <f>SUMIFS([0]!VOTOS2,[0]!TURNO1,L$31,[0]!CANDIDATO1,$C647,[0]!MUNICIPIO1,$B$647)</f>
        <v>33</v>
      </c>
      <c r="M647" s="16">
        <f>SUMIFS([0]!VOTOS2,[0]!TURNO1,M$31,[0]!CANDIDATO1,$C647,[0]!MUNICIPIO1,$B$647)</f>
        <v>73</v>
      </c>
      <c r="N647" s="16">
        <f>SUMIFS([0]!VOTOS2,[0]!TURNO1,N$31,[0]!CANDIDATO1,$C647,[0]!MUNICIPIO1,$B$647)</f>
        <v>75</v>
      </c>
      <c r="O647" s="16">
        <f>SUMIFS([0]!VOTOS2,[0]!TURNO1,O$31,[0]!CANDIDATO1,$C647,[0]!MUNICIPIO1,$B$647)</f>
        <v>80</v>
      </c>
      <c r="P647" s="16">
        <f>SUMIFS([0]!VOTOS2,[0]!TURNO1,P$31,[0]!CANDIDATO1,$C647,[0]!MUNICIPIO1,$B$647)</f>
        <v>0</v>
      </c>
      <c r="Q647" s="16">
        <f>SUMIFS([0]!VOTOS2,[0]!TURNO1,Q$31,[0]!CANDIDATO1,$C647,[0]!MUNICIPIO1,$B$647)</f>
        <v>0</v>
      </c>
      <c r="R647" s="16">
        <f>SUMIFS([0]!VOTOS2,[0]!TURNO1,R$31,[0]!CANDIDATO1,$C647,[0]!MUNICIPIO1,$B$647)</f>
        <v>0</v>
      </c>
      <c r="S647" s="16">
        <f>SUMIFS([0]!VOTOS2,[0]!TURNO1,S$31,[0]!CANDIDATO1,$C647,[0]!MUNICIPIO1,$B$647)</f>
        <v>0</v>
      </c>
      <c r="T647" s="16">
        <f>SUMIFS([0]!VOTOS2,[0]!TURNO1,T$31,[0]!CANDIDATO1,$C647,[0]!MUNICIPIO1,$B$647)</f>
        <v>0</v>
      </c>
      <c r="U647" s="16">
        <f>SUMIFS([0]!VOTOS2,[0]!TURNO1,U$31,[0]!CANDIDATO1,$C647,[0]!MUNICIPIO1,$B$647)</f>
        <v>0</v>
      </c>
      <c r="V647" s="16">
        <f>SUMIFS([0]!VOTOS2,[0]!TURNO1,V$31,[0]!CANDIDATO1,$C647,[0]!MUNICIPIO1,$B$647)</f>
        <v>0</v>
      </c>
      <c r="W647" s="16">
        <f>SUMIFS([0]!VOTOS2,[0]!TURNO1,W$31,[0]!CANDIDATO1,$C647,[0]!MUNICIPIO1,$B$647)</f>
        <v>0</v>
      </c>
      <c r="X647" s="24"/>
      <c r="Y647" s="18" t="str">
        <f t="shared" ref="Y647:Y654" si="1528">D647</f>
        <v>CARLOS ALCALA</v>
      </c>
      <c r="Z647" s="34">
        <f t="shared" ref="Z647:Z654" si="1529">E647</f>
        <v>640</v>
      </c>
      <c r="AA647" s="34">
        <f t="shared" ref="AA647:AA654" si="1530">F647</f>
        <v>10</v>
      </c>
      <c r="AB647" s="34">
        <f t="shared" ref="AB647:AR647" si="1531">IF(SUM(G647:G659)=0,NA(),G647+AA647)</f>
        <v>90</v>
      </c>
      <c r="AC647" s="34">
        <f t="shared" si="1531"/>
        <v>175</v>
      </c>
      <c r="AD647" s="34">
        <f t="shared" si="1531"/>
        <v>240</v>
      </c>
      <c r="AE647" s="34">
        <f t="shared" si="1531"/>
        <v>315</v>
      </c>
      <c r="AF647" s="34">
        <f t="shared" si="1531"/>
        <v>379</v>
      </c>
      <c r="AG647" s="34">
        <f t="shared" si="1531"/>
        <v>412</v>
      </c>
      <c r="AH647" s="34">
        <f t="shared" si="1531"/>
        <v>485</v>
      </c>
      <c r="AI647" s="34">
        <f t="shared" si="1531"/>
        <v>560</v>
      </c>
      <c r="AJ647" s="34">
        <f t="shared" si="1531"/>
        <v>640</v>
      </c>
      <c r="AK647" s="34" t="e">
        <f t="shared" si="1531"/>
        <v>#N/A</v>
      </c>
      <c r="AL647" s="34" t="e">
        <f t="shared" si="1531"/>
        <v>#N/A</v>
      </c>
      <c r="AM647" s="34" t="e">
        <f t="shared" si="1531"/>
        <v>#N/A</v>
      </c>
      <c r="AN647" s="34" t="e">
        <f t="shared" si="1531"/>
        <v>#N/A</v>
      </c>
      <c r="AO647" s="34" t="e">
        <f t="shared" si="1531"/>
        <v>#N/A</v>
      </c>
      <c r="AP647" s="34" t="e">
        <f t="shared" si="1531"/>
        <v>#N/A</v>
      </c>
      <c r="AQ647" s="34" t="e">
        <f t="shared" si="1531"/>
        <v>#N/A</v>
      </c>
      <c r="AR647" s="34" t="e">
        <f t="shared" si="1531"/>
        <v>#N/A</v>
      </c>
      <c r="AS647" s="27"/>
      <c r="AT647" s="35" t="str">
        <f t="shared" ref="AT647:AT648" si="1532">Y647</f>
        <v>CARLOS ALCALA</v>
      </c>
      <c r="AU647" s="36">
        <f t="shared" ref="AU647:BM647" si="1533">Z647/(Z647+Z648+Z660)</f>
        <v>0.80604534005037787</v>
      </c>
      <c r="AV647" s="36">
        <f t="shared" si="1533"/>
        <v>0.5</v>
      </c>
      <c r="AW647" s="36">
        <f t="shared" si="1533"/>
        <v>0.77586206896551724</v>
      </c>
      <c r="AX647" s="36">
        <f t="shared" si="1533"/>
        <v>0.78828828828828834</v>
      </c>
      <c r="AY647" s="36">
        <f t="shared" si="1533"/>
        <v>0.79207920792079212</v>
      </c>
      <c r="AZ647" s="36">
        <f t="shared" si="1533"/>
        <v>0.80976863753213368</v>
      </c>
      <c r="BA647" s="36">
        <f t="shared" si="1533"/>
        <v>0.79957805907172996</v>
      </c>
      <c r="BB647" s="36">
        <f t="shared" si="1533"/>
        <v>0.77009345794392525</v>
      </c>
      <c r="BC647" s="36">
        <f t="shared" si="1533"/>
        <v>0.77974276527331188</v>
      </c>
      <c r="BD647" s="36">
        <f t="shared" si="1533"/>
        <v>0.79207920792079212</v>
      </c>
      <c r="BE647" s="36">
        <f t="shared" si="1533"/>
        <v>0.80604534005037787</v>
      </c>
      <c r="BF647" s="36" t="e">
        <f t="shared" si="1533"/>
        <v>#N/A</v>
      </c>
      <c r="BG647" s="36" t="e">
        <f t="shared" si="1533"/>
        <v>#N/A</v>
      </c>
      <c r="BH647" s="36" t="e">
        <f t="shared" si="1533"/>
        <v>#N/A</v>
      </c>
      <c r="BI647" s="36" t="e">
        <f t="shared" si="1533"/>
        <v>#N/A</v>
      </c>
      <c r="BJ647" s="36" t="e">
        <f t="shared" si="1533"/>
        <v>#N/A</v>
      </c>
      <c r="BK647" s="36" t="e">
        <f t="shared" si="1533"/>
        <v>#N/A</v>
      </c>
      <c r="BL647" s="36" t="e">
        <f t="shared" si="1533"/>
        <v>#N/A</v>
      </c>
      <c r="BM647" s="36" t="e">
        <f t="shared" si="1533"/>
        <v>#N/A</v>
      </c>
      <c r="BN647" s="30"/>
    </row>
    <row r="648" spans="1:66" ht="11.25" customHeight="1" x14ac:dyDescent="0.2">
      <c r="A648" s="37"/>
      <c r="B648" s="73"/>
      <c r="C648" s="33">
        <v>2</v>
      </c>
      <c r="D648" s="13" t="s">
        <v>427</v>
      </c>
      <c r="E648" s="16">
        <f t="shared" si="1527"/>
        <v>122</v>
      </c>
      <c r="F648" s="16">
        <f>SUMIFS([0]!VOTOS2,[0]!TURNO1,F$31,[0]!CANDIDATO1,$C648,[0]!MUNICIPIO1,$B$647)</f>
        <v>10</v>
      </c>
      <c r="G648" s="16">
        <f>SUMIFS([0]!VOTOS2,[0]!TURNO1,G$31,[0]!CANDIDATO1,$C648,[0]!MUNICIPIO1,$B$647)</f>
        <v>13</v>
      </c>
      <c r="H648" s="16">
        <f>SUMIFS([0]!VOTOS2,[0]!TURNO1,H$31,[0]!CANDIDATO1,$C648,[0]!MUNICIPIO1,$B$647)</f>
        <v>21</v>
      </c>
      <c r="I648" s="16">
        <f>SUMIFS([0]!VOTOS2,[0]!TURNO1,I$31,[0]!CANDIDATO1,$C648,[0]!MUNICIPIO1,$B$647)</f>
        <v>16</v>
      </c>
      <c r="J648" s="16">
        <f>SUMIFS([0]!VOTOS2,[0]!TURNO1,J$31,[0]!CANDIDATO1,$C648,[0]!MUNICIPIO1,$B$647)</f>
        <v>10</v>
      </c>
      <c r="K648" s="16">
        <f>SUMIFS([0]!VOTOS2,[0]!TURNO1,K$31,[0]!CANDIDATO1,$C648,[0]!MUNICIPIO1,$B$647)</f>
        <v>10</v>
      </c>
      <c r="L648" s="16">
        <f>SUMIFS([0]!VOTOS2,[0]!TURNO1,L$31,[0]!CANDIDATO1,$C648,[0]!MUNICIPIO1,$B$647)</f>
        <v>23</v>
      </c>
      <c r="M648" s="16">
        <f>SUMIFS([0]!VOTOS2,[0]!TURNO1,M$31,[0]!CANDIDATO1,$C648,[0]!MUNICIPIO1,$B$647)</f>
        <v>5</v>
      </c>
      <c r="N648" s="16">
        <f>SUMIFS([0]!VOTOS2,[0]!TURNO1,N$31,[0]!CANDIDATO1,$C648,[0]!MUNICIPIO1,$B$647)</f>
        <v>7</v>
      </c>
      <c r="O648" s="16">
        <f>SUMIFS([0]!VOTOS2,[0]!TURNO1,O$31,[0]!CANDIDATO1,$C648,[0]!MUNICIPIO1,$B$647)</f>
        <v>7</v>
      </c>
      <c r="P648" s="16">
        <f>SUMIFS([0]!VOTOS2,[0]!TURNO1,P$31,[0]!CANDIDATO1,$C648,[0]!MUNICIPIO1,$B$647)</f>
        <v>0</v>
      </c>
      <c r="Q648" s="16">
        <f>SUMIFS([0]!VOTOS2,[0]!TURNO1,Q$31,[0]!CANDIDATO1,$C648,[0]!MUNICIPIO1,$B$647)</f>
        <v>0</v>
      </c>
      <c r="R648" s="16">
        <f>SUMIFS([0]!VOTOS2,[0]!TURNO1,R$31,[0]!CANDIDATO1,$C648,[0]!MUNICIPIO1,$B$647)</f>
        <v>0</v>
      </c>
      <c r="S648" s="16">
        <f>SUMIFS([0]!VOTOS2,[0]!TURNO1,S$31,[0]!CANDIDATO1,$C648,[0]!MUNICIPIO1,$B$647)</f>
        <v>0</v>
      </c>
      <c r="T648" s="16">
        <f>SUMIFS([0]!VOTOS2,[0]!TURNO1,T$31,[0]!CANDIDATO1,$C648,[0]!MUNICIPIO1,$B$647)</f>
        <v>0</v>
      </c>
      <c r="U648" s="16">
        <f>SUMIFS([0]!VOTOS2,[0]!TURNO1,U$31,[0]!CANDIDATO1,$C648,[0]!MUNICIPIO1,$B$647)</f>
        <v>0</v>
      </c>
      <c r="V648" s="16">
        <f>SUMIFS([0]!VOTOS2,[0]!TURNO1,V$31,[0]!CANDIDATO1,$C648,[0]!MUNICIPIO1,$B$647)</f>
        <v>0</v>
      </c>
      <c r="W648" s="16">
        <f>SUMIFS([0]!VOTOS2,[0]!TURNO1,W$31,[0]!CANDIDATO1,$C648,[0]!MUNICIPIO1,$B$647)</f>
        <v>0</v>
      </c>
      <c r="X648" s="24"/>
      <c r="Y648" s="18" t="str">
        <f t="shared" si="1528"/>
        <v>FABIOLA COLMENAREZ</v>
      </c>
      <c r="Z648" s="34">
        <f t="shared" si="1529"/>
        <v>122</v>
      </c>
      <c r="AA648" s="34">
        <f t="shared" si="1530"/>
        <v>10</v>
      </c>
      <c r="AB648" s="34">
        <f t="shared" ref="AB648:AR648" si="1534">IF(SUM(G647:G659)=0,NA(),G648+AA648)</f>
        <v>23</v>
      </c>
      <c r="AC648" s="34">
        <f t="shared" si="1534"/>
        <v>44</v>
      </c>
      <c r="AD648" s="34">
        <f t="shared" si="1534"/>
        <v>60</v>
      </c>
      <c r="AE648" s="34">
        <f t="shared" si="1534"/>
        <v>70</v>
      </c>
      <c r="AF648" s="34">
        <f t="shared" si="1534"/>
        <v>80</v>
      </c>
      <c r="AG648" s="34">
        <f t="shared" si="1534"/>
        <v>103</v>
      </c>
      <c r="AH648" s="34">
        <f t="shared" si="1534"/>
        <v>108</v>
      </c>
      <c r="AI648" s="34">
        <f t="shared" si="1534"/>
        <v>115</v>
      </c>
      <c r="AJ648" s="34">
        <f t="shared" si="1534"/>
        <v>122</v>
      </c>
      <c r="AK648" s="34" t="e">
        <f t="shared" si="1534"/>
        <v>#N/A</v>
      </c>
      <c r="AL648" s="34" t="e">
        <f t="shared" si="1534"/>
        <v>#N/A</v>
      </c>
      <c r="AM648" s="34" t="e">
        <f t="shared" si="1534"/>
        <v>#N/A</v>
      </c>
      <c r="AN648" s="34" t="e">
        <f t="shared" si="1534"/>
        <v>#N/A</v>
      </c>
      <c r="AO648" s="34" t="e">
        <f t="shared" si="1534"/>
        <v>#N/A</v>
      </c>
      <c r="AP648" s="34" t="e">
        <f t="shared" si="1534"/>
        <v>#N/A</v>
      </c>
      <c r="AQ648" s="34" t="e">
        <f t="shared" si="1534"/>
        <v>#N/A</v>
      </c>
      <c r="AR648" s="34" t="e">
        <f t="shared" si="1534"/>
        <v>#N/A</v>
      </c>
      <c r="AS648" s="27"/>
      <c r="AT648" s="35" t="str">
        <f t="shared" si="1532"/>
        <v>FABIOLA COLMENAREZ</v>
      </c>
      <c r="AU648" s="36">
        <f t="shared" ref="AU648:BM648" si="1535">Z648/(Z647+Z648+Z660)</f>
        <v>0.15365239294710328</v>
      </c>
      <c r="AV648" s="36">
        <f t="shared" si="1535"/>
        <v>0.5</v>
      </c>
      <c r="AW648" s="36">
        <f t="shared" si="1535"/>
        <v>0.19827586206896552</v>
      </c>
      <c r="AX648" s="36">
        <f t="shared" si="1535"/>
        <v>0.1981981981981982</v>
      </c>
      <c r="AY648" s="36">
        <f t="shared" si="1535"/>
        <v>0.19801980198019803</v>
      </c>
      <c r="AZ648" s="36">
        <f t="shared" si="1535"/>
        <v>0.17994858611825193</v>
      </c>
      <c r="BA648" s="36">
        <f t="shared" si="1535"/>
        <v>0.16877637130801687</v>
      </c>
      <c r="BB648" s="36">
        <f t="shared" si="1535"/>
        <v>0.19252336448598131</v>
      </c>
      <c r="BC648" s="36">
        <f t="shared" si="1535"/>
        <v>0.17363344051446947</v>
      </c>
      <c r="BD648" s="36">
        <f t="shared" si="1535"/>
        <v>0.16265912305516267</v>
      </c>
      <c r="BE648" s="36">
        <f t="shared" si="1535"/>
        <v>0.15365239294710328</v>
      </c>
      <c r="BF648" s="36" t="e">
        <f t="shared" si="1535"/>
        <v>#N/A</v>
      </c>
      <c r="BG648" s="36" t="e">
        <f t="shared" si="1535"/>
        <v>#N/A</v>
      </c>
      <c r="BH648" s="36" t="e">
        <f t="shared" si="1535"/>
        <v>#N/A</v>
      </c>
      <c r="BI648" s="36" t="e">
        <f t="shared" si="1535"/>
        <v>#N/A</v>
      </c>
      <c r="BJ648" s="36" t="e">
        <f t="shared" si="1535"/>
        <v>#N/A</v>
      </c>
      <c r="BK648" s="36" t="e">
        <f t="shared" si="1535"/>
        <v>#N/A</v>
      </c>
      <c r="BL648" s="36" t="e">
        <f t="shared" si="1535"/>
        <v>#N/A</v>
      </c>
      <c r="BM648" s="36" t="e">
        <f t="shared" si="1535"/>
        <v>#N/A</v>
      </c>
      <c r="BN648" s="30"/>
    </row>
    <row r="649" spans="1:66" ht="11.25" customHeight="1" x14ac:dyDescent="0.2">
      <c r="A649" s="37"/>
      <c r="B649" s="73"/>
      <c r="C649" s="33">
        <v>3</v>
      </c>
      <c r="D649" s="13" t="s">
        <v>428</v>
      </c>
      <c r="E649" s="16">
        <f t="shared" si="1527"/>
        <v>3</v>
      </c>
      <c r="F649" s="16">
        <f>SUMIFS([0]!VOTOS2,[0]!TURNO1,F$31,[0]!CANDIDATO1,$C649,[0]!MUNICIPIO1,$B$647)</f>
        <v>0</v>
      </c>
      <c r="G649" s="16">
        <f>SUMIFS([0]!VOTOS2,[0]!TURNO1,G$31,[0]!CANDIDATO1,$C649,[0]!MUNICIPIO1,$B$647)</f>
        <v>0</v>
      </c>
      <c r="H649" s="16">
        <f>SUMIFS([0]!VOTOS2,[0]!TURNO1,H$31,[0]!CANDIDATO1,$C649,[0]!MUNICIPIO1,$B$647)</f>
        <v>0</v>
      </c>
      <c r="I649" s="16">
        <f>SUMIFS([0]!VOTOS2,[0]!TURNO1,I$31,[0]!CANDIDATO1,$C649,[0]!MUNICIPIO1,$B$647)</f>
        <v>0</v>
      </c>
      <c r="J649" s="16">
        <f>SUMIFS([0]!VOTOS2,[0]!TURNO1,J$31,[0]!CANDIDATO1,$C649,[0]!MUNICIPIO1,$B$647)</f>
        <v>0</v>
      </c>
      <c r="K649" s="16">
        <f>SUMIFS([0]!VOTOS2,[0]!TURNO1,K$31,[0]!CANDIDATO1,$C649,[0]!MUNICIPIO1,$B$647)</f>
        <v>1</v>
      </c>
      <c r="L649" s="16">
        <f>SUMIFS([0]!VOTOS2,[0]!TURNO1,L$31,[0]!CANDIDATO1,$C649,[0]!MUNICIPIO1,$B$647)</f>
        <v>2</v>
      </c>
      <c r="M649" s="16">
        <f>SUMIFS([0]!VOTOS2,[0]!TURNO1,M$31,[0]!CANDIDATO1,$C649,[0]!MUNICIPIO1,$B$647)</f>
        <v>0</v>
      </c>
      <c r="N649" s="16">
        <f>SUMIFS([0]!VOTOS2,[0]!TURNO1,N$31,[0]!CANDIDATO1,$C649,[0]!MUNICIPIO1,$B$647)</f>
        <v>0</v>
      </c>
      <c r="O649" s="16">
        <f>SUMIFS([0]!VOTOS2,[0]!TURNO1,O$31,[0]!CANDIDATO1,$C649,[0]!MUNICIPIO1,$B$647)</f>
        <v>0</v>
      </c>
      <c r="P649" s="16">
        <f>SUMIFS([0]!VOTOS2,[0]!TURNO1,P$31,[0]!CANDIDATO1,$C649,[0]!MUNICIPIO1,$B$647)</f>
        <v>0</v>
      </c>
      <c r="Q649" s="16">
        <f>SUMIFS([0]!VOTOS2,[0]!TURNO1,Q$31,[0]!CANDIDATO1,$C649,[0]!MUNICIPIO1,$B$647)</f>
        <v>0</v>
      </c>
      <c r="R649" s="16">
        <f>SUMIFS([0]!VOTOS2,[0]!TURNO1,R$31,[0]!CANDIDATO1,$C649,[0]!MUNICIPIO1,$B$647)</f>
        <v>0</v>
      </c>
      <c r="S649" s="16">
        <f>SUMIFS([0]!VOTOS2,[0]!TURNO1,S$31,[0]!CANDIDATO1,$C649,[0]!MUNICIPIO1,$B$647)</f>
        <v>0</v>
      </c>
      <c r="T649" s="16">
        <f>SUMIFS([0]!VOTOS2,[0]!TURNO1,T$31,[0]!CANDIDATO1,$C649,[0]!MUNICIPIO1,$B$647)</f>
        <v>0</v>
      </c>
      <c r="U649" s="16">
        <f>SUMIFS([0]!VOTOS2,[0]!TURNO1,U$31,[0]!CANDIDATO1,$C649,[0]!MUNICIPIO1,$B$647)</f>
        <v>0</v>
      </c>
      <c r="V649" s="16">
        <f>SUMIFS([0]!VOTOS2,[0]!TURNO1,V$31,[0]!CANDIDATO1,$C649,[0]!MUNICIPIO1,$B$647)</f>
        <v>0</v>
      </c>
      <c r="W649" s="16">
        <f>SUMIFS([0]!VOTOS2,[0]!TURNO1,W$31,[0]!CANDIDATO1,$C649,[0]!MUNICIPIO1,$B$647)</f>
        <v>0</v>
      </c>
      <c r="X649" s="24"/>
      <c r="Y649" s="18" t="str">
        <f t="shared" si="1528"/>
        <v>ROMULO MARCANO</v>
      </c>
      <c r="Z649" s="34">
        <f t="shared" si="1529"/>
        <v>3</v>
      </c>
      <c r="AA649" s="34">
        <f t="shared" si="1530"/>
        <v>0</v>
      </c>
      <c r="AB649" s="34">
        <f t="shared" ref="AB649:AR649" si="1536">IF(SUM(G647:G659)=0,NA(),G649+AA649)</f>
        <v>0</v>
      </c>
      <c r="AC649" s="34">
        <f t="shared" si="1536"/>
        <v>0</v>
      </c>
      <c r="AD649" s="34">
        <f t="shared" si="1536"/>
        <v>0</v>
      </c>
      <c r="AE649" s="34">
        <f t="shared" si="1536"/>
        <v>0</v>
      </c>
      <c r="AF649" s="34">
        <f t="shared" si="1536"/>
        <v>1</v>
      </c>
      <c r="AG649" s="34">
        <f t="shared" si="1536"/>
        <v>3</v>
      </c>
      <c r="AH649" s="34">
        <f t="shared" si="1536"/>
        <v>3</v>
      </c>
      <c r="AI649" s="34">
        <f t="shared" si="1536"/>
        <v>3</v>
      </c>
      <c r="AJ649" s="34">
        <f t="shared" si="1536"/>
        <v>3</v>
      </c>
      <c r="AK649" s="34" t="e">
        <f t="shared" si="1536"/>
        <v>#N/A</v>
      </c>
      <c r="AL649" s="34" t="e">
        <f t="shared" si="1536"/>
        <v>#N/A</v>
      </c>
      <c r="AM649" s="34" t="e">
        <f t="shared" si="1536"/>
        <v>#N/A</v>
      </c>
      <c r="AN649" s="34" t="e">
        <f t="shared" si="1536"/>
        <v>#N/A</v>
      </c>
      <c r="AO649" s="34" t="e">
        <f t="shared" si="1536"/>
        <v>#N/A</v>
      </c>
      <c r="AP649" s="34" t="e">
        <f t="shared" si="1536"/>
        <v>#N/A</v>
      </c>
      <c r="AQ649" s="34" t="e">
        <f t="shared" si="1536"/>
        <v>#N/A</v>
      </c>
      <c r="AR649" s="34" t="e">
        <f t="shared" si="1536"/>
        <v>#N/A</v>
      </c>
      <c r="AS649" s="27"/>
      <c r="AT649" s="35" t="str">
        <f t="shared" ref="AT649" si="1537">Y660</f>
        <v>Otros</v>
      </c>
      <c r="AU649" s="36">
        <f t="shared" ref="AU649:BM649" si="1538">Z660/(Z647+Z648+Z660)</f>
        <v>4.0302267002518891E-2</v>
      </c>
      <c r="AV649" s="36">
        <f t="shared" si="1538"/>
        <v>0</v>
      </c>
      <c r="AW649" s="36">
        <f t="shared" si="1538"/>
        <v>2.5862068965517241E-2</v>
      </c>
      <c r="AX649" s="36">
        <f t="shared" si="1538"/>
        <v>1.3513513513513514E-2</v>
      </c>
      <c r="AY649" s="36">
        <f t="shared" si="1538"/>
        <v>9.9009900990099011E-3</v>
      </c>
      <c r="AZ649" s="36">
        <f t="shared" si="1538"/>
        <v>1.0282776349614395E-2</v>
      </c>
      <c r="BA649" s="36">
        <f t="shared" si="1538"/>
        <v>3.1645569620253167E-2</v>
      </c>
      <c r="BB649" s="36">
        <f t="shared" si="1538"/>
        <v>3.7383177570093455E-2</v>
      </c>
      <c r="BC649" s="36">
        <f t="shared" si="1538"/>
        <v>4.6623794212218649E-2</v>
      </c>
      <c r="BD649" s="36">
        <f t="shared" si="1538"/>
        <v>4.5261669024045263E-2</v>
      </c>
      <c r="BE649" s="36">
        <f t="shared" si="1538"/>
        <v>4.0302267002518891E-2</v>
      </c>
      <c r="BF649" s="36" t="e">
        <f t="shared" si="1538"/>
        <v>#N/A</v>
      </c>
      <c r="BG649" s="36" t="e">
        <f t="shared" si="1538"/>
        <v>#N/A</v>
      </c>
      <c r="BH649" s="36" t="e">
        <f t="shared" si="1538"/>
        <v>#N/A</v>
      </c>
      <c r="BI649" s="36" t="e">
        <f t="shared" si="1538"/>
        <v>#N/A</v>
      </c>
      <c r="BJ649" s="36" t="e">
        <f t="shared" si="1538"/>
        <v>#N/A</v>
      </c>
      <c r="BK649" s="36" t="e">
        <f t="shared" si="1538"/>
        <v>#N/A</v>
      </c>
      <c r="BL649" s="36" t="e">
        <f t="shared" si="1538"/>
        <v>#N/A</v>
      </c>
      <c r="BM649" s="36" t="e">
        <f t="shared" si="1538"/>
        <v>#N/A</v>
      </c>
      <c r="BN649" s="30"/>
    </row>
    <row r="650" spans="1:66" ht="11.25" customHeight="1" x14ac:dyDescent="0.2">
      <c r="A650" s="38" t="s">
        <v>51</v>
      </c>
      <c r="B650" s="73"/>
      <c r="C650" s="33">
        <v>4</v>
      </c>
      <c r="D650" s="13" t="s">
        <v>429</v>
      </c>
      <c r="E650" s="16">
        <f t="shared" si="1527"/>
        <v>10</v>
      </c>
      <c r="F650" s="16">
        <f>SUMIFS([0]!VOTOS2,[0]!TURNO1,F$31,[0]!CANDIDATO1,$C650,[0]!MUNICIPIO1,$B$647)</f>
        <v>0</v>
      </c>
      <c r="G650" s="16">
        <f>SUMIFS([0]!VOTOS2,[0]!TURNO1,G$31,[0]!CANDIDATO1,$C650,[0]!MUNICIPIO1,$B$647)</f>
        <v>1</v>
      </c>
      <c r="H650" s="16">
        <f>SUMIFS([0]!VOTOS2,[0]!TURNO1,H$31,[0]!CANDIDATO1,$C650,[0]!MUNICIPIO1,$B$647)</f>
        <v>0</v>
      </c>
      <c r="I650" s="16">
        <f>SUMIFS([0]!VOTOS2,[0]!TURNO1,I$31,[0]!CANDIDATO1,$C650,[0]!MUNICIPIO1,$B$647)</f>
        <v>0</v>
      </c>
      <c r="J650" s="16">
        <f>SUMIFS([0]!VOTOS2,[0]!TURNO1,J$31,[0]!CANDIDATO1,$C650,[0]!MUNICIPIO1,$B$647)</f>
        <v>0</v>
      </c>
      <c r="K650" s="16">
        <f>SUMIFS([0]!VOTOS2,[0]!TURNO1,K$31,[0]!CANDIDATO1,$C650,[0]!MUNICIPIO1,$B$647)</f>
        <v>7</v>
      </c>
      <c r="L650" s="16">
        <f>SUMIFS([0]!VOTOS2,[0]!TURNO1,L$31,[0]!CANDIDATO1,$C650,[0]!MUNICIPIO1,$B$647)</f>
        <v>2</v>
      </c>
      <c r="M650" s="16">
        <f>SUMIFS([0]!VOTOS2,[0]!TURNO1,M$31,[0]!CANDIDATO1,$C650,[0]!MUNICIPIO1,$B$647)</f>
        <v>0</v>
      </c>
      <c r="N650" s="16">
        <f>SUMIFS([0]!VOTOS2,[0]!TURNO1,N$31,[0]!CANDIDATO1,$C650,[0]!MUNICIPIO1,$B$647)</f>
        <v>0</v>
      </c>
      <c r="O650" s="16">
        <f>SUMIFS([0]!VOTOS2,[0]!TURNO1,O$31,[0]!CANDIDATO1,$C650,[0]!MUNICIPIO1,$B$647)</f>
        <v>0</v>
      </c>
      <c r="P650" s="16">
        <f>SUMIFS([0]!VOTOS2,[0]!TURNO1,P$31,[0]!CANDIDATO1,$C650,[0]!MUNICIPIO1,$B$647)</f>
        <v>0</v>
      </c>
      <c r="Q650" s="16">
        <f>SUMIFS([0]!VOTOS2,[0]!TURNO1,Q$31,[0]!CANDIDATO1,$C650,[0]!MUNICIPIO1,$B$647)</f>
        <v>0</v>
      </c>
      <c r="R650" s="16">
        <f>SUMIFS([0]!VOTOS2,[0]!TURNO1,R$31,[0]!CANDIDATO1,$C650,[0]!MUNICIPIO1,$B$647)</f>
        <v>0</v>
      </c>
      <c r="S650" s="16">
        <f>SUMIFS([0]!VOTOS2,[0]!TURNO1,S$31,[0]!CANDIDATO1,$C650,[0]!MUNICIPIO1,$B$647)</f>
        <v>0</v>
      </c>
      <c r="T650" s="16">
        <f>SUMIFS([0]!VOTOS2,[0]!TURNO1,T$31,[0]!CANDIDATO1,$C650,[0]!MUNICIPIO1,$B$647)</f>
        <v>0</v>
      </c>
      <c r="U650" s="16">
        <f>SUMIFS([0]!VOTOS2,[0]!TURNO1,U$31,[0]!CANDIDATO1,$C650,[0]!MUNICIPIO1,$B$647)</f>
        <v>0</v>
      </c>
      <c r="V650" s="16">
        <f>SUMIFS([0]!VOTOS2,[0]!TURNO1,V$31,[0]!CANDIDATO1,$C650,[0]!MUNICIPIO1,$B$647)</f>
        <v>0</v>
      </c>
      <c r="W650" s="16">
        <f>SUMIFS([0]!VOTOS2,[0]!TURNO1,W$31,[0]!CANDIDATO1,$C650,[0]!MUNICIPIO1,$B$647)</f>
        <v>0</v>
      </c>
      <c r="X650" s="24"/>
      <c r="Y650" s="18" t="str">
        <f t="shared" si="1528"/>
        <v>PIEL JOSE PINTO</v>
      </c>
      <c r="Z650" s="34">
        <f t="shared" si="1529"/>
        <v>10</v>
      </c>
      <c r="AA650" s="34">
        <f t="shared" si="1530"/>
        <v>0</v>
      </c>
      <c r="AB650" s="34">
        <f t="shared" ref="AB650:AR650" si="1539">IF(SUM(G647:G659)=0,NA(),G650+AA650)</f>
        <v>1</v>
      </c>
      <c r="AC650" s="34">
        <f t="shared" si="1539"/>
        <v>1</v>
      </c>
      <c r="AD650" s="34">
        <f t="shared" si="1539"/>
        <v>1</v>
      </c>
      <c r="AE650" s="34">
        <f t="shared" si="1539"/>
        <v>1</v>
      </c>
      <c r="AF650" s="34">
        <f t="shared" si="1539"/>
        <v>8</v>
      </c>
      <c r="AG650" s="34">
        <f t="shared" si="1539"/>
        <v>10</v>
      </c>
      <c r="AH650" s="34">
        <f t="shared" si="1539"/>
        <v>10</v>
      </c>
      <c r="AI650" s="34">
        <f t="shared" si="1539"/>
        <v>10</v>
      </c>
      <c r="AJ650" s="34">
        <f t="shared" si="1539"/>
        <v>10</v>
      </c>
      <c r="AK650" s="34" t="e">
        <f t="shared" si="1539"/>
        <v>#N/A</v>
      </c>
      <c r="AL650" s="34" t="e">
        <f t="shared" si="1539"/>
        <v>#N/A</v>
      </c>
      <c r="AM650" s="34" t="e">
        <f t="shared" si="1539"/>
        <v>#N/A</v>
      </c>
      <c r="AN650" s="34" t="e">
        <f t="shared" si="1539"/>
        <v>#N/A</v>
      </c>
      <c r="AO650" s="34" t="e">
        <f t="shared" si="1539"/>
        <v>#N/A</v>
      </c>
      <c r="AP650" s="34" t="e">
        <f t="shared" si="1539"/>
        <v>#N/A</v>
      </c>
      <c r="AQ650" s="34" t="e">
        <f t="shared" si="1539"/>
        <v>#N/A</v>
      </c>
      <c r="AR650" s="34" t="e">
        <f t="shared" si="1539"/>
        <v>#N/A</v>
      </c>
      <c r="AS650" s="27"/>
      <c r="AT650" s="39"/>
      <c r="AU650" s="39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30"/>
    </row>
    <row r="651" spans="1:66" ht="11.25" customHeight="1" x14ac:dyDescent="0.2">
      <c r="A651" s="38" t="s">
        <v>51</v>
      </c>
      <c r="B651" s="73"/>
      <c r="C651" s="33">
        <v>5</v>
      </c>
      <c r="D651" s="13" t="s">
        <v>430</v>
      </c>
      <c r="E651" s="16">
        <f t="shared" si="1527"/>
        <v>2</v>
      </c>
      <c r="F651" s="16">
        <f>SUMIFS([0]!VOTOS2,[0]!TURNO1,F$31,[0]!CANDIDATO1,$C651,[0]!MUNICIPIO1,$B$647)</f>
        <v>0</v>
      </c>
      <c r="G651" s="16">
        <f>SUMIFS([0]!VOTOS2,[0]!TURNO1,G$31,[0]!CANDIDATO1,$C651,[0]!MUNICIPIO1,$B$647)</f>
        <v>0</v>
      </c>
      <c r="H651" s="16">
        <f>SUMIFS([0]!VOTOS2,[0]!TURNO1,H$31,[0]!CANDIDATO1,$C651,[0]!MUNICIPIO1,$B$647)</f>
        <v>0</v>
      </c>
      <c r="I651" s="16">
        <f>SUMIFS([0]!VOTOS2,[0]!TURNO1,I$31,[0]!CANDIDATO1,$C651,[0]!MUNICIPIO1,$B$647)</f>
        <v>0</v>
      </c>
      <c r="J651" s="16">
        <f>SUMIFS([0]!VOTOS2,[0]!TURNO1,J$31,[0]!CANDIDATO1,$C651,[0]!MUNICIPIO1,$B$647)</f>
        <v>0</v>
      </c>
      <c r="K651" s="16">
        <f>SUMIFS([0]!VOTOS2,[0]!TURNO1,K$31,[0]!CANDIDATO1,$C651,[0]!MUNICIPIO1,$B$647)</f>
        <v>2</v>
      </c>
      <c r="L651" s="16">
        <f>SUMIFS([0]!VOTOS2,[0]!TURNO1,L$31,[0]!CANDIDATO1,$C651,[0]!MUNICIPIO1,$B$647)</f>
        <v>0</v>
      </c>
      <c r="M651" s="16">
        <f>SUMIFS([0]!VOTOS2,[0]!TURNO1,M$31,[0]!CANDIDATO1,$C651,[0]!MUNICIPIO1,$B$647)</f>
        <v>0</v>
      </c>
      <c r="N651" s="16">
        <f>SUMIFS([0]!VOTOS2,[0]!TURNO1,N$31,[0]!CANDIDATO1,$C651,[0]!MUNICIPIO1,$B$647)</f>
        <v>0</v>
      </c>
      <c r="O651" s="16">
        <f>SUMIFS([0]!VOTOS2,[0]!TURNO1,O$31,[0]!CANDIDATO1,$C651,[0]!MUNICIPIO1,$B$647)</f>
        <v>0</v>
      </c>
      <c r="P651" s="16">
        <f>SUMIFS([0]!VOTOS2,[0]!TURNO1,P$31,[0]!CANDIDATO1,$C651,[0]!MUNICIPIO1,$B$647)</f>
        <v>0</v>
      </c>
      <c r="Q651" s="16">
        <f>SUMIFS([0]!VOTOS2,[0]!TURNO1,Q$31,[0]!CANDIDATO1,$C651,[0]!MUNICIPIO1,$B$647)</f>
        <v>0</v>
      </c>
      <c r="R651" s="16">
        <f>SUMIFS([0]!VOTOS2,[0]!TURNO1,R$31,[0]!CANDIDATO1,$C651,[0]!MUNICIPIO1,$B$647)</f>
        <v>0</v>
      </c>
      <c r="S651" s="16">
        <f>SUMIFS([0]!VOTOS2,[0]!TURNO1,S$31,[0]!CANDIDATO1,$C651,[0]!MUNICIPIO1,$B$647)</f>
        <v>0</v>
      </c>
      <c r="T651" s="16">
        <f>SUMIFS([0]!VOTOS2,[0]!TURNO1,T$31,[0]!CANDIDATO1,$C651,[0]!MUNICIPIO1,$B$647)</f>
        <v>0</v>
      </c>
      <c r="U651" s="16">
        <f>SUMIFS([0]!VOTOS2,[0]!TURNO1,U$31,[0]!CANDIDATO1,$C651,[0]!MUNICIPIO1,$B$647)</f>
        <v>0</v>
      </c>
      <c r="V651" s="16">
        <f>SUMIFS([0]!VOTOS2,[0]!TURNO1,V$31,[0]!CANDIDATO1,$C651,[0]!MUNICIPIO1,$B$647)</f>
        <v>0</v>
      </c>
      <c r="W651" s="16">
        <f>SUMIFS([0]!VOTOS2,[0]!TURNO1,W$31,[0]!CANDIDATO1,$C651,[0]!MUNICIPIO1,$B$647)</f>
        <v>0</v>
      </c>
      <c r="X651" s="24"/>
      <c r="Y651" s="18" t="str">
        <f t="shared" si="1528"/>
        <v>JOANDRY BLANCO</v>
      </c>
      <c r="Z651" s="34">
        <f t="shared" si="1529"/>
        <v>2</v>
      </c>
      <c r="AA651" s="34">
        <f t="shared" si="1530"/>
        <v>0</v>
      </c>
      <c r="AB651" s="34">
        <f t="shared" ref="AB651:AR651" si="1540">IF(SUM(G647:G659)=0,NA(),G651+AA651)</f>
        <v>0</v>
      </c>
      <c r="AC651" s="34">
        <f t="shared" si="1540"/>
        <v>0</v>
      </c>
      <c r="AD651" s="34">
        <f t="shared" si="1540"/>
        <v>0</v>
      </c>
      <c r="AE651" s="34">
        <f t="shared" si="1540"/>
        <v>0</v>
      </c>
      <c r="AF651" s="34">
        <f t="shared" si="1540"/>
        <v>2</v>
      </c>
      <c r="AG651" s="34">
        <f t="shared" si="1540"/>
        <v>2</v>
      </c>
      <c r="AH651" s="34">
        <f t="shared" si="1540"/>
        <v>2</v>
      </c>
      <c r="AI651" s="34">
        <f t="shared" si="1540"/>
        <v>2</v>
      </c>
      <c r="AJ651" s="34">
        <f t="shared" si="1540"/>
        <v>2</v>
      </c>
      <c r="AK651" s="34" t="e">
        <f t="shared" si="1540"/>
        <v>#N/A</v>
      </c>
      <c r="AL651" s="34" t="e">
        <f t="shared" si="1540"/>
        <v>#N/A</v>
      </c>
      <c r="AM651" s="34" t="e">
        <f t="shared" si="1540"/>
        <v>#N/A</v>
      </c>
      <c r="AN651" s="34" t="e">
        <f t="shared" si="1540"/>
        <v>#N/A</v>
      </c>
      <c r="AO651" s="34" t="e">
        <f t="shared" si="1540"/>
        <v>#N/A</v>
      </c>
      <c r="AP651" s="34" t="e">
        <f t="shared" si="1540"/>
        <v>#N/A</v>
      </c>
      <c r="AQ651" s="34" t="e">
        <f t="shared" si="1540"/>
        <v>#N/A</v>
      </c>
      <c r="AR651" s="34" t="e">
        <f t="shared" si="1540"/>
        <v>#N/A</v>
      </c>
      <c r="AS651" s="27"/>
      <c r="AT651" s="39"/>
      <c r="AU651" s="39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30"/>
    </row>
    <row r="652" spans="1:66" ht="11.25" customHeight="1" x14ac:dyDescent="0.2">
      <c r="A652" s="37"/>
      <c r="B652" s="73"/>
      <c r="C652" s="33">
        <v>6</v>
      </c>
      <c r="D652" s="13" t="s">
        <v>431</v>
      </c>
      <c r="E652" s="16">
        <f t="shared" si="1527"/>
        <v>0</v>
      </c>
      <c r="F652" s="16">
        <f>SUMIFS([0]!VOTOS2,[0]!TURNO1,F$31,[0]!CANDIDATO1,$C652,[0]!MUNICIPIO1,$B$647)</f>
        <v>0</v>
      </c>
      <c r="G652" s="16">
        <f>SUMIFS([0]!VOTOS2,[0]!TURNO1,G$31,[0]!CANDIDATO1,$C652,[0]!MUNICIPIO1,$B$647)</f>
        <v>0</v>
      </c>
      <c r="H652" s="16">
        <f>SUMIFS([0]!VOTOS2,[0]!TURNO1,H$31,[0]!CANDIDATO1,$C652,[0]!MUNICIPIO1,$B$647)</f>
        <v>0</v>
      </c>
      <c r="I652" s="16">
        <f>SUMIFS([0]!VOTOS2,[0]!TURNO1,I$31,[0]!CANDIDATO1,$C652,[0]!MUNICIPIO1,$B$647)</f>
        <v>0</v>
      </c>
      <c r="J652" s="16">
        <f>SUMIFS([0]!VOTOS2,[0]!TURNO1,J$31,[0]!CANDIDATO1,$C652,[0]!MUNICIPIO1,$B$647)</f>
        <v>0</v>
      </c>
      <c r="K652" s="16">
        <f>SUMIFS([0]!VOTOS2,[0]!TURNO1,K$31,[0]!CANDIDATO1,$C652,[0]!MUNICIPIO1,$B$647)</f>
        <v>0</v>
      </c>
      <c r="L652" s="16">
        <f>SUMIFS([0]!VOTOS2,[0]!TURNO1,L$31,[0]!CANDIDATO1,$C652,[0]!MUNICIPIO1,$B$647)</f>
        <v>0</v>
      </c>
      <c r="M652" s="16">
        <f>SUMIFS([0]!VOTOS2,[0]!TURNO1,M$31,[0]!CANDIDATO1,$C652,[0]!MUNICIPIO1,$B$647)</f>
        <v>0</v>
      </c>
      <c r="N652" s="16">
        <f>SUMIFS([0]!VOTOS2,[0]!TURNO1,N$31,[0]!CANDIDATO1,$C652,[0]!MUNICIPIO1,$B$647)</f>
        <v>0</v>
      </c>
      <c r="O652" s="16">
        <f>SUMIFS([0]!VOTOS2,[0]!TURNO1,O$31,[0]!CANDIDATO1,$C652,[0]!MUNICIPIO1,$B$647)</f>
        <v>0</v>
      </c>
      <c r="P652" s="16">
        <f>SUMIFS([0]!VOTOS2,[0]!TURNO1,P$31,[0]!CANDIDATO1,$C652,[0]!MUNICIPIO1,$B$647)</f>
        <v>0</v>
      </c>
      <c r="Q652" s="16">
        <f>SUMIFS([0]!VOTOS2,[0]!TURNO1,Q$31,[0]!CANDIDATO1,$C652,[0]!MUNICIPIO1,$B$647)</f>
        <v>0</v>
      </c>
      <c r="R652" s="16">
        <f>SUMIFS([0]!VOTOS2,[0]!TURNO1,R$31,[0]!CANDIDATO1,$C652,[0]!MUNICIPIO1,$B$647)</f>
        <v>0</v>
      </c>
      <c r="S652" s="16">
        <f>SUMIFS([0]!VOTOS2,[0]!TURNO1,S$31,[0]!CANDIDATO1,$C652,[0]!MUNICIPIO1,$B$647)</f>
        <v>0</v>
      </c>
      <c r="T652" s="16">
        <f>SUMIFS([0]!VOTOS2,[0]!TURNO1,T$31,[0]!CANDIDATO1,$C652,[0]!MUNICIPIO1,$B$647)</f>
        <v>0</v>
      </c>
      <c r="U652" s="16">
        <f>SUMIFS([0]!VOTOS2,[0]!TURNO1,U$31,[0]!CANDIDATO1,$C652,[0]!MUNICIPIO1,$B$647)</f>
        <v>0</v>
      </c>
      <c r="V652" s="16">
        <f>SUMIFS([0]!VOTOS2,[0]!TURNO1,V$31,[0]!CANDIDATO1,$C652,[0]!MUNICIPIO1,$B$647)</f>
        <v>0</v>
      </c>
      <c r="W652" s="16">
        <f>SUMIFS([0]!VOTOS2,[0]!TURNO1,W$31,[0]!CANDIDATO1,$C652,[0]!MUNICIPIO1,$B$647)</f>
        <v>0</v>
      </c>
      <c r="X652" s="24"/>
      <c r="Y652" s="18" t="str">
        <f t="shared" si="1528"/>
        <v>ANTHONY MARQUINA</v>
      </c>
      <c r="Z652" s="34">
        <f t="shared" si="1529"/>
        <v>0</v>
      </c>
      <c r="AA652" s="34">
        <f t="shared" si="1530"/>
        <v>0</v>
      </c>
      <c r="AB652" s="34">
        <f t="shared" ref="AB652:AR652" si="1541">IF(SUM(G647:G659)=0,NA(),G652+AA652)</f>
        <v>0</v>
      </c>
      <c r="AC652" s="34">
        <f t="shared" si="1541"/>
        <v>0</v>
      </c>
      <c r="AD652" s="34">
        <f t="shared" si="1541"/>
        <v>0</v>
      </c>
      <c r="AE652" s="34">
        <f t="shared" si="1541"/>
        <v>0</v>
      </c>
      <c r="AF652" s="34">
        <f t="shared" si="1541"/>
        <v>0</v>
      </c>
      <c r="AG652" s="34">
        <f t="shared" si="1541"/>
        <v>0</v>
      </c>
      <c r="AH652" s="34">
        <f t="shared" si="1541"/>
        <v>0</v>
      </c>
      <c r="AI652" s="34">
        <f t="shared" si="1541"/>
        <v>0</v>
      </c>
      <c r="AJ652" s="34">
        <f t="shared" si="1541"/>
        <v>0</v>
      </c>
      <c r="AK652" s="34" t="e">
        <f t="shared" si="1541"/>
        <v>#N/A</v>
      </c>
      <c r="AL652" s="34" t="e">
        <f t="shared" si="1541"/>
        <v>#N/A</v>
      </c>
      <c r="AM652" s="34" t="e">
        <f t="shared" si="1541"/>
        <v>#N/A</v>
      </c>
      <c r="AN652" s="34" t="e">
        <f t="shared" si="1541"/>
        <v>#N/A</v>
      </c>
      <c r="AO652" s="34" t="e">
        <f t="shared" si="1541"/>
        <v>#N/A</v>
      </c>
      <c r="AP652" s="34" t="e">
        <f t="shared" si="1541"/>
        <v>#N/A</v>
      </c>
      <c r="AQ652" s="34" t="e">
        <f t="shared" si="1541"/>
        <v>#N/A</v>
      </c>
      <c r="AR652" s="34" t="e">
        <f t="shared" si="1541"/>
        <v>#N/A</v>
      </c>
      <c r="AS652" s="27"/>
      <c r="AT652" s="39"/>
      <c r="AU652" s="39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30"/>
    </row>
    <row r="653" spans="1:66" ht="11.25" customHeight="1" x14ac:dyDescent="0.2">
      <c r="A653" s="37"/>
      <c r="B653" s="73"/>
      <c r="C653" s="33">
        <v>7</v>
      </c>
      <c r="D653" s="13" t="s">
        <v>432</v>
      </c>
      <c r="E653" s="16">
        <f t="shared" si="1527"/>
        <v>0</v>
      </c>
      <c r="F653" s="16">
        <f>SUMIFS([0]!VOTOS2,[0]!TURNO1,F$31,[0]!CANDIDATO1,$C653,[0]!MUNICIPIO1,$B$647)</f>
        <v>0</v>
      </c>
      <c r="G653" s="16">
        <f>SUMIFS([0]!VOTOS2,[0]!TURNO1,G$31,[0]!CANDIDATO1,$C653,[0]!MUNICIPIO1,$B$647)</f>
        <v>0</v>
      </c>
      <c r="H653" s="16">
        <f>SUMIFS([0]!VOTOS2,[0]!TURNO1,H$31,[0]!CANDIDATO1,$C653,[0]!MUNICIPIO1,$B$647)</f>
        <v>0</v>
      </c>
      <c r="I653" s="16">
        <f>SUMIFS([0]!VOTOS2,[0]!TURNO1,I$31,[0]!CANDIDATO1,$C653,[0]!MUNICIPIO1,$B$647)</f>
        <v>0</v>
      </c>
      <c r="J653" s="16">
        <f>SUMIFS([0]!VOTOS2,[0]!TURNO1,J$31,[0]!CANDIDATO1,$C653,[0]!MUNICIPIO1,$B$647)</f>
        <v>0</v>
      </c>
      <c r="K653" s="16">
        <f>SUMIFS([0]!VOTOS2,[0]!TURNO1,K$31,[0]!CANDIDATO1,$C653,[0]!MUNICIPIO1,$B$647)</f>
        <v>0</v>
      </c>
      <c r="L653" s="16">
        <f>SUMIFS([0]!VOTOS2,[0]!TURNO1,L$31,[0]!CANDIDATO1,$C653,[0]!MUNICIPIO1,$B$647)</f>
        <v>0</v>
      </c>
      <c r="M653" s="16">
        <f>SUMIFS([0]!VOTOS2,[0]!TURNO1,M$31,[0]!CANDIDATO1,$C653,[0]!MUNICIPIO1,$B$647)</f>
        <v>0</v>
      </c>
      <c r="N653" s="16">
        <f>SUMIFS([0]!VOTOS2,[0]!TURNO1,N$31,[0]!CANDIDATO1,$C653,[0]!MUNICIPIO1,$B$647)</f>
        <v>0</v>
      </c>
      <c r="O653" s="16">
        <f>SUMIFS([0]!VOTOS2,[0]!TURNO1,O$31,[0]!CANDIDATO1,$C653,[0]!MUNICIPIO1,$B$647)</f>
        <v>0</v>
      </c>
      <c r="P653" s="16">
        <f>SUMIFS([0]!VOTOS2,[0]!TURNO1,P$31,[0]!CANDIDATO1,$C653,[0]!MUNICIPIO1,$B$647)</f>
        <v>0</v>
      </c>
      <c r="Q653" s="16">
        <f>SUMIFS([0]!VOTOS2,[0]!TURNO1,Q$31,[0]!CANDIDATO1,$C653,[0]!MUNICIPIO1,$B$647)</f>
        <v>0</v>
      </c>
      <c r="R653" s="16">
        <f>SUMIFS([0]!VOTOS2,[0]!TURNO1,R$31,[0]!CANDIDATO1,$C653,[0]!MUNICIPIO1,$B$647)</f>
        <v>0</v>
      </c>
      <c r="S653" s="16">
        <f>SUMIFS([0]!VOTOS2,[0]!TURNO1,S$31,[0]!CANDIDATO1,$C653,[0]!MUNICIPIO1,$B$647)</f>
        <v>0</v>
      </c>
      <c r="T653" s="16">
        <f>SUMIFS([0]!VOTOS2,[0]!TURNO1,T$31,[0]!CANDIDATO1,$C653,[0]!MUNICIPIO1,$B$647)</f>
        <v>0</v>
      </c>
      <c r="U653" s="16">
        <f>SUMIFS([0]!VOTOS2,[0]!TURNO1,U$31,[0]!CANDIDATO1,$C653,[0]!MUNICIPIO1,$B$647)</f>
        <v>0</v>
      </c>
      <c r="V653" s="16">
        <f>SUMIFS([0]!VOTOS2,[0]!TURNO1,V$31,[0]!CANDIDATO1,$C653,[0]!MUNICIPIO1,$B$647)</f>
        <v>0</v>
      </c>
      <c r="W653" s="16">
        <f>SUMIFS([0]!VOTOS2,[0]!TURNO1,W$31,[0]!CANDIDATO1,$C653,[0]!MUNICIPIO1,$B$647)</f>
        <v>0</v>
      </c>
      <c r="X653" s="24"/>
      <c r="Y653" s="18" t="str">
        <f t="shared" si="1528"/>
        <v>RUSVEL GUTIERREZ</v>
      </c>
      <c r="Z653" s="34">
        <f t="shared" si="1529"/>
        <v>0</v>
      </c>
      <c r="AA653" s="34">
        <f t="shared" si="1530"/>
        <v>0</v>
      </c>
      <c r="AB653" s="34">
        <f t="shared" ref="AB653:AR653" si="1542">IF(SUM(G647:G659)=0,NA(),G653+AA653)</f>
        <v>0</v>
      </c>
      <c r="AC653" s="34">
        <f t="shared" si="1542"/>
        <v>0</v>
      </c>
      <c r="AD653" s="34">
        <f t="shared" si="1542"/>
        <v>0</v>
      </c>
      <c r="AE653" s="34">
        <f t="shared" si="1542"/>
        <v>0</v>
      </c>
      <c r="AF653" s="34">
        <f t="shared" si="1542"/>
        <v>0</v>
      </c>
      <c r="AG653" s="34">
        <f t="shared" si="1542"/>
        <v>0</v>
      </c>
      <c r="AH653" s="34">
        <f t="shared" si="1542"/>
        <v>0</v>
      </c>
      <c r="AI653" s="34">
        <f t="shared" si="1542"/>
        <v>0</v>
      </c>
      <c r="AJ653" s="34">
        <f t="shared" si="1542"/>
        <v>0</v>
      </c>
      <c r="AK653" s="34" t="e">
        <f t="shared" si="1542"/>
        <v>#N/A</v>
      </c>
      <c r="AL653" s="34" t="e">
        <f t="shared" si="1542"/>
        <v>#N/A</v>
      </c>
      <c r="AM653" s="34" t="e">
        <f t="shared" si="1542"/>
        <v>#N/A</v>
      </c>
      <c r="AN653" s="34" t="e">
        <f t="shared" si="1542"/>
        <v>#N/A</v>
      </c>
      <c r="AO653" s="34" t="e">
        <f t="shared" si="1542"/>
        <v>#N/A</v>
      </c>
      <c r="AP653" s="34" t="e">
        <f t="shared" si="1542"/>
        <v>#N/A</v>
      </c>
      <c r="AQ653" s="34" t="e">
        <f t="shared" si="1542"/>
        <v>#N/A</v>
      </c>
      <c r="AR653" s="34" t="e">
        <f t="shared" si="1542"/>
        <v>#N/A</v>
      </c>
      <c r="AS653" s="27"/>
      <c r="AT653" s="39"/>
      <c r="AU653" s="39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30"/>
    </row>
    <row r="654" spans="1:66" ht="11.25" customHeight="1" x14ac:dyDescent="0.2">
      <c r="A654" s="42"/>
      <c r="B654" s="74"/>
      <c r="C654" s="33">
        <v>8</v>
      </c>
      <c r="D654" s="13" t="s">
        <v>433</v>
      </c>
      <c r="E654" s="16">
        <f t="shared" si="1527"/>
        <v>17</v>
      </c>
      <c r="F654" s="16">
        <f>SUMIFS([0]!VOTOS2,[0]!TURNO1,F$31,[0]!CANDIDATO1,$C654,[0]!MUNICIPIO1,$B$647)</f>
        <v>0</v>
      </c>
      <c r="G654" s="16">
        <f>SUMIFS([0]!VOTOS2,[0]!TURNO1,G$31,[0]!CANDIDATO1,$C654,[0]!MUNICIPIO1,$B$647)</f>
        <v>2</v>
      </c>
      <c r="H654" s="16">
        <f>SUMIFS([0]!VOTOS2,[0]!TURNO1,H$31,[0]!CANDIDATO1,$C654,[0]!MUNICIPIO1,$B$647)</f>
        <v>0</v>
      </c>
      <c r="I654" s="16">
        <f>SUMIFS([0]!VOTOS2,[0]!TURNO1,I$31,[0]!CANDIDATO1,$C654,[0]!MUNICIPIO1,$B$647)</f>
        <v>0</v>
      </c>
      <c r="J654" s="16">
        <f>SUMIFS([0]!VOTOS2,[0]!TURNO1,J$31,[0]!CANDIDATO1,$C654,[0]!MUNICIPIO1,$B$647)</f>
        <v>1</v>
      </c>
      <c r="K654" s="16">
        <f>SUMIFS([0]!VOTOS2,[0]!TURNO1,K$31,[0]!CANDIDATO1,$C654,[0]!MUNICIPIO1,$B$647)</f>
        <v>1</v>
      </c>
      <c r="L654" s="16">
        <f>SUMIFS([0]!VOTOS2,[0]!TURNO1,L$31,[0]!CANDIDATO1,$C654,[0]!MUNICIPIO1,$B$647)</f>
        <v>1</v>
      </c>
      <c r="M654" s="16">
        <f>SUMIFS([0]!VOTOS2,[0]!TURNO1,M$31,[0]!CANDIDATO1,$C654,[0]!MUNICIPIO1,$B$647)</f>
        <v>9</v>
      </c>
      <c r="N654" s="16">
        <f>SUMIFS([0]!VOTOS2,[0]!TURNO1,N$31,[0]!CANDIDATO1,$C654,[0]!MUNICIPIO1,$B$647)</f>
        <v>3</v>
      </c>
      <c r="O654" s="16">
        <f>SUMIFS([0]!VOTOS2,[0]!TURNO1,O$31,[0]!CANDIDATO1,$C654,[0]!MUNICIPIO1,$B$647)</f>
        <v>0</v>
      </c>
      <c r="P654" s="16">
        <f>SUMIFS([0]!VOTOS2,[0]!TURNO1,P$31,[0]!CANDIDATO1,$C654,[0]!MUNICIPIO1,$B$647)</f>
        <v>0</v>
      </c>
      <c r="Q654" s="16">
        <f>SUMIFS([0]!VOTOS2,[0]!TURNO1,Q$31,[0]!CANDIDATO1,$C654,[0]!MUNICIPIO1,$B$647)</f>
        <v>0</v>
      </c>
      <c r="R654" s="16">
        <f>SUMIFS([0]!VOTOS2,[0]!TURNO1,R$31,[0]!CANDIDATO1,$C654,[0]!MUNICIPIO1,$B$647)</f>
        <v>0</v>
      </c>
      <c r="S654" s="16">
        <f>SUMIFS([0]!VOTOS2,[0]!TURNO1,S$31,[0]!CANDIDATO1,$C654,[0]!MUNICIPIO1,$B$647)</f>
        <v>0</v>
      </c>
      <c r="T654" s="16">
        <f>SUMIFS([0]!VOTOS2,[0]!TURNO1,T$31,[0]!CANDIDATO1,$C654,[0]!MUNICIPIO1,$B$647)</f>
        <v>0</v>
      </c>
      <c r="U654" s="16">
        <f>SUMIFS([0]!VOTOS2,[0]!TURNO1,U$31,[0]!CANDIDATO1,$C654,[0]!MUNICIPIO1,$B$647)</f>
        <v>0</v>
      </c>
      <c r="V654" s="16">
        <f>SUMIFS([0]!VOTOS2,[0]!TURNO1,V$31,[0]!CANDIDATO1,$C654,[0]!MUNICIPIO1,$B$647)</f>
        <v>0</v>
      </c>
      <c r="W654" s="16">
        <f>SUMIFS([0]!VOTOS2,[0]!TURNO1,W$31,[0]!CANDIDATO1,$C654,[0]!MUNICIPIO1,$B$647)</f>
        <v>0</v>
      </c>
      <c r="X654" s="24"/>
      <c r="Y654" s="18" t="str">
        <f t="shared" si="1528"/>
        <v>EBERTS CAMACHO</v>
      </c>
      <c r="Z654" s="34">
        <f t="shared" si="1529"/>
        <v>17</v>
      </c>
      <c r="AA654" s="34">
        <f t="shared" si="1530"/>
        <v>0</v>
      </c>
      <c r="AB654" s="34">
        <f t="shared" ref="AB654:AR654" si="1543">IF(SUM(G647:G659)=0,NA(),G654+AA654)</f>
        <v>2</v>
      </c>
      <c r="AC654" s="34">
        <f t="shared" si="1543"/>
        <v>2</v>
      </c>
      <c r="AD654" s="34">
        <f t="shared" si="1543"/>
        <v>2</v>
      </c>
      <c r="AE654" s="34">
        <f t="shared" si="1543"/>
        <v>3</v>
      </c>
      <c r="AF654" s="34">
        <f t="shared" si="1543"/>
        <v>4</v>
      </c>
      <c r="AG654" s="34">
        <f t="shared" si="1543"/>
        <v>5</v>
      </c>
      <c r="AH654" s="34">
        <f t="shared" si="1543"/>
        <v>14</v>
      </c>
      <c r="AI654" s="34">
        <f t="shared" si="1543"/>
        <v>17</v>
      </c>
      <c r="AJ654" s="34">
        <f t="shared" si="1543"/>
        <v>17</v>
      </c>
      <c r="AK654" s="34" t="e">
        <f t="shared" si="1543"/>
        <v>#N/A</v>
      </c>
      <c r="AL654" s="34" t="e">
        <f t="shared" si="1543"/>
        <v>#N/A</v>
      </c>
      <c r="AM654" s="34" t="e">
        <f t="shared" si="1543"/>
        <v>#N/A</v>
      </c>
      <c r="AN654" s="34" t="e">
        <f t="shared" si="1543"/>
        <v>#N/A</v>
      </c>
      <c r="AO654" s="34" t="e">
        <f t="shared" si="1543"/>
        <v>#N/A</v>
      </c>
      <c r="AP654" s="34" t="e">
        <f t="shared" si="1543"/>
        <v>#N/A</v>
      </c>
      <c r="AQ654" s="34" t="e">
        <f t="shared" si="1543"/>
        <v>#N/A</v>
      </c>
      <c r="AR654" s="34" t="e">
        <f t="shared" si="1543"/>
        <v>#N/A</v>
      </c>
      <c r="AS654" s="27"/>
      <c r="AT654" s="41"/>
      <c r="AU654" s="41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30"/>
    </row>
    <row r="655" spans="1:66" ht="11.25" customHeight="1" x14ac:dyDescent="0.2">
      <c r="A655" s="44"/>
      <c r="B655" s="45"/>
      <c r="C655" s="46">
        <v>9</v>
      </c>
      <c r="D655" s="14" t="s">
        <v>76</v>
      </c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24"/>
      <c r="Y655" s="18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27"/>
      <c r="AT655" s="41"/>
      <c r="AU655" s="41"/>
      <c r="AV655" s="43"/>
      <c r="AW655" s="43"/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30"/>
    </row>
    <row r="656" spans="1:66" ht="11.25" customHeight="1" x14ac:dyDescent="0.2">
      <c r="A656" s="44"/>
      <c r="B656" s="45"/>
      <c r="C656" s="46">
        <v>10</v>
      </c>
      <c r="D656" s="14" t="s">
        <v>76</v>
      </c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24"/>
      <c r="Y656" s="18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27"/>
      <c r="AT656" s="41"/>
      <c r="AU656" s="41"/>
      <c r="AV656" s="43"/>
      <c r="AW656" s="43"/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/>
      <c r="BK656" s="43"/>
      <c r="BL656" s="43"/>
      <c r="BM656" s="43"/>
      <c r="BN656" s="30"/>
    </row>
    <row r="657" spans="1:66" ht="11.25" customHeight="1" x14ac:dyDescent="0.2">
      <c r="A657" s="44"/>
      <c r="B657" s="45"/>
      <c r="C657" s="46">
        <v>11</v>
      </c>
      <c r="D657" s="14" t="s">
        <v>76</v>
      </c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24"/>
      <c r="Y657" s="18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27"/>
      <c r="AT657" s="41"/>
      <c r="AU657" s="41"/>
      <c r="AV657" s="43"/>
      <c r="AW657" s="43"/>
      <c r="AX657" s="43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30"/>
    </row>
    <row r="658" spans="1:66" ht="11.25" customHeight="1" x14ac:dyDescent="0.2">
      <c r="A658" s="44"/>
      <c r="B658" s="45"/>
      <c r="C658" s="46">
        <v>12</v>
      </c>
      <c r="D658" s="14" t="s">
        <v>76</v>
      </c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24"/>
      <c r="Y658" s="18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27"/>
      <c r="AT658" s="41"/>
      <c r="AU658" s="41"/>
      <c r="AV658" s="43"/>
      <c r="AW658" s="43"/>
      <c r="AX658" s="43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  <c r="BL658" s="43"/>
      <c r="BM658" s="43"/>
      <c r="BN658" s="30"/>
    </row>
    <row r="659" spans="1:66" ht="11.25" customHeight="1" x14ac:dyDescent="0.2">
      <c r="A659" s="44"/>
      <c r="B659" s="45"/>
      <c r="C659" s="46">
        <v>13</v>
      </c>
      <c r="D659" s="14" t="s">
        <v>76</v>
      </c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24"/>
      <c r="Y659" s="18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27"/>
      <c r="AT659" s="41"/>
      <c r="AU659" s="41"/>
      <c r="AV659" s="43"/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  <c r="BL659" s="43"/>
      <c r="BM659" s="43"/>
      <c r="BN659" s="30"/>
    </row>
    <row r="660" spans="1:66" ht="11.25" customHeight="1" x14ac:dyDescent="0.2">
      <c r="X660" s="24"/>
      <c r="Y660" s="19" t="s">
        <v>79</v>
      </c>
      <c r="Z660" s="34">
        <f t="shared" ref="Z660" si="1544">SUM(Z649:Z659)</f>
        <v>32</v>
      </c>
      <c r="AA660" s="34">
        <f t="shared" ref="AA660" si="1545">SUM(AA649:AA659)</f>
        <v>0</v>
      </c>
      <c r="AB660" s="34">
        <f t="shared" ref="AB660" si="1546">SUM(AB649:AB659)</f>
        <v>3</v>
      </c>
      <c r="AC660" s="34">
        <f t="shared" ref="AC660" si="1547">SUM(AC649:AC659)</f>
        <v>3</v>
      </c>
      <c r="AD660" s="34">
        <f t="shared" ref="AD660" si="1548">SUM(AD649:AD659)</f>
        <v>3</v>
      </c>
      <c r="AE660" s="34">
        <f t="shared" ref="AE660" si="1549">SUM(AE649:AE659)</f>
        <v>4</v>
      </c>
      <c r="AF660" s="34">
        <f t="shared" ref="AF660" si="1550">SUM(AF649:AF659)</f>
        <v>15</v>
      </c>
      <c r="AG660" s="34">
        <f t="shared" ref="AG660" si="1551">SUM(AG649:AG659)</f>
        <v>20</v>
      </c>
      <c r="AH660" s="34">
        <f t="shared" ref="AH660" si="1552">SUM(AH649:AH659)</f>
        <v>29</v>
      </c>
      <c r="AI660" s="34">
        <f t="shared" ref="AI660" si="1553">SUM(AI649:AI659)</f>
        <v>32</v>
      </c>
      <c r="AJ660" s="34">
        <f t="shared" ref="AJ660" si="1554">SUM(AJ649:AJ659)</f>
        <v>32</v>
      </c>
      <c r="AK660" s="34" t="e">
        <f t="shared" ref="AK660" si="1555">SUM(AK649:AK659)</f>
        <v>#N/A</v>
      </c>
      <c r="AL660" s="34" t="e">
        <f t="shared" ref="AL660" si="1556">SUM(AL649:AL659)</f>
        <v>#N/A</v>
      </c>
      <c r="AM660" s="34" t="e">
        <f t="shared" ref="AM660" si="1557">SUM(AM649:AM659)</f>
        <v>#N/A</v>
      </c>
      <c r="AN660" s="34" t="e">
        <f t="shared" ref="AN660" si="1558">SUM(AN649:AN659)</f>
        <v>#N/A</v>
      </c>
      <c r="AO660" s="34" t="e">
        <f t="shared" ref="AO660" si="1559">SUM(AO649:AO659)</f>
        <v>#N/A</v>
      </c>
      <c r="AP660" s="34" t="e">
        <f t="shared" ref="AP660" si="1560">SUM(AP649:AP659)</f>
        <v>#N/A</v>
      </c>
      <c r="AQ660" s="34" t="e">
        <f t="shared" ref="AQ660" si="1561">SUM(AQ649:AQ659)</f>
        <v>#N/A</v>
      </c>
      <c r="AR660" s="34" t="e">
        <f t="shared" ref="AR660" si="1562">SUM(AR649:AR659)</f>
        <v>#N/A</v>
      </c>
      <c r="AS660" s="27"/>
      <c r="AT660" s="41"/>
      <c r="AU660" s="41"/>
      <c r="AV660" s="43"/>
      <c r="AW660" s="43"/>
      <c r="AX660" s="43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43"/>
      <c r="BJ660" s="43"/>
      <c r="BK660" s="43"/>
      <c r="BL660" s="43"/>
      <c r="BM660" s="43"/>
      <c r="BN660" s="30"/>
    </row>
    <row r="661" spans="1:66" ht="11.25" customHeight="1" x14ac:dyDescent="0.2">
      <c r="A661" s="75" t="s">
        <v>63</v>
      </c>
      <c r="B661" s="76"/>
      <c r="C661" s="21"/>
      <c r="D661" s="22" t="s">
        <v>75</v>
      </c>
      <c r="E661" s="23" t="s">
        <v>70</v>
      </c>
      <c r="F661" s="23">
        <v>0</v>
      </c>
      <c r="G661" s="23">
        <v>1</v>
      </c>
      <c r="H661" s="23">
        <v>2</v>
      </c>
      <c r="I661" s="23">
        <v>3</v>
      </c>
      <c r="J661" s="23">
        <v>4</v>
      </c>
      <c r="K661" s="23">
        <v>5</v>
      </c>
      <c r="L661" s="23">
        <v>6</v>
      </c>
      <c r="M661" s="23">
        <v>7</v>
      </c>
      <c r="N661" s="23">
        <v>8</v>
      </c>
      <c r="O661" s="23">
        <v>9</v>
      </c>
      <c r="P661" s="23">
        <v>10</v>
      </c>
      <c r="Q661" s="23">
        <v>11</v>
      </c>
      <c r="R661" s="23">
        <v>12</v>
      </c>
      <c r="S661" s="23">
        <v>13</v>
      </c>
      <c r="T661" s="23">
        <v>14</v>
      </c>
      <c r="U661" s="23">
        <v>15</v>
      </c>
      <c r="V661" s="23">
        <v>16</v>
      </c>
      <c r="W661" s="23">
        <v>17</v>
      </c>
      <c r="X661" s="24"/>
      <c r="Y661" s="17"/>
      <c r="Z661" s="25" t="s">
        <v>64</v>
      </c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7"/>
      <c r="AT661" s="28"/>
      <c r="AU661" s="28" t="s">
        <v>64</v>
      </c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30"/>
    </row>
    <row r="662" spans="1:66" ht="11.25" customHeight="1" x14ac:dyDescent="0.2">
      <c r="A662" s="32"/>
      <c r="B662" s="72">
        <v>45</v>
      </c>
      <c r="C662" s="33">
        <v>1</v>
      </c>
      <c r="D662" s="13" t="s">
        <v>434</v>
      </c>
      <c r="E662" s="16">
        <f t="shared" ref="E662:E667" si="1563">SUM(F662:W662)</f>
        <v>574</v>
      </c>
      <c r="F662" s="16">
        <f>SUMIFS([0]!VOTOS2,[0]!TURNO1,F$31,[0]!CANDIDATO1,$C662,[0]!MUNICIPIO1,$B$662)</f>
        <v>8</v>
      </c>
      <c r="G662" s="16">
        <f>SUMIFS([0]!VOTOS2,[0]!TURNO1,G$31,[0]!CANDIDATO1,$C662,[0]!MUNICIPIO1,$B$662)</f>
        <v>63</v>
      </c>
      <c r="H662" s="16">
        <f>SUMIFS([0]!VOTOS2,[0]!TURNO1,H$31,[0]!CANDIDATO1,$C662,[0]!MUNICIPIO1,$B$662)</f>
        <v>99</v>
      </c>
      <c r="I662" s="16">
        <f>SUMIFS([0]!VOTOS2,[0]!TURNO1,I$31,[0]!CANDIDATO1,$C662,[0]!MUNICIPIO1,$B$662)</f>
        <v>78</v>
      </c>
      <c r="J662" s="16">
        <f>SUMIFS([0]!VOTOS2,[0]!TURNO1,J$31,[0]!CANDIDATO1,$C662,[0]!MUNICIPIO1,$B$662)</f>
        <v>95</v>
      </c>
      <c r="K662" s="16">
        <f>SUMIFS([0]!VOTOS2,[0]!TURNO1,K$31,[0]!CANDIDATO1,$C662,[0]!MUNICIPIO1,$B$662)</f>
        <v>68</v>
      </c>
      <c r="L662" s="16">
        <f>SUMIFS([0]!VOTOS2,[0]!TURNO1,L$31,[0]!CANDIDATO1,$C662,[0]!MUNICIPIO1,$B$662)</f>
        <v>39</v>
      </c>
      <c r="M662" s="16">
        <f>SUMIFS([0]!VOTOS2,[0]!TURNO1,M$31,[0]!CANDIDATO1,$C662,[0]!MUNICIPIO1,$B$662)</f>
        <v>52</v>
      </c>
      <c r="N662" s="16">
        <f>SUMIFS([0]!VOTOS2,[0]!TURNO1,N$31,[0]!CANDIDATO1,$C662,[0]!MUNICIPIO1,$B$662)</f>
        <v>43</v>
      </c>
      <c r="O662" s="16">
        <f>SUMIFS([0]!VOTOS2,[0]!TURNO1,O$31,[0]!CANDIDATO1,$C662,[0]!MUNICIPIO1,$B$662)</f>
        <v>29</v>
      </c>
      <c r="P662" s="16">
        <f>SUMIFS([0]!VOTOS2,[0]!TURNO1,P$31,[0]!CANDIDATO1,$C662,[0]!MUNICIPIO1,$B$662)</f>
        <v>0</v>
      </c>
      <c r="Q662" s="16">
        <f>SUMIFS([0]!VOTOS2,[0]!TURNO1,Q$31,[0]!CANDIDATO1,$C662,[0]!MUNICIPIO1,$B$662)</f>
        <v>0</v>
      </c>
      <c r="R662" s="16">
        <f>SUMIFS([0]!VOTOS2,[0]!TURNO1,R$31,[0]!CANDIDATO1,$C662,[0]!MUNICIPIO1,$B$662)</f>
        <v>0</v>
      </c>
      <c r="S662" s="16">
        <f>SUMIFS([0]!VOTOS2,[0]!TURNO1,S$31,[0]!CANDIDATO1,$C662,[0]!MUNICIPIO1,$B$662)</f>
        <v>0</v>
      </c>
      <c r="T662" s="16">
        <f>SUMIFS([0]!VOTOS2,[0]!TURNO1,T$31,[0]!CANDIDATO1,$C662,[0]!MUNICIPIO1,$B$662)</f>
        <v>0</v>
      </c>
      <c r="U662" s="16">
        <f>SUMIFS([0]!VOTOS2,[0]!TURNO1,U$31,[0]!CANDIDATO1,$C662,[0]!MUNICIPIO1,$B$662)</f>
        <v>0</v>
      </c>
      <c r="V662" s="16">
        <f>SUMIFS([0]!VOTOS2,[0]!TURNO1,V$31,[0]!CANDIDATO1,$C662,[0]!MUNICIPIO1,$B$662)</f>
        <v>0</v>
      </c>
      <c r="W662" s="16">
        <f>SUMIFS([0]!VOTOS2,[0]!TURNO1,W$31,[0]!CANDIDATO1,$C662,[0]!MUNICIPIO1,$B$662)</f>
        <v>0</v>
      </c>
      <c r="X662" s="24"/>
      <c r="Y662" s="18" t="str">
        <f t="shared" ref="Y662:Y667" si="1564">D662</f>
        <v>ALEX SANCHEZ</v>
      </c>
      <c r="Z662" s="34">
        <f t="shared" ref="Z662:Z667" si="1565">E662</f>
        <v>574</v>
      </c>
      <c r="AA662" s="34">
        <f t="shared" ref="AA662:AA667" si="1566">F662</f>
        <v>8</v>
      </c>
      <c r="AB662" s="34">
        <f t="shared" ref="AB662:AR662" si="1567">IF(SUM(G662:G674)=0,NA(),G662+AA662)</f>
        <v>71</v>
      </c>
      <c r="AC662" s="34">
        <f t="shared" si="1567"/>
        <v>170</v>
      </c>
      <c r="AD662" s="34">
        <f t="shared" si="1567"/>
        <v>248</v>
      </c>
      <c r="AE662" s="34">
        <f t="shared" si="1567"/>
        <v>343</v>
      </c>
      <c r="AF662" s="34">
        <f t="shared" si="1567"/>
        <v>411</v>
      </c>
      <c r="AG662" s="34">
        <f t="shared" si="1567"/>
        <v>450</v>
      </c>
      <c r="AH662" s="34">
        <f t="shared" si="1567"/>
        <v>502</v>
      </c>
      <c r="AI662" s="34">
        <f t="shared" si="1567"/>
        <v>545</v>
      </c>
      <c r="AJ662" s="34">
        <f t="shared" si="1567"/>
        <v>574</v>
      </c>
      <c r="AK662" s="34" t="e">
        <f t="shared" si="1567"/>
        <v>#N/A</v>
      </c>
      <c r="AL662" s="34" t="e">
        <f t="shared" si="1567"/>
        <v>#N/A</v>
      </c>
      <c r="AM662" s="34" t="e">
        <f t="shared" si="1567"/>
        <v>#N/A</v>
      </c>
      <c r="AN662" s="34" t="e">
        <f t="shared" si="1567"/>
        <v>#N/A</v>
      </c>
      <c r="AO662" s="34" t="e">
        <f t="shared" si="1567"/>
        <v>#N/A</v>
      </c>
      <c r="AP662" s="34" t="e">
        <f t="shared" si="1567"/>
        <v>#N/A</v>
      </c>
      <c r="AQ662" s="34" t="e">
        <f t="shared" si="1567"/>
        <v>#N/A</v>
      </c>
      <c r="AR662" s="34" t="e">
        <f t="shared" si="1567"/>
        <v>#N/A</v>
      </c>
      <c r="AS662" s="27"/>
      <c r="AT662" s="35" t="str">
        <f t="shared" ref="AT662:AT663" si="1568">Y662</f>
        <v>ALEX SANCHEZ</v>
      </c>
      <c r="AU662" s="36">
        <f t="shared" ref="AU662:BM662" si="1569">Z662/(Z662+Z663+Z675)</f>
        <v>0.52468007312614262</v>
      </c>
      <c r="AV662" s="36">
        <f t="shared" si="1569"/>
        <v>0.5</v>
      </c>
      <c r="AW662" s="36">
        <f t="shared" si="1569"/>
        <v>0.53787878787878785</v>
      </c>
      <c r="AX662" s="36">
        <f t="shared" si="1569"/>
        <v>0.6028368794326241</v>
      </c>
      <c r="AY662" s="36">
        <f t="shared" si="1569"/>
        <v>0.57011494252873562</v>
      </c>
      <c r="AZ662" s="36">
        <f t="shared" si="1569"/>
        <v>0.5913793103448276</v>
      </c>
      <c r="BA662" s="36">
        <f t="shared" si="1569"/>
        <v>0.56224350205198359</v>
      </c>
      <c r="BB662" s="36">
        <f t="shared" si="1569"/>
        <v>0.54216867469879515</v>
      </c>
      <c r="BC662" s="36">
        <f t="shared" si="1569"/>
        <v>0.53065539112050741</v>
      </c>
      <c r="BD662" s="36">
        <f t="shared" si="1569"/>
        <v>0.52758954501452082</v>
      </c>
      <c r="BE662" s="36">
        <f t="shared" si="1569"/>
        <v>0.52468007312614262</v>
      </c>
      <c r="BF662" s="36" t="e">
        <f t="shared" si="1569"/>
        <v>#N/A</v>
      </c>
      <c r="BG662" s="36" t="e">
        <f t="shared" si="1569"/>
        <v>#N/A</v>
      </c>
      <c r="BH662" s="36" t="e">
        <f t="shared" si="1569"/>
        <v>#N/A</v>
      </c>
      <c r="BI662" s="36" t="e">
        <f t="shared" si="1569"/>
        <v>#N/A</v>
      </c>
      <c r="BJ662" s="36" t="e">
        <f t="shared" si="1569"/>
        <v>#N/A</v>
      </c>
      <c r="BK662" s="36" t="e">
        <f t="shared" si="1569"/>
        <v>#N/A</v>
      </c>
      <c r="BL662" s="36" t="e">
        <f t="shared" si="1569"/>
        <v>#N/A</v>
      </c>
      <c r="BM662" s="36" t="e">
        <f t="shared" si="1569"/>
        <v>#N/A</v>
      </c>
      <c r="BN662" s="30"/>
    </row>
    <row r="663" spans="1:66" ht="11.25" customHeight="1" x14ac:dyDescent="0.2">
      <c r="A663" s="37"/>
      <c r="B663" s="73"/>
      <c r="C663" s="33">
        <v>2</v>
      </c>
      <c r="D663" s="13" t="s">
        <v>435</v>
      </c>
      <c r="E663" s="16">
        <f t="shared" si="1563"/>
        <v>390</v>
      </c>
      <c r="F663" s="16">
        <f>SUMIFS([0]!VOTOS2,[0]!TURNO1,F$31,[0]!CANDIDATO1,$C663,[0]!MUNICIPIO1,$B$662)</f>
        <v>8</v>
      </c>
      <c r="G663" s="16">
        <f>SUMIFS([0]!VOTOS2,[0]!TURNO1,G$31,[0]!CANDIDATO1,$C663,[0]!MUNICIPIO1,$B$662)</f>
        <v>22</v>
      </c>
      <c r="H663" s="16">
        <f>SUMIFS([0]!VOTOS2,[0]!TURNO1,H$31,[0]!CANDIDATO1,$C663,[0]!MUNICIPIO1,$B$662)</f>
        <v>47</v>
      </c>
      <c r="I663" s="16">
        <f>SUMIFS([0]!VOTOS2,[0]!TURNO1,I$31,[0]!CANDIDATO1,$C663,[0]!MUNICIPIO1,$B$662)</f>
        <v>61</v>
      </c>
      <c r="J663" s="16">
        <f>SUMIFS([0]!VOTOS2,[0]!TURNO1,J$31,[0]!CANDIDATO1,$C663,[0]!MUNICIPIO1,$B$662)</f>
        <v>41</v>
      </c>
      <c r="K663" s="16">
        <f>SUMIFS([0]!VOTOS2,[0]!TURNO1,K$31,[0]!CANDIDATO1,$C663,[0]!MUNICIPIO1,$B$662)</f>
        <v>71</v>
      </c>
      <c r="L663" s="16">
        <f>SUMIFS([0]!VOTOS2,[0]!TURNO1,L$31,[0]!CANDIDATO1,$C663,[0]!MUNICIPIO1,$B$662)</f>
        <v>39</v>
      </c>
      <c r="M663" s="16">
        <f>SUMIFS([0]!VOTOS2,[0]!TURNO1,M$31,[0]!CANDIDATO1,$C663,[0]!MUNICIPIO1,$B$662)</f>
        <v>41</v>
      </c>
      <c r="N663" s="16">
        <f>SUMIFS([0]!VOTOS2,[0]!TURNO1,N$31,[0]!CANDIDATO1,$C663,[0]!MUNICIPIO1,$B$662)</f>
        <v>35</v>
      </c>
      <c r="O663" s="16">
        <f>SUMIFS([0]!VOTOS2,[0]!TURNO1,O$31,[0]!CANDIDATO1,$C663,[0]!MUNICIPIO1,$B$662)</f>
        <v>25</v>
      </c>
      <c r="P663" s="16">
        <f>SUMIFS([0]!VOTOS2,[0]!TURNO1,P$31,[0]!CANDIDATO1,$C663,[0]!MUNICIPIO1,$B$662)</f>
        <v>0</v>
      </c>
      <c r="Q663" s="16">
        <f>SUMIFS([0]!VOTOS2,[0]!TURNO1,Q$31,[0]!CANDIDATO1,$C663,[0]!MUNICIPIO1,$B$662)</f>
        <v>0</v>
      </c>
      <c r="R663" s="16">
        <f>SUMIFS([0]!VOTOS2,[0]!TURNO1,R$31,[0]!CANDIDATO1,$C663,[0]!MUNICIPIO1,$B$662)</f>
        <v>0</v>
      </c>
      <c r="S663" s="16">
        <f>SUMIFS([0]!VOTOS2,[0]!TURNO1,S$31,[0]!CANDIDATO1,$C663,[0]!MUNICIPIO1,$B$662)</f>
        <v>0</v>
      </c>
      <c r="T663" s="16">
        <f>SUMIFS([0]!VOTOS2,[0]!TURNO1,T$31,[0]!CANDIDATO1,$C663,[0]!MUNICIPIO1,$B$662)</f>
        <v>0</v>
      </c>
      <c r="U663" s="16">
        <f>SUMIFS([0]!VOTOS2,[0]!TURNO1,U$31,[0]!CANDIDATO1,$C663,[0]!MUNICIPIO1,$B$662)</f>
        <v>0</v>
      </c>
      <c r="V663" s="16">
        <f>SUMIFS([0]!VOTOS2,[0]!TURNO1,V$31,[0]!CANDIDATO1,$C663,[0]!MUNICIPIO1,$B$662)</f>
        <v>0</v>
      </c>
      <c r="W663" s="16">
        <f>SUMIFS([0]!VOTOS2,[0]!TURNO1,W$31,[0]!CANDIDATO1,$C663,[0]!MUNICIPIO1,$B$662)</f>
        <v>0</v>
      </c>
      <c r="X663" s="24"/>
      <c r="Y663" s="18" t="str">
        <f t="shared" si="1564"/>
        <v>JOSE LA CRUZ REYES</v>
      </c>
      <c r="Z663" s="34">
        <f t="shared" si="1565"/>
        <v>390</v>
      </c>
      <c r="AA663" s="34">
        <f t="shared" si="1566"/>
        <v>8</v>
      </c>
      <c r="AB663" s="34">
        <f t="shared" ref="AB663:AR663" si="1570">IF(SUM(G662:G674)=0,NA(),G663+AA663)</f>
        <v>30</v>
      </c>
      <c r="AC663" s="34">
        <f t="shared" si="1570"/>
        <v>77</v>
      </c>
      <c r="AD663" s="34">
        <f t="shared" si="1570"/>
        <v>138</v>
      </c>
      <c r="AE663" s="34">
        <f t="shared" si="1570"/>
        <v>179</v>
      </c>
      <c r="AF663" s="34">
        <f t="shared" si="1570"/>
        <v>250</v>
      </c>
      <c r="AG663" s="34">
        <f t="shared" si="1570"/>
        <v>289</v>
      </c>
      <c r="AH663" s="34">
        <f t="shared" si="1570"/>
        <v>330</v>
      </c>
      <c r="AI663" s="34">
        <f t="shared" si="1570"/>
        <v>365</v>
      </c>
      <c r="AJ663" s="34">
        <f t="shared" si="1570"/>
        <v>390</v>
      </c>
      <c r="AK663" s="34" t="e">
        <f t="shared" si="1570"/>
        <v>#N/A</v>
      </c>
      <c r="AL663" s="34" t="e">
        <f t="shared" si="1570"/>
        <v>#N/A</v>
      </c>
      <c r="AM663" s="34" t="e">
        <f t="shared" si="1570"/>
        <v>#N/A</v>
      </c>
      <c r="AN663" s="34" t="e">
        <f t="shared" si="1570"/>
        <v>#N/A</v>
      </c>
      <c r="AO663" s="34" t="e">
        <f t="shared" si="1570"/>
        <v>#N/A</v>
      </c>
      <c r="AP663" s="34" t="e">
        <f t="shared" si="1570"/>
        <v>#N/A</v>
      </c>
      <c r="AQ663" s="34" t="e">
        <f t="shared" si="1570"/>
        <v>#N/A</v>
      </c>
      <c r="AR663" s="34" t="e">
        <f t="shared" si="1570"/>
        <v>#N/A</v>
      </c>
      <c r="AS663" s="27"/>
      <c r="AT663" s="35" t="str">
        <f t="shared" si="1568"/>
        <v>JOSE LA CRUZ REYES</v>
      </c>
      <c r="AU663" s="36">
        <f t="shared" ref="AU663:BM663" si="1571">Z663/(Z662+Z663+Z675)</f>
        <v>0.35648994515539306</v>
      </c>
      <c r="AV663" s="36">
        <f t="shared" si="1571"/>
        <v>0.5</v>
      </c>
      <c r="AW663" s="36">
        <f t="shared" si="1571"/>
        <v>0.22727272727272727</v>
      </c>
      <c r="AX663" s="36">
        <f t="shared" si="1571"/>
        <v>0.27304964539007093</v>
      </c>
      <c r="AY663" s="36">
        <f t="shared" si="1571"/>
        <v>0.31724137931034485</v>
      </c>
      <c r="AZ663" s="36">
        <f t="shared" si="1571"/>
        <v>0.30862068965517242</v>
      </c>
      <c r="BA663" s="36">
        <f t="shared" si="1571"/>
        <v>0.34199726402188785</v>
      </c>
      <c r="BB663" s="36">
        <f t="shared" si="1571"/>
        <v>0.34819277108433733</v>
      </c>
      <c r="BC663" s="36">
        <f t="shared" si="1571"/>
        <v>0.34883720930232559</v>
      </c>
      <c r="BD663" s="36">
        <f t="shared" si="1571"/>
        <v>0.35333978702807356</v>
      </c>
      <c r="BE663" s="36">
        <f t="shared" si="1571"/>
        <v>0.35648994515539306</v>
      </c>
      <c r="BF663" s="36" t="e">
        <f t="shared" si="1571"/>
        <v>#N/A</v>
      </c>
      <c r="BG663" s="36" t="e">
        <f t="shared" si="1571"/>
        <v>#N/A</v>
      </c>
      <c r="BH663" s="36" t="e">
        <f t="shared" si="1571"/>
        <v>#N/A</v>
      </c>
      <c r="BI663" s="36" t="e">
        <f t="shared" si="1571"/>
        <v>#N/A</v>
      </c>
      <c r="BJ663" s="36" t="e">
        <f t="shared" si="1571"/>
        <v>#N/A</v>
      </c>
      <c r="BK663" s="36" t="e">
        <f t="shared" si="1571"/>
        <v>#N/A</v>
      </c>
      <c r="BL663" s="36" t="e">
        <f t="shared" si="1571"/>
        <v>#N/A</v>
      </c>
      <c r="BM663" s="36" t="e">
        <f t="shared" si="1571"/>
        <v>#N/A</v>
      </c>
      <c r="BN663" s="30"/>
    </row>
    <row r="664" spans="1:66" ht="11.25" customHeight="1" x14ac:dyDescent="0.2">
      <c r="A664" s="37"/>
      <c r="B664" s="73"/>
      <c r="C664" s="33">
        <v>3</v>
      </c>
      <c r="D664" s="13" t="s">
        <v>436</v>
      </c>
      <c r="E664" s="16">
        <f t="shared" si="1563"/>
        <v>39</v>
      </c>
      <c r="F664" s="16">
        <f>SUMIFS([0]!VOTOS2,[0]!TURNO1,F$31,[0]!CANDIDATO1,$C664,[0]!MUNICIPIO1,$B$662)</f>
        <v>0</v>
      </c>
      <c r="G664" s="16">
        <f>SUMIFS([0]!VOTOS2,[0]!TURNO1,G$31,[0]!CANDIDATO1,$C664,[0]!MUNICIPIO1,$B$662)</f>
        <v>6</v>
      </c>
      <c r="H664" s="16">
        <f>SUMIFS([0]!VOTOS2,[0]!TURNO1,H$31,[0]!CANDIDATO1,$C664,[0]!MUNICIPIO1,$B$662)</f>
        <v>4</v>
      </c>
      <c r="I664" s="16">
        <f>SUMIFS([0]!VOTOS2,[0]!TURNO1,I$31,[0]!CANDIDATO1,$C664,[0]!MUNICIPIO1,$B$662)</f>
        <v>7</v>
      </c>
      <c r="J664" s="16">
        <f>SUMIFS([0]!VOTOS2,[0]!TURNO1,J$31,[0]!CANDIDATO1,$C664,[0]!MUNICIPIO1,$B$662)</f>
        <v>3</v>
      </c>
      <c r="K664" s="16">
        <f>SUMIFS([0]!VOTOS2,[0]!TURNO1,K$31,[0]!CANDIDATO1,$C664,[0]!MUNICIPIO1,$B$662)</f>
        <v>3</v>
      </c>
      <c r="L664" s="16">
        <f>SUMIFS([0]!VOTOS2,[0]!TURNO1,L$31,[0]!CANDIDATO1,$C664,[0]!MUNICIPIO1,$B$662)</f>
        <v>6</v>
      </c>
      <c r="M664" s="16">
        <f>SUMIFS([0]!VOTOS2,[0]!TURNO1,M$31,[0]!CANDIDATO1,$C664,[0]!MUNICIPIO1,$B$662)</f>
        <v>7</v>
      </c>
      <c r="N664" s="16">
        <f>SUMIFS([0]!VOTOS2,[0]!TURNO1,N$31,[0]!CANDIDATO1,$C664,[0]!MUNICIPIO1,$B$662)</f>
        <v>0</v>
      </c>
      <c r="O664" s="16">
        <f>SUMIFS([0]!VOTOS2,[0]!TURNO1,O$31,[0]!CANDIDATO1,$C664,[0]!MUNICIPIO1,$B$662)</f>
        <v>3</v>
      </c>
      <c r="P664" s="16">
        <f>SUMIFS([0]!VOTOS2,[0]!TURNO1,P$31,[0]!CANDIDATO1,$C664,[0]!MUNICIPIO1,$B$662)</f>
        <v>0</v>
      </c>
      <c r="Q664" s="16">
        <f>SUMIFS([0]!VOTOS2,[0]!TURNO1,Q$31,[0]!CANDIDATO1,$C664,[0]!MUNICIPIO1,$B$662)</f>
        <v>0</v>
      </c>
      <c r="R664" s="16">
        <f>SUMIFS([0]!VOTOS2,[0]!TURNO1,R$31,[0]!CANDIDATO1,$C664,[0]!MUNICIPIO1,$B$662)</f>
        <v>0</v>
      </c>
      <c r="S664" s="16">
        <f>SUMIFS([0]!VOTOS2,[0]!TURNO1,S$31,[0]!CANDIDATO1,$C664,[0]!MUNICIPIO1,$B$662)</f>
        <v>0</v>
      </c>
      <c r="T664" s="16">
        <f>SUMIFS([0]!VOTOS2,[0]!TURNO1,T$31,[0]!CANDIDATO1,$C664,[0]!MUNICIPIO1,$B$662)</f>
        <v>0</v>
      </c>
      <c r="U664" s="16">
        <f>SUMIFS([0]!VOTOS2,[0]!TURNO1,U$31,[0]!CANDIDATO1,$C664,[0]!MUNICIPIO1,$B$662)</f>
        <v>0</v>
      </c>
      <c r="V664" s="16">
        <f>SUMIFS([0]!VOTOS2,[0]!TURNO1,V$31,[0]!CANDIDATO1,$C664,[0]!MUNICIPIO1,$B$662)</f>
        <v>0</v>
      </c>
      <c r="W664" s="16">
        <f>SUMIFS([0]!VOTOS2,[0]!TURNO1,W$31,[0]!CANDIDATO1,$C664,[0]!MUNICIPIO1,$B$662)</f>
        <v>0</v>
      </c>
      <c r="X664" s="24"/>
      <c r="Y664" s="18" t="str">
        <f t="shared" si="1564"/>
        <v>JESUS GONZALEZ</v>
      </c>
      <c r="Z664" s="34">
        <f t="shared" si="1565"/>
        <v>39</v>
      </c>
      <c r="AA664" s="34">
        <f t="shared" si="1566"/>
        <v>0</v>
      </c>
      <c r="AB664" s="34">
        <f t="shared" ref="AB664:AR664" si="1572">IF(SUM(G662:G674)=0,NA(),G664+AA664)</f>
        <v>6</v>
      </c>
      <c r="AC664" s="34">
        <f t="shared" si="1572"/>
        <v>10</v>
      </c>
      <c r="AD664" s="34">
        <f t="shared" si="1572"/>
        <v>17</v>
      </c>
      <c r="AE664" s="34">
        <f t="shared" si="1572"/>
        <v>20</v>
      </c>
      <c r="AF664" s="34">
        <f t="shared" si="1572"/>
        <v>23</v>
      </c>
      <c r="AG664" s="34">
        <f t="shared" si="1572"/>
        <v>29</v>
      </c>
      <c r="AH664" s="34">
        <f t="shared" si="1572"/>
        <v>36</v>
      </c>
      <c r="AI664" s="34">
        <f t="shared" si="1572"/>
        <v>36</v>
      </c>
      <c r="AJ664" s="34">
        <f t="shared" si="1572"/>
        <v>39</v>
      </c>
      <c r="AK664" s="34" t="e">
        <f t="shared" si="1572"/>
        <v>#N/A</v>
      </c>
      <c r="AL664" s="34" t="e">
        <f t="shared" si="1572"/>
        <v>#N/A</v>
      </c>
      <c r="AM664" s="34" t="e">
        <f t="shared" si="1572"/>
        <v>#N/A</v>
      </c>
      <c r="AN664" s="34" t="e">
        <f t="shared" si="1572"/>
        <v>#N/A</v>
      </c>
      <c r="AO664" s="34" t="e">
        <f t="shared" si="1572"/>
        <v>#N/A</v>
      </c>
      <c r="AP664" s="34" t="e">
        <f t="shared" si="1572"/>
        <v>#N/A</v>
      </c>
      <c r="AQ664" s="34" t="e">
        <f t="shared" si="1572"/>
        <v>#N/A</v>
      </c>
      <c r="AR664" s="34" t="e">
        <f t="shared" si="1572"/>
        <v>#N/A</v>
      </c>
      <c r="AS664" s="27"/>
      <c r="AT664" s="35" t="str">
        <f t="shared" ref="AT664" si="1573">Y675</f>
        <v>Otros</v>
      </c>
      <c r="AU664" s="36">
        <f t="shared" ref="AU664:BM664" si="1574">Z675/(Z662+Z663+Z675)</f>
        <v>0.11882998171846434</v>
      </c>
      <c r="AV664" s="36">
        <f t="shared" si="1574"/>
        <v>0</v>
      </c>
      <c r="AW664" s="36">
        <f t="shared" si="1574"/>
        <v>0.23484848484848486</v>
      </c>
      <c r="AX664" s="36">
        <f t="shared" si="1574"/>
        <v>0.12411347517730496</v>
      </c>
      <c r="AY664" s="36">
        <f t="shared" si="1574"/>
        <v>0.11264367816091954</v>
      </c>
      <c r="AZ664" s="36">
        <f t="shared" si="1574"/>
        <v>0.1</v>
      </c>
      <c r="BA664" s="36">
        <f t="shared" si="1574"/>
        <v>9.575923392612859E-2</v>
      </c>
      <c r="BB664" s="36">
        <f t="shared" si="1574"/>
        <v>0.10963855421686747</v>
      </c>
      <c r="BC664" s="36">
        <f t="shared" si="1574"/>
        <v>0.12050739957716702</v>
      </c>
      <c r="BD664" s="36">
        <f t="shared" si="1574"/>
        <v>0.11907066795740562</v>
      </c>
      <c r="BE664" s="36">
        <f t="shared" si="1574"/>
        <v>0.11882998171846434</v>
      </c>
      <c r="BF664" s="36" t="e">
        <f t="shared" si="1574"/>
        <v>#N/A</v>
      </c>
      <c r="BG664" s="36" t="e">
        <f t="shared" si="1574"/>
        <v>#N/A</v>
      </c>
      <c r="BH664" s="36" t="e">
        <f t="shared" si="1574"/>
        <v>#N/A</v>
      </c>
      <c r="BI664" s="36" t="e">
        <f t="shared" si="1574"/>
        <v>#N/A</v>
      </c>
      <c r="BJ664" s="36" t="e">
        <f t="shared" si="1574"/>
        <v>#N/A</v>
      </c>
      <c r="BK664" s="36" t="e">
        <f t="shared" si="1574"/>
        <v>#N/A</v>
      </c>
      <c r="BL664" s="36" t="e">
        <f t="shared" si="1574"/>
        <v>#N/A</v>
      </c>
      <c r="BM664" s="36" t="e">
        <f t="shared" si="1574"/>
        <v>#N/A</v>
      </c>
      <c r="BN664" s="30"/>
    </row>
    <row r="665" spans="1:66" ht="11.25" customHeight="1" x14ac:dyDescent="0.2">
      <c r="A665" s="38" t="s">
        <v>52</v>
      </c>
      <c r="B665" s="73"/>
      <c r="C665" s="33">
        <v>4</v>
      </c>
      <c r="D665" s="13" t="s">
        <v>437</v>
      </c>
      <c r="E665" s="16">
        <f t="shared" si="1563"/>
        <v>59</v>
      </c>
      <c r="F665" s="16">
        <f>SUMIFS([0]!VOTOS2,[0]!TURNO1,F$31,[0]!CANDIDATO1,$C665,[0]!MUNICIPIO1,$B$662)</f>
        <v>0</v>
      </c>
      <c r="G665" s="16">
        <f>SUMIFS([0]!VOTOS2,[0]!TURNO1,G$31,[0]!CANDIDATO1,$C665,[0]!MUNICIPIO1,$B$662)</f>
        <v>8</v>
      </c>
      <c r="H665" s="16">
        <f>SUMIFS([0]!VOTOS2,[0]!TURNO1,H$31,[0]!CANDIDATO1,$C665,[0]!MUNICIPIO1,$B$662)</f>
        <v>0</v>
      </c>
      <c r="I665" s="16">
        <f>SUMIFS([0]!VOTOS2,[0]!TURNO1,I$31,[0]!CANDIDATO1,$C665,[0]!MUNICIPIO1,$B$662)</f>
        <v>7</v>
      </c>
      <c r="J665" s="16">
        <f>SUMIFS([0]!VOTOS2,[0]!TURNO1,J$31,[0]!CANDIDATO1,$C665,[0]!MUNICIPIO1,$B$662)</f>
        <v>1</v>
      </c>
      <c r="K665" s="16">
        <f>SUMIFS([0]!VOTOS2,[0]!TURNO1,K$31,[0]!CANDIDATO1,$C665,[0]!MUNICIPIO1,$B$662)</f>
        <v>9</v>
      </c>
      <c r="L665" s="16">
        <f>SUMIFS([0]!VOTOS2,[0]!TURNO1,L$31,[0]!CANDIDATO1,$C665,[0]!MUNICIPIO1,$B$662)</f>
        <v>13</v>
      </c>
      <c r="M665" s="16">
        <f>SUMIFS([0]!VOTOS2,[0]!TURNO1,M$31,[0]!CANDIDATO1,$C665,[0]!MUNICIPIO1,$B$662)</f>
        <v>9</v>
      </c>
      <c r="N665" s="16">
        <f>SUMIFS([0]!VOTOS2,[0]!TURNO1,N$31,[0]!CANDIDATO1,$C665,[0]!MUNICIPIO1,$B$662)</f>
        <v>9</v>
      </c>
      <c r="O665" s="16">
        <f>SUMIFS([0]!VOTOS2,[0]!TURNO1,O$31,[0]!CANDIDATO1,$C665,[0]!MUNICIPIO1,$B$662)</f>
        <v>3</v>
      </c>
      <c r="P665" s="16">
        <f>SUMIFS([0]!VOTOS2,[0]!TURNO1,P$31,[0]!CANDIDATO1,$C665,[0]!MUNICIPIO1,$B$662)</f>
        <v>0</v>
      </c>
      <c r="Q665" s="16">
        <f>SUMIFS([0]!VOTOS2,[0]!TURNO1,Q$31,[0]!CANDIDATO1,$C665,[0]!MUNICIPIO1,$B$662)</f>
        <v>0</v>
      </c>
      <c r="R665" s="16">
        <f>SUMIFS([0]!VOTOS2,[0]!TURNO1,R$31,[0]!CANDIDATO1,$C665,[0]!MUNICIPIO1,$B$662)</f>
        <v>0</v>
      </c>
      <c r="S665" s="16">
        <f>SUMIFS([0]!VOTOS2,[0]!TURNO1,S$31,[0]!CANDIDATO1,$C665,[0]!MUNICIPIO1,$B$662)</f>
        <v>0</v>
      </c>
      <c r="T665" s="16">
        <f>SUMIFS([0]!VOTOS2,[0]!TURNO1,T$31,[0]!CANDIDATO1,$C665,[0]!MUNICIPIO1,$B$662)</f>
        <v>0</v>
      </c>
      <c r="U665" s="16">
        <f>SUMIFS([0]!VOTOS2,[0]!TURNO1,U$31,[0]!CANDIDATO1,$C665,[0]!MUNICIPIO1,$B$662)</f>
        <v>0</v>
      </c>
      <c r="V665" s="16">
        <f>SUMIFS([0]!VOTOS2,[0]!TURNO1,V$31,[0]!CANDIDATO1,$C665,[0]!MUNICIPIO1,$B$662)</f>
        <v>0</v>
      </c>
      <c r="W665" s="16">
        <f>SUMIFS([0]!VOTOS2,[0]!TURNO1,W$31,[0]!CANDIDATO1,$C665,[0]!MUNICIPIO1,$B$662)</f>
        <v>0</v>
      </c>
      <c r="X665" s="24"/>
      <c r="Y665" s="18" t="str">
        <f t="shared" si="1564"/>
        <v>JOSE LUIS PORTILLO</v>
      </c>
      <c r="Z665" s="34">
        <f t="shared" si="1565"/>
        <v>59</v>
      </c>
      <c r="AA665" s="34">
        <f t="shared" si="1566"/>
        <v>0</v>
      </c>
      <c r="AB665" s="34">
        <f t="shared" ref="AB665:AR665" si="1575">IF(SUM(G662:G674)=0,NA(),G665+AA665)</f>
        <v>8</v>
      </c>
      <c r="AC665" s="34">
        <f t="shared" si="1575"/>
        <v>8</v>
      </c>
      <c r="AD665" s="34">
        <f t="shared" si="1575"/>
        <v>15</v>
      </c>
      <c r="AE665" s="34">
        <f t="shared" si="1575"/>
        <v>16</v>
      </c>
      <c r="AF665" s="34">
        <f t="shared" si="1575"/>
        <v>25</v>
      </c>
      <c r="AG665" s="34">
        <f t="shared" si="1575"/>
        <v>38</v>
      </c>
      <c r="AH665" s="34">
        <f t="shared" si="1575"/>
        <v>47</v>
      </c>
      <c r="AI665" s="34">
        <f t="shared" si="1575"/>
        <v>56</v>
      </c>
      <c r="AJ665" s="34">
        <f t="shared" si="1575"/>
        <v>59</v>
      </c>
      <c r="AK665" s="34" t="e">
        <f t="shared" si="1575"/>
        <v>#N/A</v>
      </c>
      <c r="AL665" s="34" t="e">
        <f t="shared" si="1575"/>
        <v>#N/A</v>
      </c>
      <c r="AM665" s="34" t="e">
        <f t="shared" si="1575"/>
        <v>#N/A</v>
      </c>
      <c r="AN665" s="34" t="e">
        <f t="shared" si="1575"/>
        <v>#N/A</v>
      </c>
      <c r="AO665" s="34" t="e">
        <f t="shared" si="1575"/>
        <v>#N/A</v>
      </c>
      <c r="AP665" s="34" t="e">
        <f t="shared" si="1575"/>
        <v>#N/A</v>
      </c>
      <c r="AQ665" s="34" t="e">
        <f t="shared" si="1575"/>
        <v>#N/A</v>
      </c>
      <c r="AR665" s="34" t="e">
        <f t="shared" si="1575"/>
        <v>#N/A</v>
      </c>
      <c r="AS665" s="27"/>
      <c r="AT665" s="39"/>
      <c r="AU665" s="39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30"/>
    </row>
    <row r="666" spans="1:66" ht="11.25" customHeight="1" x14ac:dyDescent="0.2">
      <c r="A666" s="38" t="s">
        <v>53</v>
      </c>
      <c r="B666" s="73"/>
      <c r="C666" s="33">
        <v>5</v>
      </c>
      <c r="D666" s="13" t="s">
        <v>438</v>
      </c>
      <c r="E666" s="16">
        <f t="shared" si="1563"/>
        <v>29</v>
      </c>
      <c r="F666" s="16">
        <f>SUMIFS([0]!VOTOS2,[0]!TURNO1,F$31,[0]!CANDIDATO1,$C666,[0]!MUNICIPIO1,$B$662)</f>
        <v>0</v>
      </c>
      <c r="G666" s="16">
        <f>SUMIFS([0]!VOTOS2,[0]!TURNO1,G$31,[0]!CANDIDATO1,$C666,[0]!MUNICIPIO1,$B$662)</f>
        <v>17</v>
      </c>
      <c r="H666" s="16">
        <f>SUMIFS([0]!VOTOS2,[0]!TURNO1,H$31,[0]!CANDIDATO1,$C666,[0]!MUNICIPIO1,$B$662)</f>
        <v>0</v>
      </c>
      <c r="I666" s="16">
        <f>SUMIFS([0]!VOTOS2,[0]!TURNO1,I$31,[0]!CANDIDATO1,$C666,[0]!MUNICIPIO1,$B$662)</f>
        <v>0</v>
      </c>
      <c r="J666" s="16">
        <f>SUMIFS([0]!VOTOS2,[0]!TURNO1,J$31,[0]!CANDIDATO1,$C666,[0]!MUNICIPIO1,$B$662)</f>
        <v>5</v>
      </c>
      <c r="K666" s="16">
        <f>SUMIFS([0]!VOTOS2,[0]!TURNO1,K$31,[0]!CANDIDATO1,$C666,[0]!MUNICIPIO1,$B$662)</f>
        <v>0</v>
      </c>
      <c r="L666" s="16">
        <f>SUMIFS([0]!VOTOS2,[0]!TURNO1,L$31,[0]!CANDIDATO1,$C666,[0]!MUNICIPIO1,$B$662)</f>
        <v>2</v>
      </c>
      <c r="M666" s="16">
        <f>SUMIFS([0]!VOTOS2,[0]!TURNO1,M$31,[0]!CANDIDATO1,$C666,[0]!MUNICIPIO1,$B$662)</f>
        <v>4</v>
      </c>
      <c r="N666" s="16">
        <f>SUMIFS([0]!VOTOS2,[0]!TURNO1,N$31,[0]!CANDIDATO1,$C666,[0]!MUNICIPIO1,$B$662)</f>
        <v>0</v>
      </c>
      <c r="O666" s="16">
        <f>SUMIFS([0]!VOTOS2,[0]!TURNO1,O$31,[0]!CANDIDATO1,$C666,[0]!MUNICIPIO1,$B$662)</f>
        <v>1</v>
      </c>
      <c r="P666" s="16">
        <f>SUMIFS([0]!VOTOS2,[0]!TURNO1,P$31,[0]!CANDIDATO1,$C666,[0]!MUNICIPIO1,$B$662)</f>
        <v>0</v>
      </c>
      <c r="Q666" s="16">
        <f>SUMIFS([0]!VOTOS2,[0]!TURNO1,Q$31,[0]!CANDIDATO1,$C666,[0]!MUNICIPIO1,$B$662)</f>
        <v>0</v>
      </c>
      <c r="R666" s="16">
        <f>SUMIFS([0]!VOTOS2,[0]!TURNO1,R$31,[0]!CANDIDATO1,$C666,[0]!MUNICIPIO1,$B$662)</f>
        <v>0</v>
      </c>
      <c r="S666" s="16">
        <f>SUMIFS([0]!VOTOS2,[0]!TURNO1,S$31,[0]!CANDIDATO1,$C666,[0]!MUNICIPIO1,$B$662)</f>
        <v>0</v>
      </c>
      <c r="T666" s="16">
        <f>SUMIFS([0]!VOTOS2,[0]!TURNO1,T$31,[0]!CANDIDATO1,$C666,[0]!MUNICIPIO1,$B$662)</f>
        <v>0</v>
      </c>
      <c r="U666" s="16">
        <f>SUMIFS([0]!VOTOS2,[0]!TURNO1,U$31,[0]!CANDIDATO1,$C666,[0]!MUNICIPIO1,$B$662)</f>
        <v>0</v>
      </c>
      <c r="V666" s="16">
        <f>SUMIFS([0]!VOTOS2,[0]!TURNO1,V$31,[0]!CANDIDATO1,$C666,[0]!MUNICIPIO1,$B$662)</f>
        <v>0</v>
      </c>
      <c r="W666" s="16">
        <f>SUMIFS([0]!VOTOS2,[0]!TURNO1,W$31,[0]!CANDIDATO1,$C666,[0]!MUNICIPIO1,$B$662)</f>
        <v>0</v>
      </c>
      <c r="X666" s="24"/>
      <c r="Y666" s="18" t="str">
        <f t="shared" si="1564"/>
        <v>DANIEL CARMONA</v>
      </c>
      <c r="Z666" s="34">
        <f t="shared" si="1565"/>
        <v>29</v>
      </c>
      <c r="AA666" s="34">
        <f t="shared" si="1566"/>
        <v>0</v>
      </c>
      <c r="AB666" s="34">
        <f t="shared" ref="AB666:AR666" si="1576">IF(SUM(G662:G674)=0,NA(),G666+AA666)</f>
        <v>17</v>
      </c>
      <c r="AC666" s="34">
        <f t="shared" si="1576"/>
        <v>17</v>
      </c>
      <c r="AD666" s="34">
        <f t="shared" si="1576"/>
        <v>17</v>
      </c>
      <c r="AE666" s="34">
        <f t="shared" si="1576"/>
        <v>22</v>
      </c>
      <c r="AF666" s="34">
        <f t="shared" si="1576"/>
        <v>22</v>
      </c>
      <c r="AG666" s="34">
        <f t="shared" si="1576"/>
        <v>24</v>
      </c>
      <c r="AH666" s="34">
        <f t="shared" si="1576"/>
        <v>28</v>
      </c>
      <c r="AI666" s="34">
        <f t="shared" si="1576"/>
        <v>28</v>
      </c>
      <c r="AJ666" s="34">
        <f t="shared" si="1576"/>
        <v>29</v>
      </c>
      <c r="AK666" s="34" t="e">
        <f t="shared" si="1576"/>
        <v>#N/A</v>
      </c>
      <c r="AL666" s="34" t="e">
        <f t="shared" si="1576"/>
        <v>#N/A</v>
      </c>
      <c r="AM666" s="34" t="e">
        <f t="shared" si="1576"/>
        <v>#N/A</v>
      </c>
      <c r="AN666" s="34" t="e">
        <f t="shared" si="1576"/>
        <v>#N/A</v>
      </c>
      <c r="AO666" s="34" t="e">
        <f t="shared" si="1576"/>
        <v>#N/A</v>
      </c>
      <c r="AP666" s="34" t="e">
        <f t="shared" si="1576"/>
        <v>#N/A</v>
      </c>
      <c r="AQ666" s="34" t="e">
        <f t="shared" si="1576"/>
        <v>#N/A</v>
      </c>
      <c r="AR666" s="34" t="e">
        <f t="shared" si="1576"/>
        <v>#N/A</v>
      </c>
      <c r="AS666" s="27"/>
      <c r="AT666" s="39"/>
      <c r="AU666" s="39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30"/>
    </row>
    <row r="667" spans="1:66" ht="11.25" customHeight="1" x14ac:dyDescent="0.2">
      <c r="A667" s="42"/>
      <c r="B667" s="74"/>
      <c r="C667" s="33">
        <v>6</v>
      </c>
      <c r="D667" s="13" t="s">
        <v>439</v>
      </c>
      <c r="E667" s="16">
        <f t="shared" si="1563"/>
        <v>3</v>
      </c>
      <c r="F667" s="16">
        <f>SUMIFS([0]!VOTOS2,[0]!TURNO1,F$31,[0]!CANDIDATO1,$C667,[0]!MUNICIPIO1,$B$662)</f>
        <v>0</v>
      </c>
      <c r="G667" s="16">
        <f>SUMIFS([0]!VOTOS2,[0]!TURNO1,G$31,[0]!CANDIDATO1,$C667,[0]!MUNICIPIO1,$B$662)</f>
        <v>0</v>
      </c>
      <c r="H667" s="16">
        <f>SUMIFS([0]!VOTOS2,[0]!TURNO1,H$31,[0]!CANDIDATO1,$C667,[0]!MUNICIPIO1,$B$662)</f>
        <v>0</v>
      </c>
      <c r="I667" s="16">
        <f>SUMIFS([0]!VOTOS2,[0]!TURNO1,I$31,[0]!CANDIDATO1,$C667,[0]!MUNICIPIO1,$B$662)</f>
        <v>0</v>
      </c>
      <c r="J667" s="16">
        <f>SUMIFS([0]!VOTOS2,[0]!TURNO1,J$31,[0]!CANDIDATO1,$C667,[0]!MUNICIPIO1,$B$662)</f>
        <v>0</v>
      </c>
      <c r="K667" s="16">
        <f>SUMIFS([0]!VOTOS2,[0]!TURNO1,K$31,[0]!CANDIDATO1,$C667,[0]!MUNICIPIO1,$B$662)</f>
        <v>0</v>
      </c>
      <c r="L667" s="16">
        <f>SUMIFS([0]!VOTOS2,[0]!TURNO1,L$31,[0]!CANDIDATO1,$C667,[0]!MUNICIPIO1,$B$662)</f>
        <v>0</v>
      </c>
      <c r="M667" s="16">
        <f>SUMIFS([0]!VOTOS2,[0]!TURNO1,M$31,[0]!CANDIDATO1,$C667,[0]!MUNICIPIO1,$B$662)</f>
        <v>3</v>
      </c>
      <c r="N667" s="16">
        <f>SUMIFS([0]!VOTOS2,[0]!TURNO1,N$31,[0]!CANDIDATO1,$C667,[0]!MUNICIPIO1,$B$662)</f>
        <v>0</v>
      </c>
      <c r="O667" s="16">
        <f>SUMIFS([0]!VOTOS2,[0]!TURNO1,O$31,[0]!CANDIDATO1,$C667,[0]!MUNICIPIO1,$B$662)</f>
        <v>0</v>
      </c>
      <c r="P667" s="16">
        <f>SUMIFS([0]!VOTOS2,[0]!TURNO1,P$31,[0]!CANDIDATO1,$C667,[0]!MUNICIPIO1,$B$662)</f>
        <v>0</v>
      </c>
      <c r="Q667" s="16">
        <f>SUMIFS([0]!VOTOS2,[0]!TURNO1,Q$31,[0]!CANDIDATO1,$C667,[0]!MUNICIPIO1,$B$662)</f>
        <v>0</v>
      </c>
      <c r="R667" s="16">
        <f>SUMIFS([0]!VOTOS2,[0]!TURNO1,R$31,[0]!CANDIDATO1,$C667,[0]!MUNICIPIO1,$B$662)</f>
        <v>0</v>
      </c>
      <c r="S667" s="16">
        <f>SUMIFS([0]!VOTOS2,[0]!TURNO1,S$31,[0]!CANDIDATO1,$C667,[0]!MUNICIPIO1,$B$662)</f>
        <v>0</v>
      </c>
      <c r="T667" s="16">
        <f>SUMIFS([0]!VOTOS2,[0]!TURNO1,T$31,[0]!CANDIDATO1,$C667,[0]!MUNICIPIO1,$B$662)</f>
        <v>0</v>
      </c>
      <c r="U667" s="16">
        <f>SUMIFS([0]!VOTOS2,[0]!TURNO1,U$31,[0]!CANDIDATO1,$C667,[0]!MUNICIPIO1,$B$662)</f>
        <v>0</v>
      </c>
      <c r="V667" s="16">
        <f>SUMIFS([0]!VOTOS2,[0]!TURNO1,V$31,[0]!CANDIDATO1,$C667,[0]!MUNICIPIO1,$B$662)</f>
        <v>0</v>
      </c>
      <c r="W667" s="16">
        <f>SUMIFS([0]!VOTOS2,[0]!TURNO1,W$31,[0]!CANDIDATO1,$C667,[0]!MUNICIPIO1,$B$662)</f>
        <v>0</v>
      </c>
      <c r="X667" s="24"/>
      <c r="Y667" s="18" t="str">
        <f t="shared" si="1564"/>
        <v>RICHARD LIRA</v>
      </c>
      <c r="Z667" s="34">
        <f t="shared" si="1565"/>
        <v>3</v>
      </c>
      <c r="AA667" s="34">
        <f t="shared" si="1566"/>
        <v>0</v>
      </c>
      <c r="AB667" s="34">
        <f t="shared" ref="AB667:AR667" si="1577">IF(SUM(G662:G674)=0,NA(),G667+AA667)</f>
        <v>0</v>
      </c>
      <c r="AC667" s="34">
        <f t="shared" si="1577"/>
        <v>0</v>
      </c>
      <c r="AD667" s="34">
        <f t="shared" si="1577"/>
        <v>0</v>
      </c>
      <c r="AE667" s="34">
        <f t="shared" si="1577"/>
        <v>0</v>
      </c>
      <c r="AF667" s="34">
        <f t="shared" si="1577"/>
        <v>0</v>
      </c>
      <c r="AG667" s="34">
        <f t="shared" si="1577"/>
        <v>0</v>
      </c>
      <c r="AH667" s="34">
        <f t="shared" si="1577"/>
        <v>3</v>
      </c>
      <c r="AI667" s="34">
        <f t="shared" si="1577"/>
        <v>3</v>
      </c>
      <c r="AJ667" s="34">
        <f t="shared" si="1577"/>
        <v>3</v>
      </c>
      <c r="AK667" s="34" t="e">
        <f t="shared" si="1577"/>
        <v>#N/A</v>
      </c>
      <c r="AL667" s="34" t="e">
        <f t="shared" si="1577"/>
        <v>#N/A</v>
      </c>
      <c r="AM667" s="34" t="e">
        <f t="shared" si="1577"/>
        <v>#N/A</v>
      </c>
      <c r="AN667" s="34" t="e">
        <f t="shared" si="1577"/>
        <v>#N/A</v>
      </c>
      <c r="AO667" s="34" t="e">
        <f t="shared" si="1577"/>
        <v>#N/A</v>
      </c>
      <c r="AP667" s="34" t="e">
        <f t="shared" si="1577"/>
        <v>#N/A</v>
      </c>
      <c r="AQ667" s="34" t="e">
        <f t="shared" si="1577"/>
        <v>#N/A</v>
      </c>
      <c r="AR667" s="34" t="e">
        <f t="shared" si="1577"/>
        <v>#N/A</v>
      </c>
      <c r="AS667" s="27"/>
      <c r="AT667" s="39"/>
      <c r="AU667" s="39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30"/>
    </row>
    <row r="668" spans="1:66" ht="11.25" customHeight="1" x14ac:dyDescent="0.2">
      <c r="A668" s="44"/>
      <c r="B668" s="45"/>
      <c r="C668" s="46">
        <v>7</v>
      </c>
      <c r="D668" s="14" t="s">
        <v>76</v>
      </c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24"/>
      <c r="Y668" s="18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27"/>
      <c r="AT668" s="39"/>
      <c r="AU668" s="39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30"/>
    </row>
    <row r="669" spans="1:66" ht="11.25" customHeight="1" x14ac:dyDescent="0.2">
      <c r="A669" s="44"/>
      <c r="B669" s="45"/>
      <c r="C669" s="46">
        <v>8</v>
      </c>
      <c r="D669" s="14" t="s">
        <v>76</v>
      </c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24"/>
      <c r="Y669" s="18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27"/>
      <c r="AT669" s="41"/>
      <c r="AU669" s="41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30"/>
    </row>
    <row r="670" spans="1:66" ht="11.25" customHeight="1" x14ac:dyDescent="0.2">
      <c r="A670" s="44"/>
      <c r="B670" s="45"/>
      <c r="C670" s="46">
        <v>9</v>
      </c>
      <c r="D670" s="14" t="s">
        <v>76</v>
      </c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24"/>
      <c r="Y670" s="18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27"/>
      <c r="AT670" s="41"/>
      <c r="AU670" s="41"/>
      <c r="AV670" s="43"/>
      <c r="AW670" s="43"/>
      <c r="AX670" s="43"/>
      <c r="AY670" s="43"/>
      <c r="AZ670" s="43"/>
      <c r="BA670" s="43"/>
      <c r="BB670" s="43"/>
      <c r="BC670" s="43"/>
      <c r="BD670" s="43"/>
      <c r="BE670" s="43"/>
      <c r="BF670" s="43"/>
      <c r="BG670" s="43"/>
      <c r="BH670" s="43"/>
      <c r="BI670" s="43"/>
      <c r="BJ670" s="43"/>
      <c r="BK670" s="43"/>
      <c r="BL670" s="43"/>
      <c r="BM670" s="43"/>
      <c r="BN670" s="30"/>
    </row>
    <row r="671" spans="1:66" ht="11.25" customHeight="1" x14ac:dyDescent="0.2">
      <c r="A671" s="44"/>
      <c r="B671" s="45"/>
      <c r="C671" s="46">
        <v>10</v>
      </c>
      <c r="D671" s="14" t="s">
        <v>76</v>
      </c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24"/>
      <c r="Y671" s="18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27"/>
      <c r="AT671" s="41"/>
      <c r="AU671" s="41"/>
      <c r="AV671" s="43"/>
      <c r="AW671" s="43"/>
      <c r="AX671" s="43"/>
      <c r="AY671" s="43"/>
      <c r="AZ671" s="43"/>
      <c r="BA671" s="43"/>
      <c r="BB671" s="43"/>
      <c r="BC671" s="43"/>
      <c r="BD671" s="43"/>
      <c r="BE671" s="43"/>
      <c r="BF671" s="43"/>
      <c r="BG671" s="43"/>
      <c r="BH671" s="43"/>
      <c r="BI671" s="43"/>
      <c r="BJ671" s="43"/>
      <c r="BK671" s="43"/>
      <c r="BL671" s="43"/>
      <c r="BM671" s="43"/>
      <c r="BN671" s="30"/>
    </row>
    <row r="672" spans="1:66" ht="11.25" customHeight="1" x14ac:dyDescent="0.2">
      <c r="A672" s="44"/>
      <c r="B672" s="45"/>
      <c r="C672" s="46">
        <v>11</v>
      </c>
      <c r="D672" s="14" t="s">
        <v>76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24"/>
      <c r="Y672" s="18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27"/>
      <c r="AT672" s="41"/>
      <c r="AU672" s="41"/>
      <c r="AV672" s="43"/>
      <c r="AW672" s="43"/>
      <c r="AX672" s="43"/>
      <c r="AY672" s="43"/>
      <c r="AZ672" s="43"/>
      <c r="BA672" s="43"/>
      <c r="BB672" s="43"/>
      <c r="BC672" s="43"/>
      <c r="BD672" s="43"/>
      <c r="BE672" s="43"/>
      <c r="BF672" s="43"/>
      <c r="BG672" s="43"/>
      <c r="BH672" s="43"/>
      <c r="BI672" s="43"/>
      <c r="BJ672" s="43"/>
      <c r="BK672" s="43"/>
      <c r="BL672" s="43"/>
      <c r="BM672" s="43"/>
      <c r="BN672" s="30"/>
    </row>
    <row r="673" spans="1:66" ht="11.25" customHeight="1" x14ac:dyDescent="0.2">
      <c r="A673" s="44"/>
      <c r="B673" s="45"/>
      <c r="C673" s="46">
        <v>12</v>
      </c>
      <c r="D673" s="14" t="s">
        <v>76</v>
      </c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24"/>
      <c r="Y673" s="18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27"/>
      <c r="AT673" s="41"/>
      <c r="AU673" s="41"/>
      <c r="AV673" s="43"/>
      <c r="AW673" s="43"/>
      <c r="AX673" s="43"/>
      <c r="AY673" s="43"/>
      <c r="AZ673" s="43"/>
      <c r="BA673" s="43"/>
      <c r="BB673" s="43"/>
      <c r="BC673" s="43"/>
      <c r="BD673" s="43"/>
      <c r="BE673" s="43"/>
      <c r="BF673" s="43"/>
      <c r="BG673" s="43"/>
      <c r="BH673" s="43"/>
      <c r="BI673" s="43"/>
      <c r="BJ673" s="43"/>
      <c r="BK673" s="43"/>
      <c r="BL673" s="43"/>
      <c r="BM673" s="43"/>
      <c r="BN673" s="30"/>
    </row>
    <row r="674" spans="1:66" ht="11.25" customHeight="1" x14ac:dyDescent="0.2">
      <c r="A674" s="44"/>
      <c r="B674" s="45"/>
      <c r="C674" s="46">
        <v>13</v>
      </c>
      <c r="D674" s="14" t="s">
        <v>76</v>
      </c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24"/>
      <c r="Y674" s="18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27"/>
      <c r="AT674" s="41"/>
      <c r="AU674" s="41"/>
      <c r="AV674" s="43"/>
      <c r="AW674" s="43"/>
      <c r="AX674" s="43"/>
      <c r="AY674" s="43"/>
      <c r="AZ674" s="43"/>
      <c r="BA674" s="43"/>
      <c r="BB674" s="43"/>
      <c r="BC674" s="43"/>
      <c r="BD674" s="43"/>
      <c r="BE674" s="43"/>
      <c r="BF674" s="43"/>
      <c r="BG674" s="43"/>
      <c r="BH674" s="43"/>
      <c r="BI674" s="43"/>
      <c r="BJ674" s="43"/>
      <c r="BK674" s="43"/>
      <c r="BL674" s="43"/>
      <c r="BM674" s="43"/>
      <c r="BN674" s="30"/>
    </row>
    <row r="675" spans="1:66" ht="11.25" customHeight="1" x14ac:dyDescent="0.2">
      <c r="X675" s="24"/>
      <c r="Y675" s="19" t="s">
        <v>79</v>
      </c>
      <c r="Z675" s="34">
        <f t="shared" ref="Z675" si="1578">SUM(Z664:Z674)</f>
        <v>130</v>
      </c>
      <c r="AA675" s="34">
        <f t="shared" ref="AA675" si="1579">SUM(AA664:AA674)</f>
        <v>0</v>
      </c>
      <c r="AB675" s="34">
        <f t="shared" ref="AB675" si="1580">SUM(AB664:AB674)</f>
        <v>31</v>
      </c>
      <c r="AC675" s="34">
        <f t="shared" ref="AC675" si="1581">SUM(AC664:AC674)</f>
        <v>35</v>
      </c>
      <c r="AD675" s="34">
        <f t="shared" ref="AD675" si="1582">SUM(AD664:AD674)</f>
        <v>49</v>
      </c>
      <c r="AE675" s="34">
        <f t="shared" ref="AE675" si="1583">SUM(AE664:AE674)</f>
        <v>58</v>
      </c>
      <c r="AF675" s="34">
        <f t="shared" ref="AF675" si="1584">SUM(AF664:AF674)</f>
        <v>70</v>
      </c>
      <c r="AG675" s="34">
        <f t="shared" ref="AG675" si="1585">SUM(AG664:AG674)</f>
        <v>91</v>
      </c>
      <c r="AH675" s="34">
        <f t="shared" ref="AH675" si="1586">SUM(AH664:AH674)</f>
        <v>114</v>
      </c>
      <c r="AI675" s="34">
        <f t="shared" ref="AI675" si="1587">SUM(AI664:AI674)</f>
        <v>123</v>
      </c>
      <c r="AJ675" s="34">
        <f t="shared" ref="AJ675" si="1588">SUM(AJ664:AJ674)</f>
        <v>130</v>
      </c>
      <c r="AK675" s="34" t="e">
        <f t="shared" ref="AK675" si="1589">SUM(AK664:AK674)</f>
        <v>#N/A</v>
      </c>
      <c r="AL675" s="34" t="e">
        <f t="shared" ref="AL675" si="1590">SUM(AL664:AL674)</f>
        <v>#N/A</v>
      </c>
      <c r="AM675" s="34" t="e">
        <f t="shared" ref="AM675" si="1591">SUM(AM664:AM674)</f>
        <v>#N/A</v>
      </c>
      <c r="AN675" s="34" t="e">
        <f t="shared" ref="AN675" si="1592">SUM(AN664:AN674)</f>
        <v>#N/A</v>
      </c>
      <c r="AO675" s="34" t="e">
        <f t="shared" ref="AO675" si="1593">SUM(AO664:AO674)</f>
        <v>#N/A</v>
      </c>
      <c r="AP675" s="34" t="e">
        <f t="shared" ref="AP675" si="1594">SUM(AP664:AP674)</f>
        <v>#N/A</v>
      </c>
      <c r="AQ675" s="34" t="e">
        <f t="shared" ref="AQ675" si="1595">SUM(AQ664:AQ674)</f>
        <v>#N/A</v>
      </c>
      <c r="AR675" s="34" t="e">
        <f t="shared" ref="AR675" si="1596">SUM(AR664:AR674)</f>
        <v>#N/A</v>
      </c>
      <c r="AS675" s="27"/>
      <c r="AT675" s="41"/>
      <c r="AU675" s="41"/>
      <c r="AV675" s="43"/>
      <c r="AW675" s="43"/>
      <c r="AX675" s="43"/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  <c r="BL675" s="43"/>
      <c r="BM675" s="43"/>
      <c r="BN675" s="30"/>
    </row>
    <row r="676" spans="1:66" ht="11.25" customHeight="1" x14ac:dyDescent="0.2">
      <c r="A676" s="75" t="s">
        <v>63</v>
      </c>
      <c r="B676" s="76"/>
      <c r="C676" s="21"/>
      <c r="D676" s="22" t="s">
        <v>75</v>
      </c>
      <c r="E676" s="23" t="s">
        <v>70</v>
      </c>
      <c r="F676" s="23">
        <v>0</v>
      </c>
      <c r="G676" s="23">
        <v>1</v>
      </c>
      <c r="H676" s="23">
        <v>2</v>
      </c>
      <c r="I676" s="23">
        <v>3</v>
      </c>
      <c r="J676" s="23">
        <v>4</v>
      </c>
      <c r="K676" s="23">
        <v>5</v>
      </c>
      <c r="L676" s="23">
        <v>6</v>
      </c>
      <c r="M676" s="23">
        <v>7</v>
      </c>
      <c r="N676" s="23">
        <v>8</v>
      </c>
      <c r="O676" s="23">
        <v>9</v>
      </c>
      <c r="P676" s="23">
        <v>10</v>
      </c>
      <c r="Q676" s="23">
        <v>11</v>
      </c>
      <c r="R676" s="23">
        <v>12</v>
      </c>
      <c r="S676" s="23">
        <v>13</v>
      </c>
      <c r="T676" s="23">
        <v>14</v>
      </c>
      <c r="U676" s="23">
        <v>15</v>
      </c>
      <c r="V676" s="23">
        <v>16</v>
      </c>
      <c r="W676" s="23">
        <v>17</v>
      </c>
      <c r="X676" s="24"/>
      <c r="Y676" s="17"/>
      <c r="Z676" s="25" t="s">
        <v>64</v>
      </c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7"/>
      <c r="AT676" s="28"/>
      <c r="AU676" s="28" t="s">
        <v>64</v>
      </c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30"/>
    </row>
    <row r="677" spans="1:66" ht="11.25" customHeight="1" x14ac:dyDescent="0.2">
      <c r="A677" s="32"/>
      <c r="B677" s="72">
        <v>46</v>
      </c>
      <c r="C677" s="33">
        <v>1</v>
      </c>
      <c r="D677" s="13" t="s">
        <v>440</v>
      </c>
      <c r="E677" s="16">
        <f t="shared" ref="E677:E684" si="1597">SUM(F677:W677)</f>
        <v>32</v>
      </c>
      <c r="F677" s="16">
        <f>SUMIFS([0]!VOTOS2,[0]!TURNO1,F$31,[0]!CANDIDATO1,$C677,[0]!MUNICIPIO1,$B$677)</f>
        <v>10</v>
      </c>
      <c r="G677" s="16">
        <f>SUMIFS([0]!VOTOS2,[0]!TURNO1,G$31,[0]!CANDIDATO1,$C677,[0]!MUNICIPIO1,$B$677)</f>
        <v>0</v>
      </c>
      <c r="H677" s="16">
        <f>SUMIFS([0]!VOTOS2,[0]!TURNO1,H$31,[0]!CANDIDATO1,$C677,[0]!MUNICIPIO1,$B$677)</f>
        <v>22</v>
      </c>
      <c r="I677" s="16">
        <f>SUMIFS([0]!VOTOS2,[0]!TURNO1,I$31,[0]!CANDIDATO1,$C677,[0]!MUNICIPIO1,$B$677)</f>
        <v>0</v>
      </c>
      <c r="J677" s="16">
        <f>SUMIFS([0]!VOTOS2,[0]!TURNO1,J$31,[0]!CANDIDATO1,$C677,[0]!MUNICIPIO1,$B$677)</f>
        <v>0</v>
      </c>
      <c r="K677" s="16">
        <f>SUMIFS([0]!VOTOS2,[0]!TURNO1,K$31,[0]!CANDIDATO1,$C677,[0]!MUNICIPIO1,$B$677)</f>
        <v>0</v>
      </c>
      <c r="L677" s="16">
        <f>SUMIFS([0]!VOTOS2,[0]!TURNO1,L$31,[0]!CANDIDATO1,$C677,[0]!MUNICIPIO1,$B$677)</f>
        <v>0</v>
      </c>
      <c r="M677" s="16">
        <f>SUMIFS([0]!VOTOS2,[0]!TURNO1,M$31,[0]!CANDIDATO1,$C677,[0]!MUNICIPIO1,$B$677)</f>
        <v>0</v>
      </c>
      <c r="N677" s="16">
        <f>SUMIFS([0]!VOTOS2,[0]!TURNO1,N$31,[0]!CANDIDATO1,$C677,[0]!MUNICIPIO1,$B$677)</f>
        <v>0</v>
      </c>
      <c r="O677" s="16">
        <f>SUMIFS([0]!VOTOS2,[0]!TURNO1,O$31,[0]!CANDIDATO1,$C677,[0]!MUNICIPIO1,$B$677)</f>
        <v>0</v>
      </c>
      <c r="P677" s="16">
        <f>SUMIFS([0]!VOTOS2,[0]!TURNO1,P$31,[0]!CANDIDATO1,$C677,[0]!MUNICIPIO1,$B$677)</f>
        <v>0</v>
      </c>
      <c r="Q677" s="16">
        <f>SUMIFS([0]!VOTOS2,[0]!TURNO1,Q$31,[0]!CANDIDATO1,$C677,[0]!MUNICIPIO1,$B$677)</f>
        <v>0</v>
      </c>
      <c r="R677" s="16">
        <f>SUMIFS([0]!VOTOS2,[0]!TURNO1,R$31,[0]!CANDIDATO1,$C677,[0]!MUNICIPIO1,$B$677)</f>
        <v>0</v>
      </c>
      <c r="S677" s="16">
        <f>SUMIFS([0]!VOTOS2,[0]!TURNO1,S$31,[0]!CANDIDATO1,$C677,[0]!MUNICIPIO1,$B$677)</f>
        <v>0</v>
      </c>
      <c r="T677" s="16">
        <f>SUMIFS([0]!VOTOS2,[0]!TURNO1,T$31,[0]!CANDIDATO1,$C677,[0]!MUNICIPIO1,$B$677)</f>
        <v>0</v>
      </c>
      <c r="U677" s="16">
        <f>SUMIFS([0]!VOTOS2,[0]!TURNO1,U$31,[0]!CANDIDATO1,$C677,[0]!MUNICIPIO1,$B$677)</f>
        <v>0</v>
      </c>
      <c r="V677" s="16">
        <f>SUMIFS([0]!VOTOS2,[0]!TURNO1,V$31,[0]!CANDIDATO1,$C677,[0]!MUNICIPIO1,$B$677)</f>
        <v>0</v>
      </c>
      <c r="W677" s="16">
        <f>SUMIFS([0]!VOTOS2,[0]!TURNO1,W$31,[0]!CANDIDATO1,$C677,[0]!MUNICIPIO1,$B$677)</f>
        <v>0</v>
      </c>
      <c r="X677" s="24"/>
      <c r="Y677" s="18" t="str">
        <f t="shared" ref="Y677:Y684" si="1598">D677</f>
        <v>FELIX BRACHO</v>
      </c>
      <c r="Z677" s="34">
        <f t="shared" ref="Z677:Z684" si="1599">E677</f>
        <v>32</v>
      </c>
      <c r="AA677" s="34">
        <f t="shared" ref="AA677:AA684" si="1600">F677</f>
        <v>10</v>
      </c>
      <c r="AB677" s="34" t="e">
        <f t="shared" ref="AB677:AR677" si="1601">IF(SUM(G677:G689)=0,NA(),G677+AA677)</f>
        <v>#N/A</v>
      </c>
      <c r="AC677" s="34" t="e">
        <f t="shared" si="1601"/>
        <v>#N/A</v>
      </c>
      <c r="AD677" s="34" t="e">
        <f t="shared" si="1601"/>
        <v>#N/A</v>
      </c>
      <c r="AE677" s="34" t="e">
        <f t="shared" si="1601"/>
        <v>#N/A</v>
      </c>
      <c r="AF677" s="34" t="e">
        <f t="shared" si="1601"/>
        <v>#N/A</v>
      </c>
      <c r="AG677" s="34" t="e">
        <f t="shared" si="1601"/>
        <v>#N/A</v>
      </c>
      <c r="AH677" s="34" t="e">
        <f t="shared" si="1601"/>
        <v>#N/A</v>
      </c>
      <c r="AI677" s="34" t="e">
        <f t="shared" si="1601"/>
        <v>#N/A</v>
      </c>
      <c r="AJ677" s="34" t="e">
        <f t="shared" si="1601"/>
        <v>#N/A</v>
      </c>
      <c r="AK677" s="34" t="e">
        <f t="shared" si="1601"/>
        <v>#N/A</v>
      </c>
      <c r="AL677" s="34" t="e">
        <f t="shared" si="1601"/>
        <v>#N/A</v>
      </c>
      <c r="AM677" s="34" t="e">
        <f t="shared" si="1601"/>
        <v>#N/A</v>
      </c>
      <c r="AN677" s="34" t="e">
        <f t="shared" si="1601"/>
        <v>#N/A</v>
      </c>
      <c r="AO677" s="34" t="e">
        <f t="shared" si="1601"/>
        <v>#N/A</v>
      </c>
      <c r="AP677" s="34" t="e">
        <f t="shared" si="1601"/>
        <v>#N/A</v>
      </c>
      <c r="AQ677" s="34" t="e">
        <f t="shared" si="1601"/>
        <v>#N/A</v>
      </c>
      <c r="AR677" s="34" t="e">
        <f t="shared" si="1601"/>
        <v>#N/A</v>
      </c>
      <c r="AS677" s="27"/>
      <c r="AT677" s="35" t="str">
        <f t="shared" ref="AT677:AT678" si="1602">Y677</f>
        <v>FELIX BRACHO</v>
      </c>
      <c r="AU677" s="36">
        <f t="shared" ref="AU677:BM677" si="1603">Z677/(Z677+Z678+Z690)</f>
        <v>0.45714285714285713</v>
      </c>
      <c r="AV677" s="36">
        <f t="shared" si="1603"/>
        <v>0.5</v>
      </c>
      <c r="AW677" s="36" t="e">
        <f t="shared" si="1603"/>
        <v>#N/A</v>
      </c>
      <c r="AX677" s="36" t="e">
        <f t="shared" si="1603"/>
        <v>#N/A</v>
      </c>
      <c r="AY677" s="36" t="e">
        <f t="shared" si="1603"/>
        <v>#N/A</v>
      </c>
      <c r="AZ677" s="36" t="e">
        <f t="shared" si="1603"/>
        <v>#N/A</v>
      </c>
      <c r="BA677" s="36" t="e">
        <f t="shared" si="1603"/>
        <v>#N/A</v>
      </c>
      <c r="BB677" s="36" t="e">
        <f t="shared" si="1603"/>
        <v>#N/A</v>
      </c>
      <c r="BC677" s="36" t="e">
        <f t="shared" si="1603"/>
        <v>#N/A</v>
      </c>
      <c r="BD677" s="36" t="e">
        <f t="shared" si="1603"/>
        <v>#N/A</v>
      </c>
      <c r="BE677" s="36" t="e">
        <f t="shared" si="1603"/>
        <v>#N/A</v>
      </c>
      <c r="BF677" s="36" t="e">
        <f t="shared" si="1603"/>
        <v>#N/A</v>
      </c>
      <c r="BG677" s="36" t="e">
        <f t="shared" si="1603"/>
        <v>#N/A</v>
      </c>
      <c r="BH677" s="36" t="e">
        <f t="shared" si="1603"/>
        <v>#N/A</v>
      </c>
      <c r="BI677" s="36" t="e">
        <f t="shared" si="1603"/>
        <v>#N/A</v>
      </c>
      <c r="BJ677" s="36" t="e">
        <f t="shared" si="1603"/>
        <v>#N/A</v>
      </c>
      <c r="BK677" s="36" t="e">
        <f t="shared" si="1603"/>
        <v>#N/A</v>
      </c>
      <c r="BL677" s="36" t="e">
        <f t="shared" si="1603"/>
        <v>#N/A</v>
      </c>
      <c r="BM677" s="36" t="e">
        <f t="shared" si="1603"/>
        <v>#N/A</v>
      </c>
      <c r="BN677" s="30"/>
    </row>
    <row r="678" spans="1:66" ht="11.25" customHeight="1" x14ac:dyDescent="0.2">
      <c r="A678" s="37"/>
      <c r="B678" s="73"/>
      <c r="C678" s="33">
        <v>2</v>
      </c>
      <c r="D678" s="13" t="s">
        <v>441</v>
      </c>
      <c r="E678" s="16">
        <f t="shared" si="1597"/>
        <v>28</v>
      </c>
      <c r="F678" s="16">
        <f>SUMIFS([0]!VOTOS2,[0]!TURNO1,F$31,[0]!CANDIDATO1,$C678,[0]!MUNICIPIO1,$B$677)</f>
        <v>10</v>
      </c>
      <c r="G678" s="16">
        <f>SUMIFS([0]!VOTOS2,[0]!TURNO1,G$31,[0]!CANDIDATO1,$C678,[0]!MUNICIPIO1,$B$677)</f>
        <v>0</v>
      </c>
      <c r="H678" s="16">
        <f>SUMIFS([0]!VOTOS2,[0]!TURNO1,H$31,[0]!CANDIDATO1,$C678,[0]!MUNICIPIO1,$B$677)</f>
        <v>18</v>
      </c>
      <c r="I678" s="16">
        <f>SUMIFS([0]!VOTOS2,[0]!TURNO1,I$31,[0]!CANDIDATO1,$C678,[0]!MUNICIPIO1,$B$677)</f>
        <v>0</v>
      </c>
      <c r="J678" s="16">
        <f>SUMIFS([0]!VOTOS2,[0]!TURNO1,J$31,[0]!CANDIDATO1,$C678,[0]!MUNICIPIO1,$B$677)</f>
        <v>0</v>
      </c>
      <c r="K678" s="16">
        <f>SUMIFS([0]!VOTOS2,[0]!TURNO1,K$31,[0]!CANDIDATO1,$C678,[0]!MUNICIPIO1,$B$677)</f>
        <v>0</v>
      </c>
      <c r="L678" s="16">
        <f>SUMIFS([0]!VOTOS2,[0]!TURNO1,L$31,[0]!CANDIDATO1,$C678,[0]!MUNICIPIO1,$B$677)</f>
        <v>0</v>
      </c>
      <c r="M678" s="16">
        <f>SUMIFS([0]!VOTOS2,[0]!TURNO1,M$31,[0]!CANDIDATO1,$C678,[0]!MUNICIPIO1,$B$677)</f>
        <v>0</v>
      </c>
      <c r="N678" s="16">
        <f>SUMIFS([0]!VOTOS2,[0]!TURNO1,N$31,[0]!CANDIDATO1,$C678,[0]!MUNICIPIO1,$B$677)</f>
        <v>0</v>
      </c>
      <c r="O678" s="16">
        <f>SUMIFS([0]!VOTOS2,[0]!TURNO1,O$31,[0]!CANDIDATO1,$C678,[0]!MUNICIPIO1,$B$677)</f>
        <v>0</v>
      </c>
      <c r="P678" s="16">
        <f>SUMIFS([0]!VOTOS2,[0]!TURNO1,P$31,[0]!CANDIDATO1,$C678,[0]!MUNICIPIO1,$B$677)</f>
        <v>0</v>
      </c>
      <c r="Q678" s="16">
        <f>SUMIFS([0]!VOTOS2,[0]!TURNO1,Q$31,[0]!CANDIDATO1,$C678,[0]!MUNICIPIO1,$B$677)</f>
        <v>0</v>
      </c>
      <c r="R678" s="16">
        <f>SUMIFS([0]!VOTOS2,[0]!TURNO1,R$31,[0]!CANDIDATO1,$C678,[0]!MUNICIPIO1,$B$677)</f>
        <v>0</v>
      </c>
      <c r="S678" s="16">
        <f>SUMIFS([0]!VOTOS2,[0]!TURNO1,S$31,[0]!CANDIDATO1,$C678,[0]!MUNICIPIO1,$B$677)</f>
        <v>0</v>
      </c>
      <c r="T678" s="16">
        <f>SUMIFS([0]!VOTOS2,[0]!TURNO1,T$31,[0]!CANDIDATO1,$C678,[0]!MUNICIPIO1,$B$677)</f>
        <v>0</v>
      </c>
      <c r="U678" s="16">
        <f>SUMIFS([0]!VOTOS2,[0]!TURNO1,U$31,[0]!CANDIDATO1,$C678,[0]!MUNICIPIO1,$B$677)</f>
        <v>0</v>
      </c>
      <c r="V678" s="16">
        <f>SUMIFS([0]!VOTOS2,[0]!TURNO1,V$31,[0]!CANDIDATO1,$C678,[0]!MUNICIPIO1,$B$677)</f>
        <v>0</v>
      </c>
      <c r="W678" s="16">
        <f>SUMIFS([0]!VOTOS2,[0]!TURNO1,W$31,[0]!CANDIDATO1,$C678,[0]!MUNICIPIO1,$B$677)</f>
        <v>0</v>
      </c>
      <c r="X678" s="24"/>
      <c r="Y678" s="18" t="str">
        <f t="shared" si="1598"/>
        <v>ALENIS GUERRERO</v>
      </c>
      <c r="Z678" s="34">
        <f t="shared" si="1599"/>
        <v>28</v>
      </c>
      <c r="AA678" s="34">
        <f t="shared" si="1600"/>
        <v>10</v>
      </c>
      <c r="AB678" s="34" t="e">
        <f t="shared" ref="AB678:AR678" si="1604">IF(SUM(G677:G689)=0,NA(),G678+AA678)</f>
        <v>#N/A</v>
      </c>
      <c r="AC678" s="34" t="e">
        <f t="shared" si="1604"/>
        <v>#N/A</v>
      </c>
      <c r="AD678" s="34" t="e">
        <f t="shared" si="1604"/>
        <v>#N/A</v>
      </c>
      <c r="AE678" s="34" t="e">
        <f t="shared" si="1604"/>
        <v>#N/A</v>
      </c>
      <c r="AF678" s="34" t="e">
        <f t="shared" si="1604"/>
        <v>#N/A</v>
      </c>
      <c r="AG678" s="34" t="e">
        <f t="shared" si="1604"/>
        <v>#N/A</v>
      </c>
      <c r="AH678" s="34" t="e">
        <f t="shared" si="1604"/>
        <v>#N/A</v>
      </c>
      <c r="AI678" s="34" t="e">
        <f t="shared" si="1604"/>
        <v>#N/A</v>
      </c>
      <c r="AJ678" s="34" t="e">
        <f t="shared" si="1604"/>
        <v>#N/A</v>
      </c>
      <c r="AK678" s="34" t="e">
        <f t="shared" si="1604"/>
        <v>#N/A</v>
      </c>
      <c r="AL678" s="34" t="e">
        <f t="shared" si="1604"/>
        <v>#N/A</v>
      </c>
      <c r="AM678" s="34" t="e">
        <f t="shared" si="1604"/>
        <v>#N/A</v>
      </c>
      <c r="AN678" s="34" t="e">
        <f t="shared" si="1604"/>
        <v>#N/A</v>
      </c>
      <c r="AO678" s="34" t="e">
        <f t="shared" si="1604"/>
        <v>#N/A</v>
      </c>
      <c r="AP678" s="34" t="e">
        <f t="shared" si="1604"/>
        <v>#N/A</v>
      </c>
      <c r="AQ678" s="34" t="e">
        <f t="shared" si="1604"/>
        <v>#N/A</v>
      </c>
      <c r="AR678" s="34" t="e">
        <f t="shared" si="1604"/>
        <v>#N/A</v>
      </c>
      <c r="AS678" s="27"/>
      <c r="AT678" s="35" t="str">
        <f t="shared" si="1602"/>
        <v>ALENIS GUERRERO</v>
      </c>
      <c r="AU678" s="36">
        <f t="shared" ref="AU678:BM678" si="1605">Z678/(Z677+Z678+Z690)</f>
        <v>0.4</v>
      </c>
      <c r="AV678" s="36">
        <f t="shared" si="1605"/>
        <v>0.5</v>
      </c>
      <c r="AW678" s="36" t="e">
        <f t="shared" si="1605"/>
        <v>#N/A</v>
      </c>
      <c r="AX678" s="36" t="e">
        <f t="shared" si="1605"/>
        <v>#N/A</v>
      </c>
      <c r="AY678" s="36" t="e">
        <f t="shared" si="1605"/>
        <v>#N/A</v>
      </c>
      <c r="AZ678" s="36" t="e">
        <f t="shared" si="1605"/>
        <v>#N/A</v>
      </c>
      <c r="BA678" s="36" t="e">
        <f t="shared" si="1605"/>
        <v>#N/A</v>
      </c>
      <c r="BB678" s="36" t="e">
        <f t="shared" si="1605"/>
        <v>#N/A</v>
      </c>
      <c r="BC678" s="36" t="e">
        <f t="shared" si="1605"/>
        <v>#N/A</v>
      </c>
      <c r="BD678" s="36" t="e">
        <f t="shared" si="1605"/>
        <v>#N/A</v>
      </c>
      <c r="BE678" s="36" t="e">
        <f t="shared" si="1605"/>
        <v>#N/A</v>
      </c>
      <c r="BF678" s="36" t="e">
        <f t="shared" si="1605"/>
        <v>#N/A</v>
      </c>
      <c r="BG678" s="36" t="e">
        <f t="shared" si="1605"/>
        <v>#N/A</v>
      </c>
      <c r="BH678" s="36" t="e">
        <f t="shared" si="1605"/>
        <v>#N/A</v>
      </c>
      <c r="BI678" s="36" t="e">
        <f t="shared" si="1605"/>
        <v>#N/A</v>
      </c>
      <c r="BJ678" s="36" t="e">
        <f t="shared" si="1605"/>
        <v>#N/A</v>
      </c>
      <c r="BK678" s="36" t="e">
        <f t="shared" si="1605"/>
        <v>#N/A</v>
      </c>
      <c r="BL678" s="36" t="e">
        <f t="shared" si="1605"/>
        <v>#N/A</v>
      </c>
      <c r="BM678" s="36" t="e">
        <f t="shared" si="1605"/>
        <v>#N/A</v>
      </c>
      <c r="BN678" s="30"/>
    </row>
    <row r="679" spans="1:66" ht="11.25" customHeight="1" x14ac:dyDescent="0.2">
      <c r="A679" s="37"/>
      <c r="B679" s="73"/>
      <c r="C679" s="33">
        <v>3</v>
      </c>
      <c r="D679" s="13" t="s">
        <v>442</v>
      </c>
      <c r="E679" s="16">
        <f t="shared" si="1597"/>
        <v>10</v>
      </c>
      <c r="F679" s="16">
        <f>SUMIFS([0]!VOTOS2,[0]!TURNO1,F$31,[0]!CANDIDATO1,$C679,[0]!MUNICIPIO1,$B$677)</f>
        <v>0</v>
      </c>
      <c r="G679" s="16">
        <f>SUMIFS([0]!VOTOS2,[0]!TURNO1,G$31,[0]!CANDIDATO1,$C679,[0]!MUNICIPIO1,$B$677)</f>
        <v>0</v>
      </c>
      <c r="H679" s="16">
        <f>SUMIFS([0]!VOTOS2,[0]!TURNO1,H$31,[0]!CANDIDATO1,$C679,[0]!MUNICIPIO1,$B$677)</f>
        <v>10</v>
      </c>
      <c r="I679" s="16">
        <f>SUMIFS([0]!VOTOS2,[0]!TURNO1,I$31,[0]!CANDIDATO1,$C679,[0]!MUNICIPIO1,$B$677)</f>
        <v>0</v>
      </c>
      <c r="J679" s="16">
        <f>SUMIFS([0]!VOTOS2,[0]!TURNO1,J$31,[0]!CANDIDATO1,$C679,[0]!MUNICIPIO1,$B$677)</f>
        <v>0</v>
      </c>
      <c r="K679" s="16">
        <f>SUMIFS([0]!VOTOS2,[0]!TURNO1,K$31,[0]!CANDIDATO1,$C679,[0]!MUNICIPIO1,$B$677)</f>
        <v>0</v>
      </c>
      <c r="L679" s="16">
        <f>SUMIFS([0]!VOTOS2,[0]!TURNO1,L$31,[0]!CANDIDATO1,$C679,[0]!MUNICIPIO1,$B$677)</f>
        <v>0</v>
      </c>
      <c r="M679" s="16">
        <f>SUMIFS([0]!VOTOS2,[0]!TURNO1,M$31,[0]!CANDIDATO1,$C679,[0]!MUNICIPIO1,$B$677)</f>
        <v>0</v>
      </c>
      <c r="N679" s="16">
        <f>SUMIFS([0]!VOTOS2,[0]!TURNO1,N$31,[0]!CANDIDATO1,$C679,[0]!MUNICIPIO1,$B$677)</f>
        <v>0</v>
      </c>
      <c r="O679" s="16">
        <f>SUMIFS([0]!VOTOS2,[0]!TURNO1,O$31,[0]!CANDIDATO1,$C679,[0]!MUNICIPIO1,$B$677)</f>
        <v>0</v>
      </c>
      <c r="P679" s="16">
        <f>SUMIFS([0]!VOTOS2,[0]!TURNO1,P$31,[0]!CANDIDATO1,$C679,[0]!MUNICIPIO1,$B$677)</f>
        <v>0</v>
      </c>
      <c r="Q679" s="16">
        <f>SUMIFS([0]!VOTOS2,[0]!TURNO1,Q$31,[0]!CANDIDATO1,$C679,[0]!MUNICIPIO1,$B$677)</f>
        <v>0</v>
      </c>
      <c r="R679" s="16">
        <f>SUMIFS([0]!VOTOS2,[0]!TURNO1,R$31,[0]!CANDIDATO1,$C679,[0]!MUNICIPIO1,$B$677)</f>
        <v>0</v>
      </c>
      <c r="S679" s="16">
        <f>SUMIFS([0]!VOTOS2,[0]!TURNO1,S$31,[0]!CANDIDATO1,$C679,[0]!MUNICIPIO1,$B$677)</f>
        <v>0</v>
      </c>
      <c r="T679" s="16">
        <f>SUMIFS([0]!VOTOS2,[0]!TURNO1,T$31,[0]!CANDIDATO1,$C679,[0]!MUNICIPIO1,$B$677)</f>
        <v>0</v>
      </c>
      <c r="U679" s="16">
        <f>SUMIFS([0]!VOTOS2,[0]!TURNO1,U$31,[0]!CANDIDATO1,$C679,[0]!MUNICIPIO1,$B$677)</f>
        <v>0</v>
      </c>
      <c r="V679" s="16">
        <f>SUMIFS([0]!VOTOS2,[0]!TURNO1,V$31,[0]!CANDIDATO1,$C679,[0]!MUNICIPIO1,$B$677)</f>
        <v>0</v>
      </c>
      <c r="W679" s="16">
        <f>SUMIFS([0]!VOTOS2,[0]!TURNO1,W$31,[0]!CANDIDATO1,$C679,[0]!MUNICIPIO1,$B$677)</f>
        <v>0</v>
      </c>
      <c r="X679" s="24"/>
      <c r="Y679" s="18" t="str">
        <f t="shared" si="1598"/>
        <v>EDWIN MARTINEZ</v>
      </c>
      <c r="Z679" s="34">
        <f t="shared" si="1599"/>
        <v>10</v>
      </c>
      <c r="AA679" s="34">
        <f t="shared" si="1600"/>
        <v>0</v>
      </c>
      <c r="AB679" s="34" t="e">
        <f t="shared" ref="AB679:AR679" si="1606">IF(SUM(G677:G689)=0,NA(),G679+AA679)</f>
        <v>#N/A</v>
      </c>
      <c r="AC679" s="34" t="e">
        <f t="shared" si="1606"/>
        <v>#N/A</v>
      </c>
      <c r="AD679" s="34" t="e">
        <f t="shared" si="1606"/>
        <v>#N/A</v>
      </c>
      <c r="AE679" s="34" t="e">
        <f t="shared" si="1606"/>
        <v>#N/A</v>
      </c>
      <c r="AF679" s="34" t="e">
        <f t="shared" si="1606"/>
        <v>#N/A</v>
      </c>
      <c r="AG679" s="34" t="e">
        <f t="shared" si="1606"/>
        <v>#N/A</v>
      </c>
      <c r="AH679" s="34" t="e">
        <f t="shared" si="1606"/>
        <v>#N/A</v>
      </c>
      <c r="AI679" s="34" t="e">
        <f t="shared" si="1606"/>
        <v>#N/A</v>
      </c>
      <c r="AJ679" s="34" t="e">
        <f t="shared" si="1606"/>
        <v>#N/A</v>
      </c>
      <c r="AK679" s="34" t="e">
        <f t="shared" si="1606"/>
        <v>#N/A</v>
      </c>
      <c r="AL679" s="34" t="e">
        <f t="shared" si="1606"/>
        <v>#N/A</v>
      </c>
      <c r="AM679" s="34" t="e">
        <f t="shared" si="1606"/>
        <v>#N/A</v>
      </c>
      <c r="AN679" s="34" t="e">
        <f t="shared" si="1606"/>
        <v>#N/A</v>
      </c>
      <c r="AO679" s="34" t="e">
        <f t="shared" si="1606"/>
        <v>#N/A</v>
      </c>
      <c r="AP679" s="34" t="e">
        <f t="shared" si="1606"/>
        <v>#N/A</v>
      </c>
      <c r="AQ679" s="34" t="e">
        <f t="shared" si="1606"/>
        <v>#N/A</v>
      </c>
      <c r="AR679" s="34" t="e">
        <f t="shared" si="1606"/>
        <v>#N/A</v>
      </c>
      <c r="AS679" s="27"/>
      <c r="AT679" s="35" t="str">
        <f t="shared" ref="AT679" si="1607">Y690</f>
        <v>Otros</v>
      </c>
      <c r="AU679" s="36">
        <f t="shared" ref="AU679:BM679" si="1608">Z690/(Z677+Z678+Z690)</f>
        <v>0.14285714285714285</v>
      </c>
      <c r="AV679" s="36">
        <f t="shared" si="1608"/>
        <v>0</v>
      </c>
      <c r="AW679" s="36" t="e">
        <f t="shared" si="1608"/>
        <v>#N/A</v>
      </c>
      <c r="AX679" s="36" t="e">
        <f t="shared" si="1608"/>
        <v>#N/A</v>
      </c>
      <c r="AY679" s="36" t="e">
        <f t="shared" si="1608"/>
        <v>#N/A</v>
      </c>
      <c r="AZ679" s="36" t="e">
        <f t="shared" si="1608"/>
        <v>#N/A</v>
      </c>
      <c r="BA679" s="36" t="e">
        <f t="shared" si="1608"/>
        <v>#N/A</v>
      </c>
      <c r="BB679" s="36" t="e">
        <f t="shared" si="1608"/>
        <v>#N/A</v>
      </c>
      <c r="BC679" s="36" t="e">
        <f t="shared" si="1608"/>
        <v>#N/A</v>
      </c>
      <c r="BD679" s="36" t="e">
        <f t="shared" si="1608"/>
        <v>#N/A</v>
      </c>
      <c r="BE679" s="36" t="e">
        <f t="shared" si="1608"/>
        <v>#N/A</v>
      </c>
      <c r="BF679" s="36" t="e">
        <f t="shared" si="1608"/>
        <v>#N/A</v>
      </c>
      <c r="BG679" s="36" t="e">
        <f t="shared" si="1608"/>
        <v>#N/A</v>
      </c>
      <c r="BH679" s="36" t="e">
        <f t="shared" si="1608"/>
        <v>#N/A</v>
      </c>
      <c r="BI679" s="36" t="e">
        <f t="shared" si="1608"/>
        <v>#N/A</v>
      </c>
      <c r="BJ679" s="36" t="e">
        <f t="shared" si="1608"/>
        <v>#N/A</v>
      </c>
      <c r="BK679" s="36" t="e">
        <f t="shared" si="1608"/>
        <v>#N/A</v>
      </c>
      <c r="BL679" s="36" t="e">
        <f t="shared" si="1608"/>
        <v>#N/A</v>
      </c>
      <c r="BM679" s="36" t="e">
        <f t="shared" si="1608"/>
        <v>#N/A</v>
      </c>
      <c r="BN679" s="30"/>
    </row>
    <row r="680" spans="1:66" ht="11.25" customHeight="1" x14ac:dyDescent="0.2">
      <c r="A680" s="38" t="s">
        <v>54</v>
      </c>
      <c r="B680" s="73"/>
      <c r="C680" s="33">
        <v>4</v>
      </c>
      <c r="D680" s="13" t="s">
        <v>443</v>
      </c>
      <c r="E680" s="16">
        <f t="shared" si="1597"/>
        <v>0</v>
      </c>
      <c r="F680" s="16">
        <f>SUMIFS([0]!VOTOS2,[0]!TURNO1,F$31,[0]!CANDIDATO1,$C680,[0]!MUNICIPIO1,$B$677)</f>
        <v>0</v>
      </c>
      <c r="G680" s="16">
        <f>SUMIFS([0]!VOTOS2,[0]!TURNO1,G$31,[0]!CANDIDATO1,$C680,[0]!MUNICIPIO1,$B$677)</f>
        <v>0</v>
      </c>
      <c r="H680" s="16">
        <f>SUMIFS([0]!VOTOS2,[0]!TURNO1,H$31,[0]!CANDIDATO1,$C680,[0]!MUNICIPIO1,$B$677)</f>
        <v>0</v>
      </c>
      <c r="I680" s="16">
        <f>SUMIFS([0]!VOTOS2,[0]!TURNO1,I$31,[0]!CANDIDATO1,$C680,[0]!MUNICIPIO1,$B$677)</f>
        <v>0</v>
      </c>
      <c r="J680" s="16">
        <f>SUMIFS([0]!VOTOS2,[0]!TURNO1,J$31,[0]!CANDIDATO1,$C680,[0]!MUNICIPIO1,$B$677)</f>
        <v>0</v>
      </c>
      <c r="K680" s="16">
        <f>SUMIFS([0]!VOTOS2,[0]!TURNO1,K$31,[0]!CANDIDATO1,$C680,[0]!MUNICIPIO1,$B$677)</f>
        <v>0</v>
      </c>
      <c r="L680" s="16">
        <f>SUMIFS([0]!VOTOS2,[0]!TURNO1,L$31,[0]!CANDIDATO1,$C680,[0]!MUNICIPIO1,$B$677)</f>
        <v>0</v>
      </c>
      <c r="M680" s="16">
        <f>SUMIFS([0]!VOTOS2,[0]!TURNO1,M$31,[0]!CANDIDATO1,$C680,[0]!MUNICIPIO1,$B$677)</f>
        <v>0</v>
      </c>
      <c r="N680" s="16">
        <f>SUMIFS([0]!VOTOS2,[0]!TURNO1,N$31,[0]!CANDIDATO1,$C680,[0]!MUNICIPIO1,$B$677)</f>
        <v>0</v>
      </c>
      <c r="O680" s="16">
        <f>SUMIFS([0]!VOTOS2,[0]!TURNO1,O$31,[0]!CANDIDATO1,$C680,[0]!MUNICIPIO1,$B$677)</f>
        <v>0</v>
      </c>
      <c r="P680" s="16">
        <f>SUMIFS([0]!VOTOS2,[0]!TURNO1,P$31,[0]!CANDIDATO1,$C680,[0]!MUNICIPIO1,$B$677)</f>
        <v>0</v>
      </c>
      <c r="Q680" s="16">
        <f>SUMIFS([0]!VOTOS2,[0]!TURNO1,Q$31,[0]!CANDIDATO1,$C680,[0]!MUNICIPIO1,$B$677)</f>
        <v>0</v>
      </c>
      <c r="R680" s="16">
        <f>SUMIFS([0]!VOTOS2,[0]!TURNO1,R$31,[0]!CANDIDATO1,$C680,[0]!MUNICIPIO1,$B$677)</f>
        <v>0</v>
      </c>
      <c r="S680" s="16">
        <f>SUMIFS([0]!VOTOS2,[0]!TURNO1,S$31,[0]!CANDIDATO1,$C680,[0]!MUNICIPIO1,$B$677)</f>
        <v>0</v>
      </c>
      <c r="T680" s="16">
        <f>SUMIFS([0]!VOTOS2,[0]!TURNO1,T$31,[0]!CANDIDATO1,$C680,[0]!MUNICIPIO1,$B$677)</f>
        <v>0</v>
      </c>
      <c r="U680" s="16">
        <f>SUMIFS([0]!VOTOS2,[0]!TURNO1,U$31,[0]!CANDIDATO1,$C680,[0]!MUNICIPIO1,$B$677)</f>
        <v>0</v>
      </c>
      <c r="V680" s="16">
        <f>SUMIFS([0]!VOTOS2,[0]!TURNO1,V$31,[0]!CANDIDATO1,$C680,[0]!MUNICIPIO1,$B$677)</f>
        <v>0</v>
      </c>
      <c r="W680" s="16">
        <f>SUMIFS([0]!VOTOS2,[0]!TURNO1,W$31,[0]!CANDIDATO1,$C680,[0]!MUNICIPIO1,$B$677)</f>
        <v>0</v>
      </c>
      <c r="X680" s="24"/>
      <c r="Y680" s="18" t="str">
        <f t="shared" si="1598"/>
        <v>RUTH URRIBARRI</v>
      </c>
      <c r="Z680" s="34">
        <f t="shared" si="1599"/>
        <v>0</v>
      </c>
      <c r="AA680" s="34">
        <f t="shared" si="1600"/>
        <v>0</v>
      </c>
      <c r="AB680" s="34" t="e">
        <f t="shared" ref="AB680:AR680" si="1609">IF(SUM(G677:G689)=0,NA(),G680+AA680)</f>
        <v>#N/A</v>
      </c>
      <c r="AC680" s="34" t="e">
        <f t="shared" si="1609"/>
        <v>#N/A</v>
      </c>
      <c r="AD680" s="34" t="e">
        <f t="shared" si="1609"/>
        <v>#N/A</v>
      </c>
      <c r="AE680" s="34" t="e">
        <f t="shared" si="1609"/>
        <v>#N/A</v>
      </c>
      <c r="AF680" s="34" t="e">
        <f t="shared" si="1609"/>
        <v>#N/A</v>
      </c>
      <c r="AG680" s="34" t="e">
        <f t="shared" si="1609"/>
        <v>#N/A</v>
      </c>
      <c r="AH680" s="34" t="e">
        <f t="shared" si="1609"/>
        <v>#N/A</v>
      </c>
      <c r="AI680" s="34" t="e">
        <f t="shared" si="1609"/>
        <v>#N/A</v>
      </c>
      <c r="AJ680" s="34" t="e">
        <f t="shared" si="1609"/>
        <v>#N/A</v>
      </c>
      <c r="AK680" s="34" t="e">
        <f t="shared" si="1609"/>
        <v>#N/A</v>
      </c>
      <c r="AL680" s="34" t="e">
        <f t="shared" si="1609"/>
        <v>#N/A</v>
      </c>
      <c r="AM680" s="34" t="e">
        <f t="shared" si="1609"/>
        <v>#N/A</v>
      </c>
      <c r="AN680" s="34" t="e">
        <f t="shared" si="1609"/>
        <v>#N/A</v>
      </c>
      <c r="AO680" s="34" t="e">
        <f t="shared" si="1609"/>
        <v>#N/A</v>
      </c>
      <c r="AP680" s="34" t="e">
        <f t="shared" si="1609"/>
        <v>#N/A</v>
      </c>
      <c r="AQ680" s="34" t="e">
        <f t="shared" si="1609"/>
        <v>#N/A</v>
      </c>
      <c r="AR680" s="34" t="e">
        <f t="shared" si="1609"/>
        <v>#N/A</v>
      </c>
      <c r="AS680" s="27"/>
      <c r="AT680" s="39"/>
      <c r="AU680" s="39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30"/>
    </row>
    <row r="681" spans="1:66" ht="11.25" customHeight="1" x14ac:dyDescent="0.2">
      <c r="A681" s="38" t="s">
        <v>55</v>
      </c>
      <c r="B681" s="73"/>
      <c r="C681" s="33">
        <v>5</v>
      </c>
      <c r="D681" s="13" t="s">
        <v>444</v>
      </c>
      <c r="E681" s="16">
        <f t="shared" si="1597"/>
        <v>0</v>
      </c>
      <c r="F681" s="16">
        <f>SUMIFS([0]!VOTOS2,[0]!TURNO1,F$31,[0]!CANDIDATO1,$C681,[0]!MUNICIPIO1,$B$677)</f>
        <v>0</v>
      </c>
      <c r="G681" s="16">
        <f>SUMIFS([0]!VOTOS2,[0]!TURNO1,G$31,[0]!CANDIDATO1,$C681,[0]!MUNICIPIO1,$B$677)</f>
        <v>0</v>
      </c>
      <c r="H681" s="16">
        <f>SUMIFS([0]!VOTOS2,[0]!TURNO1,H$31,[0]!CANDIDATO1,$C681,[0]!MUNICIPIO1,$B$677)</f>
        <v>0</v>
      </c>
      <c r="I681" s="16">
        <f>SUMIFS([0]!VOTOS2,[0]!TURNO1,I$31,[0]!CANDIDATO1,$C681,[0]!MUNICIPIO1,$B$677)</f>
        <v>0</v>
      </c>
      <c r="J681" s="16">
        <f>SUMIFS([0]!VOTOS2,[0]!TURNO1,J$31,[0]!CANDIDATO1,$C681,[0]!MUNICIPIO1,$B$677)</f>
        <v>0</v>
      </c>
      <c r="K681" s="16">
        <f>SUMIFS([0]!VOTOS2,[0]!TURNO1,K$31,[0]!CANDIDATO1,$C681,[0]!MUNICIPIO1,$B$677)</f>
        <v>0</v>
      </c>
      <c r="L681" s="16">
        <f>SUMIFS([0]!VOTOS2,[0]!TURNO1,L$31,[0]!CANDIDATO1,$C681,[0]!MUNICIPIO1,$B$677)</f>
        <v>0</v>
      </c>
      <c r="M681" s="16">
        <f>SUMIFS([0]!VOTOS2,[0]!TURNO1,M$31,[0]!CANDIDATO1,$C681,[0]!MUNICIPIO1,$B$677)</f>
        <v>0</v>
      </c>
      <c r="N681" s="16">
        <f>SUMIFS([0]!VOTOS2,[0]!TURNO1,N$31,[0]!CANDIDATO1,$C681,[0]!MUNICIPIO1,$B$677)</f>
        <v>0</v>
      </c>
      <c r="O681" s="16">
        <f>SUMIFS([0]!VOTOS2,[0]!TURNO1,O$31,[0]!CANDIDATO1,$C681,[0]!MUNICIPIO1,$B$677)</f>
        <v>0</v>
      </c>
      <c r="P681" s="16">
        <f>SUMIFS([0]!VOTOS2,[0]!TURNO1,P$31,[0]!CANDIDATO1,$C681,[0]!MUNICIPIO1,$B$677)</f>
        <v>0</v>
      </c>
      <c r="Q681" s="16">
        <f>SUMIFS([0]!VOTOS2,[0]!TURNO1,Q$31,[0]!CANDIDATO1,$C681,[0]!MUNICIPIO1,$B$677)</f>
        <v>0</v>
      </c>
      <c r="R681" s="16">
        <f>SUMIFS([0]!VOTOS2,[0]!TURNO1,R$31,[0]!CANDIDATO1,$C681,[0]!MUNICIPIO1,$B$677)</f>
        <v>0</v>
      </c>
      <c r="S681" s="16">
        <f>SUMIFS([0]!VOTOS2,[0]!TURNO1,S$31,[0]!CANDIDATO1,$C681,[0]!MUNICIPIO1,$B$677)</f>
        <v>0</v>
      </c>
      <c r="T681" s="16">
        <f>SUMIFS([0]!VOTOS2,[0]!TURNO1,T$31,[0]!CANDIDATO1,$C681,[0]!MUNICIPIO1,$B$677)</f>
        <v>0</v>
      </c>
      <c r="U681" s="16">
        <f>SUMIFS([0]!VOTOS2,[0]!TURNO1,U$31,[0]!CANDIDATO1,$C681,[0]!MUNICIPIO1,$B$677)</f>
        <v>0</v>
      </c>
      <c r="V681" s="16">
        <f>SUMIFS([0]!VOTOS2,[0]!TURNO1,V$31,[0]!CANDIDATO1,$C681,[0]!MUNICIPIO1,$B$677)</f>
        <v>0</v>
      </c>
      <c r="W681" s="16">
        <f>SUMIFS([0]!VOTOS2,[0]!TURNO1,W$31,[0]!CANDIDATO1,$C681,[0]!MUNICIPIO1,$B$677)</f>
        <v>0</v>
      </c>
      <c r="X681" s="24"/>
      <c r="Y681" s="18" t="str">
        <f t="shared" si="1598"/>
        <v>MARCELO MONNOT</v>
      </c>
      <c r="Z681" s="34">
        <f t="shared" si="1599"/>
        <v>0</v>
      </c>
      <c r="AA681" s="34">
        <f t="shared" si="1600"/>
        <v>0</v>
      </c>
      <c r="AB681" s="34" t="e">
        <f t="shared" ref="AB681:AR681" si="1610">IF(SUM(G677:G689)=0,NA(),G681+AA681)</f>
        <v>#N/A</v>
      </c>
      <c r="AC681" s="34" t="e">
        <f t="shared" si="1610"/>
        <v>#N/A</v>
      </c>
      <c r="AD681" s="34" t="e">
        <f t="shared" si="1610"/>
        <v>#N/A</v>
      </c>
      <c r="AE681" s="34" t="e">
        <f t="shared" si="1610"/>
        <v>#N/A</v>
      </c>
      <c r="AF681" s="34" t="e">
        <f t="shared" si="1610"/>
        <v>#N/A</v>
      </c>
      <c r="AG681" s="34" t="e">
        <f t="shared" si="1610"/>
        <v>#N/A</v>
      </c>
      <c r="AH681" s="34" t="e">
        <f t="shared" si="1610"/>
        <v>#N/A</v>
      </c>
      <c r="AI681" s="34" t="e">
        <f t="shared" si="1610"/>
        <v>#N/A</v>
      </c>
      <c r="AJ681" s="34" t="e">
        <f t="shared" si="1610"/>
        <v>#N/A</v>
      </c>
      <c r="AK681" s="34" t="e">
        <f t="shared" si="1610"/>
        <v>#N/A</v>
      </c>
      <c r="AL681" s="34" t="e">
        <f t="shared" si="1610"/>
        <v>#N/A</v>
      </c>
      <c r="AM681" s="34" t="e">
        <f t="shared" si="1610"/>
        <v>#N/A</v>
      </c>
      <c r="AN681" s="34" t="e">
        <f t="shared" si="1610"/>
        <v>#N/A</v>
      </c>
      <c r="AO681" s="34" t="e">
        <f t="shared" si="1610"/>
        <v>#N/A</v>
      </c>
      <c r="AP681" s="34" t="e">
        <f t="shared" si="1610"/>
        <v>#N/A</v>
      </c>
      <c r="AQ681" s="34" t="e">
        <f t="shared" si="1610"/>
        <v>#N/A</v>
      </c>
      <c r="AR681" s="34" t="e">
        <f t="shared" si="1610"/>
        <v>#N/A</v>
      </c>
      <c r="AS681" s="27"/>
      <c r="AT681" s="39"/>
      <c r="AU681" s="39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30"/>
    </row>
    <row r="682" spans="1:66" ht="11.25" customHeight="1" x14ac:dyDescent="0.2">
      <c r="A682" s="37"/>
      <c r="B682" s="73"/>
      <c r="C682" s="33">
        <v>6</v>
      </c>
      <c r="D682" s="13" t="s">
        <v>321</v>
      </c>
      <c r="E682" s="16">
        <f t="shared" si="1597"/>
        <v>0</v>
      </c>
      <c r="F682" s="16">
        <f>SUMIFS([0]!VOTOS2,[0]!TURNO1,F$31,[0]!CANDIDATO1,$C682,[0]!MUNICIPIO1,$B$677)</f>
        <v>0</v>
      </c>
      <c r="G682" s="16">
        <f>SUMIFS([0]!VOTOS2,[0]!TURNO1,G$31,[0]!CANDIDATO1,$C682,[0]!MUNICIPIO1,$B$677)</f>
        <v>0</v>
      </c>
      <c r="H682" s="16">
        <f>SUMIFS([0]!VOTOS2,[0]!TURNO1,H$31,[0]!CANDIDATO1,$C682,[0]!MUNICIPIO1,$B$677)</f>
        <v>0</v>
      </c>
      <c r="I682" s="16">
        <f>SUMIFS([0]!VOTOS2,[0]!TURNO1,I$31,[0]!CANDIDATO1,$C682,[0]!MUNICIPIO1,$B$677)</f>
        <v>0</v>
      </c>
      <c r="J682" s="16">
        <f>SUMIFS([0]!VOTOS2,[0]!TURNO1,J$31,[0]!CANDIDATO1,$C682,[0]!MUNICIPIO1,$B$677)</f>
        <v>0</v>
      </c>
      <c r="K682" s="16">
        <f>SUMIFS([0]!VOTOS2,[0]!TURNO1,K$31,[0]!CANDIDATO1,$C682,[0]!MUNICIPIO1,$B$677)</f>
        <v>0</v>
      </c>
      <c r="L682" s="16">
        <f>SUMIFS([0]!VOTOS2,[0]!TURNO1,L$31,[0]!CANDIDATO1,$C682,[0]!MUNICIPIO1,$B$677)</f>
        <v>0</v>
      </c>
      <c r="M682" s="16">
        <f>SUMIFS([0]!VOTOS2,[0]!TURNO1,M$31,[0]!CANDIDATO1,$C682,[0]!MUNICIPIO1,$B$677)</f>
        <v>0</v>
      </c>
      <c r="N682" s="16">
        <f>SUMIFS([0]!VOTOS2,[0]!TURNO1,N$31,[0]!CANDIDATO1,$C682,[0]!MUNICIPIO1,$B$677)</f>
        <v>0</v>
      </c>
      <c r="O682" s="16">
        <f>SUMIFS([0]!VOTOS2,[0]!TURNO1,O$31,[0]!CANDIDATO1,$C682,[0]!MUNICIPIO1,$B$677)</f>
        <v>0</v>
      </c>
      <c r="P682" s="16">
        <f>SUMIFS([0]!VOTOS2,[0]!TURNO1,P$31,[0]!CANDIDATO1,$C682,[0]!MUNICIPIO1,$B$677)</f>
        <v>0</v>
      </c>
      <c r="Q682" s="16">
        <f>SUMIFS([0]!VOTOS2,[0]!TURNO1,Q$31,[0]!CANDIDATO1,$C682,[0]!MUNICIPIO1,$B$677)</f>
        <v>0</v>
      </c>
      <c r="R682" s="16">
        <f>SUMIFS([0]!VOTOS2,[0]!TURNO1,R$31,[0]!CANDIDATO1,$C682,[0]!MUNICIPIO1,$B$677)</f>
        <v>0</v>
      </c>
      <c r="S682" s="16">
        <f>SUMIFS([0]!VOTOS2,[0]!TURNO1,S$31,[0]!CANDIDATO1,$C682,[0]!MUNICIPIO1,$B$677)</f>
        <v>0</v>
      </c>
      <c r="T682" s="16">
        <f>SUMIFS([0]!VOTOS2,[0]!TURNO1,T$31,[0]!CANDIDATO1,$C682,[0]!MUNICIPIO1,$B$677)</f>
        <v>0</v>
      </c>
      <c r="U682" s="16">
        <f>SUMIFS([0]!VOTOS2,[0]!TURNO1,U$31,[0]!CANDIDATO1,$C682,[0]!MUNICIPIO1,$B$677)</f>
        <v>0</v>
      </c>
      <c r="V682" s="16">
        <f>SUMIFS([0]!VOTOS2,[0]!TURNO1,V$31,[0]!CANDIDATO1,$C682,[0]!MUNICIPIO1,$B$677)</f>
        <v>0</v>
      </c>
      <c r="W682" s="16">
        <f>SUMIFS([0]!VOTOS2,[0]!TURNO1,W$31,[0]!CANDIDATO1,$C682,[0]!MUNICIPIO1,$B$677)</f>
        <v>0</v>
      </c>
      <c r="X682" s="24"/>
      <c r="Y682" s="18" t="str">
        <f t="shared" si="1598"/>
        <v>CARLOS GARCIA</v>
      </c>
      <c r="Z682" s="34">
        <f t="shared" si="1599"/>
        <v>0</v>
      </c>
      <c r="AA682" s="34">
        <f t="shared" si="1600"/>
        <v>0</v>
      </c>
      <c r="AB682" s="34" t="e">
        <f t="shared" ref="AB682:AR682" si="1611">IF(SUM(G677:G689)=0,NA(),G682+AA682)</f>
        <v>#N/A</v>
      </c>
      <c r="AC682" s="34" t="e">
        <f t="shared" si="1611"/>
        <v>#N/A</v>
      </c>
      <c r="AD682" s="34" t="e">
        <f t="shared" si="1611"/>
        <v>#N/A</v>
      </c>
      <c r="AE682" s="34" t="e">
        <f t="shared" si="1611"/>
        <v>#N/A</v>
      </c>
      <c r="AF682" s="34" t="e">
        <f t="shared" si="1611"/>
        <v>#N/A</v>
      </c>
      <c r="AG682" s="34" t="e">
        <f t="shared" si="1611"/>
        <v>#N/A</v>
      </c>
      <c r="AH682" s="34" t="e">
        <f t="shared" si="1611"/>
        <v>#N/A</v>
      </c>
      <c r="AI682" s="34" t="e">
        <f t="shared" si="1611"/>
        <v>#N/A</v>
      </c>
      <c r="AJ682" s="34" t="e">
        <f t="shared" si="1611"/>
        <v>#N/A</v>
      </c>
      <c r="AK682" s="34" t="e">
        <f t="shared" si="1611"/>
        <v>#N/A</v>
      </c>
      <c r="AL682" s="34" t="e">
        <f t="shared" si="1611"/>
        <v>#N/A</v>
      </c>
      <c r="AM682" s="34" t="e">
        <f t="shared" si="1611"/>
        <v>#N/A</v>
      </c>
      <c r="AN682" s="34" t="e">
        <f t="shared" si="1611"/>
        <v>#N/A</v>
      </c>
      <c r="AO682" s="34" t="e">
        <f t="shared" si="1611"/>
        <v>#N/A</v>
      </c>
      <c r="AP682" s="34" t="e">
        <f t="shared" si="1611"/>
        <v>#N/A</v>
      </c>
      <c r="AQ682" s="34" t="e">
        <f t="shared" si="1611"/>
        <v>#N/A</v>
      </c>
      <c r="AR682" s="34" t="e">
        <f t="shared" si="1611"/>
        <v>#N/A</v>
      </c>
      <c r="AS682" s="27"/>
      <c r="AT682" s="39"/>
      <c r="AU682" s="39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30"/>
    </row>
    <row r="683" spans="1:66" ht="11.25" customHeight="1" x14ac:dyDescent="0.2">
      <c r="A683" s="37"/>
      <c r="B683" s="73"/>
      <c r="C683" s="33">
        <v>7</v>
      </c>
      <c r="D683" s="13" t="s">
        <v>445</v>
      </c>
      <c r="E683" s="16">
        <f t="shared" si="1597"/>
        <v>0</v>
      </c>
      <c r="F683" s="16">
        <f>SUMIFS([0]!VOTOS2,[0]!TURNO1,F$31,[0]!CANDIDATO1,$C683,[0]!MUNICIPIO1,$B$677)</f>
        <v>0</v>
      </c>
      <c r="G683" s="16">
        <f>SUMIFS([0]!VOTOS2,[0]!TURNO1,G$31,[0]!CANDIDATO1,$C683,[0]!MUNICIPIO1,$B$677)</f>
        <v>0</v>
      </c>
      <c r="H683" s="16">
        <f>SUMIFS([0]!VOTOS2,[0]!TURNO1,H$31,[0]!CANDIDATO1,$C683,[0]!MUNICIPIO1,$B$677)</f>
        <v>0</v>
      </c>
      <c r="I683" s="16">
        <f>SUMIFS([0]!VOTOS2,[0]!TURNO1,I$31,[0]!CANDIDATO1,$C683,[0]!MUNICIPIO1,$B$677)</f>
        <v>0</v>
      </c>
      <c r="J683" s="16">
        <f>SUMIFS([0]!VOTOS2,[0]!TURNO1,J$31,[0]!CANDIDATO1,$C683,[0]!MUNICIPIO1,$B$677)</f>
        <v>0</v>
      </c>
      <c r="K683" s="16">
        <f>SUMIFS([0]!VOTOS2,[0]!TURNO1,K$31,[0]!CANDIDATO1,$C683,[0]!MUNICIPIO1,$B$677)</f>
        <v>0</v>
      </c>
      <c r="L683" s="16">
        <f>SUMIFS([0]!VOTOS2,[0]!TURNO1,L$31,[0]!CANDIDATO1,$C683,[0]!MUNICIPIO1,$B$677)</f>
        <v>0</v>
      </c>
      <c r="M683" s="16">
        <f>SUMIFS([0]!VOTOS2,[0]!TURNO1,M$31,[0]!CANDIDATO1,$C683,[0]!MUNICIPIO1,$B$677)</f>
        <v>0</v>
      </c>
      <c r="N683" s="16">
        <f>SUMIFS([0]!VOTOS2,[0]!TURNO1,N$31,[0]!CANDIDATO1,$C683,[0]!MUNICIPIO1,$B$677)</f>
        <v>0</v>
      </c>
      <c r="O683" s="16">
        <f>SUMIFS([0]!VOTOS2,[0]!TURNO1,O$31,[0]!CANDIDATO1,$C683,[0]!MUNICIPIO1,$B$677)</f>
        <v>0</v>
      </c>
      <c r="P683" s="16">
        <f>SUMIFS([0]!VOTOS2,[0]!TURNO1,P$31,[0]!CANDIDATO1,$C683,[0]!MUNICIPIO1,$B$677)</f>
        <v>0</v>
      </c>
      <c r="Q683" s="16">
        <f>SUMIFS([0]!VOTOS2,[0]!TURNO1,Q$31,[0]!CANDIDATO1,$C683,[0]!MUNICIPIO1,$B$677)</f>
        <v>0</v>
      </c>
      <c r="R683" s="16">
        <f>SUMIFS([0]!VOTOS2,[0]!TURNO1,R$31,[0]!CANDIDATO1,$C683,[0]!MUNICIPIO1,$B$677)</f>
        <v>0</v>
      </c>
      <c r="S683" s="16">
        <f>SUMIFS([0]!VOTOS2,[0]!TURNO1,S$31,[0]!CANDIDATO1,$C683,[0]!MUNICIPIO1,$B$677)</f>
        <v>0</v>
      </c>
      <c r="T683" s="16">
        <f>SUMIFS([0]!VOTOS2,[0]!TURNO1,T$31,[0]!CANDIDATO1,$C683,[0]!MUNICIPIO1,$B$677)</f>
        <v>0</v>
      </c>
      <c r="U683" s="16">
        <f>SUMIFS([0]!VOTOS2,[0]!TURNO1,U$31,[0]!CANDIDATO1,$C683,[0]!MUNICIPIO1,$B$677)</f>
        <v>0</v>
      </c>
      <c r="V683" s="16">
        <f>SUMIFS([0]!VOTOS2,[0]!TURNO1,V$31,[0]!CANDIDATO1,$C683,[0]!MUNICIPIO1,$B$677)</f>
        <v>0</v>
      </c>
      <c r="W683" s="16">
        <f>SUMIFS([0]!VOTOS2,[0]!TURNO1,W$31,[0]!CANDIDATO1,$C683,[0]!MUNICIPIO1,$B$677)</f>
        <v>0</v>
      </c>
      <c r="X683" s="24"/>
      <c r="Y683" s="18" t="str">
        <f t="shared" si="1598"/>
        <v>RALY VARGAS</v>
      </c>
      <c r="Z683" s="34">
        <f t="shared" si="1599"/>
        <v>0</v>
      </c>
      <c r="AA683" s="34">
        <f t="shared" si="1600"/>
        <v>0</v>
      </c>
      <c r="AB683" s="34" t="e">
        <f t="shared" ref="AB683:AR683" si="1612">IF(SUM(G677:G689)=0,NA(),G683+AA683)</f>
        <v>#N/A</v>
      </c>
      <c r="AC683" s="34" t="e">
        <f t="shared" si="1612"/>
        <v>#N/A</v>
      </c>
      <c r="AD683" s="34" t="e">
        <f t="shared" si="1612"/>
        <v>#N/A</v>
      </c>
      <c r="AE683" s="34" t="e">
        <f t="shared" si="1612"/>
        <v>#N/A</v>
      </c>
      <c r="AF683" s="34" t="e">
        <f t="shared" si="1612"/>
        <v>#N/A</v>
      </c>
      <c r="AG683" s="34" t="e">
        <f t="shared" si="1612"/>
        <v>#N/A</v>
      </c>
      <c r="AH683" s="34" t="e">
        <f t="shared" si="1612"/>
        <v>#N/A</v>
      </c>
      <c r="AI683" s="34" t="e">
        <f t="shared" si="1612"/>
        <v>#N/A</v>
      </c>
      <c r="AJ683" s="34" t="e">
        <f t="shared" si="1612"/>
        <v>#N/A</v>
      </c>
      <c r="AK683" s="34" t="e">
        <f t="shared" si="1612"/>
        <v>#N/A</v>
      </c>
      <c r="AL683" s="34" t="e">
        <f t="shared" si="1612"/>
        <v>#N/A</v>
      </c>
      <c r="AM683" s="34" t="e">
        <f t="shared" si="1612"/>
        <v>#N/A</v>
      </c>
      <c r="AN683" s="34" t="e">
        <f t="shared" si="1612"/>
        <v>#N/A</v>
      </c>
      <c r="AO683" s="34" t="e">
        <f t="shared" si="1612"/>
        <v>#N/A</v>
      </c>
      <c r="AP683" s="34" t="e">
        <f t="shared" si="1612"/>
        <v>#N/A</v>
      </c>
      <c r="AQ683" s="34" t="e">
        <f t="shared" si="1612"/>
        <v>#N/A</v>
      </c>
      <c r="AR683" s="34" t="e">
        <f t="shared" si="1612"/>
        <v>#N/A</v>
      </c>
      <c r="AS683" s="27"/>
      <c r="AT683" s="39"/>
      <c r="AU683" s="39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30"/>
    </row>
    <row r="684" spans="1:66" ht="11.25" customHeight="1" x14ac:dyDescent="0.2">
      <c r="A684" s="42"/>
      <c r="B684" s="74"/>
      <c r="C684" s="33">
        <v>8</v>
      </c>
      <c r="D684" s="13" t="s">
        <v>446</v>
      </c>
      <c r="E684" s="16">
        <f t="shared" si="1597"/>
        <v>0</v>
      </c>
      <c r="F684" s="16">
        <f>SUMIFS([0]!VOTOS2,[0]!TURNO1,F$31,[0]!CANDIDATO1,$C684,[0]!MUNICIPIO1,$B$677)</f>
        <v>0</v>
      </c>
      <c r="G684" s="16">
        <f>SUMIFS([0]!VOTOS2,[0]!TURNO1,G$31,[0]!CANDIDATO1,$C684,[0]!MUNICIPIO1,$B$677)</f>
        <v>0</v>
      </c>
      <c r="H684" s="16">
        <f>SUMIFS([0]!VOTOS2,[0]!TURNO1,H$31,[0]!CANDIDATO1,$C684,[0]!MUNICIPIO1,$B$677)</f>
        <v>0</v>
      </c>
      <c r="I684" s="16">
        <f>SUMIFS([0]!VOTOS2,[0]!TURNO1,I$31,[0]!CANDIDATO1,$C684,[0]!MUNICIPIO1,$B$677)</f>
        <v>0</v>
      </c>
      <c r="J684" s="16">
        <f>SUMIFS([0]!VOTOS2,[0]!TURNO1,J$31,[0]!CANDIDATO1,$C684,[0]!MUNICIPIO1,$B$677)</f>
        <v>0</v>
      </c>
      <c r="K684" s="16">
        <f>SUMIFS([0]!VOTOS2,[0]!TURNO1,K$31,[0]!CANDIDATO1,$C684,[0]!MUNICIPIO1,$B$677)</f>
        <v>0</v>
      </c>
      <c r="L684" s="16">
        <f>SUMIFS([0]!VOTOS2,[0]!TURNO1,L$31,[0]!CANDIDATO1,$C684,[0]!MUNICIPIO1,$B$677)</f>
        <v>0</v>
      </c>
      <c r="M684" s="16">
        <f>SUMIFS([0]!VOTOS2,[0]!TURNO1,M$31,[0]!CANDIDATO1,$C684,[0]!MUNICIPIO1,$B$677)</f>
        <v>0</v>
      </c>
      <c r="N684" s="16">
        <f>SUMIFS([0]!VOTOS2,[0]!TURNO1,N$31,[0]!CANDIDATO1,$C684,[0]!MUNICIPIO1,$B$677)</f>
        <v>0</v>
      </c>
      <c r="O684" s="16">
        <f>SUMIFS([0]!VOTOS2,[0]!TURNO1,O$31,[0]!CANDIDATO1,$C684,[0]!MUNICIPIO1,$B$677)</f>
        <v>0</v>
      </c>
      <c r="P684" s="16">
        <f>SUMIFS([0]!VOTOS2,[0]!TURNO1,P$31,[0]!CANDIDATO1,$C684,[0]!MUNICIPIO1,$B$677)</f>
        <v>0</v>
      </c>
      <c r="Q684" s="16">
        <f>SUMIFS([0]!VOTOS2,[0]!TURNO1,Q$31,[0]!CANDIDATO1,$C684,[0]!MUNICIPIO1,$B$677)</f>
        <v>0</v>
      </c>
      <c r="R684" s="16">
        <f>SUMIFS([0]!VOTOS2,[0]!TURNO1,R$31,[0]!CANDIDATO1,$C684,[0]!MUNICIPIO1,$B$677)</f>
        <v>0</v>
      </c>
      <c r="S684" s="16">
        <f>SUMIFS([0]!VOTOS2,[0]!TURNO1,S$31,[0]!CANDIDATO1,$C684,[0]!MUNICIPIO1,$B$677)</f>
        <v>0</v>
      </c>
      <c r="T684" s="16">
        <f>SUMIFS([0]!VOTOS2,[0]!TURNO1,T$31,[0]!CANDIDATO1,$C684,[0]!MUNICIPIO1,$B$677)</f>
        <v>0</v>
      </c>
      <c r="U684" s="16">
        <f>SUMIFS([0]!VOTOS2,[0]!TURNO1,U$31,[0]!CANDIDATO1,$C684,[0]!MUNICIPIO1,$B$677)</f>
        <v>0</v>
      </c>
      <c r="V684" s="16">
        <f>SUMIFS([0]!VOTOS2,[0]!TURNO1,V$31,[0]!CANDIDATO1,$C684,[0]!MUNICIPIO1,$B$677)</f>
        <v>0</v>
      </c>
      <c r="W684" s="16">
        <f>SUMIFS([0]!VOTOS2,[0]!TURNO1,W$31,[0]!CANDIDATO1,$C684,[0]!MUNICIPIO1,$B$677)</f>
        <v>0</v>
      </c>
      <c r="X684" s="24"/>
      <c r="Y684" s="18" t="str">
        <f t="shared" si="1598"/>
        <v>NOE ACOSTA</v>
      </c>
      <c r="Z684" s="34">
        <f t="shared" si="1599"/>
        <v>0</v>
      </c>
      <c r="AA684" s="34">
        <f t="shared" si="1600"/>
        <v>0</v>
      </c>
      <c r="AB684" s="34" t="e">
        <f t="shared" ref="AB684:AR684" si="1613">IF(SUM(G677:G689)=0,NA(),G684+AA684)</f>
        <v>#N/A</v>
      </c>
      <c r="AC684" s="34" t="e">
        <f t="shared" si="1613"/>
        <v>#N/A</v>
      </c>
      <c r="AD684" s="34" t="e">
        <f t="shared" si="1613"/>
        <v>#N/A</v>
      </c>
      <c r="AE684" s="34" t="e">
        <f t="shared" si="1613"/>
        <v>#N/A</v>
      </c>
      <c r="AF684" s="34" t="e">
        <f t="shared" si="1613"/>
        <v>#N/A</v>
      </c>
      <c r="AG684" s="34" t="e">
        <f t="shared" si="1613"/>
        <v>#N/A</v>
      </c>
      <c r="AH684" s="34" t="e">
        <f t="shared" si="1613"/>
        <v>#N/A</v>
      </c>
      <c r="AI684" s="34" t="e">
        <f t="shared" si="1613"/>
        <v>#N/A</v>
      </c>
      <c r="AJ684" s="34" t="e">
        <f t="shared" si="1613"/>
        <v>#N/A</v>
      </c>
      <c r="AK684" s="34" t="e">
        <f t="shared" si="1613"/>
        <v>#N/A</v>
      </c>
      <c r="AL684" s="34" t="e">
        <f t="shared" si="1613"/>
        <v>#N/A</v>
      </c>
      <c r="AM684" s="34" t="e">
        <f t="shared" si="1613"/>
        <v>#N/A</v>
      </c>
      <c r="AN684" s="34" t="e">
        <f t="shared" si="1613"/>
        <v>#N/A</v>
      </c>
      <c r="AO684" s="34" t="e">
        <f t="shared" si="1613"/>
        <v>#N/A</v>
      </c>
      <c r="AP684" s="34" t="e">
        <f t="shared" si="1613"/>
        <v>#N/A</v>
      </c>
      <c r="AQ684" s="34" t="e">
        <f t="shared" si="1613"/>
        <v>#N/A</v>
      </c>
      <c r="AR684" s="34" t="e">
        <f t="shared" si="1613"/>
        <v>#N/A</v>
      </c>
      <c r="AS684" s="27"/>
      <c r="AT684" s="41"/>
      <c r="AU684" s="41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30"/>
    </row>
    <row r="685" spans="1:66" ht="11.25" customHeight="1" x14ac:dyDescent="0.2">
      <c r="A685" s="44"/>
      <c r="B685" s="45"/>
      <c r="C685" s="46">
        <v>9</v>
      </c>
      <c r="D685" s="14" t="s">
        <v>76</v>
      </c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24"/>
      <c r="Y685" s="18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27"/>
      <c r="AT685" s="41"/>
      <c r="AU685" s="41"/>
      <c r="AV685" s="43"/>
      <c r="AW685" s="43"/>
      <c r="AX685" s="43"/>
      <c r="AY685" s="43"/>
      <c r="AZ685" s="43"/>
      <c r="BA685" s="43"/>
      <c r="BB685" s="43"/>
      <c r="BC685" s="43"/>
      <c r="BD685" s="43"/>
      <c r="BE685" s="43"/>
      <c r="BF685" s="43"/>
      <c r="BG685" s="43"/>
      <c r="BH685" s="43"/>
      <c r="BI685" s="43"/>
      <c r="BJ685" s="43"/>
      <c r="BK685" s="43"/>
      <c r="BL685" s="43"/>
      <c r="BM685" s="43"/>
      <c r="BN685" s="30"/>
    </row>
    <row r="686" spans="1:66" ht="11.25" customHeight="1" x14ac:dyDescent="0.2">
      <c r="A686" s="44"/>
      <c r="B686" s="45"/>
      <c r="C686" s="46">
        <v>10</v>
      </c>
      <c r="D686" s="14" t="s">
        <v>76</v>
      </c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24"/>
      <c r="Y686" s="18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27"/>
      <c r="AT686" s="41"/>
      <c r="AU686" s="41"/>
      <c r="AV686" s="43"/>
      <c r="AW686" s="43"/>
      <c r="AX686" s="43"/>
      <c r="AY686" s="43"/>
      <c r="AZ686" s="43"/>
      <c r="BA686" s="43"/>
      <c r="BB686" s="43"/>
      <c r="BC686" s="43"/>
      <c r="BD686" s="43"/>
      <c r="BE686" s="43"/>
      <c r="BF686" s="43"/>
      <c r="BG686" s="43"/>
      <c r="BH686" s="43"/>
      <c r="BI686" s="43"/>
      <c r="BJ686" s="43"/>
      <c r="BK686" s="43"/>
      <c r="BL686" s="43"/>
      <c r="BM686" s="43"/>
      <c r="BN686" s="30"/>
    </row>
    <row r="687" spans="1:66" ht="11.25" customHeight="1" x14ac:dyDescent="0.2">
      <c r="A687" s="44"/>
      <c r="B687" s="45"/>
      <c r="C687" s="46">
        <v>11</v>
      </c>
      <c r="D687" s="14" t="s">
        <v>76</v>
      </c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24"/>
      <c r="Y687" s="18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27"/>
      <c r="AT687" s="41"/>
      <c r="AU687" s="41"/>
      <c r="AV687" s="43"/>
      <c r="AW687" s="43"/>
      <c r="AX687" s="43"/>
      <c r="AY687" s="43"/>
      <c r="AZ687" s="43"/>
      <c r="BA687" s="43"/>
      <c r="BB687" s="43"/>
      <c r="BC687" s="43"/>
      <c r="BD687" s="43"/>
      <c r="BE687" s="43"/>
      <c r="BF687" s="43"/>
      <c r="BG687" s="43"/>
      <c r="BH687" s="43"/>
      <c r="BI687" s="43"/>
      <c r="BJ687" s="43"/>
      <c r="BK687" s="43"/>
      <c r="BL687" s="43"/>
      <c r="BM687" s="43"/>
      <c r="BN687" s="30"/>
    </row>
    <row r="688" spans="1:66" ht="11.25" customHeight="1" x14ac:dyDescent="0.2">
      <c r="A688" s="44"/>
      <c r="B688" s="45"/>
      <c r="C688" s="46">
        <v>12</v>
      </c>
      <c r="D688" s="14" t="s">
        <v>76</v>
      </c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24"/>
      <c r="Y688" s="18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27"/>
      <c r="AT688" s="41"/>
      <c r="AU688" s="41"/>
      <c r="AV688" s="43"/>
      <c r="AW688" s="43"/>
      <c r="AX688" s="43"/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43"/>
      <c r="BJ688" s="43"/>
      <c r="BK688" s="43"/>
      <c r="BL688" s="43"/>
      <c r="BM688" s="43"/>
      <c r="BN688" s="30"/>
    </row>
    <row r="689" spans="1:66" ht="11.25" customHeight="1" x14ac:dyDescent="0.2">
      <c r="A689" s="44"/>
      <c r="B689" s="45"/>
      <c r="C689" s="46">
        <v>13</v>
      </c>
      <c r="D689" s="14" t="s">
        <v>76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24"/>
      <c r="Y689" s="18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27"/>
      <c r="AT689" s="41"/>
      <c r="AU689" s="41"/>
      <c r="AV689" s="43"/>
      <c r="AW689" s="43"/>
      <c r="AX689" s="43"/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  <c r="BL689" s="43"/>
      <c r="BM689" s="43"/>
      <c r="BN689" s="30"/>
    </row>
    <row r="690" spans="1:66" ht="11.25" customHeight="1" x14ac:dyDescent="0.2">
      <c r="X690" s="24"/>
      <c r="Y690" s="19" t="s">
        <v>79</v>
      </c>
      <c r="Z690" s="34">
        <f t="shared" ref="Z690" si="1614">SUM(Z679:Z689)</f>
        <v>10</v>
      </c>
      <c r="AA690" s="34">
        <f t="shared" ref="AA690" si="1615">SUM(AA679:AA689)</f>
        <v>0</v>
      </c>
      <c r="AB690" s="34" t="e">
        <f t="shared" ref="AB690" si="1616">SUM(AB679:AB689)</f>
        <v>#N/A</v>
      </c>
      <c r="AC690" s="34" t="e">
        <f t="shared" ref="AC690" si="1617">SUM(AC679:AC689)</f>
        <v>#N/A</v>
      </c>
      <c r="AD690" s="34" t="e">
        <f t="shared" ref="AD690" si="1618">SUM(AD679:AD689)</f>
        <v>#N/A</v>
      </c>
      <c r="AE690" s="34" t="e">
        <f t="shared" ref="AE690" si="1619">SUM(AE679:AE689)</f>
        <v>#N/A</v>
      </c>
      <c r="AF690" s="34" t="e">
        <f t="shared" ref="AF690" si="1620">SUM(AF679:AF689)</f>
        <v>#N/A</v>
      </c>
      <c r="AG690" s="34" t="e">
        <f t="shared" ref="AG690" si="1621">SUM(AG679:AG689)</f>
        <v>#N/A</v>
      </c>
      <c r="AH690" s="34" t="e">
        <f t="shared" ref="AH690" si="1622">SUM(AH679:AH689)</f>
        <v>#N/A</v>
      </c>
      <c r="AI690" s="34" t="e">
        <f t="shared" ref="AI690" si="1623">SUM(AI679:AI689)</f>
        <v>#N/A</v>
      </c>
      <c r="AJ690" s="34" t="e">
        <f t="shared" ref="AJ690" si="1624">SUM(AJ679:AJ689)</f>
        <v>#N/A</v>
      </c>
      <c r="AK690" s="34" t="e">
        <f t="shared" ref="AK690" si="1625">SUM(AK679:AK689)</f>
        <v>#N/A</v>
      </c>
      <c r="AL690" s="34" t="e">
        <f t="shared" ref="AL690" si="1626">SUM(AL679:AL689)</f>
        <v>#N/A</v>
      </c>
      <c r="AM690" s="34" t="e">
        <f t="shared" ref="AM690" si="1627">SUM(AM679:AM689)</f>
        <v>#N/A</v>
      </c>
      <c r="AN690" s="34" t="e">
        <f t="shared" ref="AN690" si="1628">SUM(AN679:AN689)</f>
        <v>#N/A</v>
      </c>
      <c r="AO690" s="34" t="e">
        <f t="shared" ref="AO690" si="1629">SUM(AO679:AO689)</f>
        <v>#N/A</v>
      </c>
      <c r="AP690" s="34" t="e">
        <f t="shared" ref="AP690" si="1630">SUM(AP679:AP689)</f>
        <v>#N/A</v>
      </c>
      <c r="AQ690" s="34" t="e">
        <f t="shared" ref="AQ690" si="1631">SUM(AQ679:AQ689)</f>
        <v>#N/A</v>
      </c>
      <c r="AR690" s="34" t="e">
        <f t="shared" ref="AR690" si="1632">SUM(AR679:AR689)</f>
        <v>#N/A</v>
      </c>
      <c r="AS690" s="27"/>
      <c r="AT690" s="41"/>
      <c r="AU690" s="41"/>
      <c r="AV690" s="43"/>
      <c r="AW690" s="43"/>
      <c r="AX690" s="43"/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43"/>
      <c r="BJ690" s="43"/>
      <c r="BK690" s="43"/>
      <c r="BL690" s="43"/>
      <c r="BM690" s="43"/>
      <c r="BN690" s="30"/>
    </row>
    <row r="691" spans="1:66" ht="11.25" customHeight="1" x14ac:dyDescent="0.2">
      <c r="A691" s="75" t="s">
        <v>63</v>
      </c>
      <c r="B691" s="76"/>
      <c r="C691" s="21"/>
      <c r="D691" s="22" t="s">
        <v>75</v>
      </c>
      <c r="E691" s="23" t="s">
        <v>70</v>
      </c>
      <c r="F691" s="23">
        <v>0</v>
      </c>
      <c r="G691" s="23">
        <v>1</v>
      </c>
      <c r="H691" s="23">
        <v>2</v>
      </c>
      <c r="I691" s="23">
        <v>3</v>
      </c>
      <c r="J691" s="23">
        <v>4</v>
      </c>
      <c r="K691" s="23">
        <v>5</v>
      </c>
      <c r="L691" s="23">
        <v>6</v>
      </c>
      <c r="M691" s="23">
        <v>7</v>
      </c>
      <c r="N691" s="23">
        <v>8</v>
      </c>
      <c r="O691" s="23">
        <v>9</v>
      </c>
      <c r="P691" s="23">
        <v>10</v>
      </c>
      <c r="Q691" s="23">
        <v>11</v>
      </c>
      <c r="R691" s="23">
        <v>12</v>
      </c>
      <c r="S691" s="23">
        <v>13</v>
      </c>
      <c r="T691" s="23">
        <v>14</v>
      </c>
      <c r="U691" s="23">
        <v>15</v>
      </c>
      <c r="V691" s="23">
        <v>16</v>
      </c>
      <c r="W691" s="23">
        <v>17</v>
      </c>
      <c r="X691" s="24"/>
      <c r="Y691" s="17"/>
      <c r="Z691" s="25" t="s">
        <v>64</v>
      </c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/>
      <c r="AO691" s="26"/>
      <c r="AP691" s="26"/>
      <c r="AQ691" s="26"/>
      <c r="AR691" s="26"/>
      <c r="AS691" s="27"/>
      <c r="AT691" s="28"/>
      <c r="AU691" s="28" t="s">
        <v>64</v>
      </c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30"/>
    </row>
    <row r="692" spans="1:66" ht="11.25" customHeight="1" x14ac:dyDescent="0.2">
      <c r="A692" s="32"/>
      <c r="B692" s="72">
        <v>47</v>
      </c>
      <c r="C692" s="33">
        <v>1</v>
      </c>
      <c r="D692" s="13" t="s">
        <v>447</v>
      </c>
      <c r="E692" s="16">
        <f t="shared" ref="E692:E698" si="1633">SUM(F692:W692)</f>
        <v>1212</v>
      </c>
      <c r="F692" s="16">
        <f>SUMIFS([0]!VOTOS2,[0]!TURNO1,F$31,[0]!CANDIDATO1,$C692,[0]!MUNICIPIO1,$B$692)</f>
        <v>10</v>
      </c>
      <c r="G692" s="16">
        <f>SUMIFS([0]!VOTOS2,[0]!TURNO1,G$31,[0]!CANDIDATO1,$C692,[0]!MUNICIPIO1,$B$692)</f>
        <v>205</v>
      </c>
      <c r="H692" s="16">
        <f>SUMIFS([0]!VOTOS2,[0]!TURNO1,H$31,[0]!CANDIDATO1,$C692,[0]!MUNICIPIO1,$B$692)</f>
        <v>163</v>
      </c>
      <c r="I692" s="16">
        <f>SUMIFS([0]!VOTOS2,[0]!TURNO1,I$31,[0]!CANDIDATO1,$C692,[0]!MUNICIPIO1,$B$692)</f>
        <v>106</v>
      </c>
      <c r="J692" s="16">
        <f>SUMIFS([0]!VOTOS2,[0]!TURNO1,J$31,[0]!CANDIDATO1,$C692,[0]!MUNICIPIO1,$B$692)</f>
        <v>162</v>
      </c>
      <c r="K692" s="16">
        <f>SUMIFS([0]!VOTOS2,[0]!TURNO1,K$31,[0]!CANDIDATO1,$C692,[0]!MUNICIPIO1,$B$692)</f>
        <v>129</v>
      </c>
      <c r="L692" s="16">
        <f>SUMIFS([0]!VOTOS2,[0]!TURNO1,L$31,[0]!CANDIDATO1,$C692,[0]!MUNICIPIO1,$B$692)</f>
        <v>74</v>
      </c>
      <c r="M692" s="16">
        <f>SUMIFS([0]!VOTOS2,[0]!TURNO1,M$31,[0]!CANDIDATO1,$C692,[0]!MUNICIPIO1,$B$692)</f>
        <v>117</v>
      </c>
      <c r="N692" s="16">
        <f>SUMIFS([0]!VOTOS2,[0]!TURNO1,N$31,[0]!CANDIDATO1,$C692,[0]!MUNICIPIO1,$B$692)</f>
        <v>109</v>
      </c>
      <c r="O692" s="16">
        <f>SUMIFS([0]!VOTOS2,[0]!TURNO1,O$31,[0]!CANDIDATO1,$C692,[0]!MUNICIPIO1,$B$692)</f>
        <v>137</v>
      </c>
      <c r="P692" s="16">
        <f>SUMIFS([0]!VOTOS2,[0]!TURNO1,P$31,[0]!CANDIDATO1,$C692,[0]!MUNICIPIO1,$B$692)</f>
        <v>0</v>
      </c>
      <c r="Q692" s="16">
        <f>SUMIFS([0]!VOTOS2,[0]!TURNO1,Q$31,[0]!CANDIDATO1,$C692,[0]!MUNICIPIO1,$B$692)</f>
        <v>0</v>
      </c>
      <c r="R692" s="16">
        <f>SUMIFS([0]!VOTOS2,[0]!TURNO1,R$31,[0]!CANDIDATO1,$C692,[0]!MUNICIPIO1,$B$692)</f>
        <v>0</v>
      </c>
      <c r="S692" s="16">
        <f>SUMIFS([0]!VOTOS2,[0]!TURNO1,S$31,[0]!CANDIDATO1,$C692,[0]!MUNICIPIO1,$B$692)</f>
        <v>0</v>
      </c>
      <c r="T692" s="16">
        <f>SUMIFS([0]!VOTOS2,[0]!TURNO1,T$31,[0]!CANDIDATO1,$C692,[0]!MUNICIPIO1,$B$692)</f>
        <v>0</v>
      </c>
      <c r="U692" s="16">
        <f>SUMIFS([0]!VOTOS2,[0]!TURNO1,U$31,[0]!CANDIDATO1,$C692,[0]!MUNICIPIO1,$B$692)</f>
        <v>0</v>
      </c>
      <c r="V692" s="16">
        <f>SUMIFS([0]!VOTOS2,[0]!TURNO1,V$31,[0]!CANDIDATO1,$C692,[0]!MUNICIPIO1,$B$692)</f>
        <v>0</v>
      </c>
      <c r="W692" s="16">
        <f>SUMIFS([0]!VOTOS2,[0]!TURNO1,W$31,[0]!CANDIDATO1,$C692,[0]!MUNICIPIO1,$B$692)</f>
        <v>0</v>
      </c>
      <c r="X692" s="24"/>
      <c r="Y692" s="18" t="str">
        <f t="shared" ref="Y692:Y698" si="1634">D692</f>
        <v>FRANCISCO ALVARAD</v>
      </c>
      <c r="Z692" s="34">
        <f t="shared" ref="Z692:Z698" si="1635">E692</f>
        <v>1212</v>
      </c>
      <c r="AA692" s="34">
        <f t="shared" ref="AA692:AA698" si="1636">F692</f>
        <v>10</v>
      </c>
      <c r="AB692" s="34">
        <f t="shared" ref="AB692:AR692" si="1637">IF(SUM(G692:G704)=0,NA(),G692+AA692)</f>
        <v>215</v>
      </c>
      <c r="AC692" s="34">
        <f t="shared" si="1637"/>
        <v>378</v>
      </c>
      <c r="AD692" s="34">
        <f t="shared" si="1637"/>
        <v>484</v>
      </c>
      <c r="AE692" s="34">
        <f t="shared" si="1637"/>
        <v>646</v>
      </c>
      <c r="AF692" s="34">
        <f t="shared" si="1637"/>
        <v>775</v>
      </c>
      <c r="AG692" s="34">
        <f t="shared" si="1637"/>
        <v>849</v>
      </c>
      <c r="AH692" s="34">
        <f t="shared" si="1637"/>
        <v>966</v>
      </c>
      <c r="AI692" s="34">
        <f t="shared" si="1637"/>
        <v>1075</v>
      </c>
      <c r="AJ692" s="34">
        <f t="shared" si="1637"/>
        <v>1212</v>
      </c>
      <c r="AK692" s="34" t="e">
        <f t="shared" si="1637"/>
        <v>#N/A</v>
      </c>
      <c r="AL692" s="34" t="e">
        <f t="shared" si="1637"/>
        <v>#N/A</v>
      </c>
      <c r="AM692" s="34" t="e">
        <f t="shared" si="1637"/>
        <v>#N/A</v>
      </c>
      <c r="AN692" s="34" t="e">
        <f t="shared" si="1637"/>
        <v>#N/A</v>
      </c>
      <c r="AO692" s="34" t="e">
        <f t="shared" si="1637"/>
        <v>#N/A</v>
      </c>
      <c r="AP692" s="34" t="e">
        <f t="shared" si="1637"/>
        <v>#N/A</v>
      </c>
      <c r="AQ692" s="34" t="e">
        <f t="shared" si="1637"/>
        <v>#N/A</v>
      </c>
      <c r="AR692" s="34" t="e">
        <f t="shared" si="1637"/>
        <v>#N/A</v>
      </c>
      <c r="AS692" s="27"/>
      <c r="AT692" s="35" t="str">
        <f t="shared" ref="AT692:AT693" si="1638">Y692</f>
        <v>FRANCISCO ALVARAD</v>
      </c>
      <c r="AU692" s="36">
        <f t="shared" ref="AU692:BM692" si="1639">Z692/(Z692+Z693+Z705)</f>
        <v>0.51269035532994922</v>
      </c>
      <c r="AV692" s="36">
        <f t="shared" si="1639"/>
        <v>0.5</v>
      </c>
      <c r="AW692" s="36">
        <f t="shared" si="1639"/>
        <v>0.56878306878306883</v>
      </c>
      <c r="AX692" s="36">
        <f t="shared" si="1639"/>
        <v>0.54703328509406657</v>
      </c>
      <c r="AY692" s="36">
        <f t="shared" si="1639"/>
        <v>0.50364203954214359</v>
      </c>
      <c r="AZ692" s="36">
        <f t="shared" si="1639"/>
        <v>0.50866141732283465</v>
      </c>
      <c r="BA692" s="36">
        <f t="shared" si="1639"/>
        <v>0.51943699731903481</v>
      </c>
      <c r="BB692" s="36">
        <f t="shared" si="1639"/>
        <v>0.5157958687727825</v>
      </c>
      <c r="BC692" s="36">
        <f t="shared" si="1639"/>
        <v>0.51355661881977677</v>
      </c>
      <c r="BD692" s="36">
        <f t="shared" si="1639"/>
        <v>0.50374882849109648</v>
      </c>
      <c r="BE692" s="36">
        <f t="shared" si="1639"/>
        <v>0.51269035532994922</v>
      </c>
      <c r="BF692" s="36" t="e">
        <f t="shared" si="1639"/>
        <v>#N/A</v>
      </c>
      <c r="BG692" s="36" t="e">
        <f t="shared" si="1639"/>
        <v>#N/A</v>
      </c>
      <c r="BH692" s="36" t="e">
        <f t="shared" si="1639"/>
        <v>#N/A</v>
      </c>
      <c r="BI692" s="36" t="e">
        <f t="shared" si="1639"/>
        <v>#N/A</v>
      </c>
      <c r="BJ692" s="36" t="e">
        <f t="shared" si="1639"/>
        <v>#N/A</v>
      </c>
      <c r="BK692" s="36" t="e">
        <f t="shared" si="1639"/>
        <v>#N/A</v>
      </c>
      <c r="BL692" s="36" t="e">
        <f t="shared" si="1639"/>
        <v>#N/A</v>
      </c>
      <c r="BM692" s="36" t="e">
        <f t="shared" si="1639"/>
        <v>#N/A</v>
      </c>
      <c r="BN692" s="30"/>
    </row>
    <row r="693" spans="1:66" ht="11.25" customHeight="1" x14ac:dyDescent="0.2">
      <c r="A693" s="37"/>
      <c r="B693" s="73"/>
      <c r="C693" s="33">
        <v>2</v>
      </c>
      <c r="D693" s="13" t="s">
        <v>448</v>
      </c>
      <c r="E693" s="16">
        <f t="shared" si="1633"/>
        <v>942</v>
      </c>
      <c r="F693" s="16">
        <f>SUMIFS([0]!VOTOS2,[0]!TURNO1,F$31,[0]!CANDIDATO1,$C693,[0]!MUNICIPIO1,$B$692)</f>
        <v>10</v>
      </c>
      <c r="G693" s="16">
        <f>SUMIFS([0]!VOTOS2,[0]!TURNO1,G$31,[0]!CANDIDATO1,$C693,[0]!MUNICIPIO1,$B$692)</f>
        <v>123</v>
      </c>
      <c r="H693" s="16">
        <f>SUMIFS([0]!VOTOS2,[0]!TURNO1,H$31,[0]!CANDIDATO1,$C693,[0]!MUNICIPIO1,$B$692)</f>
        <v>98</v>
      </c>
      <c r="I693" s="16">
        <f>SUMIFS([0]!VOTOS2,[0]!TURNO1,I$31,[0]!CANDIDATO1,$C693,[0]!MUNICIPIO1,$B$692)</f>
        <v>127</v>
      </c>
      <c r="J693" s="16">
        <f>SUMIFS([0]!VOTOS2,[0]!TURNO1,J$31,[0]!CANDIDATO1,$C693,[0]!MUNICIPIO1,$B$692)</f>
        <v>112</v>
      </c>
      <c r="K693" s="16">
        <f>SUMIFS([0]!VOTOS2,[0]!TURNO1,K$31,[0]!CANDIDATO1,$C693,[0]!MUNICIPIO1,$B$692)</f>
        <v>77</v>
      </c>
      <c r="L693" s="16">
        <f>SUMIFS([0]!VOTOS2,[0]!TURNO1,L$31,[0]!CANDIDATO1,$C693,[0]!MUNICIPIO1,$B$692)</f>
        <v>76</v>
      </c>
      <c r="M693" s="16">
        <f>SUMIFS([0]!VOTOS2,[0]!TURNO1,M$31,[0]!CANDIDATO1,$C693,[0]!MUNICIPIO1,$B$692)</f>
        <v>117</v>
      </c>
      <c r="N693" s="16">
        <f>SUMIFS([0]!VOTOS2,[0]!TURNO1,N$31,[0]!CANDIDATO1,$C693,[0]!MUNICIPIO1,$B$692)</f>
        <v>125</v>
      </c>
      <c r="O693" s="16">
        <f>SUMIFS([0]!VOTOS2,[0]!TURNO1,O$31,[0]!CANDIDATO1,$C693,[0]!MUNICIPIO1,$B$692)</f>
        <v>77</v>
      </c>
      <c r="P693" s="16">
        <f>SUMIFS([0]!VOTOS2,[0]!TURNO1,P$31,[0]!CANDIDATO1,$C693,[0]!MUNICIPIO1,$B$692)</f>
        <v>0</v>
      </c>
      <c r="Q693" s="16">
        <f>SUMIFS([0]!VOTOS2,[0]!TURNO1,Q$31,[0]!CANDIDATO1,$C693,[0]!MUNICIPIO1,$B$692)</f>
        <v>0</v>
      </c>
      <c r="R693" s="16">
        <f>SUMIFS([0]!VOTOS2,[0]!TURNO1,R$31,[0]!CANDIDATO1,$C693,[0]!MUNICIPIO1,$B$692)</f>
        <v>0</v>
      </c>
      <c r="S693" s="16">
        <f>SUMIFS([0]!VOTOS2,[0]!TURNO1,S$31,[0]!CANDIDATO1,$C693,[0]!MUNICIPIO1,$B$692)</f>
        <v>0</v>
      </c>
      <c r="T693" s="16">
        <f>SUMIFS([0]!VOTOS2,[0]!TURNO1,T$31,[0]!CANDIDATO1,$C693,[0]!MUNICIPIO1,$B$692)</f>
        <v>0</v>
      </c>
      <c r="U693" s="16">
        <f>SUMIFS([0]!VOTOS2,[0]!TURNO1,U$31,[0]!CANDIDATO1,$C693,[0]!MUNICIPIO1,$B$692)</f>
        <v>0</v>
      </c>
      <c r="V693" s="16">
        <f>SUMIFS([0]!VOTOS2,[0]!TURNO1,V$31,[0]!CANDIDATO1,$C693,[0]!MUNICIPIO1,$B$692)</f>
        <v>0</v>
      </c>
      <c r="W693" s="16">
        <f>SUMIFS([0]!VOTOS2,[0]!TURNO1,W$31,[0]!CANDIDATO1,$C693,[0]!MUNICIPIO1,$B$692)</f>
        <v>0</v>
      </c>
      <c r="X693" s="24"/>
      <c r="Y693" s="18" t="str">
        <f t="shared" si="1634"/>
        <v>MERVIN MENDEZ</v>
      </c>
      <c r="Z693" s="34">
        <f t="shared" si="1635"/>
        <v>942</v>
      </c>
      <c r="AA693" s="34">
        <f t="shared" si="1636"/>
        <v>10</v>
      </c>
      <c r="AB693" s="34">
        <f t="shared" ref="AB693:AR693" si="1640">IF(SUM(G692:G704)=0,NA(),G693+AA693)</f>
        <v>133</v>
      </c>
      <c r="AC693" s="34">
        <f t="shared" si="1640"/>
        <v>231</v>
      </c>
      <c r="AD693" s="34">
        <f t="shared" si="1640"/>
        <v>358</v>
      </c>
      <c r="AE693" s="34">
        <f t="shared" si="1640"/>
        <v>470</v>
      </c>
      <c r="AF693" s="34">
        <f t="shared" si="1640"/>
        <v>547</v>
      </c>
      <c r="AG693" s="34">
        <f t="shared" si="1640"/>
        <v>623</v>
      </c>
      <c r="AH693" s="34">
        <f t="shared" si="1640"/>
        <v>740</v>
      </c>
      <c r="AI693" s="34">
        <f t="shared" si="1640"/>
        <v>865</v>
      </c>
      <c r="AJ693" s="34">
        <f t="shared" si="1640"/>
        <v>942</v>
      </c>
      <c r="AK693" s="34" t="e">
        <f t="shared" si="1640"/>
        <v>#N/A</v>
      </c>
      <c r="AL693" s="34" t="e">
        <f t="shared" si="1640"/>
        <v>#N/A</v>
      </c>
      <c r="AM693" s="34" t="e">
        <f t="shared" si="1640"/>
        <v>#N/A</v>
      </c>
      <c r="AN693" s="34" t="e">
        <f t="shared" si="1640"/>
        <v>#N/A</v>
      </c>
      <c r="AO693" s="34" t="e">
        <f t="shared" si="1640"/>
        <v>#N/A</v>
      </c>
      <c r="AP693" s="34" t="e">
        <f t="shared" si="1640"/>
        <v>#N/A</v>
      </c>
      <c r="AQ693" s="34" t="e">
        <f t="shared" si="1640"/>
        <v>#N/A</v>
      </c>
      <c r="AR693" s="34" t="e">
        <f t="shared" si="1640"/>
        <v>#N/A</v>
      </c>
      <c r="AS693" s="27"/>
      <c r="AT693" s="35" t="str">
        <f t="shared" si="1638"/>
        <v>MERVIN MENDEZ</v>
      </c>
      <c r="AU693" s="36">
        <f t="shared" ref="AU693:BM693" si="1641">Z693/(Z692+Z693+Z705)</f>
        <v>0.39847715736040606</v>
      </c>
      <c r="AV693" s="36">
        <f t="shared" si="1641"/>
        <v>0.5</v>
      </c>
      <c r="AW693" s="36">
        <f t="shared" si="1641"/>
        <v>0.35185185185185186</v>
      </c>
      <c r="AX693" s="36">
        <f t="shared" si="1641"/>
        <v>0.33429811866859621</v>
      </c>
      <c r="AY693" s="36">
        <f t="shared" si="1641"/>
        <v>0.372528616024974</v>
      </c>
      <c r="AZ693" s="36">
        <f t="shared" si="1641"/>
        <v>0.37007874015748032</v>
      </c>
      <c r="BA693" s="36">
        <f t="shared" si="1641"/>
        <v>0.36662198391420914</v>
      </c>
      <c r="BB693" s="36">
        <f t="shared" si="1641"/>
        <v>0.37849331713244228</v>
      </c>
      <c r="BC693" s="36">
        <f t="shared" si="1641"/>
        <v>0.39340776182881448</v>
      </c>
      <c r="BD693" s="36">
        <f t="shared" si="1641"/>
        <v>0.40534208059981258</v>
      </c>
      <c r="BE693" s="36">
        <f t="shared" si="1641"/>
        <v>0.39847715736040606</v>
      </c>
      <c r="BF693" s="36" t="e">
        <f t="shared" si="1641"/>
        <v>#N/A</v>
      </c>
      <c r="BG693" s="36" t="e">
        <f t="shared" si="1641"/>
        <v>#N/A</v>
      </c>
      <c r="BH693" s="36" t="e">
        <f t="shared" si="1641"/>
        <v>#N/A</v>
      </c>
      <c r="BI693" s="36" t="e">
        <f t="shared" si="1641"/>
        <v>#N/A</v>
      </c>
      <c r="BJ693" s="36" t="e">
        <f t="shared" si="1641"/>
        <v>#N/A</v>
      </c>
      <c r="BK693" s="36" t="e">
        <f t="shared" si="1641"/>
        <v>#N/A</v>
      </c>
      <c r="BL693" s="36" t="e">
        <f t="shared" si="1641"/>
        <v>#N/A</v>
      </c>
      <c r="BM693" s="36" t="e">
        <f t="shared" si="1641"/>
        <v>#N/A</v>
      </c>
      <c r="BN693" s="30"/>
    </row>
    <row r="694" spans="1:66" ht="11.25" customHeight="1" x14ac:dyDescent="0.2">
      <c r="A694" s="37"/>
      <c r="B694" s="73"/>
      <c r="C694" s="33">
        <v>3</v>
      </c>
      <c r="D694" s="13" t="s">
        <v>449</v>
      </c>
      <c r="E694" s="16">
        <f t="shared" si="1633"/>
        <v>117</v>
      </c>
      <c r="F694" s="16">
        <f>SUMIFS([0]!VOTOS2,[0]!TURNO1,F$31,[0]!CANDIDATO1,$C694,[0]!MUNICIPIO1,$B$692)</f>
        <v>0</v>
      </c>
      <c r="G694" s="16">
        <f>SUMIFS([0]!VOTOS2,[0]!TURNO1,G$31,[0]!CANDIDATO1,$C694,[0]!MUNICIPIO1,$B$692)</f>
        <v>20</v>
      </c>
      <c r="H694" s="16">
        <f>SUMIFS([0]!VOTOS2,[0]!TURNO1,H$31,[0]!CANDIDATO1,$C694,[0]!MUNICIPIO1,$B$692)</f>
        <v>12</v>
      </c>
      <c r="I694" s="16">
        <f>SUMIFS([0]!VOTOS2,[0]!TURNO1,I$31,[0]!CANDIDATO1,$C694,[0]!MUNICIPIO1,$B$692)</f>
        <v>21</v>
      </c>
      <c r="J694" s="16">
        <f>SUMIFS([0]!VOTOS2,[0]!TURNO1,J$31,[0]!CANDIDATO1,$C694,[0]!MUNICIPIO1,$B$692)</f>
        <v>23</v>
      </c>
      <c r="K694" s="16">
        <f>SUMIFS([0]!VOTOS2,[0]!TURNO1,K$31,[0]!CANDIDATO1,$C694,[0]!MUNICIPIO1,$B$692)</f>
        <v>8</v>
      </c>
      <c r="L694" s="16">
        <f>SUMIFS([0]!VOTOS2,[0]!TURNO1,L$31,[0]!CANDIDATO1,$C694,[0]!MUNICIPIO1,$B$692)</f>
        <v>2</v>
      </c>
      <c r="M694" s="16">
        <f>SUMIFS([0]!VOTOS2,[0]!TURNO1,M$31,[0]!CANDIDATO1,$C694,[0]!MUNICIPIO1,$B$692)</f>
        <v>1</v>
      </c>
      <c r="N694" s="16">
        <f>SUMIFS([0]!VOTOS2,[0]!TURNO1,N$31,[0]!CANDIDATO1,$C694,[0]!MUNICIPIO1,$B$692)</f>
        <v>16</v>
      </c>
      <c r="O694" s="16">
        <f>SUMIFS([0]!VOTOS2,[0]!TURNO1,O$31,[0]!CANDIDATO1,$C694,[0]!MUNICIPIO1,$B$692)</f>
        <v>14</v>
      </c>
      <c r="P694" s="16">
        <f>SUMIFS([0]!VOTOS2,[0]!TURNO1,P$31,[0]!CANDIDATO1,$C694,[0]!MUNICIPIO1,$B$692)</f>
        <v>0</v>
      </c>
      <c r="Q694" s="16">
        <f>SUMIFS([0]!VOTOS2,[0]!TURNO1,Q$31,[0]!CANDIDATO1,$C694,[0]!MUNICIPIO1,$B$692)</f>
        <v>0</v>
      </c>
      <c r="R694" s="16">
        <f>SUMIFS([0]!VOTOS2,[0]!TURNO1,R$31,[0]!CANDIDATO1,$C694,[0]!MUNICIPIO1,$B$692)</f>
        <v>0</v>
      </c>
      <c r="S694" s="16">
        <f>SUMIFS([0]!VOTOS2,[0]!TURNO1,S$31,[0]!CANDIDATO1,$C694,[0]!MUNICIPIO1,$B$692)</f>
        <v>0</v>
      </c>
      <c r="T694" s="16">
        <f>SUMIFS([0]!VOTOS2,[0]!TURNO1,T$31,[0]!CANDIDATO1,$C694,[0]!MUNICIPIO1,$B$692)</f>
        <v>0</v>
      </c>
      <c r="U694" s="16">
        <f>SUMIFS([0]!VOTOS2,[0]!TURNO1,U$31,[0]!CANDIDATO1,$C694,[0]!MUNICIPIO1,$B$692)</f>
        <v>0</v>
      </c>
      <c r="V694" s="16">
        <f>SUMIFS([0]!VOTOS2,[0]!TURNO1,V$31,[0]!CANDIDATO1,$C694,[0]!MUNICIPIO1,$B$692)</f>
        <v>0</v>
      </c>
      <c r="W694" s="16">
        <f>SUMIFS([0]!VOTOS2,[0]!TURNO1,W$31,[0]!CANDIDATO1,$C694,[0]!MUNICIPIO1,$B$692)</f>
        <v>0</v>
      </c>
      <c r="X694" s="24"/>
      <c r="Y694" s="18" t="str">
        <f t="shared" si="1634"/>
        <v>JORGE AMADO CORTEZ</v>
      </c>
      <c r="Z694" s="34">
        <f t="shared" si="1635"/>
        <v>117</v>
      </c>
      <c r="AA694" s="34">
        <f t="shared" si="1636"/>
        <v>0</v>
      </c>
      <c r="AB694" s="34">
        <f t="shared" ref="AB694:AR694" si="1642">IF(SUM(G692:G704)=0,NA(),G694+AA694)</f>
        <v>20</v>
      </c>
      <c r="AC694" s="34">
        <f t="shared" si="1642"/>
        <v>32</v>
      </c>
      <c r="AD694" s="34">
        <f t="shared" si="1642"/>
        <v>53</v>
      </c>
      <c r="AE694" s="34">
        <f t="shared" si="1642"/>
        <v>76</v>
      </c>
      <c r="AF694" s="34">
        <f t="shared" si="1642"/>
        <v>84</v>
      </c>
      <c r="AG694" s="34">
        <f t="shared" si="1642"/>
        <v>86</v>
      </c>
      <c r="AH694" s="34">
        <f t="shared" si="1642"/>
        <v>87</v>
      </c>
      <c r="AI694" s="34">
        <f t="shared" si="1642"/>
        <v>103</v>
      </c>
      <c r="AJ694" s="34">
        <f t="shared" si="1642"/>
        <v>117</v>
      </c>
      <c r="AK694" s="34" t="e">
        <f t="shared" si="1642"/>
        <v>#N/A</v>
      </c>
      <c r="AL694" s="34" t="e">
        <f t="shared" si="1642"/>
        <v>#N/A</v>
      </c>
      <c r="AM694" s="34" t="e">
        <f t="shared" si="1642"/>
        <v>#N/A</v>
      </c>
      <c r="AN694" s="34" t="e">
        <f t="shared" si="1642"/>
        <v>#N/A</v>
      </c>
      <c r="AO694" s="34" t="e">
        <f t="shared" si="1642"/>
        <v>#N/A</v>
      </c>
      <c r="AP694" s="34" t="e">
        <f t="shared" si="1642"/>
        <v>#N/A</v>
      </c>
      <c r="AQ694" s="34" t="e">
        <f t="shared" si="1642"/>
        <v>#N/A</v>
      </c>
      <c r="AR694" s="34" t="e">
        <f t="shared" si="1642"/>
        <v>#N/A</v>
      </c>
      <c r="AS694" s="27"/>
      <c r="AT694" s="35" t="str">
        <f t="shared" ref="AT694" si="1643">Y705</f>
        <v>Otros</v>
      </c>
      <c r="AU694" s="36">
        <f t="shared" ref="AU694:BM694" si="1644">Z705/(Z692+Z693+Z705)</f>
        <v>8.8832487309644673E-2</v>
      </c>
      <c r="AV694" s="36">
        <f t="shared" si="1644"/>
        <v>0</v>
      </c>
      <c r="AW694" s="36">
        <f t="shared" si="1644"/>
        <v>7.9365079365079361E-2</v>
      </c>
      <c r="AX694" s="36">
        <f t="shared" si="1644"/>
        <v>0.11866859623733719</v>
      </c>
      <c r="AY694" s="36">
        <f t="shared" si="1644"/>
        <v>0.12382934443288242</v>
      </c>
      <c r="AZ694" s="36">
        <f t="shared" si="1644"/>
        <v>0.12125984251968504</v>
      </c>
      <c r="BA694" s="36">
        <f t="shared" si="1644"/>
        <v>0.11394101876675604</v>
      </c>
      <c r="BB694" s="36">
        <f t="shared" si="1644"/>
        <v>0.10571081409477522</v>
      </c>
      <c r="BC694" s="36">
        <f t="shared" si="1644"/>
        <v>9.3035619351408819E-2</v>
      </c>
      <c r="BD694" s="36">
        <f t="shared" si="1644"/>
        <v>9.0909090909090912E-2</v>
      </c>
      <c r="BE694" s="36">
        <f t="shared" si="1644"/>
        <v>8.8832487309644673E-2</v>
      </c>
      <c r="BF694" s="36" t="e">
        <f t="shared" si="1644"/>
        <v>#N/A</v>
      </c>
      <c r="BG694" s="36" t="e">
        <f t="shared" si="1644"/>
        <v>#N/A</v>
      </c>
      <c r="BH694" s="36" t="e">
        <f t="shared" si="1644"/>
        <v>#N/A</v>
      </c>
      <c r="BI694" s="36" t="e">
        <f t="shared" si="1644"/>
        <v>#N/A</v>
      </c>
      <c r="BJ694" s="36" t="e">
        <f t="shared" si="1644"/>
        <v>#N/A</v>
      </c>
      <c r="BK694" s="36" t="e">
        <f t="shared" si="1644"/>
        <v>#N/A</v>
      </c>
      <c r="BL694" s="36" t="e">
        <f t="shared" si="1644"/>
        <v>#N/A</v>
      </c>
      <c r="BM694" s="36" t="e">
        <f t="shared" si="1644"/>
        <v>#N/A</v>
      </c>
      <c r="BN694" s="30"/>
    </row>
    <row r="695" spans="1:66" ht="11.25" customHeight="1" x14ac:dyDescent="0.2">
      <c r="A695" s="38" t="s">
        <v>54</v>
      </c>
      <c r="B695" s="73"/>
      <c r="C695" s="33">
        <v>4</v>
      </c>
      <c r="D695" s="13" t="s">
        <v>450</v>
      </c>
      <c r="E695" s="16">
        <f t="shared" si="1633"/>
        <v>32</v>
      </c>
      <c r="F695" s="16">
        <f>SUMIFS([0]!VOTOS2,[0]!TURNO1,F$31,[0]!CANDIDATO1,$C695,[0]!MUNICIPIO1,$B$692)</f>
        <v>0</v>
      </c>
      <c r="G695" s="16">
        <f>SUMIFS([0]!VOTOS2,[0]!TURNO1,G$31,[0]!CANDIDATO1,$C695,[0]!MUNICIPIO1,$B$692)</f>
        <v>6</v>
      </c>
      <c r="H695" s="16">
        <f>SUMIFS([0]!VOTOS2,[0]!TURNO1,H$31,[0]!CANDIDATO1,$C695,[0]!MUNICIPIO1,$B$692)</f>
        <v>15</v>
      </c>
      <c r="I695" s="16">
        <f>SUMIFS([0]!VOTOS2,[0]!TURNO1,I$31,[0]!CANDIDATO1,$C695,[0]!MUNICIPIO1,$B$692)</f>
        <v>5</v>
      </c>
      <c r="J695" s="16">
        <f>SUMIFS([0]!VOTOS2,[0]!TURNO1,J$31,[0]!CANDIDATO1,$C695,[0]!MUNICIPIO1,$B$692)</f>
        <v>2</v>
      </c>
      <c r="K695" s="16">
        <f>SUMIFS([0]!VOTOS2,[0]!TURNO1,K$31,[0]!CANDIDATO1,$C695,[0]!MUNICIPIO1,$B$692)</f>
        <v>0</v>
      </c>
      <c r="L695" s="16">
        <f>SUMIFS([0]!VOTOS2,[0]!TURNO1,L$31,[0]!CANDIDATO1,$C695,[0]!MUNICIPIO1,$B$692)</f>
        <v>1</v>
      </c>
      <c r="M695" s="16">
        <f>SUMIFS([0]!VOTOS2,[0]!TURNO1,M$31,[0]!CANDIDATO1,$C695,[0]!MUNICIPIO1,$B$692)</f>
        <v>0</v>
      </c>
      <c r="N695" s="16">
        <f>SUMIFS([0]!VOTOS2,[0]!TURNO1,N$31,[0]!CANDIDATO1,$C695,[0]!MUNICIPIO1,$B$692)</f>
        <v>1</v>
      </c>
      <c r="O695" s="16">
        <f>SUMIFS([0]!VOTOS2,[0]!TURNO1,O$31,[0]!CANDIDATO1,$C695,[0]!MUNICIPIO1,$B$692)</f>
        <v>2</v>
      </c>
      <c r="P695" s="16">
        <f>SUMIFS([0]!VOTOS2,[0]!TURNO1,P$31,[0]!CANDIDATO1,$C695,[0]!MUNICIPIO1,$B$692)</f>
        <v>0</v>
      </c>
      <c r="Q695" s="16">
        <f>SUMIFS([0]!VOTOS2,[0]!TURNO1,Q$31,[0]!CANDIDATO1,$C695,[0]!MUNICIPIO1,$B$692)</f>
        <v>0</v>
      </c>
      <c r="R695" s="16">
        <f>SUMIFS([0]!VOTOS2,[0]!TURNO1,R$31,[0]!CANDIDATO1,$C695,[0]!MUNICIPIO1,$B$692)</f>
        <v>0</v>
      </c>
      <c r="S695" s="16">
        <f>SUMIFS([0]!VOTOS2,[0]!TURNO1,S$31,[0]!CANDIDATO1,$C695,[0]!MUNICIPIO1,$B$692)</f>
        <v>0</v>
      </c>
      <c r="T695" s="16">
        <f>SUMIFS([0]!VOTOS2,[0]!TURNO1,T$31,[0]!CANDIDATO1,$C695,[0]!MUNICIPIO1,$B$692)</f>
        <v>0</v>
      </c>
      <c r="U695" s="16">
        <f>SUMIFS([0]!VOTOS2,[0]!TURNO1,U$31,[0]!CANDIDATO1,$C695,[0]!MUNICIPIO1,$B$692)</f>
        <v>0</v>
      </c>
      <c r="V695" s="16">
        <f>SUMIFS([0]!VOTOS2,[0]!TURNO1,V$31,[0]!CANDIDATO1,$C695,[0]!MUNICIPIO1,$B$692)</f>
        <v>0</v>
      </c>
      <c r="W695" s="16">
        <f>SUMIFS([0]!VOTOS2,[0]!TURNO1,W$31,[0]!CANDIDATO1,$C695,[0]!MUNICIPIO1,$B$692)</f>
        <v>0</v>
      </c>
      <c r="X695" s="24"/>
      <c r="Y695" s="18" t="str">
        <f t="shared" si="1634"/>
        <v>FREDY RUIZ</v>
      </c>
      <c r="Z695" s="34">
        <f t="shared" si="1635"/>
        <v>32</v>
      </c>
      <c r="AA695" s="34">
        <f t="shared" si="1636"/>
        <v>0</v>
      </c>
      <c r="AB695" s="34">
        <f t="shared" ref="AB695:AR695" si="1645">IF(SUM(G692:G704)=0,NA(),G695+AA695)</f>
        <v>6</v>
      </c>
      <c r="AC695" s="34">
        <f t="shared" si="1645"/>
        <v>21</v>
      </c>
      <c r="AD695" s="34">
        <f t="shared" si="1645"/>
        <v>26</v>
      </c>
      <c r="AE695" s="34">
        <f t="shared" si="1645"/>
        <v>28</v>
      </c>
      <c r="AF695" s="34">
        <f t="shared" si="1645"/>
        <v>28</v>
      </c>
      <c r="AG695" s="34">
        <f t="shared" si="1645"/>
        <v>29</v>
      </c>
      <c r="AH695" s="34">
        <f t="shared" si="1645"/>
        <v>29</v>
      </c>
      <c r="AI695" s="34">
        <f t="shared" si="1645"/>
        <v>30</v>
      </c>
      <c r="AJ695" s="34">
        <f t="shared" si="1645"/>
        <v>32</v>
      </c>
      <c r="AK695" s="34" t="e">
        <f t="shared" si="1645"/>
        <v>#N/A</v>
      </c>
      <c r="AL695" s="34" t="e">
        <f t="shared" si="1645"/>
        <v>#N/A</v>
      </c>
      <c r="AM695" s="34" t="e">
        <f t="shared" si="1645"/>
        <v>#N/A</v>
      </c>
      <c r="AN695" s="34" t="e">
        <f t="shared" si="1645"/>
        <v>#N/A</v>
      </c>
      <c r="AO695" s="34" t="e">
        <f t="shared" si="1645"/>
        <v>#N/A</v>
      </c>
      <c r="AP695" s="34" t="e">
        <f t="shared" si="1645"/>
        <v>#N/A</v>
      </c>
      <c r="AQ695" s="34" t="e">
        <f t="shared" si="1645"/>
        <v>#N/A</v>
      </c>
      <c r="AR695" s="34" t="e">
        <f t="shared" si="1645"/>
        <v>#N/A</v>
      </c>
      <c r="AS695" s="27"/>
      <c r="AT695" s="39"/>
      <c r="AU695" s="39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30"/>
    </row>
    <row r="696" spans="1:66" ht="11.25" customHeight="1" x14ac:dyDescent="0.2">
      <c r="A696" s="38" t="s">
        <v>56</v>
      </c>
      <c r="B696" s="73"/>
      <c r="C696" s="33">
        <v>5</v>
      </c>
      <c r="D696" s="13" t="s">
        <v>451</v>
      </c>
      <c r="E696" s="16">
        <f t="shared" si="1633"/>
        <v>14</v>
      </c>
      <c r="F696" s="16">
        <f>SUMIFS([0]!VOTOS2,[0]!TURNO1,F$31,[0]!CANDIDATO1,$C696,[0]!MUNICIPIO1,$B$692)</f>
        <v>0</v>
      </c>
      <c r="G696" s="16">
        <f>SUMIFS([0]!VOTOS2,[0]!TURNO1,G$31,[0]!CANDIDATO1,$C696,[0]!MUNICIPIO1,$B$692)</f>
        <v>0</v>
      </c>
      <c r="H696" s="16">
        <f>SUMIFS([0]!VOTOS2,[0]!TURNO1,H$31,[0]!CANDIDATO1,$C696,[0]!MUNICIPIO1,$B$692)</f>
        <v>10</v>
      </c>
      <c r="I696" s="16">
        <f>SUMIFS([0]!VOTOS2,[0]!TURNO1,I$31,[0]!CANDIDATO1,$C696,[0]!MUNICIPIO1,$B$692)</f>
        <v>0</v>
      </c>
      <c r="J696" s="16">
        <f>SUMIFS([0]!VOTOS2,[0]!TURNO1,J$31,[0]!CANDIDATO1,$C696,[0]!MUNICIPIO1,$B$692)</f>
        <v>0</v>
      </c>
      <c r="K696" s="16">
        <f>SUMIFS([0]!VOTOS2,[0]!TURNO1,K$31,[0]!CANDIDATO1,$C696,[0]!MUNICIPIO1,$B$692)</f>
        <v>4</v>
      </c>
      <c r="L696" s="16">
        <f>SUMIFS([0]!VOTOS2,[0]!TURNO1,L$31,[0]!CANDIDATO1,$C696,[0]!MUNICIPIO1,$B$692)</f>
        <v>0</v>
      </c>
      <c r="M696" s="16">
        <f>SUMIFS([0]!VOTOS2,[0]!TURNO1,M$31,[0]!CANDIDATO1,$C696,[0]!MUNICIPIO1,$B$692)</f>
        <v>0</v>
      </c>
      <c r="N696" s="16">
        <f>SUMIFS([0]!VOTOS2,[0]!TURNO1,N$31,[0]!CANDIDATO1,$C696,[0]!MUNICIPIO1,$B$692)</f>
        <v>0</v>
      </c>
      <c r="O696" s="16">
        <f>SUMIFS([0]!VOTOS2,[0]!TURNO1,O$31,[0]!CANDIDATO1,$C696,[0]!MUNICIPIO1,$B$692)</f>
        <v>0</v>
      </c>
      <c r="P696" s="16">
        <f>SUMIFS([0]!VOTOS2,[0]!TURNO1,P$31,[0]!CANDIDATO1,$C696,[0]!MUNICIPIO1,$B$692)</f>
        <v>0</v>
      </c>
      <c r="Q696" s="16">
        <f>SUMIFS([0]!VOTOS2,[0]!TURNO1,Q$31,[0]!CANDIDATO1,$C696,[0]!MUNICIPIO1,$B$692)</f>
        <v>0</v>
      </c>
      <c r="R696" s="16">
        <f>SUMIFS([0]!VOTOS2,[0]!TURNO1,R$31,[0]!CANDIDATO1,$C696,[0]!MUNICIPIO1,$B$692)</f>
        <v>0</v>
      </c>
      <c r="S696" s="16">
        <f>SUMIFS([0]!VOTOS2,[0]!TURNO1,S$31,[0]!CANDIDATO1,$C696,[0]!MUNICIPIO1,$B$692)</f>
        <v>0</v>
      </c>
      <c r="T696" s="16">
        <f>SUMIFS([0]!VOTOS2,[0]!TURNO1,T$31,[0]!CANDIDATO1,$C696,[0]!MUNICIPIO1,$B$692)</f>
        <v>0</v>
      </c>
      <c r="U696" s="16">
        <f>SUMIFS([0]!VOTOS2,[0]!TURNO1,U$31,[0]!CANDIDATO1,$C696,[0]!MUNICIPIO1,$B$692)</f>
        <v>0</v>
      </c>
      <c r="V696" s="16">
        <f>SUMIFS([0]!VOTOS2,[0]!TURNO1,V$31,[0]!CANDIDATO1,$C696,[0]!MUNICIPIO1,$B$692)</f>
        <v>0</v>
      </c>
      <c r="W696" s="16">
        <f>SUMIFS([0]!VOTOS2,[0]!TURNO1,W$31,[0]!CANDIDATO1,$C696,[0]!MUNICIPIO1,$B$692)</f>
        <v>0</v>
      </c>
      <c r="X696" s="24"/>
      <c r="Y696" s="18" t="str">
        <f t="shared" si="1634"/>
        <v>LEONARDO LUJAN</v>
      </c>
      <c r="Z696" s="34">
        <f t="shared" si="1635"/>
        <v>14</v>
      </c>
      <c r="AA696" s="34">
        <f t="shared" si="1636"/>
        <v>0</v>
      </c>
      <c r="AB696" s="34">
        <f t="shared" ref="AB696:AR696" si="1646">IF(SUM(G692:G704)=0,NA(),G696+AA696)</f>
        <v>0</v>
      </c>
      <c r="AC696" s="34">
        <f t="shared" si="1646"/>
        <v>10</v>
      </c>
      <c r="AD696" s="34">
        <f t="shared" si="1646"/>
        <v>10</v>
      </c>
      <c r="AE696" s="34">
        <f t="shared" si="1646"/>
        <v>10</v>
      </c>
      <c r="AF696" s="34">
        <f t="shared" si="1646"/>
        <v>14</v>
      </c>
      <c r="AG696" s="34">
        <f t="shared" si="1646"/>
        <v>14</v>
      </c>
      <c r="AH696" s="34">
        <f t="shared" si="1646"/>
        <v>14</v>
      </c>
      <c r="AI696" s="34">
        <f t="shared" si="1646"/>
        <v>14</v>
      </c>
      <c r="AJ696" s="34">
        <f t="shared" si="1646"/>
        <v>14</v>
      </c>
      <c r="AK696" s="34" t="e">
        <f t="shared" si="1646"/>
        <v>#N/A</v>
      </c>
      <c r="AL696" s="34" t="e">
        <f t="shared" si="1646"/>
        <v>#N/A</v>
      </c>
      <c r="AM696" s="34" t="e">
        <f t="shared" si="1646"/>
        <v>#N/A</v>
      </c>
      <c r="AN696" s="34" t="e">
        <f t="shared" si="1646"/>
        <v>#N/A</v>
      </c>
      <c r="AO696" s="34" t="e">
        <f t="shared" si="1646"/>
        <v>#N/A</v>
      </c>
      <c r="AP696" s="34" t="e">
        <f t="shared" si="1646"/>
        <v>#N/A</v>
      </c>
      <c r="AQ696" s="34" t="e">
        <f t="shared" si="1646"/>
        <v>#N/A</v>
      </c>
      <c r="AR696" s="34" t="e">
        <f t="shared" si="1646"/>
        <v>#N/A</v>
      </c>
      <c r="AS696" s="27"/>
      <c r="AT696" s="39"/>
      <c r="AU696" s="39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30"/>
    </row>
    <row r="697" spans="1:66" ht="11.25" customHeight="1" x14ac:dyDescent="0.2">
      <c r="A697" s="37"/>
      <c r="B697" s="73"/>
      <c r="C697" s="33">
        <v>6</v>
      </c>
      <c r="D697" s="13" t="s">
        <v>452</v>
      </c>
      <c r="E697" s="16">
        <f t="shared" si="1633"/>
        <v>3</v>
      </c>
      <c r="F697" s="16">
        <f>SUMIFS([0]!VOTOS2,[0]!TURNO1,F$31,[0]!CANDIDATO1,$C697,[0]!MUNICIPIO1,$B$692)</f>
        <v>0</v>
      </c>
      <c r="G697" s="16">
        <f>SUMIFS([0]!VOTOS2,[0]!TURNO1,G$31,[0]!CANDIDATO1,$C697,[0]!MUNICIPIO1,$B$692)</f>
        <v>1</v>
      </c>
      <c r="H697" s="16">
        <f>SUMIFS([0]!VOTOS2,[0]!TURNO1,H$31,[0]!CANDIDATO1,$C697,[0]!MUNICIPIO1,$B$692)</f>
        <v>0</v>
      </c>
      <c r="I697" s="16">
        <f>SUMIFS([0]!VOTOS2,[0]!TURNO1,I$31,[0]!CANDIDATO1,$C697,[0]!MUNICIPIO1,$B$692)</f>
        <v>0</v>
      </c>
      <c r="J697" s="16">
        <f>SUMIFS([0]!VOTOS2,[0]!TURNO1,J$31,[0]!CANDIDATO1,$C697,[0]!MUNICIPIO1,$B$692)</f>
        <v>2</v>
      </c>
      <c r="K697" s="16">
        <f>SUMIFS([0]!VOTOS2,[0]!TURNO1,K$31,[0]!CANDIDATO1,$C697,[0]!MUNICIPIO1,$B$692)</f>
        <v>0</v>
      </c>
      <c r="L697" s="16">
        <f>SUMIFS([0]!VOTOS2,[0]!TURNO1,L$31,[0]!CANDIDATO1,$C697,[0]!MUNICIPIO1,$B$692)</f>
        <v>0</v>
      </c>
      <c r="M697" s="16">
        <f>SUMIFS([0]!VOTOS2,[0]!TURNO1,M$31,[0]!CANDIDATO1,$C697,[0]!MUNICIPIO1,$B$692)</f>
        <v>0</v>
      </c>
      <c r="N697" s="16">
        <f>SUMIFS([0]!VOTOS2,[0]!TURNO1,N$31,[0]!CANDIDATO1,$C697,[0]!MUNICIPIO1,$B$692)</f>
        <v>0</v>
      </c>
      <c r="O697" s="16">
        <f>SUMIFS([0]!VOTOS2,[0]!TURNO1,O$31,[0]!CANDIDATO1,$C697,[0]!MUNICIPIO1,$B$692)</f>
        <v>0</v>
      </c>
      <c r="P697" s="16">
        <f>SUMIFS([0]!VOTOS2,[0]!TURNO1,P$31,[0]!CANDIDATO1,$C697,[0]!MUNICIPIO1,$B$692)</f>
        <v>0</v>
      </c>
      <c r="Q697" s="16">
        <f>SUMIFS([0]!VOTOS2,[0]!TURNO1,Q$31,[0]!CANDIDATO1,$C697,[0]!MUNICIPIO1,$B$692)</f>
        <v>0</v>
      </c>
      <c r="R697" s="16">
        <f>SUMIFS([0]!VOTOS2,[0]!TURNO1,R$31,[0]!CANDIDATO1,$C697,[0]!MUNICIPIO1,$B$692)</f>
        <v>0</v>
      </c>
      <c r="S697" s="16">
        <f>SUMIFS([0]!VOTOS2,[0]!TURNO1,S$31,[0]!CANDIDATO1,$C697,[0]!MUNICIPIO1,$B$692)</f>
        <v>0</v>
      </c>
      <c r="T697" s="16">
        <f>SUMIFS([0]!VOTOS2,[0]!TURNO1,T$31,[0]!CANDIDATO1,$C697,[0]!MUNICIPIO1,$B$692)</f>
        <v>0</v>
      </c>
      <c r="U697" s="16">
        <f>SUMIFS([0]!VOTOS2,[0]!TURNO1,U$31,[0]!CANDIDATO1,$C697,[0]!MUNICIPIO1,$B$692)</f>
        <v>0</v>
      </c>
      <c r="V697" s="16">
        <f>SUMIFS([0]!VOTOS2,[0]!TURNO1,V$31,[0]!CANDIDATO1,$C697,[0]!MUNICIPIO1,$B$692)</f>
        <v>0</v>
      </c>
      <c r="W697" s="16">
        <f>SUMIFS([0]!VOTOS2,[0]!TURNO1,W$31,[0]!CANDIDATO1,$C697,[0]!MUNICIPIO1,$B$692)</f>
        <v>0</v>
      </c>
      <c r="X697" s="24"/>
      <c r="Y697" s="18" t="str">
        <f t="shared" si="1634"/>
        <v>OMAR MALAVE</v>
      </c>
      <c r="Z697" s="34">
        <f t="shared" si="1635"/>
        <v>3</v>
      </c>
      <c r="AA697" s="34">
        <f t="shared" si="1636"/>
        <v>0</v>
      </c>
      <c r="AB697" s="34">
        <f t="shared" ref="AB697:AR697" si="1647">IF(SUM(G692:G704)=0,NA(),G697+AA697)</f>
        <v>1</v>
      </c>
      <c r="AC697" s="34">
        <f t="shared" si="1647"/>
        <v>1</v>
      </c>
      <c r="AD697" s="34">
        <f t="shared" si="1647"/>
        <v>1</v>
      </c>
      <c r="AE697" s="34">
        <f t="shared" si="1647"/>
        <v>3</v>
      </c>
      <c r="AF697" s="34">
        <f t="shared" si="1647"/>
        <v>3</v>
      </c>
      <c r="AG697" s="34">
        <f t="shared" si="1647"/>
        <v>3</v>
      </c>
      <c r="AH697" s="34">
        <f t="shared" si="1647"/>
        <v>3</v>
      </c>
      <c r="AI697" s="34">
        <f t="shared" si="1647"/>
        <v>3</v>
      </c>
      <c r="AJ697" s="34">
        <f t="shared" si="1647"/>
        <v>3</v>
      </c>
      <c r="AK697" s="34" t="e">
        <f t="shared" si="1647"/>
        <v>#N/A</v>
      </c>
      <c r="AL697" s="34" t="e">
        <f t="shared" si="1647"/>
        <v>#N/A</v>
      </c>
      <c r="AM697" s="34" t="e">
        <f t="shared" si="1647"/>
        <v>#N/A</v>
      </c>
      <c r="AN697" s="34" t="e">
        <f t="shared" si="1647"/>
        <v>#N/A</v>
      </c>
      <c r="AO697" s="34" t="e">
        <f t="shared" si="1647"/>
        <v>#N/A</v>
      </c>
      <c r="AP697" s="34" t="e">
        <f t="shared" si="1647"/>
        <v>#N/A</v>
      </c>
      <c r="AQ697" s="34" t="e">
        <f t="shared" si="1647"/>
        <v>#N/A</v>
      </c>
      <c r="AR697" s="34" t="e">
        <f t="shared" si="1647"/>
        <v>#N/A</v>
      </c>
      <c r="AS697" s="27"/>
      <c r="AT697" s="39"/>
      <c r="AU697" s="39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30"/>
    </row>
    <row r="698" spans="1:66" ht="11.25" customHeight="1" x14ac:dyDescent="0.2">
      <c r="A698" s="42"/>
      <c r="B698" s="74"/>
      <c r="C698" s="33">
        <v>7</v>
      </c>
      <c r="D698" s="13" t="s">
        <v>453</v>
      </c>
      <c r="E698" s="16">
        <f t="shared" si="1633"/>
        <v>44</v>
      </c>
      <c r="F698" s="16">
        <f>SUMIFS([0]!VOTOS2,[0]!TURNO1,F$31,[0]!CANDIDATO1,$C698,[0]!MUNICIPIO1,$B$692)</f>
        <v>0</v>
      </c>
      <c r="G698" s="16">
        <f>SUMIFS([0]!VOTOS2,[0]!TURNO1,G$31,[0]!CANDIDATO1,$C698,[0]!MUNICIPIO1,$B$692)</f>
        <v>3</v>
      </c>
      <c r="H698" s="16">
        <f>SUMIFS([0]!VOTOS2,[0]!TURNO1,H$31,[0]!CANDIDATO1,$C698,[0]!MUNICIPIO1,$B$692)</f>
        <v>15</v>
      </c>
      <c r="I698" s="16">
        <f>SUMIFS([0]!VOTOS2,[0]!TURNO1,I$31,[0]!CANDIDATO1,$C698,[0]!MUNICIPIO1,$B$692)</f>
        <v>11</v>
      </c>
      <c r="J698" s="16">
        <f>SUMIFS([0]!VOTOS2,[0]!TURNO1,J$31,[0]!CANDIDATO1,$C698,[0]!MUNICIPIO1,$B$692)</f>
        <v>8</v>
      </c>
      <c r="K698" s="16">
        <f>SUMIFS([0]!VOTOS2,[0]!TURNO1,K$31,[0]!CANDIDATO1,$C698,[0]!MUNICIPIO1,$B$692)</f>
        <v>4</v>
      </c>
      <c r="L698" s="16">
        <f>SUMIFS([0]!VOTOS2,[0]!TURNO1,L$31,[0]!CANDIDATO1,$C698,[0]!MUNICIPIO1,$B$692)</f>
        <v>1</v>
      </c>
      <c r="M698" s="16">
        <f>SUMIFS([0]!VOTOS2,[0]!TURNO1,M$31,[0]!CANDIDATO1,$C698,[0]!MUNICIPIO1,$B$692)</f>
        <v>0</v>
      </c>
      <c r="N698" s="16">
        <f>SUMIFS([0]!VOTOS2,[0]!TURNO1,N$31,[0]!CANDIDATO1,$C698,[0]!MUNICIPIO1,$B$692)</f>
        <v>2</v>
      </c>
      <c r="O698" s="16">
        <f>SUMIFS([0]!VOTOS2,[0]!TURNO1,O$31,[0]!CANDIDATO1,$C698,[0]!MUNICIPIO1,$B$692)</f>
        <v>0</v>
      </c>
      <c r="P698" s="16">
        <f>SUMIFS([0]!VOTOS2,[0]!TURNO1,P$31,[0]!CANDIDATO1,$C698,[0]!MUNICIPIO1,$B$692)</f>
        <v>0</v>
      </c>
      <c r="Q698" s="16">
        <f>SUMIFS([0]!VOTOS2,[0]!TURNO1,Q$31,[0]!CANDIDATO1,$C698,[0]!MUNICIPIO1,$B$692)</f>
        <v>0</v>
      </c>
      <c r="R698" s="16">
        <f>SUMIFS([0]!VOTOS2,[0]!TURNO1,R$31,[0]!CANDIDATO1,$C698,[0]!MUNICIPIO1,$B$692)</f>
        <v>0</v>
      </c>
      <c r="S698" s="16">
        <f>SUMIFS([0]!VOTOS2,[0]!TURNO1,S$31,[0]!CANDIDATO1,$C698,[0]!MUNICIPIO1,$B$692)</f>
        <v>0</v>
      </c>
      <c r="T698" s="16">
        <f>SUMIFS([0]!VOTOS2,[0]!TURNO1,T$31,[0]!CANDIDATO1,$C698,[0]!MUNICIPIO1,$B$692)</f>
        <v>0</v>
      </c>
      <c r="U698" s="16">
        <f>SUMIFS([0]!VOTOS2,[0]!TURNO1,U$31,[0]!CANDIDATO1,$C698,[0]!MUNICIPIO1,$B$692)</f>
        <v>0</v>
      </c>
      <c r="V698" s="16">
        <f>SUMIFS([0]!VOTOS2,[0]!TURNO1,V$31,[0]!CANDIDATO1,$C698,[0]!MUNICIPIO1,$B$692)</f>
        <v>0</v>
      </c>
      <c r="W698" s="16">
        <f>SUMIFS([0]!VOTOS2,[0]!TURNO1,W$31,[0]!CANDIDATO1,$C698,[0]!MUNICIPIO1,$B$692)</f>
        <v>0</v>
      </c>
      <c r="X698" s="24"/>
      <c r="Y698" s="18" t="str">
        <f t="shared" si="1634"/>
        <v>FRANK BOHORQUEZ</v>
      </c>
      <c r="Z698" s="34">
        <f t="shared" si="1635"/>
        <v>44</v>
      </c>
      <c r="AA698" s="34">
        <f t="shared" si="1636"/>
        <v>0</v>
      </c>
      <c r="AB698" s="34">
        <f t="shared" ref="AB698:AR698" si="1648">IF(SUM(G692:G704)=0,NA(),G698+AA698)</f>
        <v>3</v>
      </c>
      <c r="AC698" s="34">
        <f t="shared" si="1648"/>
        <v>18</v>
      </c>
      <c r="AD698" s="34">
        <f t="shared" si="1648"/>
        <v>29</v>
      </c>
      <c r="AE698" s="34">
        <f t="shared" si="1648"/>
        <v>37</v>
      </c>
      <c r="AF698" s="34">
        <f t="shared" si="1648"/>
        <v>41</v>
      </c>
      <c r="AG698" s="34">
        <f t="shared" si="1648"/>
        <v>42</v>
      </c>
      <c r="AH698" s="34">
        <f t="shared" si="1648"/>
        <v>42</v>
      </c>
      <c r="AI698" s="34">
        <f t="shared" si="1648"/>
        <v>44</v>
      </c>
      <c r="AJ698" s="34">
        <f t="shared" si="1648"/>
        <v>44</v>
      </c>
      <c r="AK698" s="34" t="e">
        <f t="shared" si="1648"/>
        <v>#N/A</v>
      </c>
      <c r="AL698" s="34" t="e">
        <f t="shared" si="1648"/>
        <v>#N/A</v>
      </c>
      <c r="AM698" s="34" t="e">
        <f t="shared" si="1648"/>
        <v>#N/A</v>
      </c>
      <c r="AN698" s="34" t="e">
        <f t="shared" si="1648"/>
        <v>#N/A</v>
      </c>
      <c r="AO698" s="34" t="e">
        <f t="shared" si="1648"/>
        <v>#N/A</v>
      </c>
      <c r="AP698" s="34" t="e">
        <f t="shared" si="1648"/>
        <v>#N/A</v>
      </c>
      <c r="AQ698" s="34" t="e">
        <f t="shared" si="1648"/>
        <v>#N/A</v>
      </c>
      <c r="AR698" s="34" t="e">
        <f t="shared" si="1648"/>
        <v>#N/A</v>
      </c>
      <c r="AS698" s="27"/>
      <c r="AT698" s="39"/>
      <c r="AU698" s="39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30"/>
    </row>
    <row r="699" spans="1:66" ht="11.25" customHeight="1" x14ac:dyDescent="0.2">
      <c r="A699" s="44"/>
      <c r="B699" s="45"/>
      <c r="C699" s="46">
        <v>8</v>
      </c>
      <c r="D699" s="14" t="s">
        <v>76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24"/>
      <c r="Y699" s="18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27"/>
      <c r="AT699" s="41"/>
      <c r="AU699" s="41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30"/>
    </row>
    <row r="700" spans="1:66" ht="11.25" customHeight="1" x14ac:dyDescent="0.2">
      <c r="A700" s="44"/>
      <c r="B700" s="45"/>
      <c r="C700" s="46">
        <v>9</v>
      </c>
      <c r="D700" s="14" t="s">
        <v>76</v>
      </c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24"/>
      <c r="Y700" s="18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27"/>
      <c r="AT700" s="41"/>
      <c r="AU700" s="41"/>
      <c r="AV700" s="43"/>
      <c r="AW700" s="43"/>
      <c r="AX700" s="43"/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43"/>
      <c r="BJ700" s="43"/>
      <c r="BK700" s="43"/>
      <c r="BL700" s="43"/>
      <c r="BM700" s="43"/>
      <c r="BN700" s="30"/>
    </row>
    <row r="701" spans="1:66" ht="11.25" customHeight="1" x14ac:dyDescent="0.2">
      <c r="A701" s="44"/>
      <c r="B701" s="45"/>
      <c r="C701" s="46">
        <v>10</v>
      </c>
      <c r="D701" s="14" t="s">
        <v>76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24"/>
      <c r="Y701" s="18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27"/>
      <c r="AT701" s="41"/>
      <c r="AU701" s="41"/>
      <c r="AV701" s="43"/>
      <c r="AW701" s="43"/>
      <c r="AX701" s="43"/>
      <c r="AY701" s="43"/>
      <c r="AZ701" s="43"/>
      <c r="BA701" s="43"/>
      <c r="BB701" s="43"/>
      <c r="BC701" s="43"/>
      <c r="BD701" s="43"/>
      <c r="BE701" s="43"/>
      <c r="BF701" s="43"/>
      <c r="BG701" s="43"/>
      <c r="BH701" s="43"/>
      <c r="BI701" s="43"/>
      <c r="BJ701" s="43"/>
      <c r="BK701" s="43"/>
      <c r="BL701" s="43"/>
      <c r="BM701" s="43"/>
      <c r="BN701" s="30"/>
    </row>
    <row r="702" spans="1:66" ht="11.25" customHeight="1" x14ac:dyDescent="0.2">
      <c r="A702" s="44"/>
      <c r="B702" s="45"/>
      <c r="C702" s="46">
        <v>11</v>
      </c>
      <c r="D702" s="14" t="s">
        <v>76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24"/>
      <c r="Y702" s="18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27"/>
      <c r="AT702" s="41"/>
      <c r="AU702" s="41"/>
      <c r="AV702" s="43"/>
      <c r="AW702" s="43"/>
      <c r="AX702" s="43"/>
      <c r="AY702" s="43"/>
      <c r="AZ702" s="43"/>
      <c r="BA702" s="43"/>
      <c r="BB702" s="43"/>
      <c r="BC702" s="43"/>
      <c r="BD702" s="43"/>
      <c r="BE702" s="43"/>
      <c r="BF702" s="43"/>
      <c r="BG702" s="43"/>
      <c r="BH702" s="43"/>
      <c r="BI702" s="43"/>
      <c r="BJ702" s="43"/>
      <c r="BK702" s="43"/>
      <c r="BL702" s="43"/>
      <c r="BM702" s="43"/>
      <c r="BN702" s="30"/>
    </row>
    <row r="703" spans="1:66" ht="11.25" customHeight="1" x14ac:dyDescent="0.2">
      <c r="A703" s="44"/>
      <c r="B703" s="45"/>
      <c r="C703" s="46">
        <v>12</v>
      </c>
      <c r="D703" s="14" t="s">
        <v>76</v>
      </c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24"/>
      <c r="Y703" s="18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27"/>
      <c r="AT703" s="41"/>
      <c r="AU703" s="41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  <c r="BL703" s="43"/>
      <c r="BM703" s="43"/>
      <c r="BN703" s="30"/>
    </row>
    <row r="704" spans="1:66" ht="11.25" customHeight="1" x14ac:dyDescent="0.2">
      <c r="A704" s="44"/>
      <c r="B704" s="45"/>
      <c r="C704" s="46">
        <v>13</v>
      </c>
      <c r="D704" s="14" t="s">
        <v>76</v>
      </c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24"/>
      <c r="Y704" s="18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27"/>
      <c r="AT704" s="41"/>
      <c r="AU704" s="41"/>
      <c r="AV704" s="43"/>
      <c r="AW704" s="43"/>
      <c r="AX704" s="43"/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43"/>
      <c r="BJ704" s="43"/>
      <c r="BK704" s="43"/>
      <c r="BL704" s="43"/>
      <c r="BM704" s="43"/>
      <c r="BN704" s="30"/>
    </row>
    <row r="705" spans="1:66" ht="11.25" customHeight="1" x14ac:dyDescent="0.2">
      <c r="X705" s="24"/>
      <c r="Y705" s="19" t="s">
        <v>79</v>
      </c>
      <c r="Z705" s="34">
        <f t="shared" ref="Z705" si="1649">SUM(Z694:Z704)</f>
        <v>210</v>
      </c>
      <c r="AA705" s="34">
        <f t="shared" ref="AA705" si="1650">SUM(AA694:AA704)</f>
        <v>0</v>
      </c>
      <c r="AB705" s="34">
        <f t="shared" ref="AB705" si="1651">SUM(AB694:AB704)</f>
        <v>30</v>
      </c>
      <c r="AC705" s="34">
        <f t="shared" ref="AC705" si="1652">SUM(AC694:AC704)</f>
        <v>82</v>
      </c>
      <c r="AD705" s="34">
        <f t="shared" ref="AD705" si="1653">SUM(AD694:AD704)</f>
        <v>119</v>
      </c>
      <c r="AE705" s="34">
        <f t="shared" ref="AE705" si="1654">SUM(AE694:AE704)</f>
        <v>154</v>
      </c>
      <c r="AF705" s="34">
        <f t="shared" ref="AF705" si="1655">SUM(AF694:AF704)</f>
        <v>170</v>
      </c>
      <c r="AG705" s="34">
        <f t="shared" ref="AG705" si="1656">SUM(AG694:AG704)</f>
        <v>174</v>
      </c>
      <c r="AH705" s="34">
        <f t="shared" ref="AH705" si="1657">SUM(AH694:AH704)</f>
        <v>175</v>
      </c>
      <c r="AI705" s="34">
        <f t="shared" ref="AI705" si="1658">SUM(AI694:AI704)</f>
        <v>194</v>
      </c>
      <c r="AJ705" s="34">
        <f t="shared" ref="AJ705" si="1659">SUM(AJ694:AJ704)</f>
        <v>210</v>
      </c>
      <c r="AK705" s="34" t="e">
        <f t="shared" ref="AK705" si="1660">SUM(AK694:AK704)</f>
        <v>#N/A</v>
      </c>
      <c r="AL705" s="34" t="e">
        <f t="shared" ref="AL705" si="1661">SUM(AL694:AL704)</f>
        <v>#N/A</v>
      </c>
      <c r="AM705" s="34" t="e">
        <f t="shared" ref="AM705" si="1662">SUM(AM694:AM704)</f>
        <v>#N/A</v>
      </c>
      <c r="AN705" s="34" t="e">
        <f t="shared" ref="AN705" si="1663">SUM(AN694:AN704)</f>
        <v>#N/A</v>
      </c>
      <c r="AO705" s="34" t="e">
        <f t="shared" ref="AO705" si="1664">SUM(AO694:AO704)</f>
        <v>#N/A</v>
      </c>
      <c r="AP705" s="34" t="e">
        <f t="shared" ref="AP705" si="1665">SUM(AP694:AP704)</f>
        <v>#N/A</v>
      </c>
      <c r="AQ705" s="34" t="e">
        <f t="shared" ref="AQ705" si="1666">SUM(AQ694:AQ704)</f>
        <v>#N/A</v>
      </c>
      <c r="AR705" s="34" t="e">
        <f t="shared" ref="AR705" si="1667">SUM(AR694:AR704)</f>
        <v>#N/A</v>
      </c>
      <c r="AS705" s="27"/>
      <c r="AT705" s="41"/>
      <c r="AU705" s="41"/>
      <c r="AV705" s="43"/>
      <c r="AW705" s="43"/>
      <c r="AX705" s="43"/>
      <c r="AY705" s="43"/>
      <c r="AZ705" s="43"/>
      <c r="BA705" s="43"/>
      <c r="BB705" s="43"/>
      <c r="BC705" s="43"/>
      <c r="BD705" s="43"/>
      <c r="BE705" s="43"/>
      <c r="BF705" s="43"/>
      <c r="BG705" s="43"/>
      <c r="BH705" s="43"/>
      <c r="BI705" s="43"/>
      <c r="BJ705" s="43"/>
      <c r="BK705" s="43"/>
      <c r="BL705" s="43"/>
      <c r="BM705" s="43"/>
      <c r="BN705" s="30"/>
    </row>
    <row r="706" spans="1:66" ht="11.25" customHeight="1" x14ac:dyDescent="0.2">
      <c r="A706" s="75" t="s">
        <v>63</v>
      </c>
      <c r="B706" s="76"/>
      <c r="C706" s="21"/>
      <c r="D706" s="22" t="s">
        <v>75</v>
      </c>
      <c r="E706" s="23" t="s">
        <v>70</v>
      </c>
      <c r="F706" s="23">
        <v>0</v>
      </c>
      <c r="G706" s="23">
        <v>1</v>
      </c>
      <c r="H706" s="23">
        <v>2</v>
      </c>
      <c r="I706" s="23">
        <v>3</v>
      </c>
      <c r="J706" s="23">
        <v>4</v>
      </c>
      <c r="K706" s="23">
        <v>5</v>
      </c>
      <c r="L706" s="23">
        <v>6</v>
      </c>
      <c r="M706" s="23">
        <v>7</v>
      </c>
      <c r="N706" s="23">
        <v>8</v>
      </c>
      <c r="O706" s="23">
        <v>9</v>
      </c>
      <c r="P706" s="23">
        <v>10</v>
      </c>
      <c r="Q706" s="23">
        <v>11</v>
      </c>
      <c r="R706" s="23">
        <v>12</v>
      </c>
      <c r="S706" s="23">
        <v>13</v>
      </c>
      <c r="T706" s="23">
        <v>14</v>
      </c>
      <c r="U706" s="23">
        <v>15</v>
      </c>
      <c r="V706" s="23">
        <v>16</v>
      </c>
      <c r="W706" s="23">
        <v>17</v>
      </c>
      <c r="X706" s="24"/>
      <c r="Y706" s="17"/>
      <c r="Z706" s="25" t="s">
        <v>64</v>
      </c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/>
      <c r="AP706" s="26"/>
      <c r="AQ706" s="26"/>
      <c r="AR706" s="26"/>
      <c r="AS706" s="27"/>
      <c r="AT706" s="28"/>
      <c r="AU706" s="28" t="s">
        <v>64</v>
      </c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30"/>
    </row>
    <row r="707" spans="1:66" ht="11.25" customHeight="1" x14ac:dyDescent="0.2">
      <c r="A707" s="32"/>
      <c r="B707" s="72">
        <v>48</v>
      </c>
      <c r="C707" s="33">
        <v>1</v>
      </c>
      <c r="D707" s="13" t="s">
        <v>454</v>
      </c>
      <c r="E707" s="16">
        <f t="shared" ref="E707:E712" si="1668">SUM(F707:W707)</f>
        <v>10</v>
      </c>
      <c r="F707" s="16">
        <f>SUMIFS([0]!VOTOS2,[0]!TURNO1,F$31,[0]!CANDIDATO1,$C707,[0]!MUNICIPIO1,$B$707)</f>
        <v>10</v>
      </c>
      <c r="G707" s="16">
        <f>SUMIFS([0]!VOTOS2,[0]!TURNO1,G$31,[0]!CANDIDATO1,$C707,[0]!MUNICIPIO1,$B$707)</f>
        <v>0</v>
      </c>
      <c r="H707" s="16">
        <f>SUMIFS([0]!VOTOS2,[0]!TURNO1,H$31,[0]!CANDIDATO1,$C707,[0]!MUNICIPIO1,$B$707)</f>
        <v>0</v>
      </c>
      <c r="I707" s="16">
        <f>SUMIFS([0]!VOTOS2,[0]!TURNO1,I$31,[0]!CANDIDATO1,$C707,[0]!MUNICIPIO1,$B$707)</f>
        <v>0</v>
      </c>
      <c r="J707" s="16">
        <f>SUMIFS([0]!VOTOS2,[0]!TURNO1,J$31,[0]!CANDIDATO1,$C707,[0]!MUNICIPIO1,$B$707)</f>
        <v>0</v>
      </c>
      <c r="K707" s="16">
        <f>SUMIFS([0]!VOTOS2,[0]!TURNO1,K$31,[0]!CANDIDATO1,$C707,[0]!MUNICIPIO1,$B$707)</f>
        <v>0</v>
      </c>
      <c r="L707" s="16">
        <f>SUMIFS([0]!VOTOS2,[0]!TURNO1,L$31,[0]!CANDIDATO1,$C707,[0]!MUNICIPIO1,$B$707)</f>
        <v>0</v>
      </c>
      <c r="M707" s="16">
        <f>SUMIFS([0]!VOTOS2,[0]!TURNO1,M$31,[0]!CANDIDATO1,$C707,[0]!MUNICIPIO1,$B$707)</f>
        <v>0</v>
      </c>
      <c r="N707" s="16">
        <f>SUMIFS([0]!VOTOS2,[0]!TURNO1,N$31,[0]!CANDIDATO1,$C707,[0]!MUNICIPIO1,$B$707)</f>
        <v>0</v>
      </c>
      <c r="O707" s="16">
        <f>SUMIFS([0]!VOTOS2,[0]!TURNO1,O$31,[0]!CANDIDATO1,$C707,[0]!MUNICIPIO1,$B$707)</f>
        <v>0</v>
      </c>
      <c r="P707" s="16">
        <f>SUMIFS([0]!VOTOS2,[0]!TURNO1,P$31,[0]!CANDIDATO1,$C707,[0]!MUNICIPIO1,$B$707)</f>
        <v>0</v>
      </c>
      <c r="Q707" s="16">
        <f>SUMIFS([0]!VOTOS2,[0]!TURNO1,Q$31,[0]!CANDIDATO1,$C707,[0]!MUNICIPIO1,$B$707)</f>
        <v>0</v>
      </c>
      <c r="R707" s="16">
        <f>SUMIFS([0]!VOTOS2,[0]!TURNO1,R$31,[0]!CANDIDATO1,$C707,[0]!MUNICIPIO1,$B$707)</f>
        <v>0</v>
      </c>
      <c r="S707" s="16">
        <f>SUMIFS([0]!VOTOS2,[0]!TURNO1,S$31,[0]!CANDIDATO1,$C707,[0]!MUNICIPIO1,$B$707)</f>
        <v>0</v>
      </c>
      <c r="T707" s="16">
        <f>SUMIFS([0]!VOTOS2,[0]!TURNO1,T$31,[0]!CANDIDATO1,$C707,[0]!MUNICIPIO1,$B$707)</f>
        <v>0</v>
      </c>
      <c r="U707" s="16">
        <f>SUMIFS([0]!VOTOS2,[0]!TURNO1,U$31,[0]!CANDIDATO1,$C707,[0]!MUNICIPIO1,$B$707)</f>
        <v>0</v>
      </c>
      <c r="V707" s="16">
        <f>SUMIFS([0]!VOTOS2,[0]!TURNO1,V$31,[0]!CANDIDATO1,$C707,[0]!MUNICIPIO1,$B$707)</f>
        <v>0</v>
      </c>
      <c r="W707" s="16">
        <f>SUMIFS([0]!VOTOS2,[0]!TURNO1,W$31,[0]!CANDIDATO1,$C707,[0]!MUNICIPIO1,$B$707)</f>
        <v>0</v>
      </c>
      <c r="X707" s="24"/>
      <c r="Y707" s="18" t="str">
        <f t="shared" ref="Y707:Y719" si="1669">D707</f>
        <v>LUIS CALDERA</v>
      </c>
      <c r="Z707" s="34">
        <f t="shared" ref="Z707:Z719" si="1670">E707</f>
        <v>10</v>
      </c>
      <c r="AA707" s="34">
        <f t="shared" ref="AA707:AA719" si="1671">F707</f>
        <v>10</v>
      </c>
      <c r="AB707" s="34" t="e">
        <f t="shared" ref="AB707:AR707" si="1672">IF(SUM(G707:G719)=0,NA(),G707+AA707)</f>
        <v>#N/A</v>
      </c>
      <c r="AC707" s="34" t="e">
        <f t="shared" si="1672"/>
        <v>#N/A</v>
      </c>
      <c r="AD707" s="34" t="e">
        <f t="shared" si="1672"/>
        <v>#N/A</v>
      </c>
      <c r="AE707" s="34" t="e">
        <f t="shared" si="1672"/>
        <v>#N/A</v>
      </c>
      <c r="AF707" s="34" t="e">
        <f t="shared" si="1672"/>
        <v>#N/A</v>
      </c>
      <c r="AG707" s="34" t="e">
        <f t="shared" si="1672"/>
        <v>#N/A</v>
      </c>
      <c r="AH707" s="34" t="e">
        <f t="shared" si="1672"/>
        <v>#N/A</v>
      </c>
      <c r="AI707" s="34" t="e">
        <f t="shared" si="1672"/>
        <v>#N/A</v>
      </c>
      <c r="AJ707" s="34" t="e">
        <f t="shared" si="1672"/>
        <v>#N/A</v>
      </c>
      <c r="AK707" s="34" t="e">
        <f t="shared" si="1672"/>
        <v>#N/A</v>
      </c>
      <c r="AL707" s="34" t="e">
        <f t="shared" si="1672"/>
        <v>#N/A</v>
      </c>
      <c r="AM707" s="34" t="e">
        <f t="shared" si="1672"/>
        <v>#N/A</v>
      </c>
      <c r="AN707" s="34" t="e">
        <f t="shared" si="1672"/>
        <v>#N/A</v>
      </c>
      <c r="AO707" s="34" t="e">
        <f t="shared" si="1672"/>
        <v>#N/A</v>
      </c>
      <c r="AP707" s="34" t="e">
        <f t="shared" si="1672"/>
        <v>#N/A</v>
      </c>
      <c r="AQ707" s="34" t="e">
        <f t="shared" si="1672"/>
        <v>#N/A</v>
      </c>
      <c r="AR707" s="34" t="e">
        <f t="shared" si="1672"/>
        <v>#N/A</v>
      </c>
      <c r="AS707" s="27"/>
      <c r="AT707" s="35" t="str">
        <f t="shared" ref="AT707:AT708" si="1673">Y707</f>
        <v>LUIS CALDERA</v>
      </c>
      <c r="AU707" s="36">
        <f t="shared" ref="AU707:BM707" si="1674">Z707/(Z707+Z708+Z720)</f>
        <v>0.5</v>
      </c>
      <c r="AV707" s="36">
        <f t="shared" si="1674"/>
        <v>0.5</v>
      </c>
      <c r="AW707" s="36" t="e">
        <f t="shared" si="1674"/>
        <v>#N/A</v>
      </c>
      <c r="AX707" s="36" t="e">
        <f t="shared" si="1674"/>
        <v>#N/A</v>
      </c>
      <c r="AY707" s="36" t="e">
        <f t="shared" si="1674"/>
        <v>#N/A</v>
      </c>
      <c r="AZ707" s="36" t="e">
        <f t="shared" si="1674"/>
        <v>#N/A</v>
      </c>
      <c r="BA707" s="36" t="e">
        <f t="shared" si="1674"/>
        <v>#N/A</v>
      </c>
      <c r="BB707" s="36" t="e">
        <f t="shared" si="1674"/>
        <v>#N/A</v>
      </c>
      <c r="BC707" s="36" t="e">
        <f t="shared" si="1674"/>
        <v>#N/A</v>
      </c>
      <c r="BD707" s="36" t="e">
        <f t="shared" si="1674"/>
        <v>#N/A</v>
      </c>
      <c r="BE707" s="36" t="e">
        <f t="shared" si="1674"/>
        <v>#N/A</v>
      </c>
      <c r="BF707" s="36" t="e">
        <f t="shared" si="1674"/>
        <v>#N/A</v>
      </c>
      <c r="BG707" s="36" t="e">
        <f t="shared" si="1674"/>
        <v>#N/A</v>
      </c>
      <c r="BH707" s="36" t="e">
        <f t="shared" si="1674"/>
        <v>#N/A</v>
      </c>
      <c r="BI707" s="36" t="e">
        <f t="shared" si="1674"/>
        <v>#N/A</v>
      </c>
      <c r="BJ707" s="36" t="e">
        <f t="shared" si="1674"/>
        <v>#N/A</v>
      </c>
      <c r="BK707" s="36" t="e">
        <f t="shared" si="1674"/>
        <v>#N/A</v>
      </c>
      <c r="BL707" s="36" t="e">
        <f t="shared" si="1674"/>
        <v>#N/A</v>
      </c>
      <c r="BM707" s="36" t="e">
        <f t="shared" si="1674"/>
        <v>#N/A</v>
      </c>
      <c r="BN707" s="30"/>
    </row>
    <row r="708" spans="1:66" ht="11.25" customHeight="1" x14ac:dyDescent="0.2">
      <c r="A708" s="37"/>
      <c r="B708" s="73"/>
      <c r="C708" s="33">
        <v>2</v>
      </c>
      <c r="D708" s="13" t="s">
        <v>455</v>
      </c>
      <c r="E708" s="16">
        <f t="shared" si="1668"/>
        <v>10</v>
      </c>
      <c r="F708" s="16">
        <f>SUMIFS([0]!VOTOS2,[0]!TURNO1,F$31,[0]!CANDIDATO1,$C708,[0]!MUNICIPIO1,$B$707)</f>
        <v>10</v>
      </c>
      <c r="G708" s="16">
        <f>SUMIFS([0]!VOTOS2,[0]!TURNO1,G$31,[0]!CANDIDATO1,$C708,[0]!MUNICIPIO1,$B$707)</f>
        <v>0</v>
      </c>
      <c r="H708" s="16">
        <f>SUMIFS([0]!VOTOS2,[0]!TURNO1,H$31,[0]!CANDIDATO1,$C708,[0]!MUNICIPIO1,$B$707)</f>
        <v>0</v>
      </c>
      <c r="I708" s="16">
        <f>SUMIFS([0]!VOTOS2,[0]!TURNO1,I$31,[0]!CANDIDATO1,$C708,[0]!MUNICIPIO1,$B$707)</f>
        <v>0</v>
      </c>
      <c r="J708" s="16">
        <f>SUMIFS([0]!VOTOS2,[0]!TURNO1,J$31,[0]!CANDIDATO1,$C708,[0]!MUNICIPIO1,$B$707)</f>
        <v>0</v>
      </c>
      <c r="K708" s="16">
        <f>SUMIFS([0]!VOTOS2,[0]!TURNO1,K$31,[0]!CANDIDATO1,$C708,[0]!MUNICIPIO1,$B$707)</f>
        <v>0</v>
      </c>
      <c r="L708" s="16">
        <f>SUMIFS([0]!VOTOS2,[0]!TURNO1,L$31,[0]!CANDIDATO1,$C708,[0]!MUNICIPIO1,$B$707)</f>
        <v>0</v>
      </c>
      <c r="M708" s="16">
        <f>SUMIFS([0]!VOTOS2,[0]!TURNO1,M$31,[0]!CANDIDATO1,$C708,[0]!MUNICIPIO1,$B$707)</f>
        <v>0</v>
      </c>
      <c r="N708" s="16">
        <f>SUMIFS([0]!VOTOS2,[0]!TURNO1,N$31,[0]!CANDIDATO1,$C708,[0]!MUNICIPIO1,$B$707)</f>
        <v>0</v>
      </c>
      <c r="O708" s="16">
        <f>SUMIFS([0]!VOTOS2,[0]!TURNO1,O$31,[0]!CANDIDATO1,$C708,[0]!MUNICIPIO1,$B$707)</f>
        <v>0</v>
      </c>
      <c r="P708" s="16">
        <f>SUMIFS([0]!VOTOS2,[0]!TURNO1,P$31,[0]!CANDIDATO1,$C708,[0]!MUNICIPIO1,$B$707)</f>
        <v>0</v>
      </c>
      <c r="Q708" s="16">
        <f>SUMIFS([0]!VOTOS2,[0]!TURNO1,Q$31,[0]!CANDIDATO1,$C708,[0]!MUNICIPIO1,$B$707)</f>
        <v>0</v>
      </c>
      <c r="R708" s="16">
        <f>SUMIFS([0]!VOTOS2,[0]!TURNO1,R$31,[0]!CANDIDATO1,$C708,[0]!MUNICIPIO1,$B$707)</f>
        <v>0</v>
      </c>
      <c r="S708" s="16">
        <f>SUMIFS([0]!VOTOS2,[0]!TURNO1,S$31,[0]!CANDIDATO1,$C708,[0]!MUNICIPIO1,$B$707)</f>
        <v>0</v>
      </c>
      <c r="T708" s="16">
        <f>SUMIFS([0]!VOTOS2,[0]!TURNO1,T$31,[0]!CANDIDATO1,$C708,[0]!MUNICIPIO1,$B$707)</f>
        <v>0</v>
      </c>
      <c r="U708" s="16">
        <f>SUMIFS([0]!VOTOS2,[0]!TURNO1,U$31,[0]!CANDIDATO1,$C708,[0]!MUNICIPIO1,$B$707)</f>
        <v>0</v>
      </c>
      <c r="V708" s="16">
        <f>SUMIFS([0]!VOTOS2,[0]!TURNO1,V$31,[0]!CANDIDATO1,$C708,[0]!MUNICIPIO1,$B$707)</f>
        <v>0</v>
      </c>
      <c r="W708" s="16">
        <f>SUMIFS([0]!VOTOS2,[0]!TURNO1,W$31,[0]!CANDIDATO1,$C708,[0]!MUNICIPIO1,$B$707)</f>
        <v>0</v>
      </c>
      <c r="X708" s="24"/>
      <c r="Y708" s="18" t="str">
        <f t="shared" si="1669"/>
        <v>SALVADOR SPINELLO</v>
      </c>
      <c r="Z708" s="34">
        <f t="shared" si="1670"/>
        <v>10</v>
      </c>
      <c r="AA708" s="34">
        <f t="shared" si="1671"/>
        <v>10</v>
      </c>
      <c r="AB708" s="34" t="e">
        <f t="shared" ref="AB708:AR708" si="1675">IF(SUM(G707:G719)=0,NA(),G708+AA708)</f>
        <v>#N/A</v>
      </c>
      <c r="AC708" s="34" t="e">
        <f t="shared" si="1675"/>
        <v>#N/A</v>
      </c>
      <c r="AD708" s="34" t="e">
        <f t="shared" si="1675"/>
        <v>#N/A</v>
      </c>
      <c r="AE708" s="34" t="e">
        <f t="shared" si="1675"/>
        <v>#N/A</v>
      </c>
      <c r="AF708" s="34" t="e">
        <f t="shared" si="1675"/>
        <v>#N/A</v>
      </c>
      <c r="AG708" s="34" t="e">
        <f t="shared" si="1675"/>
        <v>#N/A</v>
      </c>
      <c r="AH708" s="34" t="e">
        <f t="shared" si="1675"/>
        <v>#N/A</v>
      </c>
      <c r="AI708" s="34" t="e">
        <f t="shared" si="1675"/>
        <v>#N/A</v>
      </c>
      <c r="AJ708" s="34" t="e">
        <f t="shared" si="1675"/>
        <v>#N/A</v>
      </c>
      <c r="AK708" s="34" t="e">
        <f t="shared" si="1675"/>
        <v>#N/A</v>
      </c>
      <c r="AL708" s="34" t="e">
        <f t="shared" si="1675"/>
        <v>#N/A</v>
      </c>
      <c r="AM708" s="34" t="e">
        <f t="shared" si="1675"/>
        <v>#N/A</v>
      </c>
      <c r="AN708" s="34" t="e">
        <f t="shared" si="1675"/>
        <v>#N/A</v>
      </c>
      <c r="AO708" s="34" t="e">
        <f t="shared" si="1675"/>
        <v>#N/A</v>
      </c>
      <c r="AP708" s="34" t="e">
        <f t="shared" si="1675"/>
        <v>#N/A</v>
      </c>
      <c r="AQ708" s="34" t="e">
        <f t="shared" si="1675"/>
        <v>#N/A</v>
      </c>
      <c r="AR708" s="34" t="e">
        <f t="shared" si="1675"/>
        <v>#N/A</v>
      </c>
      <c r="AS708" s="27"/>
      <c r="AT708" s="35" t="str">
        <f t="shared" si="1673"/>
        <v>SALVADOR SPINELLO</v>
      </c>
      <c r="AU708" s="36">
        <f t="shared" ref="AU708:BM708" si="1676">Z708/(Z707+Z708+Z720)</f>
        <v>0.5</v>
      </c>
      <c r="AV708" s="36">
        <f t="shared" si="1676"/>
        <v>0.5</v>
      </c>
      <c r="AW708" s="36" t="e">
        <f t="shared" si="1676"/>
        <v>#N/A</v>
      </c>
      <c r="AX708" s="36" t="e">
        <f t="shared" si="1676"/>
        <v>#N/A</v>
      </c>
      <c r="AY708" s="36" t="e">
        <f t="shared" si="1676"/>
        <v>#N/A</v>
      </c>
      <c r="AZ708" s="36" t="e">
        <f t="shared" si="1676"/>
        <v>#N/A</v>
      </c>
      <c r="BA708" s="36" t="e">
        <f t="shared" si="1676"/>
        <v>#N/A</v>
      </c>
      <c r="BB708" s="36" t="e">
        <f t="shared" si="1676"/>
        <v>#N/A</v>
      </c>
      <c r="BC708" s="36" t="e">
        <f t="shared" si="1676"/>
        <v>#N/A</v>
      </c>
      <c r="BD708" s="36" t="e">
        <f t="shared" si="1676"/>
        <v>#N/A</v>
      </c>
      <c r="BE708" s="36" t="e">
        <f t="shared" si="1676"/>
        <v>#N/A</v>
      </c>
      <c r="BF708" s="36" t="e">
        <f t="shared" si="1676"/>
        <v>#N/A</v>
      </c>
      <c r="BG708" s="36" t="e">
        <f t="shared" si="1676"/>
        <v>#N/A</v>
      </c>
      <c r="BH708" s="36" t="e">
        <f t="shared" si="1676"/>
        <v>#N/A</v>
      </c>
      <c r="BI708" s="36" t="e">
        <f t="shared" si="1676"/>
        <v>#N/A</v>
      </c>
      <c r="BJ708" s="36" t="e">
        <f t="shared" si="1676"/>
        <v>#N/A</v>
      </c>
      <c r="BK708" s="36" t="e">
        <f t="shared" si="1676"/>
        <v>#N/A</v>
      </c>
      <c r="BL708" s="36" t="e">
        <f t="shared" si="1676"/>
        <v>#N/A</v>
      </c>
      <c r="BM708" s="36" t="e">
        <f t="shared" si="1676"/>
        <v>#N/A</v>
      </c>
      <c r="BN708" s="30"/>
    </row>
    <row r="709" spans="1:66" ht="11.25" customHeight="1" x14ac:dyDescent="0.2">
      <c r="A709" s="37"/>
      <c r="B709" s="73"/>
      <c r="C709" s="33">
        <v>3</v>
      </c>
      <c r="D709" s="13" t="s">
        <v>456</v>
      </c>
      <c r="E709" s="16">
        <f t="shared" si="1668"/>
        <v>0</v>
      </c>
      <c r="F709" s="16">
        <f>SUMIFS([0]!VOTOS2,[0]!TURNO1,F$31,[0]!CANDIDATO1,$C709,[0]!MUNICIPIO1,$B$707)</f>
        <v>0</v>
      </c>
      <c r="G709" s="16">
        <f>SUMIFS([0]!VOTOS2,[0]!TURNO1,G$31,[0]!CANDIDATO1,$C709,[0]!MUNICIPIO1,$B$707)</f>
        <v>0</v>
      </c>
      <c r="H709" s="16">
        <f>SUMIFS([0]!VOTOS2,[0]!TURNO1,H$31,[0]!CANDIDATO1,$C709,[0]!MUNICIPIO1,$B$707)</f>
        <v>0</v>
      </c>
      <c r="I709" s="16">
        <f>SUMIFS([0]!VOTOS2,[0]!TURNO1,I$31,[0]!CANDIDATO1,$C709,[0]!MUNICIPIO1,$B$707)</f>
        <v>0</v>
      </c>
      <c r="J709" s="16">
        <f>SUMIFS([0]!VOTOS2,[0]!TURNO1,J$31,[0]!CANDIDATO1,$C709,[0]!MUNICIPIO1,$B$707)</f>
        <v>0</v>
      </c>
      <c r="K709" s="16">
        <f>SUMIFS([0]!VOTOS2,[0]!TURNO1,K$31,[0]!CANDIDATO1,$C709,[0]!MUNICIPIO1,$B$707)</f>
        <v>0</v>
      </c>
      <c r="L709" s="16">
        <f>SUMIFS([0]!VOTOS2,[0]!TURNO1,L$31,[0]!CANDIDATO1,$C709,[0]!MUNICIPIO1,$B$707)</f>
        <v>0</v>
      </c>
      <c r="M709" s="16">
        <f>SUMIFS([0]!VOTOS2,[0]!TURNO1,M$31,[0]!CANDIDATO1,$C709,[0]!MUNICIPIO1,$B$707)</f>
        <v>0</v>
      </c>
      <c r="N709" s="16">
        <f>SUMIFS([0]!VOTOS2,[0]!TURNO1,N$31,[0]!CANDIDATO1,$C709,[0]!MUNICIPIO1,$B$707)</f>
        <v>0</v>
      </c>
      <c r="O709" s="16">
        <f>SUMIFS([0]!VOTOS2,[0]!TURNO1,O$31,[0]!CANDIDATO1,$C709,[0]!MUNICIPIO1,$B$707)</f>
        <v>0</v>
      </c>
      <c r="P709" s="16">
        <f>SUMIFS([0]!VOTOS2,[0]!TURNO1,P$31,[0]!CANDIDATO1,$C709,[0]!MUNICIPIO1,$B$707)</f>
        <v>0</v>
      </c>
      <c r="Q709" s="16">
        <f>SUMIFS([0]!VOTOS2,[0]!TURNO1,Q$31,[0]!CANDIDATO1,$C709,[0]!MUNICIPIO1,$B$707)</f>
        <v>0</v>
      </c>
      <c r="R709" s="16">
        <f>SUMIFS([0]!VOTOS2,[0]!TURNO1,R$31,[0]!CANDIDATO1,$C709,[0]!MUNICIPIO1,$B$707)</f>
        <v>0</v>
      </c>
      <c r="S709" s="16">
        <f>SUMIFS([0]!VOTOS2,[0]!TURNO1,S$31,[0]!CANDIDATO1,$C709,[0]!MUNICIPIO1,$B$707)</f>
        <v>0</v>
      </c>
      <c r="T709" s="16">
        <f>SUMIFS([0]!VOTOS2,[0]!TURNO1,T$31,[0]!CANDIDATO1,$C709,[0]!MUNICIPIO1,$B$707)</f>
        <v>0</v>
      </c>
      <c r="U709" s="16">
        <f>SUMIFS([0]!VOTOS2,[0]!TURNO1,U$31,[0]!CANDIDATO1,$C709,[0]!MUNICIPIO1,$B$707)</f>
        <v>0</v>
      </c>
      <c r="V709" s="16">
        <f>SUMIFS([0]!VOTOS2,[0]!TURNO1,V$31,[0]!CANDIDATO1,$C709,[0]!MUNICIPIO1,$B$707)</f>
        <v>0</v>
      </c>
      <c r="W709" s="16">
        <f>SUMIFS([0]!VOTOS2,[0]!TURNO1,W$31,[0]!CANDIDATO1,$C709,[0]!MUNICIPIO1,$B$707)</f>
        <v>0</v>
      </c>
      <c r="X709" s="24"/>
      <c r="Y709" s="18" t="str">
        <f t="shared" si="1669"/>
        <v>JONATHAN MAKAREM</v>
      </c>
      <c r="Z709" s="34">
        <f t="shared" si="1670"/>
        <v>0</v>
      </c>
      <c r="AA709" s="34">
        <f t="shared" si="1671"/>
        <v>0</v>
      </c>
      <c r="AB709" s="34" t="e">
        <f t="shared" ref="AB709:AR709" si="1677">IF(SUM(G707:G719)=0,NA(),G709+AA709)</f>
        <v>#N/A</v>
      </c>
      <c r="AC709" s="34" t="e">
        <f t="shared" si="1677"/>
        <v>#N/A</v>
      </c>
      <c r="AD709" s="34" t="e">
        <f t="shared" si="1677"/>
        <v>#N/A</v>
      </c>
      <c r="AE709" s="34" t="e">
        <f t="shared" si="1677"/>
        <v>#N/A</v>
      </c>
      <c r="AF709" s="34" t="e">
        <f t="shared" si="1677"/>
        <v>#N/A</v>
      </c>
      <c r="AG709" s="34" t="e">
        <f t="shared" si="1677"/>
        <v>#N/A</v>
      </c>
      <c r="AH709" s="34" t="e">
        <f t="shared" si="1677"/>
        <v>#N/A</v>
      </c>
      <c r="AI709" s="34" t="e">
        <f t="shared" si="1677"/>
        <v>#N/A</v>
      </c>
      <c r="AJ709" s="34" t="e">
        <f t="shared" si="1677"/>
        <v>#N/A</v>
      </c>
      <c r="AK709" s="34" t="e">
        <f t="shared" si="1677"/>
        <v>#N/A</v>
      </c>
      <c r="AL709" s="34" t="e">
        <f t="shared" si="1677"/>
        <v>#N/A</v>
      </c>
      <c r="AM709" s="34" t="e">
        <f t="shared" si="1677"/>
        <v>#N/A</v>
      </c>
      <c r="AN709" s="34" t="e">
        <f t="shared" si="1677"/>
        <v>#N/A</v>
      </c>
      <c r="AO709" s="34" t="e">
        <f t="shared" si="1677"/>
        <v>#N/A</v>
      </c>
      <c r="AP709" s="34" t="e">
        <f t="shared" si="1677"/>
        <v>#N/A</v>
      </c>
      <c r="AQ709" s="34" t="e">
        <f t="shared" si="1677"/>
        <v>#N/A</v>
      </c>
      <c r="AR709" s="34" t="e">
        <f t="shared" si="1677"/>
        <v>#N/A</v>
      </c>
      <c r="AS709" s="27"/>
      <c r="AT709" s="35" t="str">
        <f t="shared" ref="AT709" si="1678">Y720</f>
        <v>Otros</v>
      </c>
      <c r="AU709" s="36">
        <f t="shared" ref="AU709:BM709" si="1679">Z720/(Z707+Z708+Z720)</f>
        <v>0</v>
      </c>
      <c r="AV709" s="36">
        <f t="shared" si="1679"/>
        <v>0</v>
      </c>
      <c r="AW709" s="36" t="e">
        <f t="shared" si="1679"/>
        <v>#N/A</v>
      </c>
      <c r="AX709" s="36" t="e">
        <f t="shared" si="1679"/>
        <v>#N/A</v>
      </c>
      <c r="AY709" s="36" t="e">
        <f t="shared" si="1679"/>
        <v>#N/A</v>
      </c>
      <c r="AZ709" s="36" t="e">
        <f t="shared" si="1679"/>
        <v>#N/A</v>
      </c>
      <c r="BA709" s="36" t="e">
        <f t="shared" si="1679"/>
        <v>#N/A</v>
      </c>
      <c r="BB709" s="36" t="e">
        <f t="shared" si="1679"/>
        <v>#N/A</v>
      </c>
      <c r="BC709" s="36" t="e">
        <f t="shared" si="1679"/>
        <v>#N/A</v>
      </c>
      <c r="BD709" s="36" t="e">
        <f t="shared" si="1679"/>
        <v>#N/A</v>
      </c>
      <c r="BE709" s="36" t="e">
        <f t="shared" si="1679"/>
        <v>#N/A</v>
      </c>
      <c r="BF709" s="36" t="e">
        <f t="shared" si="1679"/>
        <v>#N/A</v>
      </c>
      <c r="BG709" s="36" t="e">
        <f t="shared" si="1679"/>
        <v>#N/A</v>
      </c>
      <c r="BH709" s="36" t="e">
        <f t="shared" si="1679"/>
        <v>#N/A</v>
      </c>
      <c r="BI709" s="36" t="e">
        <f t="shared" si="1679"/>
        <v>#N/A</v>
      </c>
      <c r="BJ709" s="36" t="e">
        <f t="shared" si="1679"/>
        <v>#N/A</v>
      </c>
      <c r="BK709" s="36" t="e">
        <f t="shared" si="1679"/>
        <v>#N/A</v>
      </c>
      <c r="BL709" s="36" t="e">
        <f t="shared" si="1679"/>
        <v>#N/A</v>
      </c>
      <c r="BM709" s="36" t="e">
        <f t="shared" si="1679"/>
        <v>#N/A</v>
      </c>
      <c r="BN709" s="30"/>
    </row>
    <row r="710" spans="1:66" ht="11.25" customHeight="1" x14ac:dyDescent="0.2">
      <c r="A710" s="38" t="s">
        <v>54</v>
      </c>
      <c r="B710" s="73"/>
      <c r="C710" s="33">
        <v>4</v>
      </c>
      <c r="D710" s="13" t="s">
        <v>457</v>
      </c>
      <c r="E710" s="16">
        <f t="shared" si="1668"/>
        <v>0</v>
      </c>
      <c r="F710" s="16">
        <f>SUMIFS([0]!VOTOS2,[0]!TURNO1,F$31,[0]!CANDIDATO1,$C710,[0]!MUNICIPIO1,$B$707)</f>
        <v>0</v>
      </c>
      <c r="G710" s="16">
        <f>SUMIFS([0]!VOTOS2,[0]!TURNO1,G$31,[0]!CANDIDATO1,$C710,[0]!MUNICIPIO1,$B$707)</f>
        <v>0</v>
      </c>
      <c r="H710" s="16">
        <f>SUMIFS([0]!VOTOS2,[0]!TURNO1,H$31,[0]!CANDIDATO1,$C710,[0]!MUNICIPIO1,$B$707)</f>
        <v>0</v>
      </c>
      <c r="I710" s="16">
        <f>SUMIFS([0]!VOTOS2,[0]!TURNO1,I$31,[0]!CANDIDATO1,$C710,[0]!MUNICIPIO1,$B$707)</f>
        <v>0</v>
      </c>
      <c r="J710" s="16">
        <f>SUMIFS([0]!VOTOS2,[0]!TURNO1,J$31,[0]!CANDIDATO1,$C710,[0]!MUNICIPIO1,$B$707)</f>
        <v>0</v>
      </c>
      <c r="K710" s="16">
        <f>SUMIFS([0]!VOTOS2,[0]!TURNO1,K$31,[0]!CANDIDATO1,$C710,[0]!MUNICIPIO1,$B$707)</f>
        <v>0</v>
      </c>
      <c r="L710" s="16">
        <f>SUMIFS([0]!VOTOS2,[0]!TURNO1,L$31,[0]!CANDIDATO1,$C710,[0]!MUNICIPIO1,$B$707)</f>
        <v>0</v>
      </c>
      <c r="M710" s="16">
        <f>SUMIFS([0]!VOTOS2,[0]!TURNO1,M$31,[0]!CANDIDATO1,$C710,[0]!MUNICIPIO1,$B$707)</f>
        <v>0</v>
      </c>
      <c r="N710" s="16">
        <f>SUMIFS([0]!VOTOS2,[0]!TURNO1,N$31,[0]!CANDIDATO1,$C710,[0]!MUNICIPIO1,$B$707)</f>
        <v>0</v>
      </c>
      <c r="O710" s="16">
        <f>SUMIFS([0]!VOTOS2,[0]!TURNO1,O$31,[0]!CANDIDATO1,$C710,[0]!MUNICIPIO1,$B$707)</f>
        <v>0</v>
      </c>
      <c r="P710" s="16">
        <f>SUMIFS([0]!VOTOS2,[0]!TURNO1,P$31,[0]!CANDIDATO1,$C710,[0]!MUNICIPIO1,$B$707)</f>
        <v>0</v>
      </c>
      <c r="Q710" s="16">
        <f>SUMIFS([0]!VOTOS2,[0]!TURNO1,Q$31,[0]!CANDIDATO1,$C710,[0]!MUNICIPIO1,$B$707)</f>
        <v>0</v>
      </c>
      <c r="R710" s="16">
        <f>SUMIFS([0]!VOTOS2,[0]!TURNO1,R$31,[0]!CANDIDATO1,$C710,[0]!MUNICIPIO1,$B$707)</f>
        <v>0</v>
      </c>
      <c r="S710" s="16">
        <f>SUMIFS([0]!VOTOS2,[0]!TURNO1,S$31,[0]!CANDIDATO1,$C710,[0]!MUNICIPIO1,$B$707)</f>
        <v>0</v>
      </c>
      <c r="T710" s="16">
        <f>SUMIFS([0]!VOTOS2,[0]!TURNO1,T$31,[0]!CANDIDATO1,$C710,[0]!MUNICIPIO1,$B$707)</f>
        <v>0</v>
      </c>
      <c r="U710" s="16">
        <f>SUMIFS([0]!VOTOS2,[0]!TURNO1,U$31,[0]!CANDIDATO1,$C710,[0]!MUNICIPIO1,$B$707)</f>
        <v>0</v>
      </c>
      <c r="V710" s="16">
        <f>SUMIFS([0]!VOTOS2,[0]!TURNO1,V$31,[0]!CANDIDATO1,$C710,[0]!MUNICIPIO1,$B$707)</f>
        <v>0</v>
      </c>
      <c r="W710" s="16">
        <f>SUMIFS([0]!VOTOS2,[0]!TURNO1,W$31,[0]!CANDIDATO1,$C710,[0]!MUNICIPIO1,$B$707)</f>
        <v>0</v>
      </c>
      <c r="X710" s="24"/>
      <c r="Y710" s="18" t="str">
        <f t="shared" si="1669"/>
        <v>DANIEL HERNANDEZ</v>
      </c>
      <c r="Z710" s="34">
        <f t="shared" si="1670"/>
        <v>0</v>
      </c>
      <c r="AA710" s="34">
        <f t="shared" si="1671"/>
        <v>0</v>
      </c>
      <c r="AB710" s="34" t="e">
        <f t="shared" ref="AB710:AR710" si="1680">IF(SUM(G707:G719)=0,NA(),G710+AA710)</f>
        <v>#N/A</v>
      </c>
      <c r="AC710" s="34" t="e">
        <f t="shared" si="1680"/>
        <v>#N/A</v>
      </c>
      <c r="AD710" s="34" t="e">
        <f t="shared" si="1680"/>
        <v>#N/A</v>
      </c>
      <c r="AE710" s="34" t="e">
        <f t="shared" si="1680"/>
        <v>#N/A</v>
      </c>
      <c r="AF710" s="34" t="e">
        <f t="shared" si="1680"/>
        <v>#N/A</v>
      </c>
      <c r="AG710" s="34" t="e">
        <f t="shared" si="1680"/>
        <v>#N/A</v>
      </c>
      <c r="AH710" s="34" t="e">
        <f t="shared" si="1680"/>
        <v>#N/A</v>
      </c>
      <c r="AI710" s="34" t="e">
        <f t="shared" si="1680"/>
        <v>#N/A</v>
      </c>
      <c r="AJ710" s="34" t="e">
        <f t="shared" si="1680"/>
        <v>#N/A</v>
      </c>
      <c r="AK710" s="34" t="e">
        <f t="shared" si="1680"/>
        <v>#N/A</v>
      </c>
      <c r="AL710" s="34" t="e">
        <f t="shared" si="1680"/>
        <v>#N/A</v>
      </c>
      <c r="AM710" s="34" t="e">
        <f t="shared" si="1680"/>
        <v>#N/A</v>
      </c>
      <c r="AN710" s="34" t="e">
        <f t="shared" si="1680"/>
        <v>#N/A</v>
      </c>
      <c r="AO710" s="34" t="e">
        <f t="shared" si="1680"/>
        <v>#N/A</v>
      </c>
      <c r="AP710" s="34" t="e">
        <f t="shared" si="1680"/>
        <v>#N/A</v>
      </c>
      <c r="AQ710" s="34" t="e">
        <f t="shared" si="1680"/>
        <v>#N/A</v>
      </c>
      <c r="AR710" s="34" t="e">
        <f t="shared" si="1680"/>
        <v>#N/A</v>
      </c>
      <c r="AS710" s="27"/>
      <c r="AT710" s="39"/>
      <c r="AU710" s="39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30"/>
    </row>
    <row r="711" spans="1:66" ht="11.25" customHeight="1" x14ac:dyDescent="0.2">
      <c r="A711" s="38" t="s">
        <v>57</v>
      </c>
      <c r="B711" s="73"/>
      <c r="C711" s="33">
        <v>5</v>
      </c>
      <c r="D711" s="13" t="s">
        <v>458</v>
      </c>
      <c r="E711" s="16">
        <f t="shared" si="1668"/>
        <v>0</v>
      </c>
      <c r="F711" s="16">
        <f>SUMIFS([0]!VOTOS2,[0]!TURNO1,F$31,[0]!CANDIDATO1,$C711,[0]!MUNICIPIO1,$B$707)</f>
        <v>0</v>
      </c>
      <c r="G711" s="16">
        <f>SUMIFS([0]!VOTOS2,[0]!TURNO1,G$31,[0]!CANDIDATO1,$C711,[0]!MUNICIPIO1,$B$707)</f>
        <v>0</v>
      </c>
      <c r="H711" s="16">
        <f>SUMIFS([0]!VOTOS2,[0]!TURNO1,H$31,[0]!CANDIDATO1,$C711,[0]!MUNICIPIO1,$B$707)</f>
        <v>0</v>
      </c>
      <c r="I711" s="16">
        <f>SUMIFS([0]!VOTOS2,[0]!TURNO1,I$31,[0]!CANDIDATO1,$C711,[0]!MUNICIPIO1,$B$707)</f>
        <v>0</v>
      </c>
      <c r="J711" s="16">
        <f>SUMIFS([0]!VOTOS2,[0]!TURNO1,J$31,[0]!CANDIDATO1,$C711,[0]!MUNICIPIO1,$B$707)</f>
        <v>0</v>
      </c>
      <c r="K711" s="16">
        <f>SUMIFS([0]!VOTOS2,[0]!TURNO1,K$31,[0]!CANDIDATO1,$C711,[0]!MUNICIPIO1,$B$707)</f>
        <v>0</v>
      </c>
      <c r="L711" s="16">
        <f>SUMIFS([0]!VOTOS2,[0]!TURNO1,L$31,[0]!CANDIDATO1,$C711,[0]!MUNICIPIO1,$B$707)</f>
        <v>0</v>
      </c>
      <c r="M711" s="16">
        <f>SUMIFS([0]!VOTOS2,[0]!TURNO1,M$31,[0]!CANDIDATO1,$C711,[0]!MUNICIPIO1,$B$707)</f>
        <v>0</v>
      </c>
      <c r="N711" s="16">
        <f>SUMIFS([0]!VOTOS2,[0]!TURNO1,N$31,[0]!CANDIDATO1,$C711,[0]!MUNICIPIO1,$B$707)</f>
        <v>0</v>
      </c>
      <c r="O711" s="16">
        <f>SUMIFS([0]!VOTOS2,[0]!TURNO1,O$31,[0]!CANDIDATO1,$C711,[0]!MUNICIPIO1,$B$707)</f>
        <v>0</v>
      </c>
      <c r="P711" s="16">
        <f>SUMIFS([0]!VOTOS2,[0]!TURNO1,P$31,[0]!CANDIDATO1,$C711,[0]!MUNICIPIO1,$B$707)</f>
        <v>0</v>
      </c>
      <c r="Q711" s="16">
        <f>SUMIFS([0]!VOTOS2,[0]!TURNO1,Q$31,[0]!CANDIDATO1,$C711,[0]!MUNICIPIO1,$B$707)</f>
        <v>0</v>
      </c>
      <c r="R711" s="16">
        <f>SUMIFS([0]!VOTOS2,[0]!TURNO1,R$31,[0]!CANDIDATO1,$C711,[0]!MUNICIPIO1,$B$707)</f>
        <v>0</v>
      </c>
      <c r="S711" s="16">
        <f>SUMIFS([0]!VOTOS2,[0]!TURNO1,S$31,[0]!CANDIDATO1,$C711,[0]!MUNICIPIO1,$B$707)</f>
        <v>0</v>
      </c>
      <c r="T711" s="16">
        <f>SUMIFS([0]!VOTOS2,[0]!TURNO1,T$31,[0]!CANDIDATO1,$C711,[0]!MUNICIPIO1,$B$707)</f>
        <v>0</v>
      </c>
      <c r="U711" s="16">
        <f>SUMIFS([0]!VOTOS2,[0]!TURNO1,U$31,[0]!CANDIDATO1,$C711,[0]!MUNICIPIO1,$B$707)</f>
        <v>0</v>
      </c>
      <c r="V711" s="16">
        <f>SUMIFS([0]!VOTOS2,[0]!TURNO1,V$31,[0]!CANDIDATO1,$C711,[0]!MUNICIPIO1,$B$707)</f>
        <v>0</v>
      </c>
      <c r="W711" s="16">
        <f>SUMIFS([0]!VOTOS2,[0]!TURNO1,W$31,[0]!CANDIDATO1,$C711,[0]!MUNICIPIO1,$B$707)</f>
        <v>0</v>
      </c>
      <c r="X711" s="24"/>
      <c r="Y711" s="18" t="str">
        <f t="shared" si="1669"/>
        <v>WILLIAM GIGLIONE</v>
      </c>
      <c r="Z711" s="34">
        <f t="shared" si="1670"/>
        <v>0</v>
      </c>
      <c r="AA711" s="34">
        <f t="shared" si="1671"/>
        <v>0</v>
      </c>
      <c r="AB711" s="34" t="e">
        <f t="shared" ref="AB711:AR711" si="1681">IF(SUM(G707:G719)=0,NA(),G711+AA711)</f>
        <v>#N/A</v>
      </c>
      <c r="AC711" s="34" t="e">
        <f t="shared" si="1681"/>
        <v>#N/A</v>
      </c>
      <c r="AD711" s="34" t="e">
        <f t="shared" si="1681"/>
        <v>#N/A</v>
      </c>
      <c r="AE711" s="34" t="e">
        <f t="shared" si="1681"/>
        <v>#N/A</v>
      </c>
      <c r="AF711" s="34" t="e">
        <f t="shared" si="1681"/>
        <v>#N/A</v>
      </c>
      <c r="AG711" s="34" t="e">
        <f t="shared" si="1681"/>
        <v>#N/A</v>
      </c>
      <c r="AH711" s="34" t="e">
        <f t="shared" si="1681"/>
        <v>#N/A</v>
      </c>
      <c r="AI711" s="34" t="e">
        <f t="shared" si="1681"/>
        <v>#N/A</v>
      </c>
      <c r="AJ711" s="34" t="e">
        <f t="shared" si="1681"/>
        <v>#N/A</v>
      </c>
      <c r="AK711" s="34" t="e">
        <f t="shared" si="1681"/>
        <v>#N/A</v>
      </c>
      <c r="AL711" s="34" t="e">
        <f t="shared" si="1681"/>
        <v>#N/A</v>
      </c>
      <c r="AM711" s="34" t="e">
        <f t="shared" si="1681"/>
        <v>#N/A</v>
      </c>
      <c r="AN711" s="34" t="e">
        <f t="shared" si="1681"/>
        <v>#N/A</v>
      </c>
      <c r="AO711" s="34" t="e">
        <f t="shared" si="1681"/>
        <v>#N/A</v>
      </c>
      <c r="AP711" s="34" t="e">
        <f t="shared" si="1681"/>
        <v>#N/A</v>
      </c>
      <c r="AQ711" s="34" t="e">
        <f t="shared" si="1681"/>
        <v>#N/A</v>
      </c>
      <c r="AR711" s="34" t="e">
        <f t="shared" si="1681"/>
        <v>#N/A</v>
      </c>
      <c r="AS711" s="27"/>
      <c r="AT711" s="39"/>
      <c r="AU711" s="39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30"/>
    </row>
    <row r="712" spans="1:66" ht="11.25" customHeight="1" x14ac:dyDescent="0.2">
      <c r="A712" s="42"/>
      <c r="B712" s="74"/>
      <c r="C712" s="33">
        <v>6</v>
      </c>
      <c r="D712" s="13" t="s">
        <v>459</v>
      </c>
      <c r="E712" s="16">
        <f t="shared" si="1668"/>
        <v>0</v>
      </c>
      <c r="F712" s="16">
        <f>SUMIFS([0]!VOTOS2,[0]!TURNO1,F$31,[0]!CANDIDATO1,$C712,[0]!MUNICIPIO1,$B$707)</f>
        <v>0</v>
      </c>
      <c r="G712" s="16">
        <f>SUMIFS([0]!VOTOS2,[0]!TURNO1,G$31,[0]!CANDIDATO1,$C712,[0]!MUNICIPIO1,$B$707)</f>
        <v>0</v>
      </c>
      <c r="H712" s="16">
        <f>SUMIFS([0]!VOTOS2,[0]!TURNO1,H$31,[0]!CANDIDATO1,$C712,[0]!MUNICIPIO1,$B$707)</f>
        <v>0</v>
      </c>
      <c r="I712" s="16">
        <f>SUMIFS([0]!VOTOS2,[0]!TURNO1,I$31,[0]!CANDIDATO1,$C712,[0]!MUNICIPIO1,$B$707)</f>
        <v>0</v>
      </c>
      <c r="J712" s="16">
        <f>SUMIFS([0]!VOTOS2,[0]!TURNO1,J$31,[0]!CANDIDATO1,$C712,[0]!MUNICIPIO1,$B$707)</f>
        <v>0</v>
      </c>
      <c r="K712" s="16">
        <f>SUMIFS([0]!VOTOS2,[0]!TURNO1,K$31,[0]!CANDIDATO1,$C712,[0]!MUNICIPIO1,$B$707)</f>
        <v>0</v>
      </c>
      <c r="L712" s="16">
        <f>SUMIFS([0]!VOTOS2,[0]!TURNO1,L$31,[0]!CANDIDATO1,$C712,[0]!MUNICIPIO1,$B$707)</f>
        <v>0</v>
      </c>
      <c r="M712" s="16">
        <f>SUMIFS([0]!VOTOS2,[0]!TURNO1,M$31,[0]!CANDIDATO1,$C712,[0]!MUNICIPIO1,$B$707)</f>
        <v>0</v>
      </c>
      <c r="N712" s="16">
        <f>SUMIFS([0]!VOTOS2,[0]!TURNO1,N$31,[0]!CANDIDATO1,$C712,[0]!MUNICIPIO1,$B$707)</f>
        <v>0</v>
      </c>
      <c r="O712" s="16">
        <f>SUMIFS([0]!VOTOS2,[0]!TURNO1,O$31,[0]!CANDIDATO1,$C712,[0]!MUNICIPIO1,$B$707)</f>
        <v>0</v>
      </c>
      <c r="P712" s="16">
        <f>SUMIFS([0]!VOTOS2,[0]!TURNO1,P$31,[0]!CANDIDATO1,$C712,[0]!MUNICIPIO1,$B$707)</f>
        <v>0</v>
      </c>
      <c r="Q712" s="16">
        <f>SUMIFS([0]!VOTOS2,[0]!TURNO1,Q$31,[0]!CANDIDATO1,$C712,[0]!MUNICIPIO1,$B$707)</f>
        <v>0</v>
      </c>
      <c r="R712" s="16">
        <f>SUMIFS([0]!VOTOS2,[0]!TURNO1,R$31,[0]!CANDIDATO1,$C712,[0]!MUNICIPIO1,$B$707)</f>
        <v>0</v>
      </c>
      <c r="S712" s="16">
        <f>SUMIFS([0]!VOTOS2,[0]!TURNO1,S$31,[0]!CANDIDATO1,$C712,[0]!MUNICIPIO1,$B$707)</f>
        <v>0</v>
      </c>
      <c r="T712" s="16">
        <f>SUMIFS([0]!VOTOS2,[0]!TURNO1,T$31,[0]!CANDIDATO1,$C712,[0]!MUNICIPIO1,$B$707)</f>
        <v>0</v>
      </c>
      <c r="U712" s="16">
        <f>SUMIFS([0]!VOTOS2,[0]!TURNO1,U$31,[0]!CANDIDATO1,$C712,[0]!MUNICIPIO1,$B$707)</f>
        <v>0</v>
      </c>
      <c r="V712" s="16">
        <f>SUMIFS([0]!VOTOS2,[0]!TURNO1,V$31,[0]!CANDIDATO1,$C712,[0]!MUNICIPIO1,$B$707)</f>
        <v>0</v>
      </c>
      <c r="W712" s="16">
        <f>SUMIFS([0]!VOTOS2,[0]!TURNO1,W$31,[0]!CANDIDATO1,$C712,[0]!MUNICIPIO1,$B$707)</f>
        <v>0</v>
      </c>
      <c r="X712" s="24"/>
      <c r="Y712" s="18" t="str">
        <f t="shared" si="1669"/>
        <v>DELBIS OLANO</v>
      </c>
      <c r="Z712" s="34">
        <f t="shared" si="1670"/>
        <v>0</v>
      </c>
      <c r="AA712" s="34">
        <f t="shared" si="1671"/>
        <v>0</v>
      </c>
      <c r="AB712" s="34" t="e">
        <f t="shared" ref="AB712:AR712" si="1682">IF(SUM(G707:G719)=0,NA(),G712+AA712)</f>
        <v>#N/A</v>
      </c>
      <c r="AC712" s="34" t="e">
        <f t="shared" si="1682"/>
        <v>#N/A</v>
      </c>
      <c r="AD712" s="34" t="e">
        <f t="shared" si="1682"/>
        <v>#N/A</v>
      </c>
      <c r="AE712" s="34" t="e">
        <f t="shared" si="1682"/>
        <v>#N/A</v>
      </c>
      <c r="AF712" s="34" t="e">
        <f t="shared" si="1682"/>
        <v>#N/A</v>
      </c>
      <c r="AG712" s="34" t="e">
        <f t="shared" si="1682"/>
        <v>#N/A</v>
      </c>
      <c r="AH712" s="34" t="e">
        <f t="shared" si="1682"/>
        <v>#N/A</v>
      </c>
      <c r="AI712" s="34" t="e">
        <f t="shared" si="1682"/>
        <v>#N/A</v>
      </c>
      <c r="AJ712" s="34" t="e">
        <f t="shared" si="1682"/>
        <v>#N/A</v>
      </c>
      <c r="AK712" s="34" t="e">
        <f t="shared" si="1682"/>
        <v>#N/A</v>
      </c>
      <c r="AL712" s="34" t="e">
        <f t="shared" si="1682"/>
        <v>#N/A</v>
      </c>
      <c r="AM712" s="34" t="e">
        <f t="shared" si="1682"/>
        <v>#N/A</v>
      </c>
      <c r="AN712" s="34" t="e">
        <f t="shared" si="1682"/>
        <v>#N/A</v>
      </c>
      <c r="AO712" s="34" t="e">
        <f t="shared" si="1682"/>
        <v>#N/A</v>
      </c>
      <c r="AP712" s="34" t="e">
        <f t="shared" si="1682"/>
        <v>#N/A</v>
      </c>
      <c r="AQ712" s="34" t="e">
        <f t="shared" si="1682"/>
        <v>#N/A</v>
      </c>
      <c r="AR712" s="34" t="e">
        <f t="shared" si="1682"/>
        <v>#N/A</v>
      </c>
      <c r="AS712" s="27"/>
      <c r="AT712" s="39"/>
      <c r="AU712" s="39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30"/>
    </row>
    <row r="713" spans="1:66" ht="11.25" customHeight="1" x14ac:dyDescent="0.2">
      <c r="A713" s="44"/>
      <c r="B713" s="45"/>
      <c r="C713" s="46">
        <v>7</v>
      </c>
      <c r="D713" s="14" t="s">
        <v>76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24"/>
      <c r="Y713" s="18" t="str">
        <f t="shared" si="1669"/>
        <v/>
      </c>
      <c r="Z713" s="34">
        <f t="shared" si="1670"/>
        <v>0</v>
      </c>
      <c r="AA713" s="34">
        <f t="shared" si="1671"/>
        <v>0</v>
      </c>
      <c r="AB713" s="34" t="e">
        <f t="shared" ref="AB713:AR713" si="1683">IF(SUM(G707:G719)=0,NA(),G713+AA713)</f>
        <v>#N/A</v>
      </c>
      <c r="AC713" s="34" t="e">
        <f t="shared" si="1683"/>
        <v>#N/A</v>
      </c>
      <c r="AD713" s="34" t="e">
        <f t="shared" si="1683"/>
        <v>#N/A</v>
      </c>
      <c r="AE713" s="34" t="e">
        <f t="shared" si="1683"/>
        <v>#N/A</v>
      </c>
      <c r="AF713" s="34" t="e">
        <f t="shared" si="1683"/>
        <v>#N/A</v>
      </c>
      <c r="AG713" s="34" t="e">
        <f t="shared" si="1683"/>
        <v>#N/A</v>
      </c>
      <c r="AH713" s="34" t="e">
        <f t="shared" si="1683"/>
        <v>#N/A</v>
      </c>
      <c r="AI713" s="34" t="e">
        <f t="shared" si="1683"/>
        <v>#N/A</v>
      </c>
      <c r="AJ713" s="34" t="e">
        <f t="shared" si="1683"/>
        <v>#N/A</v>
      </c>
      <c r="AK713" s="34" t="e">
        <f t="shared" si="1683"/>
        <v>#N/A</v>
      </c>
      <c r="AL713" s="34" t="e">
        <f t="shared" si="1683"/>
        <v>#N/A</v>
      </c>
      <c r="AM713" s="34" t="e">
        <f t="shared" si="1683"/>
        <v>#N/A</v>
      </c>
      <c r="AN713" s="34" t="e">
        <f t="shared" si="1683"/>
        <v>#N/A</v>
      </c>
      <c r="AO713" s="34" t="e">
        <f t="shared" si="1683"/>
        <v>#N/A</v>
      </c>
      <c r="AP713" s="34" t="e">
        <f t="shared" si="1683"/>
        <v>#N/A</v>
      </c>
      <c r="AQ713" s="34" t="e">
        <f t="shared" si="1683"/>
        <v>#N/A</v>
      </c>
      <c r="AR713" s="34" t="e">
        <f t="shared" si="1683"/>
        <v>#N/A</v>
      </c>
      <c r="AS713" s="27"/>
      <c r="AT713" s="39"/>
      <c r="AU713" s="39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30"/>
    </row>
    <row r="714" spans="1:66" ht="11.25" customHeight="1" x14ac:dyDescent="0.2">
      <c r="A714" s="44"/>
      <c r="B714" s="45"/>
      <c r="C714" s="46">
        <v>8</v>
      </c>
      <c r="D714" s="14" t="s">
        <v>76</v>
      </c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24"/>
      <c r="Y714" s="18" t="str">
        <f t="shared" si="1669"/>
        <v/>
      </c>
      <c r="Z714" s="34">
        <f t="shared" si="1670"/>
        <v>0</v>
      </c>
      <c r="AA714" s="34">
        <f t="shared" si="1671"/>
        <v>0</v>
      </c>
      <c r="AB714" s="34" t="e">
        <f t="shared" ref="AB714:AR714" si="1684">IF(SUM(G707:G719)=0,NA(),G714+AA714)</f>
        <v>#N/A</v>
      </c>
      <c r="AC714" s="34" t="e">
        <f t="shared" si="1684"/>
        <v>#N/A</v>
      </c>
      <c r="AD714" s="34" t="e">
        <f t="shared" si="1684"/>
        <v>#N/A</v>
      </c>
      <c r="AE714" s="34" t="e">
        <f t="shared" si="1684"/>
        <v>#N/A</v>
      </c>
      <c r="AF714" s="34" t="e">
        <f t="shared" si="1684"/>
        <v>#N/A</v>
      </c>
      <c r="AG714" s="34" t="e">
        <f t="shared" si="1684"/>
        <v>#N/A</v>
      </c>
      <c r="AH714" s="34" t="e">
        <f t="shared" si="1684"/>
        <v>#N/A</v>
      </c>
      <c r="AI714" s="34" t="e">
        <f t="shared" si="1684"/>
        <v>#N/A</v>
      </c>
      <c r="AJ714" s="34" t="e">
        <f t="shared" si="1684"/>
        <v>#N/A</v>
      </c>
      <c r="AK714" s="34" t="e">
        <f t="shared" si="1684"/>
        <v>#N/A</v>
      </c>
      <c r="AL714" s="34" t="e">
        <f t="shared" si="1684"/>
        <v>#N/A</v>
      </c>
      <c r="AM714" s="34" t="e">
        <f t="shared" si="1684"/>
        <v>#N/A</v>
      </c>
      <c r="AN714" s="34" t="e">
        <f t="shared" si="1684"/>
        <v>#N/A</v>
      </c>
      <c r="AO714" s="34" t="e">
        <f t="shared" si="1684"/>
        <v>#N/A</v>
      </c>
      <c r="AP714" s="34" t="e">
        <f t="shared" si="1684"/>
        <v>#N/A</v>
      </c>
      <c r="AQ714" s="34" t="e">
        <f t="shared" si="1684"/>
        <v>#N/A</v>
      </c>
      <c r="AR714" s="34" t="e">
        <f t="shared" si="1684"/>
        <v>#N/A</v>
      </c>
      <c r="AS714" s="27"/>
      <c r="AT714" s="41"/>
      <c r="AU714" s="41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30"/>
    </row>
    <row r="715" spans="1:66" ht="11.25" customHeight="1" x14ac:dyDescent="0.2">
      <c r="A715" s="44"/>
      <c r="B715" s="45"/>
      <c r="C715" s="46">
        <v>9</v>
      </c>
      <c r="D715" s="14" t="s">
        <v>76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24"/>
      <c r="Y715" s="18" t="str">
        <f t="shared" si="1669"/>
        <v/>
      </c>
      <c r="Z715" s="34">
        <f t="shared" si="1670"/>
        <v>0</v>
      </c>
      <c r="AA715" s="34">
        <f t="shared" si="1671"/>
        <v>0</v>
      </c>
      <c r="AB715" s="34" t="e">
        <f t="shared" ref="AB715:AR715" si="1685">IF(SUM(G707:G719)=0,NA(),G715+AA715)</f>
        <v>#N/A</v>
      </c>
      <c r="AC715" s="34" t="e">
        <f t="shared" si="1685"/>
        <v>#N/A</v>
      </c>
      <c r="AD715" s="34" t="e">
        <f t="shared" si="1685"/>
        <v>#N/A</v>
      </c>
      <c r="AE715" s="34" t="e">
        <f t="shared" si="1685"/>
        <v>#N/A</v>
      </c>
      <c r="AF715" s="34" t="e">
        <f t="shared" si="1685"/>
        <v>#N/A</v>
      </c>
      <c r="AG715" s="34" t="e">
        <f t="shared" si="1685"/>
        <v>#N/A</v>
      </c>
      <c r="AH715" s="34" t="e">
        <f t="shared" si="1685"/>
        <v>#N/A</v>
      </c>
      <c r="AI715" s="34" t="e">
        <f t="shared" si="1685"/>
        <v>#N/A</v>
      </c>
      <c r="AJ715" s="34" t="e">
        <f t="shared" si="1685"/>
        <v>#N/A</v>
      </c>
      <c r="AK715" s="34" t="e">
        <f t="shared" si="1685"/>
        <v>#N/A</v>
      </c>
      <c r="AL715" s="34" t="e">
        <f t="shared" si="1685"/>
        <v>#N/A</v>
      </c>
      <c r="AM715" s="34" t="e">
        <f t="shared" si="1685"/>
        <v>#N/A</v>
      </c>
      <c r="AN715" s="34" t="e">
        <f t="shared" si="1685"/>
        <v>#N/A</v>
      </c>
      <c r="AO715" s="34" t="e">
        <f t="shared" si="1685"/>
        <v>#N/A</v>
      </c>
      <c r="AP715" s="34" t="e">
        <f t="shared" si="1685"/>
        <v>#N/A</v>
      </c>
      <c r="AQ715" s="34" t="e">
        <f t="shared" si="1685"/>
        <v>#N/A</v>
      </c>
      <c r="AR715" s="34" t="e">
        <f t="shared" si="1685"/>
        <v>#N/A</v>
      </c>
      <c r="AS715" s="27"/>
      <c r="AT715" s="41"/>
      <c r="AU715" s="41"/>
      <c r="AV715" s="43"/>
      <c r="AW715" s="43"/>
      <c r="AX715" s="43"/>
      <c r="AY715" s="43"/>
      <c r="AZ715" s="43"/>
      <c r="BA715" s="43"/>
      <c r="BB715" s="43"/>
      <c r="BC715" s="43"/>
      <c r="BD715" s="43"/>
      <c r="BE715" s="43"/>
      <c r="BF715" s="43"/>
      <c r="BG715" s="43"/>
      <c r="BH715" s="43"/>
      <c r="BI715" s="43"/>
      <c r="BJ715" s="43"/>
      <c r="BK715" s="43"/>
      <c r="BL715" s="43"/>
      <c r="BM715" s="43"/>
      <c r="BN715" s="30"/>
    </row>
    <row r="716" spans="1:66" ht="11.25" customHeight="1" x14ac:dyDescent="0.2">
      <c r="A716" s="44"/>
      <c r="B716" s="45"/>
      <c r="C716" s="46">
        <v>10</v>
      </c>
      <c r="D716" s="14" t="s">
        <v>76</v>
      </c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24"/>
      <c r="Y716" s="18" t="str">
        <f t="shared" si="1669"/>
        <v/>
      </c>
      <c r="Z716" s="34">
        <f t="shared" si="1670"/>
        <v>0</v>
      </c>
      <c r="AA716" s="34">
        <f t="shared" si="1671"/>
        <v>0</v>
      </c>
      <c r="AB716" s="34" t="e">
        <f t="shared" ref="AB716:AR716" si="1686">IF(SUM(G707:G719)=0,NA(),G716+AA716)</f>
        <v>#N/A</v>
      </c>
      <c r="AC716" s="34" t="e">
        <f t="shared" si="1686"/>
        <v>#N/A</v>
      </c>
      <c r="AD716" s="34" t="e">
        <f t="shared" si="1686"/>
        <v>#N/A</v>
      </c>
      <c r="AE716" s="34" t="e">
        <f t="shared" si="1686"/>
        <v>#N/A</v>
      </c>
      <c r="AF716" s="34" t="e">
        <f t="shared" si="1686"/>
        <v>#N/A</v>
      </c>
      <c r="AG716" s="34" t="e">
        <f t="shared" si="1686"/>
        <v>#N/A</v>
      </c>
      <c r="AH716" s="34" t="e">
        <f t="shared" si="1686"/>
        <v>#N/A</v>
      </c>
      <c r="AI716" s="34" t="e">
        <f t="shared" si="1686"/>
        <v>#N/A</v>
      </c>
      <c r="AJ716" s="34" t="e">
        <f t="shared" si="1686"/>
        <v>#N/A</v>
      </c>
      <c r="AK716" s="34" t="e">
        <f t="shared" si="1686"/>
        <v>#N/A</v>
      </c>
      <c r="AL716" s="34" t="e">
        <f t="shared" si="1686"/>
        <v>#N/A</v>
      </c>
      <c r="AM716" s="34" t="e">
        <f t="shared" si="1686"/>
        <v>#N/A</v>
      </c>
      <c r="AN716" s="34" t="e">
        <f t="shared" si="1686"/>
        <v>#N/A</v>
      </c>
      <c r="AO716" s="34" t="e">
        <f t="shared" si="1686"/>
        <v>#N/A</v>
      </c>
      <c r="AP716" s="34" t="e">
        <f t="shared" si="1686"/>
        <v>#N/A</v>
      </c>
      <c r="AQ716" s="34" t="e">
        <f t="shared" si="1686"/>
        <v>#N/A</v>
      </c>
      <c r="AR716" s="34" t="e">
        <f t="shared" si="1686"/>
        <v>#N/A</v>
      </c>
      <c r="AS716" s="27"/>
      <c r="AT716" s="41"/>
      <c r="AU716" s="41"/>
      <c r="AV716" s="43"/>
      <c r="AW716" s="43"/>
      <c r="AX716" s="43"/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43"/>
      <c r="BJ716" s="43"/>
      <c r="BK716" s="43"/>
      <c r="BL716" s="43"/>
      <c r="BM716" s="43"/>
      <c r="BN716" s="30"/>
    </row>
    <row r="717" spans="1:66" ht="11.25" customHeight="1" x14ac:dyDescent="0.2">
      <c r="A717" s="44"/>
      <c r="B717" s="45"/>
      <c r="C717" s="46">
        <v>11</v>
      </c>
      <c r="D717" s="14" t="s">
        <v>76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24"/>
      <c r="Y717" s="18" t="str">
        <f t="shared" si="1669"/>
        <v/>
      </c>
      <c r="Z717" s="34">
        <f t="shared" si="1670"/>
        <v>0</v>
      </c>
      <c r="AA717" s="34">
        <f t="shared" si="1671"/>
        <v>0</v>
      </c>
      <c r="AB717" s="34" t="e">
        <f t="shared" ref="AB717:AR717" si="1687">IF(SUM(G707:G719)=0,NA(),G717+AA717)</f>
        <v>#N/A</v>
      </c>
      <c r="AC717" s="34" t="e">
        <f t="shared" si="1687"/>
        <v>#N/A</v>
      </c>
      <c r="AD717" s="34" t="e">
        <f t="shared" si="1687"/>
        <v>#N/A</v>
      </c>
      <c r="AE717" s="34" t="e">
        <f t="shared" si="1687"/>
        <v>#N/A</v>
      </c>
      <c r="AF717" s="34" t="e">
        <f t="shared" si="1687"/>
        <v>#N/A</v>
      </c>
      <c r="AG717" s="34" t="e">
        <f t="shared" si="1687"/>
        <v>#N/A</v>
      </c>
      <c r="AH717" s="34" t="e">
        <f t="shared" si="1687"/>
        <v>#N/A</v>
      </c>
      <c r="AI717" s="34" t="e">
        <f t="shared" si="1687"/>
        <v>#N/A</v>
      </c>
      <c r="AJ717" s="34" t="e">
        <f t="shared" si="1687"/>
        <v>#N/A</v>
      </c>
      <c r="AK717" s="34" t="e">
        <f t="shared" si="1687"/>
        <v>#N/A</v>
      </c>
      <c r="AL717" s="34" t="e">
        <f t="shared" si="1687"/>
        <v>#N/A</v>
      </c>
      <c r="AM717" s="34" t="e">
        <f t="shared" si="1687"/>
        <v>#N/A</v>
      </c>
      <c r="AN717" s="34" t="e">
        <f t="shared" si="1687"/>
        <v>#N/A</v>
      </c>
      <c r="AO717" s="34" t="e">
        <f t="shared" si="1687"/>
        <v>#N/A</v>
      </c>
      <c r="AP717" s="34" t="e">
        <f t="shared" si="1687"/>
        <v>#N/A</v>
      </c>
      <c r="AQ717" s="34" t="e">
        <f t="shared" si="1687"/>
        <v>#N/A</v>
      </c>
      <c r="AR717" s="34" t="e">
        <f t="shared" si="1687"/>
        <v>#N/A</v>
      </c>
      <c r="AS717" s="27"/>
      <c r="AT717" s="41"/>
      <c r="AU717" s="41"/>
      <c r="AV717" s="43"/>
      <c r="AW717" s="43"/>
      <c r="AX717" s="43"/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43"/>
      <c r="BJ717" s="43"/>
      <c r="BK717" s="43"/>
      <c r="BL717" s="43"/>
      <c r="BM717" s="43"/>
      <c r="BN717" s="30"/>
    </row>
    <row r="718" spans="1:66" ht="11.25" customHeight="1" x14ac:dyDescent="0.2">
      <c r="A718" s="44"/>
      <c r="B718" s="45"/>
      <c r="C718" s="46">
        <v>12</v>
      </c>
      <c r="D718" s="14" t="s">
        <v>76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24"/>
      <c r="Y718" s="18" t="str">
        <f t="shared" si="1669"/>
        <v/>
      </c>
      <c r="Z718" s="34">
        <f t="shared" si="1670"/>
        <v>0</v>
      </c>
      <c r="AA718" s="34">
        <f t="shared" si="1671"/>
        <v>0</v>
      </c>
      <c r="AB718" s="34" t="e">
        <f t="shared" ref="AB718:AR718" si="1688">IF(SUM(G707:G719)=0,NA(),G718+AA718)</f>
        <v>#N/A</v>
      </c>
      <c r="AC718" s="34" t="e">
        <f t="shared" si="1688"/>
        <v>#N/A</v>
      </c>
      <c r="AD718" s="34" t="e">
        <f t="shared" si="1688"/>
        <v>#N/A</v>
      </c>
      <c r="AE718" s="34" t="e">
        <f t="shared" si="1688"/>
        <v>#N/A</v>
      </c>
      <c r="AF718" s="34" t="e">
        <f t="shared" si="1688"/>
        <v>#N/A</v>
      </c>
      <c r="AG718" s="34" t="e">
        <f t="shared" si="1688"/>
        <v>#N/A</v>
      </c>
      <c r="AH718" s="34" t="e">
        <f t="shared" si="1688"/>
        <v>#N/A</v>
      </c>
      <c r="AI718" s="34" t="e">
        <f t="shared" si="1688"/>
        <v>#N/A</v>
      </c>
      <c r="AJ718" s="34" t="e">
        <f t="shared" si="1688"/>
        <v>#N/A</v>
      </c>
      <c r="AK718" s="34" t="e">
        <f t="shared" si="1688"/>
        <v>#N/A</v>
      </c>
      <c r="AL718" s="34" t="e">
        <f t="shared" si="1688"/>
        <v>#N/A</v>
      </c>
      <c r="AM718" s="34" t="e">
        <f t="shared" si="1688"/>
        <v>#N/A</v>
      </c>
      <c r="AN718" s="34" t="e">
        <f t="shared" si="1688"/>
        <v>#N/A</v>
      </c>
      <c r="AO718" s="34" t="e">
        <f t="shared" si="1688"/>
        <v>#N/A</v>
      </c>
      <c r="AP718" s="34" t="e">
        <f t="shared" si="1688"/>
        <v>#N/A</v>
      </c>
      <c r="AQ718" s="34" t="e">
        <f t="shared" si="1688"/>
        <v>#N/A</v>
      </c>
      <c r="AR718" s="34" t="e">
        <f t="shared" si="1688"/>
        <v>#N/A</v>
      </c>
      <c r="AS718" s="27"/>
      <c r="AT718" s="41"/>
      <c r="AU718" s="41"/>
      <c r="AV718" s="43"/>
      <c r="AW718" s="43"/>
      <c r="AX718" s="43"/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43"/>
      <c r="BJ718" s="43"/>
      <c r="BK718" s="43"/>
      <c r="BL718" s="43"/>
      <c r="BM718" s="43"/>
      <c r="BN718" s="30"/>
    </row>
    <row r="719" spans="1:66" ht="11.25" customHeight="1" x14ac:dyDescent="0.2">
      <c r="A719" s="44"/>
      <c r="B719" s="45"/>
      <c r="C719" s="46">
        <v>13</v>
      </c>
      <c r="D719" s="14" t="s">
        <v>76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24"/>
      <c r="Y719" s="18" t="str">
        <f t="shared" si="1669"/>
        <v/>
      </c>
      <c r="Z719" s="34">
        <f t="shared" si="1670"/>
        <v>0</v>
      </c>
      <c r="AA719" s="34">
        <f t="shared" si="1671"/>
        <v>0</v>
      </c>
      <c r="AB719" s="34" t="e">
        <f t="shared" ref="AB719:AR719" si="1689">IF(SUM(G707:G719)=0,NA(),G719+AA719)</f>
        <v>#N/A</v>
      </c>
      <c r="AC719" s="34" t="e">
        <f t="shared" si="1689"/>
        <v>#N/A</v>
      </c>
      <c r="AD719" s="34" t="e">
        <f t="shared" si="1689"/>
        <v>#N/A</v>
      </c>
      <c r="AE719" s="34" t="e">
        <f t="shared" si="1689"/>
        <v>#N/A</v>
      </c>
      <c r="AF719" s="34" t="e">
        <f t="shared" si="1689"/>
        <v>#N/A</v>
      </c>
      <c r="AG719" s="34" t="e">
        <f t="shared" si="1689"/>
        <v>#N/A</v>
      </c>
      <c r="AH719" s="34" t="e">
        <f t="shared" si="1689"/>
        <v>#N/A</v>
      </c>
      <c r="AI719" s="34" t="e">
        <f t="shared" si="1689"/>
        <v>#N/A</v>
      </c>
      <c r="AJ719" s="34" t="e">
        <f t="shared" si="1689"/>
        <v>#N/A</v>
      </c>
      <c r="AK719" s="34" t="e">
        <f t="shared" si="1689"/>
        <v>#N/A</v>
      </c>
      <c r="AL719" s="34" t="e">
        <f t="shared" si="1689"/>
        <v>#N/A</v>
      </c>
      <c r="AM719" s="34" t="e">
        <f t="shared" si="1689"/>
        <v>#N/A</v>
      </c>
      <c r="AN719" s="34" t="e">
        <f t="shared" si="1689"/>
        <v>#N/A</v>
      </c>
      <c r="AO719" s="34" t="e">
        <f t="shared" si="1689"/>
        <v>#N/A</v>
      </c>
      <c r="AP719" s="34" t="e">
        <f t="shared" si="1689"/>
        <v>#N/A</v>
      </c>
      <c r="AQ719" s="34" t="e">
        <f t="shared" si="1689"/>
        <v>#N/A</v>
      </c>
      <c r="AR719" s="34" t="e">
        <f t="shared" si="1689"/>
        <v>#N/A</v>
      </c>
      <c r="AS719" s="27"/>
      <c r="AT719" s="41"/>
      <c r="AU719" s="41"/>
      <c r="AV719" s="43"/>
      <c r="AW719" s="43"/>
      <c r="AX719" s="43"/>
      <c r="AY719" s="43"/>
      <c r="AZ719" s="43"/>
      <c r="BA719" s="43"/>
      <c r="BB719" s="43"/>
      <c r="BC719" s="43"/>
      <c r="BD719" s="43"/>
      <c r="BE719" s="43"/>
      <c r="BF719" s="43"/>
      <c r="BG719" s="43"/>
      <c r="BH719" s="43"/>
      <c r="BI719" s="43"/>
      <c r="BJ719" s="43"/>
      <c r="BK719" s="43"/>
      <c r="BL719" s="43"/>
      <c r="BM719" s="43"/>
      <c r="BN719" s="30"/>
    </row>
    <row r="720" spans="1:66" ht="11.25" customHeight="1" x14ac:dyDescent="0.2">
      <c r="X720" s="24"/>
      <c r="Y720" s="19" t="s">
        <v>79</v>
      </c>
      <c r="Z720" s="34">
        <f t="shared" ref="Z720" si="1690">SUM(Z709:Z719)</f>
        <v>0</v>
      </c>
      <c r="AA720" s="34">
        <f t="shared" ref="AA720" si="1691">SUM(AA709:AA719)</f>
        <v>0</v>
      </c>
      <c r="AB720" s="34" t="e">
        <f t="shared" ref="AB720" si="1692">SUM(AB709:AB719)</f>
        <v>#N/A</v>
      </c>
      <c r="AC720" s="34" t="e">
        <f t="shared" ref="AC720" si="1693">SUM(AC709:AC719)</f>
        <v>#N/A</v>
      </c>
      <c r="AD720" s="34" t="e">
        <f t="shared" ref="AD720" si="1694">SUM(AD709:AD719)</f>
        <v>#N/A</v>
      </c>
      <c r="AE720" s="34" t="e">
        <f t="shared" ref="AE720" si="1695">SUM(AE709:AE719)</f>
        <v>#N/A</v>
      </c>
      <c r="AF720" s="34" t="e">
        <f t="shared" ref="AF720" si="1696">SUM(AF709:AF719)</f>
        <v>#N/A</v>
      </c>
      <c r="AG720" s="34" t="e">
        <f t="shared" ref="AG720" si="1697">SUM(AG709:AG719)</f>
        <v>#N/A</v>
      </c>
      <c r="AH720" s="34" t="e">
        <f t="shared" ref="AH720" si="1698">SUM(AH709:AH719)</f>
        <v>#N/A</v>
      </c>
      <c r="AI720" s="34" t="e">
        <f t="shared" ref="AI720" si="1699">SUM(AI709:AI719)</f>
        <v>#N/A</v>
      </c>
      <c r="AJ720" s="34" t="e">
        <f t="shared" ref="AJ720" si="1700">SUM(AJ709:AJ719)</f>
        <v>#N/A</v>
      </c>
      <c r="AK720" s="34" t="e">
        <f t="shared" ref="AK720" si="1701">SUM(AK709:AK719)</f>
        <v>#N/A</v>
      </c>
      <c r="AL720" s="34" t="e">
        <f t="shared" ref="AL720" si="1702">SUM(AL709:AL719)</f>
        <v>#N/A</v>
      </c>
      <c r="AM720" s="34" t="e">
        <f t="shared" ref="AM720" si="1703">SUM(AM709:AM719)</f>
        <v>#N/A</v>
      </c>
      <c r="AN720" s="34" t="e">
        <f t="shared" ref="AN720" si="1704">SUM(AN709:AN719)</f>
        <v>#N/A</v>
      </c>
      <c r="AO720" s="34" t="e">
        <f t="shared" ref="AO720" si="1705">SUM(AO709:AO719)</f>
        <v>#N/A</v>
      </c>
      <c r="AP720" s="34" t="e">
        <f t="shared" ref="AP720" si="1706">SUM(AP709:AP719)</f>
        <v>#N/A</v>
      </c>
      <c r="AQ720" s="34" t="e">
        <f t="shared" ref="AQ720" si="1707">SUM(AQ709:AQ719)</f>
        <v>#N/A</v>
      </c>
      <c r="AR720" s="34" t="e">
        <f t="shared" ref="AR720" si="1708">SUM(AR709:AR719)</f>
        <v>#N/A</v>
      </c>
      <c r="AS720" s="27"/>
      <c r="AT720" s="41"/>
      <c r="AU720" s="41"/>
      <c r="AV720" s="43"/>
      <c r="AW720" s="43"/>
      <c r="AX720" s="43"/>
      <c r="AY720" s="43"/>
      <c r="AZ720" s="43"/>
      <c r="BA720" s="43"/>
      <c r="BB720" s="43"/>
      <c r="BC720" s="43"/>
      <c r="BD720" s="43"/>
      <c r="BE720" s="43"/>
      <c r="BF720" s="43"/>
      <c r="BG720" s="43"/>
      <c r="BH720" s="43"/>
      <c r="BI720" s="43"/>
      <c r="BJ720" s="43"/>
      <c r="BK720" s="43"/>
      <c r="BL720" s="43"/>
      <c r="BM720" s="43"/>
      <c r="BN720" s="30"/>
    </row>
    <row r="721" spans="1:66" ht="11.25" customHeight="1" x14ac:dyDescent="0.2">
      <c r="A721" s="75" t="s">
        <v>63</v>
      </c>
      <c r="B721" s="76"/>
      <c r="C721" s="21"/>
      <c r="D721" s="22" t="s">
        <v>75</v>
      </c>
      <c r="E721" s="23" t="s">
        <v>70</v>
      </c>
      <c r="F721" s="23">
        <v>0</v>
      </c>
      <c r="G721" s="23">
        <v>1</v>
      </c>
      <c r="H721" s="23">
        <v>2</v>
      </c>
      <c r="I721" s="23">
        <v>3</v>
      </c>
      <c r="J721" s="23">
        <v>4</v>
      </c>
      <c r="K721" s="23">
        <v>5</v>
      </c>
      <c r="L721" s="23">
        <v>6</v>
      </c>
      <c r="M721" s="23">
        <v>7</v>
      </c>
      <c r="N721" s="23">
        <v>8</v>
      </c>
      <c r="O721" s="23">
        <v>9</v>
      </c>
      <c r="P721" s="23">
        <v>10</v>
      </c>
      <c r="Q721" s="23">
        <v>11</v>
      </c>
      <c r="R721" s="23">
        <v>12</v>
      </c>
      <c r="S721" s="23">
        <v>13</v>
      </c>
      <c r="T721" s="23">
        <v>14</v>
      </c>
      <c r="U721" s="23">
        <v>15</v>
      </c>
      <c r="V721" s="23">
        <v>16</v>
      </c>
      <c r="W721" s="23">
        <v>17</v>
      </c>
      <c r="X721" s="24"/>
      <c r="Y721" s="17"/>
      <c r="Z721" s="25" t="s">
        <v>64</v>
      </c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/>
      <c r="AP721" s="26"/>
      <c r="AQ721" s="26"/>
      <c r="AR721" s="26"/>
      <c r="AS721" s="27"/>
      <c r="AT721" s="28"/>
      <c r="AU721" s="28" t="s">
        <v>64</v>
      </c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30"/>
    </row>
    <row r="722" spans="1:66" ht="11.25" customHeight="1" x14ac:dyDescent="0.2">
      <c r="A722" s="32"/>
      <c r="B722" s="72">
        <v>49</v>
      </c>
      <c r="C722" s="33">
        <v>1</v>
      </c>
      <c r="D722" s="13" t="s">
        <v>460</v>
      </c>
      <c r="E722" s="16">
        <f t="shared" ref="E722:E734" si="1709">SUM(F722:W722)</f>
        <v>60</v>
      </c>
      <c r="F722" s="16">
        <f>SUMIFS([0]!VOTOS2,[0]!TURNO1,F$31,[0]!CANDIDATO1,$C722,[0]!MUNICIPIO1,$B$722)</f>
        <v>10</v>
      </c>
      <c r="G722" s="16">
        <f>SUMIFS([0]!VOTOS2,[0]!TURNO1,G$31,[0]!CANDIDATO1,$C722,[0]!MUNICIPIO1,$B$722)</f>
        <v>0</v>
      </c>
      <c r="H722" s="16">
        <f>SUMIFS([0]!VOTOS2,[0]!TURNO1,H$31,[0]!CANDIDATO1,$C722,[0]!MUNICIPIO1,$B$722)</f>
        <v>0</v>
      </c>
      <c r="I722" s="16">
        <f>SUMIFS([0]!VOTOS2,[0]!TURNO1,I$31,[0]!CANDIDATO1,$C722,[0]!MUNICIPIO1,$B$722)</f>
        <v>0</v>
      </c>
      <c r="J722" s="16">
        <f>SUMIFS([0]!VOTOS2,[0]!TURNO1,J$31,[0]!CANDIDATO1,$C722,[0]!MUNICIPIO1,$B$722)</f>
        <v>0</v>
      </c>
      <c r="K722" s="16">
        <f>SUMIFS([0]!VOTOS2,[0]!TURNO1,K$31,[0]!CANDIDATO1,$C722,[0]!MUNICIPIO1,$B$722)</f>
        <v>0</v>
      </c>
      <c r="L722" s="16">
        <f>SUMIFS([0]!VOTOS2,[0]!TURNO1,L$31,[0]!CANDIDATO1,$C722,[0]!MUNICIPIO1,$B$722)</f>
        <v>0</v>
      </c>
      <c r="M722" s="16">
        <f>SUMIFS([0]!VOTOS2,[0]!TURNO1,M$31,[0]!CANDIDATO1,$C722,[0]!MUNICIPIO1,$B$722)</f>
        <v>50</v>
      </c>
      <c r="N722" s="16">
        <f>SUMIFS([0]!VOTOS2,[0]!TURNO1,N$31,[0]!CANDIDATO1,$C722,[0]!MUNICIPIO1,$B$722)</f>
        <v>0</v>
      </c>
      <c r="O722" s="16">
        <f>SUMIFS([0]!VOTOS2,[0]!TURNO1,O$31,[0]!CANDIDATO1,$C722,[0]!MUNICIPIO1,$B$722)</f>
        <v>0</v>
      </c>
      <c r="P722" s="16">
        <f>SUMIFS([0]!VOTOS2,[0]!TURNO1,P$31,[0]!CANDIDATO1,$C722,[0]!MUNICIPIO1,$B$722)</f>
        <v>0</v>
      </c>
      <c r="Q722" s="16">
        <f>SUMIFS([0]!VOTOS2,[0]!TURNO1,Q$31,[0]!CANDIDATO1,$C722,[0]!MUNICIPIO1,$B$722)</f>
        <v>0</v>
      </c>
      <c r="R722" s="16">
        <f>SUMIFS([0]!VOTOS2,[0]!TURNO1,R$31,[0]!CANDIDATO1,$C722,[0]!MUNICIPIO1,$B$722)</f>
        <v>0</v>
      </c>
      <c r="S722" s="16">
        <f>SUMIFS([0]!VOTOS2,[0]!TURNO1,S$31,[0]!CANDIDATO1,$C722,[0]!MUNICIPIO1,$B$722)</f>
        <v>0</v>
      </c>
      <c r="T722" s="16">
        <f>SUMIFS([0]!VOTOS2,[0]!TURNO1,T$31,[0]!CANDIDATO1,$C722,[0]!MUNICIPIO1,$B$722)</f>
        <v>0</v>
      </c>
      <c r="U722" s="16">
        <f>SUMIFS([0]!VOTOS2,[0]!TURNO1,U$31,[0]!CANDIDATO1,$C722,[0]!MUNICIPIO1,$B$722)</f>
        <v>0</v>
      </c>
      <c r="V722" s="16">
        <f>SUMIFS([0]!VOTOS2,[0]!TURNO1,V$31,[0]!CANDIDATO1,$C722,[0]!MUNICIPIO1,$B$722)</f>
        <v>0</v>
      </c>
      <c r="W722" s="16">
        <f>SUMIFS([0]!VOTOS2,[0]!TURNO1,W$31,[0]!CANDIDATO1,$C722,[0]!MUNICIPIO1,$B$722)</f>
        <v>0</v>
      </c>
      <c r="X722" s="24"/>
      <c r="Y722" s="18" t="str">
        <f t="shared" ref="Y722:Y734" si="1710">D722</f>
        <v>PEREZ PIRELA</v>
      </c>
      <c r="Z722" s="34">
        <f t="shared" ref="Z722:Z734" si="1711">E722</f>
        <v>60</v>
      </c>
      <c r="AA722" s="34">
        <f t="shared" ref="AA722:AA734" si="1712">F722</f>
        <v>10</v>
      </c>
      <c r="AB722" s="34" t="e">
        <f t="shared" ref="AB722:AR722" si="1713">IF(SUM(G722:G734)=0,NA(),G722+AA722)</f>
        <v>#N/A</v>
      </c>
      <c r="AC722" s="34" t="e">
        <f t="shared" si="1713"/>
        <v>#N/A</v>
      </c>
      <c r="AD722" s="34" t="e">
        <f t="shared" si="1713"/>
        <v>#N/A</v>
      </c>
      <c r="AE722" s="34" t="e">
        <f t="shared" si="1713"/>
        <v>#N/A</v>
      </c>
      <c r="AF722" s="34" t="e">
        <f t="shared" si="1713"/>
        <v>#N/A</v>
      </c>
      <c r="AG722" s="34" t="e">
        <f t="shared" si="1713"/>
        <v>#N/A</v>
      </c>
      <c r="AH722" s="34" t="e">
        <f t="shared" si="1713"/>
        <v>#N/A</v>
      </c>
      <c r="AI722" s="34" t="e">
        <f t="shared" si="1713"/>
        <v>#N/A</v>
      </c>
      <c r="AJ722" s="34" t="e">
        <f t="shared" si="1713"/>
        <v>#N/A</v>
      </c>
      <c r="AK722" s="34" t="e">
        <f t="shared" si="1713"/>
        <v>#N/A</v>
      </c>
      <c r="AL722" s="34" t="e">
        <f t="shared" si="1713"/>
        <v>#N/A</v>
      </c>
      <c r="AM722" s="34" t="e">
        <f t="shared" si="1713"/>
        <v>#N/A</v>
      </c>
      <c r="AN722" s="34" t="e">
        <f t="shared" si="1713"/>
        <v>#N/A</v>
      </c>
      <c r="AO722" s="34" t="e">
        <f t="shared" si="1713"/>
        <v>#N/A</v>
      </c>
      <c r="AP722" s="34" t="e">
        <f t="shared" si="1713"/>
        <v>#N/A</v>
      </c>
      <c r="AQ722" s="34" t="e">
        <f t="shared" si="1713"/>
        <v>#N/A</v>
      </c>
      <c r="AR722" s="34" t="e">
        <f t="shared" si="1713"/>
        <v>#N/A</v>
      </c>
      <c r="AS722" s="27"/>
      <c r="AT722" s="35" t="str">
        <f t="shared" ref="AT722:AT723" si="1714">Y722</f>
        <v>PEREZ PIRELA</v>
      </c>
      <c r="AU722" s="36">
        <f t="shared" ref="AU722:BM722" si="1715">Z722/(Z722+Z723+Z735)</f>
        <v>0.66666666666666663</v>
      </c>
      <c r="AV722" s="36">
        <f t="shared" si="1715"/>
        <v>0.5</v>
      </c>
      <c r="AW722" s="36" t="e">
        <f t="shared" si="1715"/>
        <v>#N/A</v>
      </c>
      <c r="AX722" s="36" t="e">
        <f t="shared" si="1715"/>
        <v>#N/A</v>
      </c>
      <c r="AY722" s="36" t="e">
        <f t="shared" si="1715"/>
        <v>#N/A</v>
      </c>
      <c r="AZ722" s="36" t="e">
        <f t="shared" si="1715"/>
        <v>#N/A</v>
      </c>
      <c r="BA722" s="36" t="e">
        <f t="shared" si="1715"/>
        <v>#N/A</v>
      </c>
      <c r="BB722" s="36" t="e">
        <f t="shared" si="1715"/>
        <v>#N/A</v>
      </c>
      <c r="BC722" s="36" t="e">
        <f t="shared" si="1715"/>
        <v>#N/A</v>
      </c>
      <c r="BD722" s="36" t="e">
        <f t="shared" si="1715"/>
        <v>#N/A</v>
      </c>
      <c r="BE722" s="36" t="e">
        <f t="shared" si="1715"/>
        <v>#N/A</v>
      </c>
      <c r="BF722" s="36" t="e">
        <f t="shared" si="1715"/>
        <v>#N/A</v>
      </c>
      <c r="BG722" s="36" t="e">
        <f t="shared" si="1715"/>
        <v>#N/A</v>
      </c>
      <c r="BH722" s="36" t="e">
        <f t="shared" si="1715"/>
        <v>#N/A</v>
      </c>
      <c r="BI722" s="36" t="e">
        <f t="shared" si="1715"/>
        <v>#N/A</v>
      </c>
      <c r="BJ722" s="36" t="e">
        <f t="shared" si="1715"/>
        <v>#N/A</v>
      </c>
      <c r="BK722" s="36" t="e">
        <f t="shared" si="1715"/>
        <v>#N/A</v>
      </c>
      <c r="BL722" s="36" t="e">
        <f t="shared" si="1715"/>
        <v>#N/A</v>
      </c>
      <c r="BM722" s="36" t="e">
        <f t="shared" si="1715"/>
        <v>#N/A</v>
      </c>
      <c r="BN722" s="30"/>
    </row>
    <row r="723" spans="1:66" ht="11.25" customHeight="1" x14ac:dyDescent="0.2">
      <c r="A723" s="37"/>
      <c r="B723" s="73"/>
      <c r="C723" s="33">
        <v>2</v>
      </c>
      <c r="D723" s="13" t="s">
        <v>461</v>
      </c>
      <c r="E723" s="16">
        <f t="shared" si="1709"/>
        <v>12</v>
      </c>
      <c r="F723" s="16">
        <f>SUMIFS([0]!VOTOS2,[0]!TURNO1,F$31,[0]!CANDIDATO1,$C723,[0]!MUNICIPIO1,$B$722)</f>
        <v>10</v>
      </c>
      <c r="G723" s="16">
        <f>SUMIFS([0]!VOTOS2,[0]!TURNO1,G$31,[0]!CANDIDATO1,$C723,[0]!MUNICIPIO1,$B$722)</f>
        <v>0</v>
      </c>
      <c r="H723" s="16">
        <f>SUMIFS([0]!VOTOS2,[0]!TURNO1,H$31,[0]!CANDIDATO1,$C723,[0]!MUNICIPIO1,$B$722)</f>
        <v>0</v>
      </c>
      <c r="I723" s="16">
        <f>SUMIFS([0]!VOTOS2,[0]!TURNO1,I$31,[0]!CANDIDATO1,$C723,[0]!MUNICIPIO1,$B$722)</f>
        <v>0</v>
      </c>
      <c r="J723" s="16">
        <f>SUMIFS([0]!VOTOS2,[0]!TURNO1,J$31,[0]!CANDIDATO1,$C723,[0]!MUNICIPIO1,$B$722)</f>
        <v>0</v>
      </c>
      <c r="K723" s="16">
        <f>SUMIFS([0]!VOTOS2,[0]!TURNO1,K$31,[0]!CANDIDATO1,$C723,[0]!MUNICIPIO1,$B$722)</f>
        <v>0</v>
      </c>
      <c r="L723" s="16">
        <f>SUMIFS([0]!VOTOS2,[0]!TURNO1,L$31,[0]!CANDIDATO1,$C723,[0]!MUNICIPIO1,$B$722)</f>
        <v>0</v>
      </c>
      <c r="M723" s="16">
        <f>SUMIFS([0]!VOTOS2,[0]!TURNO1,M$31,[0]!CANDIDATO1,$C723,[0]!MUNICIPIO1,$B$722)</f>
        <v>2</v>
      </c>
      <c r="N723" s="16">
        <f>SUMIFS([0]!VOTOS2,[0]!TURNO1,N$31,[0]!CANDIDATO1,$C723,[0]!MUNICIPIO1,$B$722)</f>
        <v>0</v>
      </c>
      <c r="O723" s="16">
        <f>SUMIFS([0]!VOTOS2,[0]!TURNO1,O$31,[0]!CANDIDATO1,$C723,[0]!MUNICIPIO1,$B$722)</f>
        <v>0</v>
      </c>
      <c r="P723" s="16">
        <f>SUMIFS([0]!VOTOS2,[0]!TURNO1,P$31,[0]!CANDIDATO1,$C723,[0]!MUNICIPIO1,$B$722)</f>
        <v>0</v>
      </c>
      <c r="Q723" s="16">
        <f>SUMIFS([0]!VOTOS2,[0]!TURNO1,Q$31,[0]!CANDIDATO1,$C723,[0]!MUNICIPIO1,$B$722)</f>
        <v>0</v>
      </c>
      <c r="R723" s="16">
        <f>SUMIFS([0]!VOTOS2,[0]!TURNO1,R$31,[0]!CANDIDATO1,$C723,[0]!MUNICIPIO1,$B$722)</f>
        <v>0</v>
      </c>
      <c r="S723" s="16">
        <f>SUMIFS([0]!VOTOS2,[0]!TURNO1,S$31,[0]!CANDIDATO1,$C723,[0]!MUNICIPIO1,$B$722)</f>
        <v>0</v>
      </c>
      <c r="T723" s="16">
        <f>SUMIFS([0]!VOTOS2,[0]!TURNO1,T$31,[0]!CANDIDATO1,$C723,[0]!MUNICIPIO1,$B$722)</f>
        <v>0</v>
      </c>
      <c r="U723" s="16">
        <f>SUMIFS([0]!VOTOS2,[0]!TURNO1,U$31,[0]!CANDIDATO1,$C723,[0]!MUNICIPIO1,$B$722)</f>
        <v>0</v>
      </c>
      <c r="V723" s="16">
        <f>SUMIFS([0]!VOTOS2,[0]!TURNO1,V$31,[0]!CANDIDATO1,$C723,[0]!MUNICIPIO1,$B$722)</f>
        <v>0</v>
      </c>
      <c r="W723" s="16">
        <f>SUMIFS([0]!VOTOS2,[0]!TURNO1,W$31,[0]!CANDIDATO1,$C723,[0]!MUNICIPIO1,$B$722)</f>
        <v>0</v>
      </c>
      <c r="X723" s="24"/>
      <c r="Y723" s="18" t="str">
        <f t="shared" si="1710"/>
        <v>EVELING DE ROSALES</v>
      </c>
      <c r="Z723" s="34">
        <f t="shared" si="1711"/>
        <v>12</v>
      </c>
      <c r="AA723" s="34">
        <f t="shared" si="1712"/>
        <v>10</v>
      </c>
      <c r="AB723" s="34" t="e">
        <f t="shared" ref="AB723:AR723" si="1716">IF(SUM(G722:G734)=0,NA(),G723+AA723)</f>
        <v>#N/A</v>
      </c>
      <c r="AC723" s="34" t="e">
        <f t="shared" si="1716"/>
        <v>#N/A</v>
      </c>
      <c r="AD723" s="34" t="e">
        <f t="shared" si="1716"/>
        <v>#N/A</v>
      </c>
      <c r="AE723" s="34" t="e">
        <f t="shared" si="1716"/>
        <v>#N/A</v>
      </c>
      <c r="AF723" s="34" t="e">
        <f t="shared" si="1716"/>
        <v>#N/A</v>
      </c>
      <c r="AG723" s="34" t="e">
        <f t="shared" si="1716"/>
        <v>#N/A</v>
      </c>
      <c r="AH723" s="34" t="e">
        <f t="shared" si="1716"/>
        <v>#N/A</v>
      </c>
      <c r="AI723" s="34" t="e">
        <f t="shared" si="1716"/>
        <v>#N/A</v>
      </c>
      <c r="AJ723" s="34" t="e">
        <f t="shared" si="1716"/>
        <v>#N/A</v>
      </c>
      <c r="AK723" s="34" t="e">
        <f t="shared" si="1716"/>
        <v>#N/A</v>
      </c>
      <c r="AL723" s="34" t="e">
        <f t="shared" si="1716"/>
        <v>#N/A</v>
      </c>
      <c r="AM723" s="34" t="e">
        <f t="shared" si="1716"/>
        <v>#N/A</v>
      </c>
      <c r="AN723" s="34" t="e">
        <f t="shared" si="1716"/>
        <v>#N/A</v>
      </c>
      <c r="AO723" s="34" t="e">
        <f t="shared" si="1716"/>
        <v>#N/A</v>
      </c>
      <c r="AP723" s="34" t="e">
        <f t="shared" si="1716"/>
        <v>#N/A</v>
      </c>
      <c r="AQ723" s="34" t="e">
        <f t="shared" si="1716"/>
        <v>#N/A</v>
      </c>
      <c r="AR723" s="34" t="e">
        <f t="shared" si="1716"/>
        <v>#N/A</v>
      </c>
      <c r="AS723" s="27"/>
      <c r="AT723" s="35" t="str">
        <f t="shared" si="1714"/>
        <v>EVELING DE ROSALES</v>
      </c>
      <c r="AU723" s="36">
        <f t="shared" ref="AU723:BM723" si="1717">Z723/(Z722+Z723+Z735)</f>
        <v>0.13333333333333333</v>
      </c>
      <c r="AV723" s="36">
        <f t="shared" si="1717"/>
        <v>0.5</v>
      </c>
      <c r="AW723" s="36" t="e">
        <f t="shared" si="1717"/>
        <v>#N/A</v>
      </c>
      <c r="AX723" s="36" t="e">
        <f t="shared" si="1717"/>
        <v>#N/A</v>
      </c>
      <c r="AY723" s="36" t="e">
        <f t="shared" si="1717"/>
        <v>#N/A</v>
      </c>
      <c r="AZ723" s="36" t="e">
        <f t="shared" si="1717"/>
        <v>#N/A</v>
      </c>
      <c r="BA723" s="36" t="e">
        <f t="shared" si="1717"/>
        <v>#N/A</v>
      </c>
      <c r="BB723" s="36" t="e">
        <f t="shared" si="1717"/>
        <v>#N/A</v>
      </c>
      <c r="BC723" s="36" t="e">
        <f t="shared" si="1717"/>
        <v>#N/A</v>
      </c>
      <c r="BD723" s="36" t="e">
        <f t="shared" si="1717"/>
        <v>#N/A</v>
      </c>
      <c r="BE723" s="36" t="e">
        <f t="shared" si="1717"/>
        <v>#N/A</v>
      </c>
      <c r="BF723" s="36" t="e">
        <f t="shared" si="1717"/>
        <v>#N/A</v>
      </c>
      <c r="BG723" s="36" t="e">
        <f t="shared" si="1717"/>
        <v>#N/A</v>
      </c>
      <c r="BH723" s="36" t="e">
        <f t="shared" si="1717"/>
        <v>#N/A</v>
      </c>
      <c r="BI723" s="36" t="e">
        <f t="shared" si="1717"/>
        <v>#N/A</v>
      </c>
      <c r="BJ723" s="36" t="e">
        <f t="shared" si="1717"/>
        <v>#N/A</v>
      </c>
      <c r="BK723" s="36" t="e">
        <f t="shared" si="1717"/>
        <v>#N/A</v>
      </c>
      <c r="BL723" s="36" t="e">
        <f t="shared" si="1717"/>
        <v>#N/A</v>
      </c>
      <c r="BM723" s="36" t="e">
        <f t="shared" si="1717"/>
        <v>#N/A</v>
      </c>
      <c r="BN723" s="30"/>
    </row>
    <row r="724" spans="1:66" ht="11.25" customHeight="1" x14ac:dyDescent="0.2">
      <c r="A724" s="37"/>
      <c r="B724" s="73"/>
      <c r="C724" s="33">
        <v>3</v>
      </c>
      <c r="D724" s="13" t="s">
        <v>462</v>
      </c>
      <c r="E724" s="16">
        <f t="shared" si="1709"/>
        <v>5</v>
      </c>
      <c r="F724" s="16">
        <f>SUMIFS([0]!VOTOS2,[0]!TURNO1,F$31,[0]!CANDIDATO1,$C724,[0]!MUNICIPIO1,$B$722)</f>
        <v>0</v>
      </c>
      <c r="G724" s="16">
        <f>SUMIFS([0]!VOTOS2,[0]!TURNO1,G$31,[0]!CANDIDATO1,$C724,[0]!MUNICIPIO1,$B$722)</f>
        <v>0</v>
      </c>
      <c r="H724" s="16">
        <f>SUMIFS([0]!VOTOS2,[0]!TURNO1,H$31,[0]!CANDIDATO1,$C724,[0]!MUNICIPIO1,$B$722)</f>
        <v>0</v>
      </c>
      <c r="I724" s="16">
        <f>SUMIFS([0]!VOTOS2,[0]!TURNO1,I$31,[0]!CANDIDATO1,$C724,[0]!MUNICIPIO1,$B$722)</f>
        <v>0</v>
      </c>
      <c r="J724" s="16">
        <f>SUMIFS([0]!VOTOS2,[0]!TURNO1,J$31,[0]!CANDIDATO1,$C724,[0]!MUNICIPIO1,$B$722)</f>
        <v>0</v>
      </c>
      <c r="K724" s="16">
        <f>SUMIFS([0]!VOTOS2,[0]!TURNO1,K$31,[0]!CANDIDATO1,$C724,[0]!MUNICIPIO1,$B$722)</f>
        <v>0</v>
      </c>
      <c r="L724" s="16">
        <f>SUMIFS([0]!VOTOS2,[0]!TURNO1,L$31,[0]!CANDIDATO1,$C724,[0]!MUNICIPIO1,$B$722)</f>
        <v>0</v>
      </c>
      <c r="M724" s="16">
        <f>SUMIFS([0]!VOTOS2,[0]!TURNO1,M$31,[0]!CANDIDATO1,$C724,[0]!MUNICIPIO1,$B$722)</f>
        <v>5</v>
      </c>
      <c r="N724" s="16">
        <f>SUMIFS([0]!VOTOS2,[0]!TURNO1,N$31,[0]!CANDIDATO1,$C724,[0]!MUNICIPIO1,$B$722)</f>
        <v>0</v>
      </c>
      <c r="O724" s="16">
        <f>SUMIFS([0]!VOTOS2,[0]!TURNO1,O$31,[0]!CANDIDATO1,$C724,[0]!MUNICIPIO1,$B$722)</f>
        <v>0</v>
      </c>
      <c r="P724" s="16">
        <f>SUMIFS([0]!VOTOS2,[0]!TURNO1,P$31,[0]!CANDIDATO1,$C724,[0]!MUNICIPIO1,$B$722)</f>
        <v>0</v>
      </c>
      <c r="Q724" s="16">
        <f>SUMIFS([0]!VOTOS2,[0]!TURNO1,Q$31,[0]!CANDIDATO1,$C724,[0]!MUNICIPIO1,$B$722)</f>
        <v>0</v>
      </c>
      <c r="R724" s="16">
        <f>SUMIFS([0]!VOTOS2,[0]!TURNO1,R$31,[0]!CANDIDATO1,$C724,[0]!MUNICIPIO1,$B$722)</f>
        <v>0</v>
      </c>
      <c r="S724" s="16">
        <f>SUMIFS([0]!VOTOS2,[0]!TURNO1,S$31,[0]!CANDIDATO1,$C724,[0]!MUNICIPIO1,$B$722)</f>
        <v>0</v>
      </c>
      <c r="T724" s="16">
        <f>SUMIFS([0]!VOTOS2,[0]!TURNO1,T$31,[0]!CANDIDATO1,$C724,[0]!MUNICIPIO1,$B$722)</f>
        <v>0</v>
      </c>
      <c r="U724" s="16">
        <f>SUMIFS([0]!VOTOS2,[0]!TURNO1,U$31,[0]!CANDIDATO1,$C724,[0]!MUNICIPIO1,$B$722)</f>
        <v>0</v>
      </c>
      <c r="V724" s="16">
        <f>SUMIFS([0]!VOTOS2,[0]!TURNO1,V$31,[0]!CANDIDATO1,$C724,[0]!MUNICIPIO1,$B$722)</f>
        <v>0</v>
      </c>
      <c r="W724" s="16">
        <f>SUMIFS([0]!VOTOS2,[0]!TURNO1,W$31,[0]!CANDIDATO1,$C724,[0]!MUNICIPIO1,$B$722)</f>
        <v>0</v>
      </c>
      <c r="X724" s="24"/>
      <c r="Y724" s="18" t="str">
        <f t="shared" si="1710"/>
        <v>GOLFREDO DAVILA</v>
      </c>
      <c r="Z724" s="34">
        <f t="shared" si="1711"/>
        <v>5</v>
      </c>
      <c r="AA724" s="34">
        <f t="shared" si="1712"/>
        <v>0</v>
      </c>
      <c r="AB724" s="34" t="e">
        <f t="shared" ref="AB724:AR724" si="1718">IF(SUM(G722:G734)=0,NA(),G724+AA724)</f>
        <v>#N/A</v>
      </c>
      <c r="AC724" s="34" t="e">
        <f t="shared" si="1718"/>
        <v>#N/A</v>
      </c>
      <c r="AD724" s="34" t="e">
        <f t="shared" si="1718"/>
        <v>#N/A</v>
      </c>
      <c r="AE724" s="34" t="e">
        <f t="shared" si="1718"/>
        <v>#N/A</v>
      </c>
      <c r="AF724" s="34" t="e">
        <f t="shared" si="1718"/>
        <v>#N/A</v>
      </c>
      <c r="AG724" s="34" t="e">
        <f t="shared" si="1718"/>
        <v>#N/A</v>
      </c>
      <c r="AH724" s="34" t="e">
        <f t="shared" si="1718"/>
        <v>#N/A</v>
      </c>
      <c r="AI724" s="34" t="e">
        <f t="shared" si="1718"/>
        <v>#N/A</v>
      </c>
      <c r="AJ724" s="34" t="e">
        <f t="shared" si="1718"/>
        <v>#N/A</v>
      </c>
      <c r="AK724" s="34" t="e">
        <f t="shared" si="1718"/>
        <v>#N/A</v>
      </c>
      <c r="AL724" s="34" t="e">
        <f t="shared" si="1718"/>
        <v>#N/A</v>
      </c>
      <c r="AM724" s="34" t="e">
        <f t="shared" si="1718"/>
        <v>#N/A</v>
      </c>
      <c r="AN724" s="34" t="e">
        <f t="shared" si="1718"/>
        <v>#N/A</v>
      </c>
      <c r="AO724" s="34" t="e">
        <f t="shared" si="1718"/>
        <v>#N/A</v>
      </c>
      <c r="AP724" s="34" t="e">
        <f t="shared" si="1718"/>
        <v>#N/A</v>
      </c>
      <c r="AQ724" s="34" t="e">
        <f t="shared" si="1718"/>
        <v>#N/A</v>
      </c>
      <c r="AR724" s="34" t="e">
        <f t="shared" si="1718"/>
        <v>#N/A</v>
      </c>
      <c r="AS724" s="27"/>
      <c r="AT724" s="35" t="str">
        <f t="shared" ref="AT724" si="1719">Y735</f>
        <v>Otros</v>
      </c>
      <c r="AU724" s="36">
        <f t="shared" ref="AU724:BM724" si="1720">Z735/(Z722+Z723+Z735)</f>
        <v>0.2</v>
      </c>
      <c r="AV724" s="36">
        <f t="shared" si="1720"/>
        <v>0</v>
      </c>
      <c r="AW724" s="36" t="e">
        <f t="shared" si="1720"/>
        <v>#N/A</v>
      </c>
      <c r="AX724" s="36" t="e">
        <f t="shared" si="1720"/>
        <v>#N/A</v>
      </c>
      <c r="AY724" s="36" t="e">
        <f t="shared" si="1720"/>
        <v>#N/A</v>
      </c>
      <c r="AZ724" s="36" t="e">
        <f t="shared" si="1720"/>
        <v>#N/A</v>
      </c>
      <c r="BA724" s="36" t="e">
        <f t="shared" si="1720"/>
        <v>#N/A</v>
      </c>
      <c r="BB724" s="36" t="e">
        <f t="shared" si="1720"/>
        <v>#N/A</v>
      </c>
      <c r="BC724" s="36" t="e">
        <f t="shared" si="1720"/>
        <v>#N/A</v>
      </c>
      <c r="BD724" s="36" t="e">
        <f t="shared" si="1720"/>
        <v>#N/A</v>
      </c>
      <c r="BE724" s="36" t="e">
        <f t="shared" si="1720"/>
        <v>#N/A</v>
      </c>
      <c r="BF724" s="36" t="e">
        <f t="shared" si="1720"/>
        <v>#N/A</v>
      </c>
      <c r="BG724" s="36" t="e">
        <f t="shared" si="1720"/>
        <v>#N/A</v>
      </c>
      <c r="BH724" s="36" t="e">
        <f t="shared" si="1720"/>
        <v>#N/A</v>
      </c>
      <c r="BI724" s="36" t="e">
        <f t="shared" si="1720"/>
        <v>#N/A</v>
      </c>
      <c r="BJ724" s="36" t="e">
        <f t="shared" si="1720"/>
        <v>#N/A</v>
      </c>
      <c r="BK724" s="36" t="e">
        <f t="shared" si="1720"/>
        <v>#N/A</v>
      </c>
      <c r="BL724" s="36" t="e">
        <f t="shared" si="1720"/>
        <v>#N/A</v>
      </c>
      <c r="BM724" s="36" t="e">
        <f t="shared" si="1720"/>
        <v>#N/A</v>
      </c>
      <c r="BN724" s="30"/>
    </row>
    <row r="725" spans="1:66" ht="11.25" customHeight="1" x14ac:dyDescent="0.2">
      <c r="A725" s="38" t="s">
        <v>54</v>
      </c>
      <c r="B725" s="73"/>
      <c r="C725" s="33">
        <v>4</v>
      </c>
      <c r="D725" s="13" t="s">
        <v>463</v>
      </c>
      <c r="E725" s="16">
        <f t="shared" si="1709"/>
        <v>2</v>
      </c>
      <c r="F725" s="16">
        <f>SUMIFS([0]!VOTOS2,[0]!TURNO1,F$31,[0]!CANDIDATO1,$C725,[0]!MUNICIPIO1,$B$722)</f>
        <v>0</v>
      </c>
      <c r="G725" s="16">
        <f>SUMIFS([0]!VOTOS2,[0]!TURNO1,G$31,[0]!CANDIDATO1,$C725,[0]!MUNICIPIO1,$B$722)</f>
        <v>0</v>
      </c>
      <c r="H725" s="16">
        <f>SUMIFS([0]!VOTOS2,[0]!TURNO1,H$31,[0]!CANDIDATO1,$C725,[0]!MUNICIPIO1,$B$722)</f>
        <v>0</v>
      </c>
      <c r="I725" s="16">
        <f>SUMIFS([0]!VOTOS2,[0]!TURNO1,I$31,[0]!CANDIDATO1,$C725,[0]!MUNICIPIO1,$B$722)</f>
        <v>0</v>
      </c>
      <c r="J725" s="16">
        <f>SUMIFS([0]!VOTOS2,[0]!TURNO1,J$31,[0]!CANDIDATO1,$C725,[0]!MUNICIPIO1,$B$722)</f>
        <v>0</v>
      </c>
      <c r="K725" s="16">
        <f>SUMIFS([0]!VOTOS2,[0]!TURNO1,K$31,[0]!CANDIDATO1,$C725,[0]!MUNICIPIO1,$B$722)</f>
        <v>0</v>
      </c>
      <c r="L725" s="16">
        <f>SUMIFS([0]!VOTOS2,[0]!TURNO1,L$31,[0]!CANDIDATO1,$C725,[0]!MUNICIPIO1,$B$722)</f>
        <v>0</v>
      </c>
      <c r="M725" s="16">
        <f>SUMIFS([0]!VOTOS2,[0]!TURNO1,M$31,[0]!CANDIDATO1,$C725,[0]!MUNICIPIO1,$B$722)</f>
        <v>2</v>
      </c>
      <c r="N725" s="16">
        <f>SUMIFS([0]!VOTOS2,[0]!TURNO1,N$31,[0]!CANDIDATO1,$C725,[0]!MUNICIPIO1,$B$722)</f>
        <v>0</v>
      </c>
      <c r="O725" s="16">
        <f>SUMIFS([0]!VOTOS2,[0]!TURNO1,O$31,[0]!CANDIDATO1,$C725,[0]!MUNICIPIO1,$B$722)</f>
        <v>0</v>
      </c>
      <c r="P725" s="16">
        <f>SUMIFS([0]!VOTOS2,[0]!TURNO1,P$31,[0]!CANDIDATO1,$C725,[0]!MUNICIPIO1,$B$722)</f>
        <v>0</v>
      </c>
      <c r="Q725" s="16">
        <f>SUMIFS([0]!VOTOS2,[0]!TURNO1,Q$31,[0]!CANDIDATO1,$C725,[0]!MUNICIPIO1,$B$722)</f>
        <v>0</v>
      </c>
      <c r="R725" s="16">
        <f>SUMIFS([0]!VOTOS2,[0]!TURNO1,R$31,[0]!CANDIDATO1,$C725,[0]!MUNICIPIO1,$B$722)</f>
        <v>0</v>
      </c>
      <c r="S725" s="16">
        <f>SUMIFS([0]!VOTOS2,[0]!TURNO1,S$31,[0]!CANDIDATO1,$C725,[0]!MUNICIPIO1,$B$722)</f>
        <v>0</v>
      </c>
      <c r="T725" s="16">
        <f>SUMIFS([0]!VOTOS2,[0]!TURNO1,T$31,[0]!CANDIDATO1,$C725,[0]!MUNICIPIO1,$B$722)</f>
        <v>0</v>
      </c>
      <c r="U725" s="16">
        <f>SUMIFS([0]!VOTOS2,[0]!TURNO1,U$31,[0]!CANDIDATO1,$C725,[0]!MUNICIPIO1,$B$722)</f>
        <v>0</v>
      </c>
      <c r="V725" s="16">
        <f>SUMIFS([0]!VOTOS2,[0]!TURNO1,V$31,[0]!CANDIDATO1,$C725,[0]!MUNICIPIO1,$B$722)</f>
        <v>0</v>
      </c>
      <c r="W725" s="16">
        <f>SUMIFS([0]!VOTOS2,[0]!TURNO1,W$31,[0]!CANDIDATO1,$C725,[0]!MUNICIPIO1,$B$722)</f>
        <v>0</v>
      </c>
      <c r="X725" s="24"/>
      <c r="Y725" s="18" t="str">
        <f t="shared" si="1710"/>
        <v>JOSE PERNIA</v>
      </c>
      <c r="Z725" s="34">
        <f t="shared" si="1711"/>
        <v>2</v>
      </c>
      <c r="AA725" s="34">
        <f t="shared" si="1712"/>
        <v>0</v>
      </c>
      <c r="AB725" s="34" t="e">
        <f t="shared" ref="AB725:AR725" si="1721">IF(SUM(G722:G734)=0,NA(),G725+AA725)</f>
        <v>#N/A</v>
      </c>
      <c r="AC725" s="34" t="e">
        <f t="shared" si="1721"/>
        <v>#N/A</v>
      </c>
      <c r="AD725" s="34" t="e">
        <f t="shared" si="1721"/>
        <v>#N/A</v>
      </c>
      <c r="AE725" s="34" t="e">
        <f t="shared" si="1721"/>
        <v>#N/A</v>
      </c>
      <c r="AF725" s="34" t="e">
        <f t="shared" si="1721"/>
        <v>#N/A</v>
      </c>
      <c r="AG725" s="34" t="e">
        <f t="shared" si="1721"/>
        <v>#N/A</v>
      </c>
      <c r="AH725" s="34" t="e">
        <f t="shared" si="1721"/>
        <v>#N/A</v>
      </c>
      <c r="AI725" s="34" t="e">
        <f t="shared" si="1721"/>
        <v>#N/A</v>
      </c>
      <c r="AJ725" s="34" t="e">
        <f t="shared" si="1721"/>
        <v>#N/A</v>
      </c>
      <c r="AK725" s="34" t="e">
        <f t="shared" si="1721"/>
        <v>#N/A</v>
      </c>
      <c r="AL725" s="34" t="e">
        <f t="shared" si="1721"/>
        <v>#N/A</v>
      </c>
      <c r="AM725" s="34" t="e">
        <f t="shared" si="1721"/>
        <v>#N/A</v>
      </c>
      <c r="AN725" s="34" t="e">
        <f t="shared" si="1721"/>
        <v>#N/A</v>
      </c>
      <c r="AO725" s="34" t="e">
        <f t="shared" si="1721"/>
        <v>#N/A</v>
      </c>
      <c r="AP725" s="34" t="e">
        <f t="shared" si="1721"/>
        <v>#N/A</v>
      </c>
      <c r="AQ725" s="34" t="e">
        <f t="shared" si="1721"/>
        <v>#N/A</v>
      </c>
      <c r="AR725" s="34" t="e">
        <f t="shared" si="1721"/>
        <v>#N/A</v>
      </c>
      <c r="AS725" s="27"/>
      <c r="AT725" s="39"/>
      <c r="AU725" s="39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30"/>
    </row>
    <row r="726" spans="1:66" ht="11.25" customHeight="1" x14ac:dyDescent="0.2">
      <c r="A726" s="38" t="s">
        <v>58</v>
      </c>
      <c r="B726" s="73"/>
      <c r="C726" s="33">
        <v>5</v>
      </c>
      <c r="D726" s="13" t="s">
        <v>464</v>
      </c>
      <c r="E726" s="16">
        <f t="shared" si="1709"/>
        <v>8</v>
      </c>
      <c r="F726" s="16">
        <f>SUMIFS([0]!VOTOS2,[0]!TURNO1,F$31,[0]!CANDIDATO1,$C726,[0]!MUNICIPIO1,$B$722)</f>
        <v>0</v>
      </c>
      <c r="G726" s="16">
        <f>SUMIFS([0]!VOTOS2,[0]!TURNO1,G$31,[0]!CANDIDATO1,$C726,[0]!MUNICIPIO1,$B$722)</f>
        <v>0</v>
      </c>
      <c r="H726" s="16">
        <f>SUMIFS([0]!VOTOS2,[0]!TURNO1,H$31,[0]!CANDIDATO1,$C726,[0]!MUNICIPIO1,$B$722)</f>
        <v>0</v>
      </c>
      <c r="I726" s="16">
        <f>SUMIFS([0]!VOTOS2,[0]!TURNO1,I$31,[0]!CANDIDATO1,$C726,[0]!MUNICIPIO1,$B$722)</f>
        <v>0</v>
      </c>
      <c r="J726" s="16">
        <f>SUMIFS([0]!VOTOS2,[0]!TURNO1,J$31,[0]!CANDIDATO1,$C726,[0]!MUNICIPIO1,$B$722)</f>
        <v>0</v>
      </c>
      <c r="K726" s="16">
        <f>SUMIFS([0]!VOTOS2,[0]!TURNO1,K$31,[0]!CANDIDATO1,$C726,[0]!MUNICIPIO1,$B$722)</f>
        <v>0</v>
      </c>
      <c r="L726" s="16">
        <f>SUMIFS([0]!VOTOS2,[0]!TURNO1,L$31,[0]!CANDIDATO1,$C726,[0]!MUNICIPIO1,$B$722)</f>
        <v>0</v>
      </c>
      <c r="M726" s="16">
        <f>SUMIFS([0]!VOTOS2,[0]!TURNO1,M$31,[0]!CANDIDATO1,$C726,[0]!MUNICIPIO1,$B$722)</f>
        <v>8</v>
      </c>
      <c r="N726" s="16">
        <f>SUMIFS([0]!VOTOS2,[0]!TURNO1,N$31,[0]!CANDIDATO1,$C726,[0]!MUNICIPIO1,$B$722)</f>
        <v>0</v>
      </c>
      <c r="O726" s="16">
        <f>SUMIFS([0]!VOTOS2,[0]!TURNO1,O$31,[0]!CANDIDATO1,$C726,[0]!MUNICIPIO1,$B$722)</f>
        <v>0</v>
      </c>
      <c r="P726" s="16">
        <f>SUMIFS([0]!VOTOS2,[0]!TURNO1,P$31,[0]!CANDIDATO1,$C726,[0]!MUNICIPIO1,$B$722)</f>
        <v>0</v>
      </c>
      <c r="Q726" s="16">
        <f>SUMIFS([0]!VOTOS2,[0]!TURNO1,Q$31,[0]!CANDIDATO1,$C726,[0]!MUNICIPIO1,$B$722)</f>
        <v>0</v>
      </c>
      <c r="R726" s="16">
        <f>SUMIFS([0]!VOTOS2,[0]!TURNO1,R$31,[0]!CANDIDATO1,$C726,[0]!MUNICIPIO1,$B$722)</f>
        <v>0</v>
      </c>
      <c r="S726" s="16">
        <f>SUMIFS([0]!VOTOS2,[0]!TURNO1,S$31,[0]!CANDIDATO1,$C726,[0]!MUNICIPIO1,$B$722)</f>
        <v>0</v>
      </c>
      <c r="T726" s="16">
        <f>SUMIFS([0]!VOTOS2,[0]!TURNO1,T$31,[0]!CANDIDATO1,$C726,[0]!MUNICIPIO1,$B$722)</f>
        <v>0</v>
      </c>
      <c r="U726" s="16">
        <f>SUMIFS([0]!VOTOS2,[0]!TURNO1,U$31,[0]!CANDIDATO1,$C726,[0]!MUNICIPIO1,$B$722)</f>
        <v>0</v>
      </c>
      <c r="V726" s="16">
        <f>SUMIFS([0]!VOTOS2,[0]!TURNO1,V$31,[0]!CANDIDATO1,$C726,[0]!MUNICIPIO1,$B$722)</f>
        <v>0</v>
      </c>
      <c r="W726" s="16">
        <f>SUMIFS([0]!VOTOS2,[0]!TURNO1,W$31,[0]!CANDIDATO1,$C726,[0]!MUNICIPIO1,$B$722)</f>
        <v>0</v>
      </c>
      <c r="X726" s="24"/>
      <c r="Y726" s="18" t="str">
        <f t="shared" si="1710"/>
        <v>EDGAR LUZARDO</v>
      </c>
      <c r="Z726" s="34">
        <f t="shared" si="1711"/>
        <v>8</v>
      </c>
      <c r="AA726" s="34">
        <f t="shared" si="1712"/>
        <v>0</v>
      </c>
      <c r="AB726" s="34" t="e">
        <f t="shared" ref="AB726:AR726" si="1722">IF(SUM(G722:G734)=0,NA(),G726+AA726)</f>
        <v>#N/A</v>
      </c>
      <c r="AC726" s="34" t="e">
        <f t="shared" si="1722"/>
        <v>#N/A</v>
      </c>
      <c r="AD726" s="34" t="e">
        <f t="shared" si="1722"/>
        <v>#N/A</v>
      </c>
      <c r="AE726" s="34" t="e">
        <f t="shared" si="1722"/>
        <v>#N/A</v>
      </c>
      <c r="AF726" s="34" t="e">
        <f t="shared" si="1722"/>
        <v>#N/A</v>
      </c>
      <c r="AG726" s="34" t="e">
        <f t="shared" si="1722"/>
        <v>#N/A</v>
      </c>
      <c r="AH726" s="34" t="e">
        <f t="shared" si="1722"/>
        <v>#N/A</v>
      </c>
      <c r="AI726" s="34" t="e">
        <f t="shared" si="1722"/>
        <v>#N/A</v>
      </c>
      <c r="AJ726" s="34" t="e">
        <f t="shared" si="1722"/>
        <v>#N/A</v>
      </c>
      <c r="AK726" s="34" t="e">
        <f t="shared" si="1722"/>
        <v>#N/A</v>
      </c>
      <c r="AL726" s="34" t="e">
        <f t="shared" si="1722"/>
        <v>#N/A</v>
      </c>
      <c r="AM726" s="34" t="e">
        <f t="shared" si="1722"/>
        <v>#N/A</v>
      </c>
      <c r="AN726" s="34" t="e">
        <f t="shared" si="1722"/>
        <v>#N/A</v>
      </c>
      <c r="AO726" s="34" t="e">
        <f t="shared" si="1722"/>
        <v>#N/A</v>
      </c>
      <c r="AP726" s="34" t="e">
        <f t="shared" si="1722"/>
        <v>#N/A</v>
      </c>
      <c r="AQ726" s="34" t="e">
        <f t="shared" si="1722"/>
        <v>#N/A</v>
      </c>
      <c r="AR726" s="34" t="e">
        <f t="shared" si="1722"/>
        <v>#N/A</v>
      </c>
      <c r="AS726" s="27"/>
      <c r="AT726" s="39"/>
      <c r="AU726" s="39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30"/>
    </row>
    <row r="727" spans="1:66" ht="11.25" customHeight="1" x14ac:dyDescent="0.2">
      <c r="A727" s="37"/>
      <c r="B727" s="73"/>
      <c r="C727" s="33">
        <v>6</v>
      </c>
      <c r="D727" s="13" t="s">
        <v>465</v>
      </c>
      <c r="E727" s="16">
        <f t="shared" si="1709"/>
        <v>0</v>
      </c>
      <c r="F727" s="16">
        <f>SUMIFS([0]!VOTOS2,[0]!TURNO1,F$31,[0]!CANDIDATO1,$C727,[0]!MUNICIPIO1,$B$722)</f>
        <v>0</v>
      </c>
      <c r="G727" s="16">
        <f>SUMIFS([0]!VOTOS2,[0]!TURNO1,G$31,[0]!CANDIDATO1,$C727,[0]!MUNICIPIO1,$B$722)</f>
        <v>0</v>
      </c>
      <c r="H727" s="16">
        <f>SUMIFS([0]!VOTOS2,[0]!TURNO1,H$31,[0]!CANDIDATO1,$C727,[0]!MUNICIPIO1,$B$722)</f>
        <v>0</v>
      </c>
      <c r="I727" s="16">
        <f>SUMIFS([0]!VOTOS2,[0]!TURNO1,I$31,[0]!CANDIDATO1,$C727,[0]!MUNICIPIO1,$B$722)</f>
        <v>0</v>
      </c>
      <c r="J727" s="16">
        <f>SUMIFS([0]!VOTOS2,[0]!TURNO1,J$31,[0]!CANDIDATO1,$C727,[0]!MUNICIPIO1,$B$722)</f>
        <v>0</v>
      </c>
      <c r="K727" s="16">
        <f>SUMIFS([0]!VOTOS2,[0]!TURNO1,K$31,[0]!CANDIDATO1,$C727,[0]!MUNICIPIO1,$B$722)</f>
        <v>0</v>
      </c>
      <c r="L727" s="16">
        <f>SUMIFS([0]!VOTOS2,[0]!TURNO1,L$31,[0]!CANDIDATO1,$C727,[0]!MUNICIPIO1,$B$722)</f>
        <v>0</v>
      </c>
      <c r="M727" s="16">
        <f>SUMIFS([0]!VOTOS2,[0]!TURNO1,M$31,[0]!CANDIDATO1,$C727,[0]!MUNICIPIO1,$B$722)</f>
        <v>0</v>
      </c>
      <c r="N727" s="16">
        <f>SUMIFS([0]!VOTOS2,[0]!TURNO1,N$31,[0]!CANDIDATO1,$C727,[0]!MUNICIPIO1,$B$722)</f>
        <v>0</v>
      </c>
      <c r="O727" s="16">
        <f>SUMIFS([0]!VOTOS2,[0]!TURNO1,O$31,[0]!CANDIDATO1,$C727,[0]!MUNICIPIO1,$B$722)</f>
        <v>0</v>
      </c>
      <c r="P727" s="16">
        <f>SUMIFS([0]!VOTOS2,[0]!TURNO1,P$31,[0]!CANDIDATO1,$C727,[0]!MUNICIPIO1,$B$722)</f>
        <v>0</v>
      </c>
      <c r="Q727" s="16">
        <f>SUMIFS([0]!VOTOS2,[0]!TURNO1,Q$31,[0]!CANDIDATO1,$C727,[0]!MUNICIPIO1,$B$722)</f>
        <v>0</v>
      </c>
      <c r="R727" s="16">
        <f>SUMIFS([0]!VOTOS2,[0]!TURNO1,R$31,[0]!CANDIDATO1,$C727,[0]!MUNICIPIO1,$B$722)</f>
        <v>0</v>
      </c>
      <c r="S727" s="16">
        <f>SUMIFS([0]!VOTOS2,[0]!TURNO1,S$31,[0]!CANDIDATO1,$C727,[0]!MUNICIPIO1,$B$722)</f>
        <v>0</v>
      </c>
      <c r="T727" s="16">
        <f>SUMIFS([0]!VOTOS2,[0]!TURNO1,T$31,[0]!CANDIDATO1,$C727,[0]!MUNICIPIO1,$B$722)</f>
        <v>0</v>
      </c>
      <c r="U727" s="16">
        <f>SUMIFS([0]!VOTOS2,[0]!TURNO1,U$31,[0]!CANDIDATO1,$C727,[0]!MUNICIPIO1,$B$722)</f>
        <v>0</v>
      </c>
      <c r="V727" s="16">
        <f>SUMIFS([0]!VOTOS2,[0]!TURNO1,V$31,[0]!CANDIDATO1,$C727,[0]!MUNICIPIO1,$B$722)</f>
        <v>0</v>
      </c>
      <c r="W727" s="16">
        <f>SUMIFS([0]!VOTOS2,[0]!TURNO1,W$31,[0]!CANDIDATO1,$C727,[0]!MUNICIPIO1,$B$722)</f>
        <v>0</v>
      </c>
      <c r="X727" s="24"/>
      <c r="Y727" s="18" t="str">
        <f t="shared" si="1710"/>
        <v>MARIA BOLIVAR</v>
      </c>
      <c r="Z727" s="34">
        <f t="shared" si="1711"/>
        <v>0</v>
      </c>
      <c r="AA727" s="34">
        <f t="shared" si="1712"/>
        <v>0</v>
      </c>
      <c r="AB727" s="34" t="e">
        <f t="shared" ref="AB727:AR727" si="1723">IF(SUM(G722:G734)=0,NA(),G727+AA727)</f>
        <v>#N/A</v>
      </c>
      <c r="AC727" s="34" t="e">
        <f t="shared" si="1723"/>
        <v>#N/A</v>
      </c>
      <c r="AD727" s="34" t="e">
        <f t="shared" si="1723"/>
        <v>#N/A</v>
      </c>
      <c r="AE727" s="34" t="e">
        <f t="shared" si="1723"/>
        <v>#N/A</v>
      </c>
      <c r="AF727" s="34" t="e">
        <f t="shared" si="1723"/>
        <v>#N/A</v>
      </c>
      <c r="AG727" s="34" t="e">
        <f t="shared" si="1723"/>
        <v>#N/A</v>
      </c>
      <c r="AH727" s="34" t="e">
        <f t="shared" si="1723"/>
        <v>#N/A</v>
      </c>
      <c r="AI727" s="34" t="e">
        <f t="shared" si="1723"/>
        <v>#N/A</v>
      </c>
      <c r="AJ727" s="34" t="e">
        <f t="shared" si="1723"/>
        <v>#N/A</v>
      </c>
      <c r="AK727" s="34" t="e">
        <f t="shared" si="1723"/>
        <v>#N/A</v>
      </c>
      <c r="AL727" s="34" t="e">
        <f t="shared" si="1723"/>
        <v>#N/A</v>
      </c>
      <c r="AM727" s="34" t="e">
        <f t="shared" si="1723"/>
        <v>#N/A</v>
      </c>
      <c r="AN727" s="34" t="e">
        <f t="shared" si="1723"/>
        <v>#N/A</v>
      </c>
      <c r="AO727" s="34" t="e">
        <f t="shared" si="1723"/>
        <v>#N/A</v>
      </c>
      <c r="AP727" s="34" t="e">
        <f t="shared" si="1723"/>
        <v>#N/A</v>
      </c>
      <c r="AQ727" s="34" t="e">
        <f t="shared" si="1723"/>
        <v>#N/A</v>
      </c>
      <c r="AR727" s="34" t="e">
        <f t="shared" si="1723"/>
        <v>#N/A</v>
      </c>
      <c r="AS727" s="27"/>
      <c r="AT727" s="39"/>
      <c r="AU727" s="39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30"/>
    </row>
    <row r="728" spans="1:66" ht="11.25" customHeight="1" x14ac:dyDescent="0.2">
      <c r="A728" s="37"/>
      <c r="B728" s="73"/>
      <c r="C728" s="33">
        <v>7</v>
      </c>
      <c r="D728" s="13" t="s">
        <v>466</v>
      </c>
      <c r="E728" s="16">
        <f t="shared" si="1709"/>
        <v>3</v>
      </c>
      <c r="F728" s="16">
        <f>SUMIFS([0]!VOTOS2,[0]!TURNO1,F$31,[0]!CANDIDATO1,$C728,[0]!MUNICIPIO1,$B$722)</f>
        <v>0</v>
      </c>
      <c r="G728" s="16">
        <f>SUMIFS([0]!VOTOS2,[0]!TURNO1,G$31,[0]!CANDIDATO1,$C728,[0]!MUNICIPIO1,$B$722)</f>
        <v>0</v>
      </c>
      <c r="H728" s="16">
        <f>SUMIFS([0]!VOTOS2,[0]!TURNO1,H$31,[0]!CANDIDATO1,$C728,[0]!MUNICIPIO1,$B$722)</f>
        <v>0</v>
      </c>
      <c r="I728" s="16">
        <f>SUMIFS([0]!VOTOS2,[0]!TURNO1,I$31,[0]!CANDIDATO1,$C728,[0]!MUNICIPIO1,$B$722)</f>
        <v>0</v>
      </c>
      <c r="J728" s="16">
        <f>SUMIFS([0]!VOTOS2,[0]!TURNO1,J$31,[0]!CANDIDATO1,$C728,[0]!MUNICIPIO1,$B$722)</f>
        <v>0</v>
      </c>
      <c r="K728" s="16">
        <f>SUMIFS([0]!VOTOS2,[0]!TURNO1,K$31,[0]!CANDIDATO1,$C728,[0]!MUNICIPIO1,$B$722)</f>
        <v>0</v>
      </c>
      <c r="L728" s="16">
        <f>SUMIFS([0]!VOTOS2,[0]!TURNO1,L$31,[0]!CANDIDATO1,$C728,[0]!MUNICIPIO1,$B$722)</f>
        <v>0</v>
      </c>
      <c r="M728" s="16">
        <f>SUMIFS([0]!VOTOS2,[0]!TURNO1,M$31,[0]!CANDIDATO1,$C728,[0]!MUNICIPIO1,$B$722)</f>
        <v>3</v>
      </c>
      <c r="N728" s="16">
        <f>SUMIFS([0]!VOTOS2,[0]!TURNO1,N$31,[0]!CANDIDATO1,$C728,[0]!MUNICIPIO1,$B$722)</f>
        <v>0</v>
      </c>
      <c r="O728" s="16">
        <f>SUMIFS([0]!VOTOS2,[0]!TURNO1,O$31,[0]!CANDIDATO1,$C728,[0]!MUNICIPIO1,$B$722)</f>
        <v>0</v>
      </c>
      <c r="P728" s="16">
        <f>SUMIFS([0]!VOTOS2,[0]!TURNO1,P$31,[0]!CANDIDATO1,$C728,[0]!MUNICIPIO1,$B$722)</f>
        <v>0</v>
      </c>
      <c r="Q728" s="16">
        <f>SUMIFS([0]!VOTOS2,[0]!TURNO1,Q$31,[0]!CANDIDATO1,$C728,[0]!MUNICIPIO1,$B$722)</f>
        <v>0</v>
      </c>
      <c r="R728" s="16">
        <f>SUMIFS([0]!VOTOS2,[0]!TURNO1,R$31,[0]!CANDIDATO1,$C728,[0]!MUNICIPIO1,$B$722)</f>
        <v>0</v>
      </c>
      <c r="S728" s="16">
        <f>SUMIFS([0]!VOTOS2,[0]!TURNO1,S$31,[0]!CANDIDATO1,$C728,[0]!MUNICIPIO1,$B$722)</f>
        <v>0</v>
      </c>
      <c r="T728" s="16">
        <f>SUMIFS([0]!VOTOS2,[0]!TURNO1,T$31,[0]!CANDIDATO1,$C728,[0]!MUNICIPIO1,$B$722)</f>
        <v>0</v>
      </c>
      <c r="U728" s="16">
        <f>SUMIFS([0]!VOTOS2,[0]!TURNO1,U$31,[0]!CANDIDATO1,$C728,[0]!MUNICIPIO1,$B$722)</f>
        <v>0</v>
      </c>
      <c r="V728" s="16">
        <f>SUMIFS([0]!VOTOS2,[0]!TURNO1,V$31,[0]!CANDIDATO1,$C728,[0]!MUNICIPIO1,$B$722)</f>
        <v>0</v>
      </c>
      <c r="W728" s="16">
        <f>SUMIFS([0]!VOTOS2,[0]!TURNO1,W$31,[0]!CANDIDATO1,$C728,[0]!MUNICIPIO1,$B$722)</f>
        <v>0</v>
      </c>
      <c r="X728" s="24"/>
      <c r="Y728" s="18" t="str">
        <f t="shared" si="1710"/>
        <v>NESTOR SUAREZ</v>
      </c>
      <c r="Z728" s="34">
        <f t="shared" si="1711"/>
        <v>3</v>
      </c>
      <c r="AA728" s="34">
        <f t="shared" si="1712"/>
        <v>0</v>
      </c>
      <c r="AB728" s="34" t="e">
        <f t="shared" ref="AB728:AR728" si="1724">IF(SUM(G722:G734)=0,NA(),G728+AA728)</f>
        <v>#N/A</v>
      </c>
      <c r="AC728" s="34" t="e">
        <f t="shared" si="1724"/>
        <v>#N/A</v>
      </c>
      <c r="AD728" s="34" t="e">
        <f t="shared" si="1724"/>
        <v>#N/A</v>
      </c>
      <c r="AE728" s="34" t="e">
        <f t="shared" si="1724"/>
        <v>#N/A</v>
      </c>
      <c r="AF728" s="34" t="e">
        <f t="shared" si="1724"/>
        <v>#N/A</v>
      </c>
      <c r="AG728" s="34" t="e">
        <f t="shared" si="1724"/>
        <v>#N/A</v>
      </c>
      <c r="AH728" s="34" t="e">
        <f t="shared" si="1724"/>
        <v>#N/A</v>
      </c>
      <c r="AI728" s="34" t="e">
        <f t="shared" si="1724"/>
        <v>#N/A</v>
      </c>
      <c r="AJ728" s="34" t="e">
        <f t="shared" si="1724"/>
        <v>#N/A</v>
      </c>
      <c r="AK728" s="34" t="e">
        <f t="shared" si="1724"/>
        <v>#N/A</v>
      </c>
      <c r="AL728" s="34" t="e">
        <f t="shared" si="1724"/>
        <v>#N/A</v>
      </c>
      <c r="AM728" s="34" t="e">
        <f t="shared" si="1724"/>
        <v>#N/A</v>
      </c>
      <c r="AN728" s="34" t="e">
        <f t="shared" si="1724"/>
        <v>#N/A</v>
      </c>
      <c r="AO728" s="34" t="e">
        <f t="shared" si="1724"/>
        <v>#N/A</v>
      </c>
      <c r="AP728" s="34" t="e">
        <f t="shared" si="1724"/>
        <v>#N/A</v>
      </c>
      <c r="AQ728" s="34" t="e">
        <f t="shared" si="1724"/>
        <v>#N/A</v>
      </c>
      <c r="AR728" s="34" t="e">
        <f t="shared" si="1724"/>
        <v>#N/A</v>
      </c>
      <c r="AS728" s="27"/>
      <c r="AT728" s="39"/>
      <c r="AU728" s="39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30"/>
    </row>
    <row r="729" spans="1:66" ht="11.25" customHeight="1" x14ac:dyDescent="0.2">
      <c r="A729" s="37"/>
      <c r="B729" s="73"/>
      <c r="C729" s="33">
        <v>8</v>
      </c>
      <c r="D729" s="13" t="s">
        <v>467</v>
      </c>
      <c r="E729" s="16">
        <f t="shared" si="1709"/>
        <v>0</v>
      </c>
      <c r="F729" s="16">
        <f>SUMIFS([0]!VOTOS2,[0]!TURNO1,F$31,[0]!CANDIDATO1,$C729,[0]!MUNICIPIO1,$B$722)</f>
        <v>0</v>
      </c>
      <c r="G729" s="16">
        <f>SUMIFS([0]!VOTOS2,[0]!TURNO1,G$31,[0]!CANDIDATO1,$C729,[0]!MUNICIPIO1,$B$722)</f>
        <v>0</v>
      </c>
      <c r="H729" s="16">
        <f>SUMIFS([0]!VOTOS2,[0]!TURNO1,H$31,[0]!CANDIDATO1,$C729,[0]!MUNICIPIO1,$B$722)</f>
        <v>0</v>
      </c>
      <c r="I729" s="16">
        <f>SUMIFS([0]!VOTOS2,[0]!TURNO1,I$31,[0]!CANDIDATO1,$C729,[0]!MUNICIPIO1,$B$722)</f>
        <v>0</v>
      </c>
      <c r="J729" s="16">
        <f>SUMIFS([0]!VOTOS2,[0]!TURNO1,J$31,[0]!CANDIDATO1,$C729,[0]!MUNICIPIO1,$B$722)</f>
        <v>0</v>
      </c>
      <c r="K729" s="16">
        <f>SUMIFS([0]!VOTOS2,[0]!TURNO1,K$31,[0]!CANDIDATO1,$C729,[0]!MUNICIPIO1,$B$722)</f>
        <v>0</v>
      </c>
      <c r="L729" s="16">
        <f>SUMIFS([0]!VOTOS2,[0]!TURNO1,L$31,[0]!CANDIDATO1,$C729,[0]!MUNICIPIO1,$B$722)</f>
        <v>0</v>
      </c>
      <c r="M729" s="16">
        <f>SUMIFS([0]!VOTOS2,[0]!TURNO1,M$31,[0]!CANDIDATO1,$C729,[0]!MUNICIPIO1,$B$722)</f>
        <v>0</v>
      </c>
      <c r="N729" s="16">
        <f>SUMIFS([0]!VOTOS2,[0]!TURNO1,N$31,[0]!CANDIDATO1,$C729,[0]!MUNICIPIO1,$B$722)</f>
        <v>0</v>
      </c>
      <c r="O729" s="16">
        <f>SUMIFS([0]!VOTOS2,[0]!TURNO1,O$31,[0]!CANDIDATO1,$C729,[0]!MUNICIPIO1,$B$722)</f>
        <v>0</v>
      </c>
      <c r="P729" s="16">
        <f>SUMIFS([0]!VOTOS2,[0]!TURNO1,P$31,[0]!CANDIDATO1,$C729,[0]!MUNICIPIO1,$B$722)</f>
        <v>0</v>
      </c>
      <c r="Q729" s="16">
        <f>SUMIFS([0]!VOTOS2,[0]!TURNO1,Q$31,[0]!CANDIDATO1,$C729,[0]!MUNICIPIO1,$B$722)</f>
        <v>0</v>
      </c>
      <c r="R729" s="16">
        <f>SUMIFS([0]!VOTOS2,[0]!TURNO1,R$31,[0]!CANDIDATO1,$C729,[0]!MUNICIPIO1,$B$722)</f>
        <v>0</v>
      </c>
      <c r="S729" s="16">
        <f>SUMIFS([0]!VOTOS2,[0]!TURNO1,S$31,[0]!CANDIDATO1,$C729,[0]!MUNICIPIO1,$B$722)</f>
        <v>0</v>
      </c>
      <c r="T729" s="16">
        <f>SUMIFS([0]!VOTOS2,[0]!TURNO1,T$31,[0]!CANDIDATO1,$C729,[0]!MUNICIPIO1,$B$722)</f>
        <v>0</v>
      </c>
      <c r="U729" s="16">
        <f>SUMIFS([0]!VOTOS2,[0]!TURNO1,U$31,[0]!CANDIDATO1,$C729,[0]!MUNICIPIO1,$B$722)</f>
        <v>0</v>
      </c>
      <c r="V729" s="16">
        <f>SUMIFS([0]!VOTOS2,[0]!TURNO1,V$31,[0]!CANDIDATO1,$C729,[0]!MUNICIPIO1,$B$722)</f>
        <v>0</v>
      </c>
      <c r="W729" s="16">
        <f>SUMIFS([0]!VOTOS2,[0]!TURNO1,W$31,[0]!CANDIDATO1,$C729,[0]!MUNICIPIO1,$B$722)</f>
        <v>0</v>
      </c>
      <c r="X729" s="24"/>
      <c r="Y729" s="18" t="str">
        <f t="shared" si="1710"/>
        <v>MORLY UZCATEGUI</v>
      </c>
      <c r="Z729" s="34">
        <f t="shared" si="1711"/>
        <v>0</v>
      </c>
      <c r="AA729" s="34">
        <f t="shared" si="1712"/>
        <v>0</v>
      </c>
      <c r="AB729" s="34" t="e">
        <f t="shared" ref="AB729:AR729" si="1725">IF(SUM(G722:G734)=0,NA(),G729+AA729)</f>
        <v>#N/A</v>
      </c>
      <c r="AC729" s="34" t="e">
        <f t="shared" si="1725"/>
        <v>#N/A</v>
      </c>
      <c r="AD729" s="34" t="e">
        <f t="shared" si="1725"/>
        <v>#N/A</v>
      </c>
      <c r="AE729" s="34" t="e">
        <f t="shared" si="1725"/>
        <v>#N/A</v>
      </c>
      <c r="AF729" s="34" t="e">
        <f t="shared" si="1725"/>
        <v>#N/A</v>
      </c>
      <c r="AG729" s="34" t="e">
        <f t="shared" si="1725"/>
        <v>#N/A</v>
      </c>
      <c r="AH729" s="34" t="e">
        <f t="shared" si="1725"/>
        <v>#N/A</v>
      </c>
      <c r="AI729" s="34" t="e">
        <f t="shared" si="1725"/>
        <v>#N/A</v>
      </c>
      <c r="AJ729" s="34" t="e">
        <f t="shared" si="1725"/>
        <v>#N/A</v>
      </c>
      <c r="AK729" s="34" t="e">
        <f t="shared" si="1725"/>
        <v>#N/A</v>
      </c>
      <c r="AL729" s="34" t="e">
        <f t="shared" si="1725"/>
        <v>#N/A</v>
      </c>
      <c r="AM729" s="34" t="e">
        <f t="shared" si="1725"/>
        <v>#N/A</v>
      </c>
      <c r="AN729" s="34" t="e">
        <f t="shared" si="1725"/>
        <v>#N/A</v>
      </c>
      <c r="AO729" s="34" t="e">
        <f t="shared" si="1725"/>
        <v>#N/A</v>
      </c>
      <c r="AP729" s="34" t="e">
        <f t="shared" si="1725"/>
        <v>#N/A</v>
      </c>
      <c r="AQ729" s="34" t="e">
        <f t="shared" si="1725"/>
        <v>#N/A</v>
      </c>
      <c r="AR729" s="34" t="e">
        <f t="shared" si="1725"/>
        <v>#N/A</v>
      </c>
      <c r="AS729" s="27"/>
      <c r="AT729" s="41"/>
      <c r="AU729" s="41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30"/>
    </row>
    <row r="730" spans="1:66" ht="11.25" customHeight="1" x14ac:dyDescent="0.2">
      <c r="A730" s="37"/>
      <c r="B730" s="73"/>
      <c r="C730" s="33">
        <v>9</v>
      </c>
      <c r="D730" s="13" t="s">
        <v>468</v>
      </c>
      <c r="E730" s="16">
        <f t="shared" si="1709"/>
        <v>0</v>
      </c>
      <c r="F730" s="16">
        <f>SUMIFS([0]!VOTOS2,[0]!TURNO1,F$31,[0]!CANDIDATO1,$C730,[0]!MUNICIPIO1,$B$722)</f>
        <v>0</v>
      </c>
      <c r="G730" s="16">
        <f>SUMIFS([0]!VOTOS2,[0]!TURNO1,G$31,[0]!CANDIDATO1,$C730,[0]!MUNICIPIO1,$B$722)</f>
        <v>0</v>
      </c>
      <c r="H730" s="16">
        <f>SUMIFS([0]!VOTOS2,[0]!TURNO1,H$31,[0]!CANDIDATO1,$C730,[0]!MUNICIPIO1,$B$722)</f>
        <v>0</v>
      </c>
      <c r="I730" s="16">
        <f>SUMIFS([0]!VOTOS2,[0]!TURNO1,I$31,[0]!CANDIDATO1,$C730,[0]!MUNICIPIO1,$B$722)</f>
        <v>0</v>
      </c>
      <c r="J730" s="16">
        <f>SUMIFS([0]!VOTOS2,[0]!TURNO1,J$31,[0]!CANDIDATO1,$C730,[0]!MUNICIPIO1,$B$722)</f>
        <v>0</v>
      </c>
      <c r="K730" s="16">
        <f>SUMIFS([0]!VOTOS2,[0]!TURNO1,K$31,[0]!CANDIDATO1,$C730,[0]!MUNICIPIO1,$B$722)</f>
        <v>0</v>
      </c>
      <c r="L730" s="16">
        <f>SUMIFS([0]!VOTOS2,[0]!TURNO1,L$31,[0]!CANDIDATO1,$C730,[0]!MUNICIPIO1,$B$722)</f>
        <v>0</v>
      </c>
      <c r="M730" s="16">
        <f>SUMIFS([0]!VOTOS2,[0]!TURNO1,M$31,[0]!CANDIDATO1,$C730,[0]!MUNICIPIO1,$B$722)</f>
        <v>0</v>
      </c>
      <c r="N730" s="16">
        <f>SUMIFS([0]!VOTOS2,[0]!TURNO1,N$31,[0]!CANDIDATO1,$C730,[0]!MUNICIPIO1,$B$722)</f>
        <v>0</v>
      </c>
      <c r="O730" s="16">
        <f>SUMIFS([0]!VOTOS2,[0]!TURNO1,O$31,[0]!CANDIDATO1,$C730,[0]!MUNICIPIO1,$B$722)</f>
        <v>0</v>
      </c>
      <c r="P730" s="16">
        <f>SUMIFS([0]!VOTOS2,[0]!TURNO1,P$31,[0]!CANDIDATO1,$C730,[0]!MUNICIPIO1,$B$722)</f>
        <v>0</v>
      </c>
      <c r="Q730" s="16">
        <f>SUMIFS([0]!VOTOS2,[0]!TURNO1,Q$31,[0]!CANDIDATO1,$C730,[0]!MUNICIPIO1,$B$722)</f>
        <v>0</v>
      </c>
      <c r="R730" s="16">
        <f>SUMIFS([0]!VOTOS2,[0]!TURNO1,R$31,[0]!CANDIDATO1,$C730,[0]!MUNICIPIO1,$B$722)</f>
        <v>0</v>
      </c>
      <c r="S730" s="16">
        <f>SUMIFS([0]!VOTOS2,[0]!TURNO1,S$31,[0]!CANDIDATO1,$C730,[0]!MUNICIPIO1,$B$722)</f>
        <v>0</v>
      </c>
      <c r="T730" s="16">
        <f>SUMIFS([0]!VOTOS2,[0]!TURNO1,T$31,[0]!CANDIDATO1,$C730,[0]!MUNICIPIO1,$B$722)</f>
        <v>0</v>
      </c>
      <c r="U730" s="16">
        <f>SUMIFS([0]!VOTOS2,[0]!TURNO1,U$31,[0]!CANDIDATO1,$C730,[0]!MUNICIPIO1,$B$722)</f>
        <v>0</v>
      </c>
      <c r="V730" s="16">
        <f>SUMIFS([0]!VOTOS2,[0]!TURNO1,V$31,[0]!CANDIDATO1,$C730,[0]!MUNICIPIO1,$B$722)</f>
        <v>0</v>
      </c>
      <c r="W730" s="16">
        <f>SUMIFS([0]!VOTOS2,[0]!TURNO1,W$31,[0]!CANDIDATO1,$C730,[0]!MUNICIPIO1,$B$722)</f>
        <v>0</v>
      </c>
      <c r="X730" s="24"/>
      <c r="Y730" s="18" t="str">
        <f t="shared" si="1710"/>
        <v>ELIO HERNANDEZ</v>
      </c>
      <c r="Z730" s="34">
        <f t="shared" si="1711"/>
        <v>0</v>
      </c>
      <c r="AA730" s="34">
        <f t="shared" si="1712"/>
        <v>0</v>
      </c>
      <c r="AB730" s="34" t="e">
        <f t="shared" ref="AB730:AR730" si="1726">IF(SUM(G722:G734)=0,NA(),G730+AA730)</f>
        <v>#N/A</v>
      </c>
      <c r="AC730" s="34" t="e">
        <f t="shared" si="1726"/>
        <v>#N/A</v>
      </c>
      <c r="AD730" s="34" t="e">
        <f t="shared" si="1726"/>
        <v>#N/A</v>
      </c>
      <c r="AE730" s="34" t="e">
        <f t="shared" si="1726"/>
        <v>#N/A</v>
      </c>
      <c r="AF730" s="34" t="e">
        <f t="shared" si="1726"/>
        <v>#N/A</v>
      </c>
      <c r="AG730" s="34" t="e">
        <f t="shared" si="1726"/>
        <v>#N/A</v>
      </c>
      <c r="AH730" s="34" t="e">
        <f t="shared" si="1726"/>
        <v>#N/A</v>
      </c>
      <c r="AI730" s="34" t="e">
        <f t="shared" si="1726"/>
        <v>#N/A</v>
      </c>
      <c r="AJ730" s="34" t="e">
        <f t="shared" si="1726"/>
        <v>#N/A</v>
      </c>
      <c r="AK730" s="34" t="e">
        <f t="shared" si="1726"/>
        <v>#N/A</v>
      </c>
      <c r="AL730" s="34" t="e">
        <f t="shared" si="1726"/>
        <v>#N/A</v>
      </c>
      <c r="AM730" s="34" t="e">
        <f t="shared" si="1726"/>
        <v>#N/A</v>
      </c>
      <c r="AN730" s="34" t="e">
        <f t="shared" si="1726"/>
        <v>#N/A</v>
      </c>
      <c r="AO730" s="34" t="e">
        <f t="shared" si="1726"/>
        <v>#N/A</v>
      </c>
      <c r="AP730" s="34" t="e">
        <f t="shared" si="1726"/>
        <v>#N/A</v>
      </c>
      <c r="AQ730" s="34" t="e">
        <f t="shared" si="1726"/>
        <v>#N/A</v>
      </c>
      <c r="AR730" s="34" t="e">
        <f t="shared" si="1726"/>
        <v>#N/A</v>
      </c>
      <c r="AS730" s="27"/>
      <c r="AT730" s="41"/>
      <c r="AU730" s="41"/>
      <c r="AV730" s="43"/>
      <c r="AW730" s="43"/>
      <c r="AX730" s="43"/>
      <c r="AY730" s="43"/>
      <c r="AZ730" s="43"/>
      <c r="BA730" s="43"/>
      <c r="BB730" s="43"/>
      <c r="BC730" s="43"/>
      <c r="BD730" s="43"/>
      <c r="BE730" s="43"/>
      <c r="BF730" s="43"/>
      <c r="BG730" s="43"/>
      <c r="BH730" s="43"/>
      <c r="BI730" s="43"/>
      <c r="BJ730" s="43"/>
      <c r="BK730" s="43"/>
      <c r="BL730" s="43"/>
      <c r="BM730" s="43"/>
      <c r="BN730" s="30"/>
    </row>
    <row r="731" spans="1:66" ht="11.25" customHeight="1" x14ac:dyDescent="0.2">
      <c r="A731" s="37"/>
      <c r="B731" s="73"/>
      <c r="C731" s="33">
        <v>10</v>
      </c>
      <c r="D731" s="13" t="s">
        <v>352</v>
      </c>
      <c r="E731" s="16">
        <f t="shared" si="1709"/>
        <v>0</v>
      </c>
      <c r="F731" s="16">
        <f>SUMIFS([0]!VOTOS2,[0]!TURNO1,F$31,[0]!CANDIDATO1,$C731,[0]!MUNICIPIO1,$B$722)</f>
        <v>0</v>
      </c>
      <c r="G731" s="16">
        <f>SUMIFS([0]!VOTOS2,[0]!TURNO1,G$31,[0]!CANDIDATO1,$C731,[0]!MUNICIPIO1,$B$722)</f>
        <v>0</v>
      </c>
      <c r="H731" s="16">
        <f>SUMIFS([0]!VOTOS2,[0]!TURNO1,H$31,[0]!CANDIDATO1,$C731,[0]!MUNICIPIO1,$B$722)</f>
        <v>0</v>
      </c>
      <c r="I731" s="16">
        <f>SUMIFS([0]!VOTOS2,[0]!TURNO1,I$31,[0]!CANDIDATO1,$C731,[0]!MUNICIPIO1,$B$722)</f>
        <v>0</v>
      </c>
      <c r="J731" s="16">
        <f>SUMIFS([0]!VOTOS2,[0]!TURNO1,J$31,[0]!CANDIDATO1,$C731,[0]!MUNICIPIO1,$B$722)</f>
        <v>0</v>
      </c>
      <c r="K731" s="16">
        <f>SUMIFS([0]!VOTOS2,[0]!TURNO1,K$31,[0]!CANDIDATO1,$C731,[0]!MUNICIPIO1,$B$722)</f>
        <v>0</v>
      </c>
      <c r="L731" s="16">
        <f>SUMIFS([0]!VOTOS2,[0]!TURNO1,L$31,[0]!CANDIDATO1,$C731,[0]!MUNICIPIO1,$B$722)</f>
        <v>0</v>
      </c>
      <c r="M731" s="16">
        <f>SUMIFS([0]!VOTOS2,[0]!TURNO1,M$31,[0]!CANDIDATO1,$C731,[0]!MUNICIPIO1,$B$722)</f>
        <v>0</v>
      </c>
      <c r="N731" s="16">
        <f>SUMIFS([0]!VOTOS2,[0]!TURNO1,N$31,[0]!CANDIDATO1,$C731,[0]!MUNICIPIO1,$B$722)</f>
        <v>0</v>
      </c>
      <c r="O731" s="16">
        <f>SUMIFS([0]!VOTOS2,[0]!TURNO1,O$31,[0]!CANDIDATO1,$C731,[0]!MUNICIPIO1,$B$722)</f>
        <v>0</v>
      </c>
      <c r="P731" s="16">
        <f>SUMIFS([0]!VOTOS2,[0]!TURNO1,P$31,[0]!CANDIDATO1,$C731,[0]!MUNICIPIO1,$B$722)</f>
        <v>0</v>
      </c>
      <c r="Q731" s="16">
        <f>SUMIFS([0]!VOTOS2,[0]!TURNO1,Q$31,[0]!CANDIDATO1,$C731,[0]!MUNICIPIO1,$B$722)</f>
        <v>0</v>
      </c>
      <c r="R731" s="16">
        <f>SUMIFS([0]!VOTOS2,[0]!TURNO1,R$31,[0]!CANDIDATO1,$C731,[0]!MUNICIPIO1,$B$722)</f>
        <v>0</v>
      </c>
      <c r="S731" s="16">
        <f>SUMIFS([0]!VOTOS2,[0]!TURNO1,S$31,[0]!CANDIDATO1,$C731,[0]!MUNICIPIO1,$B$722)</f>
        <v>0</v>
      </c>
      <c r="T731" s="16">
        <f>SUMIFS([0]!VOTOS2,[0]!TURNO1,T$31,[0]!CANDIDATO1,$C731,[0]!MUNICIPIO1,$B$722)</f>
        <v>0</v>
      </c>
      <c r="U731" s="16">
        <f>SUMIFS([0]!VOTOS2,[0]!TURNO1,U$31,[0]!CANDIDATO1,$C731,[0]!MUNICIPIO1,$B$722)</f>
        <v>0</v>
      </c>
      <c r="V731" s="16">
        <f>SUMIFS([0]!VOTOS2,[0]!TURNO1,V$31,[0]!CANDIDATO1,$C731,[0]!MUNICIPIO1,$B$722)</f>
        <v>0</v>
      </c>
      <c r="W731" s="16">
        <f>SUMIFS([0]!VOTOS2,[0]!TURNO1,W$31,[0]!CANDIDATO1,$C731,[0]!MUNICIPIO1,$B$722)</f>
        <v>0</v>
      </c>
      <c r="X731" s="24"/>
      <c r="Y731" s="18" t="str">
        <f t="shared" si="1710"/>
        <v>JORGE CONTRERAS</v>
      </c>
      <c r="Z731" s="34">
        <f t="shared" si="1711"/>
        <v>0</v>
      </c>
      <c r="AA731" s="34">
        <f t="shared" si="1712"/>
        <v>0</v>
      </c>
      <c r="AB731" s="34" t="e">
        <f t="shared" ref="AB731:AR731" si="1727">IF(SUM(G722:G734)=0,NA(),G731+AA731)</f>
        <v>#N/A</v>
      </c>
      <c r="AC731" s="34" t="e">
        <f t="shared" si="1727"/>
        <v>#N/A</v>
      </c>
      <c r="AD731" s="34" t="e">
        <f t="shared" si="1727"/>
        <v>#N/A</v>
      </c>
      <c r="AE731" s="34" t="e">
        <f t="shared" si="1727"/>
        <v>#N/A</v>
      </c>
      <c r="AF731" s="34" t="e">
        <f t="shared" si="1727"/>
        <v>#N/A</v>
      </c>
      <c r="AG731" s="34" t="e">
        <f t="shared" si="1727"/>
        <v>#N/A</v>
      </c>
      <c r="AH731" s="34" t="e">
        <f t="shared" si="1727"/>
        <v>#N/A</v>
      </c>
      <c r="AI731" s="34" t="e">
        <f t="shared" si="1727"/>
        <v>#N/A</v>
      </c>
      <c r="AJ731" s="34" t="e">
        <f t="shared" si="1727"/>
        <v>#N/A</v>
      </c>
      <c r="AK731" s="34" t="e">
        <f t="shared" si="1727"/>
        <v>#N/A</v>
      </c>
      <c r="AL731" s="34" t="e">
        <f t="shared" si="1727"/>
        <v>#N/A</v>
      </c>
      <c r="AM731" s="34" t="e">
        <f t="shared" si="1727"/>
        <v>#N/A</v>
      </c>
      <c r="AN731" s="34" t="e">
        <f t="shared" si="1727"/>
        <v>#N/A</v>
      </c>
      <c r="AO731" s="34" t="e">
        <f t="shared" si="1727"/>
        <v>#N/A</v>
      </c>
      <c r="AP731" s="34" t="e">
        <f t="shared" si="1727"/>
        <v>#N/A</v>
      </c>
      <c r="AQ731" s="34" t="e">
        <f t="shared" si="1727"/>
        <v>#N/A</v>
      </c>
      <c r="AR731" s="34" t="e">
        <f t="shared" si="1727"/>
        <v>#N/A</v>
      </c>
      <c r="AS731" s="27"/>
      <c r="AT731" s="41"/>
      <c r="AU731" s="41"/>
      <c r="AV731" s="43"/>
      <c r="AW731" s="43"/>
      <c r="AX731" s="43"/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43"/>
      <c r="BJ731" s="43"/>
      <c r="BK731" s="43"/>
      <c r="BL731" s="43"/>
      <c r="BM731" s="43"/>
      <c r="BN731" s="30"/>
    </row>
    <row r="732" spans="1:66" ht="11.25" customHeight="1" x14ac:dyDescent="0.2">
      <c r="A732" s="37"/>
      <c r="B732" s="73"/>
      <c r="C732" s="33">
        <v>11</v>
      </c>
      <c r="D732" s="13" t="s">
        <v>469</v>
      </c>
      <c r="E732" s="16">
        <f t="shared" si="1709"/>
        <v>0</v>
      </c>
      <c r="F732" s="16">
        <f>SUMIFS([0]!VOTOS2,[0]!TURNO1,F$31,[0]!CANDIDATO1,$C732,[0]!MUNICIPIO1,$B$722)</f>
        <v>0</v>
      </c>
      <c r="G732" s="16">
        <f>SUMIFS([0]!VOTOS2,[0]!TURNO1,G$31,[0]!CANDIDATO1,$C732,[0]!MUNICIPIO1,$B$722)</f>
        <v>0</v>
      </c>
      <c r="H732" s="16">
        <f>SUMIFS([0]!VOTOS2,[0]!TURNO1,H$31,[0]!CANDIDATO1,$C732,[0]!MUNICIPIO1,$B$722)</f>
        <v>0</v>
      </c>
      <c r="I732" s="16">
        <f>SUMIFS([0]!VOTOS2,[0]!TURNO1,I$31,[0]!CANDIDATO1,$C732,[0]!MUNICIPIO1,$B$722)</f>
        <v>0</v>
      </c>
      <c r="J732" s="16">
        <f>SUMIFS([0]!VOTOS2,[0]!TURNO1,J$31,[0]!CANDIDATO1,$C732,[0]!MUNICIPIO1,$B$722)</f>
        <v>0</v>
      </c>
      <c r="K732" s="16">
        <f>SUMIFS([0]!VOTOS2,[0]!TURNO1,K$31,[0]!CANDIDATO1,$C732,[0]!MUNICIPIO1,$B$722)</f>
        <v>0</v>
      </c>
      <c r="L732" s="16">
        <f>SUMIFS([0]!VOTOS2,[0]!TURNO1,L$31,[0]!CANDIDATO1,$C732,[0]!MUNICIPIO1,$B$722)</f>
        <v>0</v>
      </c>
      <c r="M732" s="16">
        <f>SUMIFS([0]!VOTOS2,[0]!TURNO1,M$31,[0]!CANDIDATO1,$C732,[0]!MUNICIPIO1,$B$722)</f>
        <v>0</v>
      </c>
      <c r="N732" s="16">
        <f>SUMIFS([0]!VOTOS2,[0]!TURNO1,N$31,[0]!CANDIDATO1,$C732,[0]!MUNICIPIO1,$B$722)</f>
        <v>0</v>
      </c>
      <c r="O732" s="16">
        <f>SUMIFS([0]!VOTOS2,[0]!TURNO1,O$31,[0]!CANDIDATO1,$C732,[0]!MUNICIPIO1,$B$722)</f>
        <v>0</v>
      </c>
      <c r="P732" s="16">
        <f>SUMIFS([0]!VOTOS2,[0]!TURNO1,P$31,[0]!CANDIDATO1,$C732,[0]!MUNICIPIO1,$B$722)</f>
        <v>0</v>
      </c>
      <c r="Q732" s="16">
        <f>SUMIFS([0]!VOTOS2,[0]!TURNO1,Q$31,[0]!CANDIDATO1,$C732,[0]!MUNICIPIO1,$B$722)</f>
        <v>0</v>
      </c>
      <c r="R732" s="16">
        <f>SUMIFS([0]!VOTOS2,[0]!TURNO1,R$31,[0]!CANDIDATO1,$C732,[0]!MUNICIPIO1,$B$722)</f>
        <v>0</v>
      </c>
      <c r="S732" s="16">
        <f>SUMIFS([0]!VOTOS2,[0]!TURNO1,S$31,[0]!CANDIDATO1,$C732,[0]!MUNICIPIO1,$B$722)</f>
        <v>0</v>
      </c>
      <c r="T732" s="16">
        <f>SUMIFS([0]!VOTOS2,[0]!TURNO1,T$31,[0]!CANDIDATO1,$C732,[0]!MUNICIPIO1,$B$722)</f>
        <v>0</v>
      </c>
      <c r="U732" s="16">
        <f>SUMIFS([0]!VOTOS2,[0]!TURNO1,U$31,[0]!CANDIDATO1,$C732,[0]!MUNICIPIO1,$B$722)</f>
        <v>0</v>
      </c>
      <c r="V732" s="16">
        <f>SUMIFS([0]!VOTOS2,[0]!TURNO1,V$31,[0]!CANDIDATO1,$C732,[0]!MUNICIPIO1,$B$722)</f>
        <v>0</v>
      </c>
      <c r="W732" s="16">
        <f>SUMIFS([0]!VOTOS2,[0]!TURNO1,W$31,[0]!CANDIDATO1,$C732,[0]!MUNICIPIO1,$B$722)</f>
        <v>0</v>
      </c>
      <c r="X732" s="24"/>
      <c r="Y732" s="18" t="str">
        <f t="shared" si="1710"/>
        <v>CARLOS MEDINA</v>
      </c>
      <c r="Z732" s="34">
        <f t="shared" si="1711"/>
        <v>0</v>
      </c>
      <c r="AA732" s="34">
        <f t="shared" si="1712"/>
        <v>0</v>
      </c>
      <c r="AB732" s="34" t="e">
        <f t="shared" ref="AB732:AR732" si="1728">IF(SUM(G722:G734)=0,NA(),G732+AA732)</f>
        <v>#N/A</v>
      </c>
      <c r="AC732" s="34" t="e">
        <f t="shared" si="1728"/>
        <v>#N/A</v>
      </c>
      <c r="AD732" s="34" t="e">
        <f t="shared" si="1728"/>
        <v>#N/A</v>
      </c>
      <c r="AE732" s="34" t="e">
        <f t="shared" si="1728"/>
        <v>#N/A</v>
      </c>
      <c r="AF732" s="34" t="e">
        <f t="shared" si="1728"/>
        <v>#N/A</v>
      </c>
      <c r="AG732" s="34" t="e">
        <f t="shared" si="1728"/>
        <v>#N/A</v>
      </c>
      <c r="AH732" s="34" t="e">
        <f t="shared" si="1728"/>
        <v>#N/A</v>
      </c>
      <c r="AI732" s="34" t="e">
        <f t="shared" si="1728"/>
        <v>#N/A</v>
      </c>
      <c r="AJ732" s="34" t="e">
        <f t="shared" si="1728"/>
        <v>#N/A</v>
      </c>
      <c r="AK732" s="34" t="e">
        <f t="shared" si="1728"/>
        <v>#N/A</v>
      </c>
      <c r="AL732" s="34" t="e">
        <f t="shared" si="1728"/>
        <v>#N/A</v>
      </c>
      <c r="AM732" s="34" t="e">
        <f t="shared" si="1728"/>
        <v>#N/A</v>
      </c>
      <c r="AN732" s="34" t="e">
        <f t="shared" si="1728"/>
        <v>#N/A</v>
      </c>
      <c r="AO732" s="34" t="e">
        <f t="shared" si="1728"/>
        <v>#N/A</v>
      </c>
      <c r="AP732" s="34" t="e">
        <f t="shared" si="1728"/>
        <v>#N/A</v>
      </c>
      <c r="AQ732" s="34" t="e">
        <f t="shared" si="1728"/>
        <v>#N/A</v>
      </c>
      <c r="AR732" s="34" t="e">
        <f t="shared" si="1728"/>
        <v>#N/A</v>
      </c>
      <c r="AS732" s="27"/>
      <c r="AT732" s="41"/>
      <c r="AU732" s="41"/>
      <c r="AV732" s="43"/>
      <c r="AW732" s="43"/>
      <c r="AX732" s="43"/>
      <c r="AY732" s="43"/>
      <c r="AZ732" s="43"/>
      <c r="BA732" s="43"/>
      <c r="BB732" s="43"/>
      <c r="BC732" s="43"/>
      <c r="BD732" s="43"/>
      <c r="BE732" s="43"/>
      <c r="BF732" s="43"/>
      <c r="BG732" s="43"/>
      <c r="BH732" s="43"/>
      <c r="BI732" s="43"/>
      <c r="BJ732" s="43"/>
      <c r="BK732" s="43"/>
      <c r="BL732" s="43"/>
      <c r="BM732" s="43"/>
      <c r="BN732" s="30"/>
    </row>
    <row r="733" spans="1:66" ht="11.25" customHeight="1" x14ac:dyDescent="0.2">
      <c r="A733" s="37"/>
      <c r="B733" s="73"/>
      <c r="C733" s="33">
        <v>12</v>
      </c>
      <c r="D733" s="13" t="s">
        <v>470</v>
      </c>
      <c r="E733" s="16">
        <f t="shared" si="1709"/>
        <v>0</v>
      </c>
      <c r="F733" s="16">
        <f>SUMIFS([0]!VOTOS2,[0]!TURNO1,F$31,[0]!CANDIDATO1,$C733,[0]!MUNICIPIO1,$B$722)</f>
        <v>0</v>
      </c>
      <c r="G733" s="16">
        <f>SUMIFS([0]!VOTOS2,[0]!TURNO1,G$31,[0]!CANDIDATO1,$C733,[0]!MUNICIPIO1,$B$722)</f>
        <v>0</v>
      </c>
      <c r="H733" s="16">
        <f>SUMIFS([0]!VOTOS2,[0]!TURNO1,H$31,[0]!CANDIDATO1,$C733,[0]!MUNICIPIO1,$B$722)</f>
        <v>0</v>
      </c>
      <c r="I733" s="16">
        <f>SUMIFS([0]!VOTOS2,[0]!TURNO1,I$31,[0]!CANDIDATO1,$C733,[0]!MUNICIPIO1,$B$722)</f>
        <v>0</v>
      </c>
      <c r="J733" s="16">
        <f>SUMIFS([0]!VOTOS2,[0]!TURNO1,J$31,[0]!CANDIDATO1,$C733,[0]!MUNICIPIO1,$B$722)</f>
        <v>0</v>
      </c>
      <c r="K733" s="16">
        <f>SUMIFS([0]!VOTOS2,[0]!TURNO1,K$31,[0]!CANDIDATO1,$C733,[0]!MUNICIPIO1,$B$722)</f>
        <v>0</v>
      </c>
      <c r="L733" s="16">
        <f>SUMIFS([0]!VOTOS2,[0]!TURNO1,L$31,[0]!CANDIDATO1,$C733,[0]!MUNICIPIO1,$B$722)</f>
        <v>0</v>
      </c>
      <c r="M733" s="16">
        <f>SUMIFS([0]!VOTOS2,[0]!TURNO1,M$31,[0]!CANDIDATO1,$C733,[0]!MUNICIPIO1,$B$722)</f>
        <v>0</v>
      </c>
      <c r="N733" s="16">
        <f>SUMIFS([0]!VOTOS2,[0]!TURNO1,N$31,[0]!CANDIDATO1,$C733,[0]!MUNICIPIO1,$B$722)</f>
        <v>0</v>
      </c>
      <c r="O733" s="16">
        <f>SUMIFS([0]!VOTOS2,[0]!TURNO1,O$31,[0]!CANDIDATO1,$C733,[0]!MUNICIPIO1,$B$722)</f>
        <v>0</v>
      </c>
      <c r="P733" s="16">
        <f>SUMIFS([0]!VOTOS2,[0]!TURNO1,P$31,[0]!CANDIDATO1,$C733,[0]!MUNICIPIO1,$B$722)</f>
        <v>0</v>
      </c>
      <c r="Q733" s="16">
        <f>SUMIFS([0]!VOTOS2,[0]!TURNO1,Q$31,[0]!CANDIDATO1,$C733,[0]!MUNICIPIO1,$B$722)</f>
        <v>0</v>
      </c>
      <c r="R733" s="16">
        <f>SUMIFS([0]!VOTOS2,[0]!TURNO1,R$31,[0]!CANDIDATO1,$C733,[0]!MUNICIPIO1,$B$722)</f>
        <v>0</v>
      </c>
      <c r="S733" s="16">
        <f>SUMIFS([0]!VOTOS2,[0]!TURNO1,S$31,[0]!CANDIDATO1,$C733,[0]!MUNICIPIO1,$B$722)</f>
        <v>0</v>
      </c>
      <c r="T733" s="16">
        <f>SUMIFS([0]!VOTOS2,[0]!TURNO1,T$31,[0]!CANDIDATO1,$C733,[0]!MUNICIPIO1,$B$722)</f>
        <v>0</v>
      </c>
      <c r="U733" s="16">
        <f>SUMIFS([0]!VOTOS2,[0]!TURNO1,U$31,[0]!CANDIDATO1,$C733,[0]!MUNICIPIO1,$B$722)</f>
        <v>0</v>
      </c>
      <c r="V733" s="16">
        <f>SUMIFS([0]!VOTOS2,[0]!TURNO1,V$31,[0]!CANDIDATO1,$C733,[0]!MUNICIPIO1,$B$722)</f>
        <v>0</v>
      </c>
      <c r="W733" s="16">
        <f>SUMIFS([0]!VOTOS2,[0]!TURNO1,W$31,[0]!CANDIDATO1,$C733,[0]!MUNICIPIO1,$B$722)</f>
        <v>0</v>
      </c>
      <c r="X733" s="24"/>
      <c r="Y733" s="18" t="str">
        <f t="shared" si="1710"/>
        <v>RAFAEL VILLALOBOS</v>
      </c>
      <c r="Z733" s="34">
        <f t="shared" si="1711"/>
        <v>0</v>
      </c>
      <c r="AA733" s="34">
        <f t="shared" si="1712"/>
        <v>0</v>
      </c>
      <c r="AB733" s="34" t="e">
        <f t="shared" ref="AB733:AR733" si="1729">IF(SUM(G722:G734)=0,NA(),G733+AA733)</f>
        <v>#N/A</v>
      </c>
      <c r="AC733" s="34" t="e">
        <f t="shared" si="1729"/>
        <v>#N/A</v>
      </c>
      <c r="AD733" s="34" t="e">
        <f t="shared" si="1729"/>
        <v>#N/A</v>
      </c>
      <c r="AE733" s="34" t="e">
        <f t="shared" si="1729"/>
        <v>#N/A</v>
      </c>
      <c r="AF733" s="34" t="e">
        <f t="shared" si="1729"/>
        <v>#N/A</v>
      </c>
      <c r="AG733" s="34" t="e">
        <f t="shared" si="1729"/>
        <v>#N/A</v>
      </c>
      <c r="AH733" s="34" t="e">
        <f t="shared" si="1729"/>
        <v>#N/A</v>
      </c>
      <c r="AI733" s="34" t="e">
        <f t="shared" si="1729"/>
        <v>#N/A</v>
      </c>
      <c r="AJ733" s="34" t="e">
        <f t="shared" si="1729"/>
        <v>#N/A</v>
      </c>
      <c r="AK733" s="34" t="e">
        <f t="shared" si="1729"/>
        <v>#N/A</v>
      </c>
      <c r="AL733" s="34" t="e">
        <f t="shared" si="1729"/>
        <v>#N/A</v>
      </c>
      <c r="AM733" s="34" t="e">
        <f t="shared" si="1729"/>
        <v>#N/A</v>
      </c>
      <c r="AN733" s="34" t="e">
        <f t="shared" si="1729"/>
        <v>#N/A</v>
      </c>
      <c r="AO733" s="34" t="e">
        <f t="shared" si="1729"/>
        <v>#N/A</v>
      </c>
      <c r="AP733" s="34" t="e">
        <f t="shared" si="1729"/>
        <v>#N/A</v>
      </c>
      <c r="AQ733" s="34" t="e">
        <f t="shared" si="1729"/>
        <v>#N/A</v>
      </c>
      <c r="AR733" s="34" t="e">
        <f t="shared" si="1729"/>
        <v>#N/A</v>
      </c>
      <c r="AS733" s="27"/>
      <c r="AT733" s="41"/>
      <c r="AU733" s="41"/>
      <c r="AV733" s="43"/>
      <c r="AW733" s="43"/>
      <c r="AX733" s="43"/>
      <c r="AY733" s="43"/>
      <c r="AZ733" s="43"/>
      <c r="BA733" s="43"/>
      <c r="BB733" s="43"/>
      <c r="BC733" s="43"/>
      <c r="BD733" s="43"/>
      <c r="BE733" s="43"/>
      <c r="BF733" s="43"/>
      <c r="BG733" s="43"/>
      <c r="BH733" s="43"/>
      <c r="BI733" s="43"/>
      <c r="BJ733" s="43"/>
      <c r="BK733" s="43"/>
      <c r="BL733" s="43"/>
      <c r="BM733" s="43"/>
      <c r="BN733" s="30"/>
    </row>
    <row r="734" spans="1:66" ht="11.25" customHeight="1" x14ac:dyDescent="0.2">
      <c r="A734" s="42"/>
      <c r="B734" s="74"/>
      <c r="C734" s="33">
        <v>13</v>
      </c>
      <c r="D734" s="13" t="s">
        <v>471</v>
      </c>
      <c r="E734" s="16">
        <f t="shared" si="1709"/>
        <v>0</v>
      </c>
      <c r="F734" s="16">
        <f>SUMIFS([0]!VOTOS2,[0]!TURNO1,F$31,[0]!CANDIDATO1,$C734,[0]!MUNICIPIO1,$B$722)</f>
        <v>0</v>
      </c>
      <c r="G734" s="16">
        <f>SUMIFS([0]!VOTOS2,[0]!TURNO1,G$31,[0]!CANDIDATO1,$C734,[0]!MUNICIPIO1,$B$722)</f>
        <v>0</v>
      </c>
      <c r="H734" s="16">
        <f>SUMIFS([0]!VOTOS2,[0]!TURNO1,H$31,[0]!CANDIDATO1,$C734,[0]!MUNICIPIO1,$B$722)</f>
        <v>0</v>
      </c>
      <c r="I734" s="16">
        <f>SUMIFS([0]!VOTOS2,[0]!TURNO1,I$31,[0]!CANDIDATO1,$C734,[0]!MUNICIPIO1,$B$722)</f>
        <v>0</v>
      </c>
      <c r="J734" s="16">
        <f>SUMIFS([0]!VOTOS2,[0]!TURNO1,J$31,[0]!CANDIDATO1,$C734,[0]!MUNICIPIO1,$B$722)</f>
        <v>0</v>
      </c>
      <c r="K734" s="16">
        <f>SUMIFS([0]!VOTOS2,[0]!TURNO1,K$31,[0]!CANDIDATO1,$C734,[0]!MUNICIPIO1,$B$722)</f>
        <v>0</v>
      </c>
      <c r="L734" s="16">
        <f>SUMIFS([0]!VOTOS2,[0]!TURNO1,L$31,[0]!CANDIDATO1,$C734,[0]!MUNICIPIO1,$B$722)</f>
        <v>0</v>
      </c>
      <c r="M734" s="16">
        <f>SUMIFS([0]!VOTOS2,[0]!TURNO1,M$31,[0]!CANDIDATO1,$C734,[0]!MUNICIPIO1,$B$722)</f>
        <v>0</v>
      </c>
      <c r="N734" s="16">
        <f>SUMIFS([0]!VOTOS2,[0]!TURNO1,N$31,[0]!CANDIDATO1,$C734,[0]!MUNICIPIO1,$B$722)</f>
        <v>0</v>
      </c>
      <c r="O734" s="16">
        <f>SUMIFS([0]!VOTOS2,[0]!TURNO1,O$31,[0]!CANDIDATO1,$C734,[0]!MUNICIPIO1,$B$722)</f>
        <v>0</v>
      </c>
      <c r="P734" s="16">
        <f>SUMIFS([0]!VOTOS2,[0]!TURNO1,P$31,[0]!CANDIDATO1,$C734,[0]!MUNICIPIO1,$B$722)</f>
        <v>0</v>
      </c>
      <c r="Q734" s="16">
        <f>SUMIFS([0]!VOTOS2,[0]!TURNO1,Q$31,[0]!CANDIDATO1,$C734,[0]!MUNICIPIO1,$B$722)</f>
        <v>0</v>
      </c>
      <c r="R734" s="16">
        <f>SUMIFS([0]!VOTOS2,[0]!TURNO1,R$31,[0]!CANDIDATO1,$C734,[0]!MUNICIPIO1,$B$722)</f>
        <v>0</v>
      </c>
      <c r="S734" s="16">
        <f>SUMIFS([0]!VOTOS2,[0]!TURNO1,S$31,[0]!CANDIDATO1,$C734,[0]!MUNICIPIO1,$B$722)</f>
        <v>0</v>
      </c>
      <c r="T734" s="16">
        <f>SUMIFS([0]!VOTOS2,[0]!TURNO1,T$31,[0]!CANDIDATO1,$C734,[0]!MUNICIPIO1,$B$722)</f>
        <v>0</v>
      </c>
      <c r="U734" s="16">
        <f>SUMIFS([0]!VOTOS2,[0]!TURNO1,U$31,[0]!CANDIDATO1,$C734,[0]!MUNICIPIO1,$B$722)</f>
        <v>0</v>
      </c>
      <c r="V734" s="16">
        <f>SUMIFS([0]!VOTOS2,[0]!TURNO1,V$31,[0]!CANDIDATO1,$C734,[0]!MUNICIPIO1,$B$722)</f>
        <v>0</v>
      </c>
      <c r="W734" s="16">
        <f>SUMIFS([0]!VOTOS2,[0]!TURNO1,W$31,[0]!CANDIDATO1,$C734,[0]!MUNICIPIO1,$B$722)</f>
        <v>0</v>
      </c>
      <c r="X734" s="24"/>
      <c r="Y734" s="18" t="str">
        <f t="shared" si="1710"/>
        <v>JUSAM EL ATRACHE</v>
      </c>
      <c r="Z734" s="34">
        <f t="shared" si="1711"/>
        <v>0</v>
      </c>
      <c r="AA734" s="34">
        <f t="shared" si="1712"/>
        <v>0</v>
      </c>
      <c r="AB734" s="34" t="e">
        <f t="shared" ref="AB734:AR734" si="1730">IF(SUM(G722:G734)=0,NA(),G734+AA734)</f>
        <v>#N/A</v>
      </c>
      <c r="AC734" s="34" t="e">
        <f t="shared" si="1730"/>
        <v>#N/A</v>
      </c>
      <c r="AD734" s="34" t="e">
        <f t="shared" si="1730"/>
        <v>#N/A</v>
      </c>
      <c r="AE734" s="34" t="e">
        <f t="shared" si="1730"/>
        <v>#N/A</v>
      </c>
      <c r="AF734" s="34" t="e">
        <f t="shared" si="1730"/>
        <v>#N/A</v>
      </c>
      <c r="AG734" s="34" t="e">
        <f t="shared" si="1730"/>
        <v>#N/A</v>
      </c>
      <c r="AH734" s="34" t="e">
        <f t="shared" si="1730"/>
        <v>#N/A</v>
      </c>
      <c r="AI734" s="34" t="e">
        <f t="shared" si="1730"/>
        <v>#N/A</v>
      </c>
      <c r="AJ734" s="34" t="e">
        <f t="shared" si="1730"/>
        <v>#N/A</v>
      </c>
      <c r="AK734" s="34" t="e">
        <f t="shared" si="1730"/>
        <v>#N/A</v>
      </c>
      <c r="AL734" s="34" t="e">
        <f t="shared" si="1730"/>
        <v>#N/A</v>
      </c>
      <c r="AM734" s="34" t="e">
        <f t="shared" si="1730"/>
        <v>#N/A</v>
      </c>
      <c r="AN734" s="34" t="e">
        <f t="shared" si="1730"/>
        <v>#N/A</v>
      </c>
      <c r="AO734" s="34" t="e">
        <f t="shared" si="1730"/>
        <v>#N/A</v>
      </c>
      <c r="AP734" s="34" t="e">
        <f t="shared" si="1730"/>
        <v>#N/A</v>
      </c>
      <c r="AQ734" s="34" t="e">
        <f t="shared" si="1730"/>
        <v>#N/A</v>
      </c>
      <c r="AR734" s="34" t="e">
        <f t="shared" si="1730"/>
        <v>#N/A</v>
      </c>
      <c r="AS734" s="27"/>
      <c r="AT734" s="41"/>
      <c r="AU734" s="41"/>
      <c r="AV734" s="43"/>
      <c r="AW734" s="43"/>
      <c r="AX734" s="43"/>
      <c r="AY734" s="43"/>
      <c r="AZ734" s="43"/>
      <c r="BA734" s="43"/>
      <c r="BB734" s="43"/>
      <c r="BC734" s="43"/>
      <c r="BD734" s="43"/>
      <c r="BE734" s="43"/>
      <c r="BF734" s="43"/>
      <c r="BG734" s="43"/>
      <c r="BH734" s="43"/>
      <c r="BI734" s="43"/>
      <c r="BJ734" s="43"/>
      <c r="BK734" s="43"/>
      <c r="BL734" s="43"/>
      <c r="BM734" s="43"/>
      <c r="BN734" s="30"/>
    </row>
    <row r="735" spans="1:66" ht="11.25" customHeight="1" x14ac:dyDescent="0.2">
      <c r="X735" s="24"/>
      <c r="Y735" s="19" t="s">
        <v>79</v>
      </c>
      <c r="Z735" s="34">
        <f t="shared" ref="Z735" si="1731">SUM(Z724:Z734)</f>
        <v>18</v>
      </c>
      <c r="AA735" s="34">
        <f t="shared" ref="AA735" si="1732">SUM(AA724:AA734)</f>
        <v>0</v>
      </c>
      <c r="AB735" s="34" t="e">
        <f t="shared" ref="AB735" si="1733">SUM(AB724:AB734)</f>
        <v>#N/A</v>
      </c>
      <c r="AC735" s="34" t="e">
        <f t="shared" ref="AC735" si="1734">SUM(AC724:AC734)</f>
        <v>#N/A</v>
      </c>
      <c r="AD735" s="34" t="e">
        <f t="shared" ref="AD735" si="1735">SUM(AD724:AD734)</f>
        <v>#N/A</v>
      </c>
      <c r="AE735" s="34" t="e">
        <f t="shared" ref="AE735" si="1736">SUM(AE724:AE734)</f>
        <v>#N/A</v>
      </c>
      <c r="AF735" s="34" t="e">
        <f t="shared" ref="AF735" si="1737">SUM(AF724:AF734)</f>
        <v>#N/A</v>
      </c>
      <c r="AG735" s="34" t="e">
        <f t="shared" ref="AG735" si="1738">SUM(AG724:AG734)</f>
        <v>#N/A</v>
      </c>
      <c r="AH735" s="34" t="e">
        <f t="shared" ref="AH735" si="1739">SUM(AH724:AH734)</f>
        <v>#N/A</v>
      </c>
      <c r="AI735" s="34" t="e">
        <f t="shared" ref="AI735" si="1740">SUM(AI724:AI734)</f>
        <v>#N/A</v>
      </c>
      <c r="AJ735" s="34" t="e">
        <f t="shared" ref="AJ735" si="1741">SUM(AJ724:AJ734)</f>
        <v>#N/A</v>
      </c>
      <c r="AK735" s="34" t="e">
        <f t="shared" ref="AK735" si="1742">SUM(AK724:AK734)</f>
        <v>#N/A</v>
      </c>
      <c r="AL735" s="34" t="e">
        <f t="shared" ref="AL735" si="1743">SUM(AL724:AL734)</f>
        <v>#N/A</v>
      </c>
      <c r="AM735" s="34" t="e">
        <f t="shared" ref="AM735" si="1744">SUM(AM724:AM734)</f>
        <v>#N/A</v>
      </c>
      <c r="AN735" s="34" t="e">
        <f t="shared" ref="AN735" si="1745">SUM(AN724:AN734)</f>
        <v>#N/A</v>
      </c>
      <c r="AO735" s="34" t="e">
        <f t="shared" ref="AO735" si="1746">SUM(AO724:AO734)</f>
        <v>#N/A</v>
      </c>
      <c r="AP735" s="34" t="e">
        <f t="shared" ref="AP735" si="1747">SUM(AP724:AP734)</f>
        <v>#N/A</v>
      </c>
      <c r="AQ735" s="34" t="e">
        <f t="shared" ref="AQ735" si="1748">SUM(AQ724:AQ734)</f>
        <v>#N/A</v>
      </c>
      <c r="AR735" s="34" t="e">
        <f t="shared" ref="AR735" si="1749">SUM(AR724:AR734)</f>
        <v>#N/A</v>
      </c>
      <c r="AS735" s="27"/>
      <c r="AT735" s="41"/>
      <c r="AU735" s="41"/>
      <c r="AV735" s="43"/>
      <c r="AW735" s="43"/>
      <c r="AX735" s="43"/>
      <c r="AY735" s="43"/>
      <c r="AZ735" s="43"/>
      <c r="BA735" s="43"/>
      <c r="BB735" s="43"/>
      <c r="BC735" s="43"/>
      <c r="BD735" s="43"/>
      <c r="BE735" s="43"/>
      <c r="BF735" s="43"/>
      <c r="BG735" s="43"/>
      <c r="BH735" s="43"/>
      <c r="BI735" s="43"/>
      <c r="BJ735" s="43"/>
      <c r="BK735" s="43"/>
      <c r="BL735" s="43"/>
      <c r="BM735" s="43"/>
      <c r="BN735" s="30"/>
    </row>
    <row r="736" spans="1:66" ht="11.25" customHeight="1" x14ac:dyDescent="0.2">
      <c r="A736" s="75" t="s">
        <v>63</v>
      </c>
      <c r="B736" s="76"/>
      <c r="C736" s="21"/>
      <c r="D736" s="22" t="s">
        <v>75</v>
      </c>
      <c r="E736" s="23" t="s">
        <v>70</v>
      </c>
      <c r="F736" s="23">
        <v>0</v>
      </c>
      <c r="G736" s="23">
        <v>1</v>
      </c>
      <c r="H736" s="23">
        <v>2</v>
      </c>
      <c r="I736" s="23">
        <v>3</v>
      </c>
      <c r="J736" s="23">
        <v>4</v>
      </c>
      <c r="K736" s="23">
        <v>5</v>
      </c>
      <c r="L736" s="23">
        <v>6</v>
      </c>
      <c r="M736" s="23">
        <v>7</v>
      </c>
      <c r="N736" s="23">
        <v>8</v>
      </c>
      <c r="O736" s="23">
        <v>9</v>
      </c>
      <c r="P736" s="23">
        <v>10</v>
      </c>
      <c r="Q736" s="23">
        <v>11</v>
      </c>
      <c r="R736" s="23">
        <v>12</v>
      </c>
      <c r="S736" s="23">
        <v>13</v>
      </c>
      <c r="T736" s="23">
        <v>14</v>
      </c>
      <c r="U736" s="23">
        <v>15</v>
      </c>
      <c r="V736" s="23">
        <v>16</v>
      </c>
      <c r="W736" s="23">
        <v>17</v>
      </c>
      <c r="X736" s="24"/>
      <c r="Y736" s="17"/>
      <c r="Z736" s="25" t="s">
        <v>64</v>
      </c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/>
      <c r="AR736" s="26"/>
      <c r="AS736" s="27"/>
      <c r="AT736" s="28"/>
      <c r="AU736" s="28" t="s">
        <v>64</v>
      </c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30"/>
    </row>
    <row r="737" spans="1:66" ht="11.25" customHeight="1" x14ac:dyDescent="0.2">
      <c r="A737" s="32"/>
      <c r="B737" s="72">
        <v>50</v>
      </c>
      <c r="C737" s="33">
        <v>1</v>
      </c>
      <c r="D737" s="13" t="s">
        <v>472</v>
      </c>
      <c r="E737" s="16">
        <f t="shared" ref="E737:E744" si="1750">SUM(F737:W737)</f>
        <v>30</v>
      </c>
      <c r="F737" s="16">
        <f>SUMIFS([0]!VOTOS2,[0]!TURNO1,F$31,[0]!CANDIDATO1,$C737,[0]!MUNICIPIO1,$B$737)</f>
        <v>10</v>
      </c>
      <c r="G737" s="16">
        <f>SUMIFS([0]!VOTOS2,[0]!TURNO1,G$31,[0]!CANDIDATO1,$C737,[0]!MUNICIPIO1,$B$737)</f>
        <v>0</v>
      </c>
      <c r="H737" s="16">
        <f>SUMIFS([0]!VOTOS2,[0]!TURNO1,H$31,[0]!CANDIDATO1,$C737,[0]!MUNICIPIO1,$B$737)</f>
        <v>0</v>
      </c>
      <c r="I737" s="16">
        <f>SUMIFS([0]!VOTOS2,[0]!TURNO1,I$31,[0]!CANDIDATO1,$C737,[0]!MUNICIPIO1,$B$737)</f>
        <v>20</v>
      </c>
      <c r="J737" s="16">
        <f>SUMIFS([0]!VOTOS2,[0]!TURNO1,J$31,[0]!CANDIDATO1,$C737,[0]!MUNICIPIO1,$B$737)</f>
        <v>0</v>
      </c>
      <c r="K737" s="16">
        <f>SUMIFS([0]!VOTOS2,[0]!TURNO1,K$31,[0]!CANDIDATO1,$C737,[0]!MUNICIPIO1,$B$737)</f>
        <v>0</v>
      </c>
      <c r="L737" s="16">
        <f>SUMIFS([0]!VOTOS2,[0]!TURNO1,L$31,[0]!CANDIDATO1,$C737,[0]!MUNICIPIO1,$B$737)</f>
        <v>0</v>
      </c>
      <c r="M737" s="16">
        <f>SUMIFS([0]!VOTOS2,[0]!TURNO1,M$31,[0]!CANDIDATO1,$C737,[0]!MUNICIPIO1,$B$737)</f>
        <v>0</v>
      </c>
      <c r="N737" s="16">
        <f>SUMIFS([0]!VOTOS2,[0]!TURNO1,N$31,[0]!CANDIDATO1,$C737,[0]!MUNICIPIO1,$B$737)</f>
        <v>0</v>
      </c>
      <c r="O737" s="16">
        <f>SUMIFS([0]!VOTOS2,[0]!TURNO1,O$31,[0]!CANDIDATO1,$C737,[0]!MUNICIPIO1,$B$737)</f>
        <v>0</v>
      </c>
      <c r="P737" s="16">
        <f>SUMIFS([0]!VOTOS2,[0]!TURNO1,P$31,[0]!CANDIDATO1,$C737,[0]!MUNICIPIO1,$B$737)</f>
        <v>0</v>
      </c>
      <c r="Q737" s="16">
        <f>SUMIFS([0]!VOTOS2,[0]!TURNO1,Q$31,[0]!CANDIDATO1,$C737,[0]!MUNICIPIO1,$B$737)</f>
        <v>0</v>
      </c>
      <c r="R737" s="16">
        <f>SUMIFS([0]!VOTOS2,[0]!TURNO1,R$31,[0]!CANDIDATO1,$C737,[0]!MUNICIPIO1,$B$737)</f>
        <v>0</v>
      </c>
      <c r="S737" s="16">
        <f>SUMIFS([0]!VOTOS2,[0]!TURNO1,S$31,[0]!CANDIDATO1,$C737,[0]!MUNICIPIO1,$B$737)</f>
        <v>0</v>
      </c>
      <c r="T737" s="16">
        <f>SUMIFS([0]!VOTOS2,[0]!TURNO1,T$31,[0]!CANDIDATO1,$C737,[0]!MUNICIPIO1,$B$737)</f>
        <v>0</v>
      </c>
      <c r="U737" s="16">
        <f>SUMIFS([0]!VOTOS2,[0]!TURNO1,U$31,[0]!CANDIDATO1,$C737,[0]!MUNICIPIO1,$B$737)</f>
        <v>0</v>
      </c>
      <c r="V737" s="16">
        <f>SUMIFS([0]!VOTOS2,[0]!TURNO1,V$31,[0]!CANDIDATO1,$C737,[0]!MUNICIPIO1,$B$737)</f>
        <v>0</v>
      </c>
      <c r="W737" s="16">
        <f>SUMIFS([0]!VOTOS2,[0]!TURNO1,W$31,[0]!CANDIDATO1,$C737,[0]!MUNICIPIO1,$B$737)</f>
        <v>0</v>
      </c>
      <c r="X737" s="24"/>
      <c r="Y737" s="18" t="str">
        <f t="shared" ref="Y737:Y744" si="1751">D737</f>
        <v>OMAR PRIETO</v>
      </c>
      <c r="Z737" s="34">
        <f t="shared" ref="Z737:Z744" si="1752">E737</f>
        <v>30</v>
      </c>
      <c r="AA737" s="34">
        <f t="shared" ref="AA737:AA744" si="1753">F737</f>
        <v>10</v>
      </c>
      <c r="AB737" s="34" t="e">
        <f t="shared" ref="AB737:AR737" si="1754">IF(SUM(G737:G749)=0,NA(),G737+AA737)</f>
        <v>#N/A</v>
      </c>
      <c r="AC737" s="34" t="e">
        <f t="shared" si="1754"/>
        <v>#N/A</v>
      </c>
      <c r="AD737" s="34" t="e">
        <f t="shared" si="1754"/>
        <v>#N/A</v>
      </c>
      <c r="AE737" s="34" t="e">
        <f t="shared" si="1754"/>
        <v>#N/A</v>
      </c>
      <c r="AF737" s="34" t="e">
        <f t="shared" si="1754"/>
        <v>#N/A</v>
      </c>
      <c r="AG737" s="34" t="e">
        <f t="shared" si="1754"/>
        <v>#N/A</v>
      </c>
      <c r="AH737" s="34" t="e">
        <f t="shared" si="1754"/>
        <v>#N/A</v>
      </c>
      <c r="AI737" s="34" t="e">
        <f t="shared" si="1754"/>
        <v>#N/A</v>
      </c>
      <c r="AJ737" s="34" t="e">
        <f t="shared" si="1754"/>
        <v>#N/A</v>
      </c>
      <c r="AK737" s="34" t="e">
        <f t="shared" si="1754"/>
        <v>#N/A</v>
      </c>
      <c r="AL737" s="34" t="e">
        <f t="shared" si="1754"/>
        <v>#N/A</v>
      </c>
      <c r="AM737" s="34" t="e">
        <f t="shared" si="1754"/>
        <v>#N/A</v>
      </c>
      <c r="AN737" s="34" t="e">
        <f t="shared" si="1754"/>
        <v>#N/A</v>
      </c>
      <c r="AO737" s="34" t="e">
        <f t="shared" si="1754"/>
        <v>#N/A</v>
      </c>
      <c r="AP737" s="34" t="e">
        <f t="shared" si="1754"/>
        <v>#N/A</v>
      </c>
      <c r="AQ737" s="34" t="e">
        <f t="shared" si="1754"/>
        <v>#N/A</v>
      </c>
      <c r="AR737" s="34" t="e">
        <f t="shared" si="1754"/>
        <v>#N/A</v>
      </c>
      <c r="AS737" s="27"/>
      <c r="AT737" s="35" t="str">
        <f t="shared" ref="AT737:AT738" si="1755">Y737</f>
        <v>OMAR PRIETO</v>
      </c>
      <c r="AU737" s="36">
        <f t="shared" ref="AU737:BM737" si="1756">Z737/(Z737+Z738+Z750)</f>
        <v>0.75</v>
      </c>
      <c r="AV737" s="36">
        <f t="shared" si="1756"/>
        <v>0.5</v>
      </c>
      <c r="AW737" s="36" t="e">
        <f t="shared" si="1756"/>
        <v>#N/A</v>
      </c>
      <c r="AX737" s="36" t="e">
        <f t="shared" si="1756"/>
        <v>#N/A</v>
      </c>
      <c r="AY737" s="36" t="e">
        <f t="shared" si="1756"/>
        <v>#N/A</v>
      </c>
      <c r="AZ737" s="36" t="e">
        <f t="shared" si="1756"/>
        <v>#N/A</v>
      </c>
      <c r="BA737" s="36" t="e">
        <f t="shared" si="1756"/>
        <v>#N/A</v>
      </c>
      <c r="BB737" s="36" t="e">
        <f t="shared" si="1756"/>
        <v>#N/A</v>
      </c>
      <c r="BC737" s="36" t="e">
        <f t="shared" si="1756"/>
        <v>#N/A</v>
      </c>
      <c r="BD737" s="36" t="e">
        <f t="shared" si="1756"/>
        <v>#N/A</v>
      </c>
      <c r="BE737" s="36" t="e">
        <f t="shared" si="1756"/>
        <v>#N/A</v>
      </c>
      <c r="BF737" s="36" t="e">
        <f t="shared" si="1756"/>
        <v>#N/A</v>
      </c>
      <c r="BG737" s="36" t="e">
        <f t="shared" si="1756"/>
        <v>#N/A</v>
      </c>
      <c r="BH737" s="36" t="e">
        <f t="shared" si="1756"/>
        <v>#N/A</v>
      </c>
      <c r="BI737" s="36" t="e">
        <f t="shared" si="1756"/>
        <v>#N/A</v>
      </c>
      <c r="BJ737" s="36" t="e">
        <f t="shared" si="1756"/>
        <v>#N/A</v>
      </c>
      <c r="BK737" s="36" t="e">
        <f t="shared" si="1756"/>
        <v>#N/A</v>
      </c>
      <c r="BL737" s="36" t="e">
        <f t="shared" si="1756"/>
        <v>#N/A</v>
      </c>
      <c r="BM737" s="36" t="e">
        <f t="shared" si="1756"/>
        <v>#N/A</v>
      </c>
      <c r="BN737" s="30"/>
    </row>
    <row r="738" spans="1:66" ht="11.25" customHeight="1" x14ac:dyDescent="0.2">
      <c r="A738" s="37"/>
      <c r="B738" s="73"/>
      <c r="C738" s="33">
        <v>2</v>
      </c>
      <c r="D738" s="13" t="s">
        <v>473</v>
      </c>
      <c r="E738" s="16">
        <f t="shared" si="1750"/>
        <v>10</v>
      </c>
      <c r="F738" s="16">
        <f>SUMIFS([0]!VOTOS2,[0]!TURNO1,F$31,[0]!CANDIDATO1,$C738,[0]!MUNICIPIO1,$B$737)</f>
        <v>10</v>
      </c>
      <c r="G738" s="16">
        <f>SUMIFS([0]!VOTOS2,[0]!TURNO1,G$31,[0]!CANDIDATO1,$C738,[0]!MUNICIPIO1,$B$737)</f>
        <v>0</v>
      </c>
      <c r="H738" s="16">
        <f>SUMIFS([0]!VOTOS2,[0]!TURNO1,H$31,[0]!CANDIDATO1,$C738,[0]!MUNICIPIO1,$B$737)</f>
        <v>0</v>
      </c>
      <c r="I738" s="16">
        <f>SUMIFS([0]!VOTOS2,[0]!TURNO1,I$31,[0]!CANDIDATO1,$C738,[0]!MUNICIPIO1,$B$737)</f>
        <v>0</v>
      </c>
      <c r="J738" s="16">
        <f>SUMIFS([0]!VOTOS2,[0]!TURNO1,J$31,[0]!CANDIDATO1,$C738,[0]!MUNICIPIO1,$B$737)</f>
        <v>0</v>
      </c>
      <c r="K738" s="16">
        <f>SUMIFS([0]!VOTOS2,[0]!TURNO1,K$31,[0]!CANDIDATO1,$C738,[0]!MUNICIPIO1,$B$737)</f>
        <v>0</v>
      </c>
      <c r="L738" s="16">
        <f>SUMIFS([0]!VOTOS2,[0]!TURNO1,L$31,[0]!CANDIDATO1,$C738,[0]!MUNICIPIO1,$B$737)</f>
        <v>0</v>
      </c>
      <c r="M738" s="16">
        <f>SUMIFS([0]!VOTOS2,[0]!TURNO1,M$31,[0]!CANDIDATO1,$C738,[0]!MUNICIPIO1,$B$737)</f>
        <v>0</v>
      </c>
      <c r="N738" s="16">
        <f>SUMIFS([0]!VOTOS2,[0]!TURNO1,N$31,[0]!CANDIDATO1,$C738,[0]!MUNICIPIO1,$B$737)</f>
        <v>0</v>
      </c>
      <c r="O738" s="16">
        <f>SUMIFS([0]!VOTOS2,[0]!TURNO1,O$31,[0]!CANDIDATO1,$C738,[0]!MUNICIPIO1,$B$737)</f>
        <v>0</v>
      </c>
      <c r="P738" s="16">
        <f>SUMIFS([0]!VOTOS2,[0]!TURNO1,P$31,[0]!CANDIDATO1,$C738,[0]!MUNICIPIO1,$B$737)</f>
        <v>0</v>
      </c>
      <c r="Q738" s="16">
        <f>SUMIFS([0]!VOTOS2,[0]!TURNO1,Q$31,[0]!CANDIDATO1,$C738,[0]!MUNICIPIO1,$B$737)</f>
        <v>0</v>
      </c>
      <c r="R738" s="16">
        <f>SUMIFS([0]!VOTOS2,[0]!TURNO1,R$31,[0]!CANDIDATO1,$C738,[0]!MUNICIPIO1,$B$737)</f>
        <v>0</v>
      </c>
      <c r="S738" s="16">
        <f>SUMIFS([0]!VOTOS2,[0]!TURNO1,S$31,[0]!CANDIDATO1,$C738,[0]!MUNICIPIO1,$B$737)</f>
        <v>0</v>
      </c>
      <c r="T738" s="16">
        <f>SUMIFS([0]!VOTOS2,[0]!TURNO1,T$31,[0]!CANDIDATO1,$C738,[0]!MUNICIPIO1,$B$737)</f>
        <v>0</v>
      </c>
      <c r="U738" s="16">
        <f>SUMIFS([0]!VOTOS2,[0]!TURNO1,U$31,[0]!CANDIDATO1,$C738,[0]!MUNICIPIO1,$B$737)</f>
        <v>0</v>
      </c>
      <c r="V738" s="16">
        <f>SUMIFS([0]!VOTOS2,[0]!TURNO1,V$31,[0]!CANDIDATO1,$C738,[0]!MUNICIPIO1,$B$737)</f>
        <v>0</v>
      </c>
      <c r="W738" s="16">
        <f>SUMIFS([0]!VOTOS2,[0]!TURNO1,W$31,[0]!CANDIDATO1,$C738,[0]!MUNICIPIO1,$B$737)</f>
        <v>0</v>
      </c>
      <c r="X738" s="24"/>
      <c r="Y738" s="18" t="str">
        <f t="shared" si="1751"/>
        <v>JULIO MONTOYA</v>
      </c>
      <c r="Z738" s="34">
        <f t="shared" si="1752"/>
        <v>10</v>
      </c>
      <c r="AA738" s="34">
        <f t="shared" si="1753"/>
        <v>10</v>
      </c>
      <c r="AB738" s="34" t="e">
        <f t="shared" ref="AB738:AR738" si="1757">IF(SUM(G737:G749)=0,NA(),G738+AA738)</f>
        <v>#N/A</v>
      </c>
      <c r="AC738" s="34" t="e">
        <f t="shared" si="1757"/>
        <v>#N/A</v>
      </c>
      <c r="AD738" s="34" t="e">
        <f t="shared" si="1757"/>
        <v>#N/A</v>
      </c>
      <c r="AE738" s="34" t="e">
        <f t="shared" si="1757"/>
        <v>#N/A</v>
      </c>
      <c r="AF738" s="34" t="e">
        <f t="shared" si="1757"/>
        <v>#N/A</v>
      </c>
      <c r="AG738" s="34" t="e">
        <f t="shared" si="1757"/>
        <v>#N/A</v>
      </c>
      <c r="AH738" s="34" t="e">
        <f t="shared" si="1757"/>
        <v>#N/A</v>
      </c>
      <c r="AI738" s="34" t="e">
        <f t="shared" si="1757"/>
        <v>#N/A</v>
      </c>
      <c r="AJ738" s="34" t="e">
        <f t="shared" si="1757"/>
        <v>#N/A</v>
      </c>
      <c r="AK738" s="34" t="e">
        <f t="shared" si="1757"/>
        <v>#N/A</v>
      </c>
      <c r="AL738" s="34" t="e">
        <f t="shared" si="1757"/>
        <v>#N/A</v>
      </c>
      <c r="AM738" s="34" t="e">
        <f t="shared" si="1757"/>
        <v>#N/A</v>
      </c>
      <c r="AN738" s="34" t="e">
        <f t="shared" si="1757"/>
        <v>#N/A</v>
      </c>
      <c r="AO738" s="34" t="e">
        <f t="shared" si="1757"/>
        <v>#N/A</v>
      </c>
      <c r="AP738" s="34" t="e">
        <f t="shared" si="1757"/>
        <v>#N/A</v>
      </c>
      <c r="AQ738" s="34" t="e">
        <f t="shared" si="1757"/>
        <v>#N/A</v>
      </c>
      <c r="AR738" s="34" t="e">
        <f t="shared" si="1757"/>
        <v>#N/A</v>
      </c>
      <c r="AS738" s="27"/>
      <c r="AT738" s="35" t="str">
        <f t="shared" si="1755"/>
        <v>JULIO MONTOYA</v>
      </c>
      <c r="AU738" s="36">
        <f t="shared" ref="AU738:BM738" si="1758">Z738/(Z737+Z738+Z750)</f>
        <v>0.25</v>
      </c>
      <c r="AV738" s="36">
        <f t="shared" si="1758"/>
        <v>0.5</v>
      </c>
      <c r="AW738" s="36" t="e">
        <f t="shared" si="1758"/>
        <v>#N/A</v>
      </c>
      <c r="AX738" s="36" t="e">
        <f t="shared" si="1758"/>
        <v>#N/A</v>
      </c>
      <c r="AY738" s="36" t="e">
        <f t="shared" si="1758"/>
        <v>#N/A</v>
      </c>
      <c r="AZ738" s="36" t="e">
        <f t="shared" si="1758"/>
        <v>#N/A</v>
      </c>
      <c r="BA738" s="36" t="e">
        <f t="shared" si="1758"/>
        <v>#N/A</v>
      </c>
      <c r="BB738" s="36" t="e">
        <f t="shared" si="1758"/>
        <v>#N/A</v>
      </c>
      <c r="BC738" s="36" t="e">
        <f t="shared" si="1758"/>
        <v>#N/A</v>
      </c>
      <c r="BD738" s="36" t="e">
        <f t="shared" si="1758"/>
        <v>#N/A</v>
      </c>
      <c r="BE738" s="36" t="e">
        <f t="shared" si="1758"/>
        <v>#N/A</v>
      </c>
      <c r="BF738" s="36" t="e">
        <f t="shared" si="1758"/>
        <v>#N/A</v>
      </c>
      <c r="BG738" s="36" t="e">
        <f t="shared" si="1758"/>
        <v>#N/A</v>
      </c>
      <c r="BH738" s="36" t="e">
        <f t="shared" si="1758"/>
        <v>#N/A</v>
      </c>
      <c r="BI738" s="36" t="e">
        <f t="shared" si="1758"/>
        <v>#N/A</v>
      </c>
      <c r="BJ738" s="36" t="e">
        <f t="shared" si="1758"/>
        <v>#N/A</v>
      </c>
      <c r="BK738" s="36" t="e">
        <f t="shared" si="1758"/>
        <v>#N/A</v>
      </c>
      <c r="BL738" s="36" t="e">
        <f t="shared" si="1758"/>
        <v>#N/A</v>
      </c>
      <c r="BM738" s="36" t="e">
        <f t="shared" si="1758"/>
        <v>#N/A</v>
      </c>
      <c r="BN738" s="30"/>
    </row>
    <row r="739" spans="1:66" ht="11.25" customHeight="1" x14ac:dyDescent="0.2">
      <c r="A739" s="37"/>
      <c r="B739" s="73"/>
      <c r="C739" s="33">
        <v>3</v>
      </c>
      <c r="D739" s="13" t="s">
        <v>474</v>
      </c>
      <c r="E739" s="16">
        <f t="shared" si="1750"/>
        <v>0</v>
      </c>
      <c r="F739" s="16">
        <f>SUMIFS([0]!VOTOS2,[0]!TURNO1,F$31,[0]!CANDIDATO1,$C739,[0]!MUNICIPIO1,$B$737)</f>
        <v>0</v>
      </c>
      <c r="G739" s="16">
        <f>SUMIFS([0]!VOTOS2,[0]!TURNO1,G$31,[0]!CANDIDATO1,$C739,[0]!MUNICIPIO1,$B$737)</f>
        <v>0</v>
      </c>
      <c r="H739" s="16">
        <f>SUMIFS([0]!VOTOS2,[0]!TURNO1,H$31,[0]!CANDIDATO1,$C739,[0]!MUNICIPIO1,$B$737)</f>
        <v>0</v>
      </c>
      <c r="I739" s="16">
        <f>SUMIFS([0]!VOTOS2,[0]!TURNO1,I$31,[0]!CANDIDATO1,$C739,[0]!MUNICIPIO1,$B$737)</f>
        <v>0</v>
      </c>
      <c r="J739" s="16">
        <f>SUMIFS([0]!VOTOS2,[0]!TURNO1,J$31,[0]!CANDIDATO1,$C739,[0]!MUNICIPIO1,$B$737)</f>
        <v>0</v>
      </c>
      <c r="K739" s="16">
        <f>SUMIFS([0]!VOTOS2,[0]!TURNO1,K$31,[0]!CANDIDATO1,$C739,[0]!MUNICIPIO1,$B$737)</f>
        <v>0</v>
      </c>
      <c r="L739" s="16">
        <f>SUMIFS([0]!VOTOS2,[0]!TURNO1,L$31,[0]!CANDIDATO1,$C739,[0]!MUNICIPIO1,$B$737)</f>
        <v>0</v>
      </c>
      <c r="M739" s="16">
        <f>SUMIFS([0]!VOTOS2,[0]!TURNO1,M$31,[0]!CANDIDATO1,$C739,[0]!MUNICIPIO1,$B$737)</f>
        <v>0</v>
      </c>
      <c r="N739" s="16">
        <f>SUMIFS([0]!VOTOS2,[0]!TURNO1,N$31,[0]!CANDIDATO1,$C739,[0]!MUNICIPIO1,$B$737)</f>
        <v>0</v>
      </c>
      <c r="O739" s="16">
        <f>SUMIFS([0]!VOTOS2,[0]!TURNO1,O$31,[0]!CANDIDATO1,$C739,[0]!MUNICIPIO1,$B$737)</f>
        <v>0</v>
      </c>
      <c r="P739" s="16">
        <f>SUMIFS([0]!VOTOS2,[0]!TURNO1,P$31,[0]!CANDIDATO1,$C739,[0]!MUNICIPIO1,$B$737)</f>
        <v>0</v>
      </c>
      <c r="Q739" s="16">
        <f>SUMIFS([0]!VOTOS2,[0]!TURNO1,Q$31,[0]!CANDIDATO1,$C739,[0]!MUNICIPIO1,$B$737)</f>
        <v>0</v>
      </c>
      <c r="R739" s="16">
        <f>SUMIFS([0]!VOTOS2,[0]!TURNO1,R$31,[0]!CANDIDATO1,$C739,[0]!MUNICIPIO1,$B$737)</f>
        <v>0</v>
      </c>
      <c r="S739" s="16">
        <f>SUMIFS([0]!VOTOS2,[0]!TURNO1,S$31,[0]!CANDIDATO1,$C739,[0]!MUNICIPIO1,$B$737)</f>
        <v>0</v>
      </c>
      <c r="T739" s="16">
        <f>SUMIFS([0]!VOTOS2,[0]!TURNO1,T$31,[0]!CANDIDATO1,$C739,[0]!MUNICIPIO1,$B$737)</f>
        <v>0</v>
      </c>
      <c r="U739" s="16">
        <f>SUMIFS([0]!VOTOS2,[0]!TURNO1,U$31,[0]!CANDIDATO1,$C739,[0]!MUNICIPIO1,$B$737)</f>
        <v>0</v>
      </c>
      <c r="V739" s="16">
        <f>SUMIFS([0]!VOTOS2,[0]!TURNO1,V$31,[0]!CANDIDATO1,$C739,[0]!MUNICIPIO1,$B$737)</f>
        <v>0</v>
      </c>
      <c r="W739" s="16">
        <f>SUMIFS([0]!VOTOS2,[0]!TURNO1,W$31,[0]!CANDIDATO1,$C739,[0]!MUNICIPIO1,$B$737)</f>
        <v>0</v>
      </c>
      <c r="X739" s="24"/>
      <c r="Y739" s="18" t="str">
        <f t="shared" si="1751"/>
        <v>MARCOS GAMBUS</v>
      </c>
      <c r="Z739" s="34">
        <f t="shared" si="1752"/>
        <v>0</v>
      </c>
      <c r="AA739" s="34">
        <f t="shared" si="1753"/>
        <v>0</v>
      </c>
      <c r="AB739" s="34" t="e">
        <f t="shared" ref="AB739:AR739" si="1759">IF(SUM(G737:G749)=0,NA(),G739+AA739)</f>
        <v>#N/A</v>
      </c>
      <c r="AC739" s="34" t="e">
        <f t="shared" si="1759"/>
        <v>#N/A</v>
      </c>
      <c r="AD739" s="34" t="e">
        <f t="shared" si="1759"/>
        <v>#N/A</v>
      </c>
      <c r="AE739" s="34" t="e">
        <f t="shared" si="1759"/>
        <v>#N/A</v>
      </c>
      <c r="AF739" s="34" t="e">
        <f t="shared" si="1759"/>
        <v>#N/A</v>
      </c>
      <c r="AG739" s="34" t="e">
        <f t="shared" si="1759"/>
        <v>#N/A</v>
      </c>
      <c r="AH739" s="34" t="e">
        <f t="shared" si="1759"/>
        <v>#N/A</v>
      </c>
      <c r="AI739" s="34" t="e">
        <f t="shared" si="1759"/>
        <v>#N/A</v>
      </c>
      <c r="AJ739" s="34" t="e">
        <f t="shared" si="1759"/>
        <v>#N/A</v>
      </c>
      <c r="AK739" s="34" t="e">
        <f t="shared" si="1759"/>
        <v>#N/A</v>
      </c>
      <c r="AL739" s="34" t="e">
        <f t="shared" si="1759"/>
        <v>#N/A</v>
      </c>
      <c r="AM739" s="34" t="e">
        <f t="shared" si="1759"/>
        <v>#N/A</v>
      </c>
      <c r="AN739" s="34" t="e">
        <f t="shared" si="1759"/>
        <v>#N/A</v>
      </c>
      <c r="AO739" s="34" t="e">
        <f t="shared" si="1759"/>
        <v>#N/A</v>
      </c>
      <c r="AP739" s="34" t="e">
        <f t="shared" si="1759"/>
        <v>#N/A</v>
      </c>
      <c r="AQ739" s="34" t="e">
        <f t="shared" si="1759"/>
        <v>#N/A</v>
      </c>
      <c r="AR739" s="34" t="e">
        <f t="shared" si="1759"/>
        <v>#N/A</v>
      </c>
      <c r="AS739" s="27"/>
      <c r="AT739" s="35" t="str">
        <f t="shared" ref="AT739" si="1760">Y750</f>
        <v>Otros</v>
      </c>
      <c r="AU739" s="36">
        <f t="shared" ref="AU739:BM739" si="1761">Z750/(Z737+Z738+Z750)</f>
        <v>0</v>
      </c>
      <c r="AV739" s="36">
        <f t="shared" si="1761"/>
        <v>0</v>
      </c>
      <c r="AW739" s="36" t="e">
        <f t="shared" si="1761"/>
        <v>#N/A</v>
      </c>
      <c r="AX739" s="36" t="e">
        <f t="shared" si="1761"/>
        <v>#N/A</v>
      </c>
      <c r="AY739" s="36" t="e">
        <f t="shared" si="1761"/>
        <v>#N/A</v>
      </c>
      <c r="AZ739" s="36" t="e">
        <f t="shared" si="1761"/>
        <v>#N/A</v>
      </c>
      <c r="BA739" s="36" t="e">
        <f t="shared" si="1761"/>
        <v>#N/A</v>
      </c>
      <c r="BB739" s="36" t="e">
        <f t="shared" si="1761"/>
        <v>#N/A</v>
      </c>
      <c r="BC739" s="36" t="e">
        <f t="shared" si="1761"/>
        <v>#N/A</v>
      </c>
      <c r="BD739" s="36" t="e">
        <f t="shared" si="1761"/>
        <v>#N/A</v>
      </c>
      <c r="BE739" s="36" t="e">
        <f t="shared" si="1761"/>
        <v>#N/A</v>
      </c>
      <c r="BF739" s="36" t="e">
        <f t="shared" si="1761"/>
        <v>#N/A</v>
      </c>
      <c r="BG739" s="36" t="e">
        <f t="shared" si="1761"/>
        <v>#N/A</v>
      </c>
      <c r="BH739" s="36" t="e">
        <f t="shared" si="1761"/>
        <v>#N/A</v>
      </c>
      <c r="BI739" s="36" t="e">
        <f t="shared" si="1761"/>
        <v>#N/A</v>
      </c>
      <c r="BJ739" s="36" t="e">
        <f t="shared" si="1761"/>
        <v>#N/A</v>
      </c>
      <c r="BK739" s="36" t="e">
        <f t="shared" si="1761"/>
        <v>#N/A</v>
      </c>
      <c r="BL739" s="36" t="e">
        <f t="shared" si="1761"/>
        <v>#N/A</v>
      </c>
      <c r="BM739" s="36" t="e">
        <f t="shared" si="1761"/>
        <v>#N/A</v>
      </c>
      <c r="BN739" s="30"/>
    </row>
    <row r="740" spans="1:66" ht="11.25" customHeight="1" x14ac:dyDescent="0.2">
      <c r="A740" s="38" t="s">
        <v>54</v>
      </c>
      <c r="B740" s="73"/>
      <c r="C740" s="33">
        <v>4</v>
      </c>
      <c r="D740" s="13" t="s">
        <v>475</v>
      </c>
      <c r="E740" s="16">
        <f t="shared" si="1750"/>
        <v>0</v>
      </c>
      <c r="F740" s="16">
        <f>SUMIFS([0]!VOTOS2,[0]!TURNO1,F$31,[0]!CANDIDATO1,$C740,[0]!MUNICIPIO1,$B$737)</f>
        <v>0</v>
      </c>
      <c r="G740" s="16">
        <f>SUMIFS([0]!VOTOS2,[0]!TURNO1,G$31,[0]!CANDIDATO1,$C740,[0]!MUNICIPIO1,$B$737)</f>
        <v>0</v>
      </c>
      <c r="H740" s="16">
        <f>SUMIFS([0]!VOTOS2,[0]!TURNO1,H$31,[0]!CANDIDATO1,$C740,[0]!MUNICIPIO1,$B$737)</f>
        <v>0</v>
      </c>
      <c r="I740" s="16">
        <f>SUMIFS([0]!VOTOS2,[0]!TURNO1,I$31,[0]!CANDIDATO1,$C740,[0]!MUNICIPIO1,$B$737)</f>
        <v>0</v>
      </c>
      <c r="J740" s="16">
        <f>SUMIFS([0]!VOTOS2,[0]!TURNO1,J$31,[0]!CANDIDATO1,$C740,[0]!MUNICIPIO1,$B$737)</f>
        <v>0</v>
      </c>
      <c r="K740" s="16">
        <f>SUMIFS([0]!VOTOS2,[0]!TURNO1,K$31,[0]!CANDIDATO1,$C740,[0]!MUNICIPIO1,$B$737)</f>
        <v>0</v>
      </c>
      <c r="L740" s="16">
        <f>SUMIFS([0]!VOTOS2,[0]!TURNO1,L$31,[0]!CANDIDATO1,$C740,[0]!MUNICIPIO1,$B$737)</f>
        <v>0</v>
      </c>
      <c r="M740" s="16">
        <f>SUMIFS([0]!VOTOS2,[0]!TURNO1,M$31,[0]!CANDIDATO1,$C740,[0]!MUNICIPIO1,$B$737)</f>
        <v>0</v>
      </c>
      <c r="N740" s="16">
        <f>SUMIFS([0]!VOTOS2,[0]!TURNO1,N$31,[0]!CANDIDATO1,$C740,[0]!MUNICIPIO1,$B$737)</f>
        <v>0</v>
      </c>
      <c r="O740" s="16">
        <f>SUMIFS([0]!VOTOS2,[0]!TURNO1,O$31,[0]!CANDIDATO1,$C740,[0]!MUNICIPIO1,$B$737)</f>
        <v>0</v>
      </c>
      <c r="P740" s="16">
        <f>SUMIFS([0]!VOTOS2,[0]!TURNO1,P$31,[0]!CANDIDATO1,$C740,[0]!MUNICIPIO1,$B$737)</f>
        <v>0</v>
      </c>
      <c r="Q740" s="16">
        <f>SUMIFS([0]!VOTOS2,[0]!TURNO1,Q$31,[0]!CANDIDATO1,$C740,[0]!MUNICIPIO1,$B$737)</f>
        <v>0</v>
      </c>
      <c r="R740" s="16">
        <f>SUMIFS([0]!VOTOS2,[0]!TURNO1,R$31,[0]!CANDIDATO1,$C740,[0]!MUNICIPIO1,$B$737)</f>
        <v>0</v>
      </c>
      <c r="S740" s="16">
        <f>SUMIFS([0]!VOTOS2,[0]!TURNO1,S$31,[0]!CANDIDATO1,$C740,[0]!MUNICIPIO1,$B$737)</f>
        <v>0</v>
      </c>
      <c r="T740" s="16">
        <f>SUMIFS([0]!VOTOS2,[0]!TURNO1,T$31,[0]!CANDIDATO1,$C740,[0]!MUNICIPIO1,$B$737)</f>
        <v>0</v>
      </c>
      <c r="U740" s="16">
        <f>SUMIFS([0]!VOTOS2,[0]!TURNO1,U$31,[0]!CANDIDATO1,$C740,[0]!MUNICIPIO1,$B$737)</f>
        <v>0</v>
      </c>
      <c r="V740" s="16">
        <f>SUMIFS([0]!VOTOS2,[0]!TURNO1,V$31,[0]!CANDIDATO1,$C740,[0]!MUNICIPIO1,$B$737)</f>
        <v>0</v>
      </c>
      <c r="W740" s="16">
        <f>SUMIFS([0]!VOTOS2,[0]!TURNO1,W$31,[0]!CANDIDATO1,$C740,[0]!MUNICIPIO1,$B$737)</f>
        <v>0</v>
      </c>
      <c r="X740" s="24"/>
      <c r="Y740" s="18" t="str">
        <f t="shared" si="1751"/>
        <v>YOLANDA SILIE</v>
      </c>
      <c r="Z740" s="34">
        <f t="shared" si="1752"/>
        <v>0</v>
      </c>
      <c r="AA740" s="34">
        <f t="shared" si="1753"/>
        <v>0</v>
      </c>
      <c r="AB740" s="34" t="e">
        <f t="shared" ref="AB740:AR740" si="1762">IF(SUM(G737:G749)=0,NA(),G740+AA740)</f>
        <v>#N/A</v>
      </c>
      <c r="AC740" s="34" t="e">
        <f t="shared" si="1762"/>
        <v>#N/A</v>
      </c>
      <c r="AD740" s="34" t="e">
        <f t="shared" si="1762"/>
        <v>#N/A</v>
      </c>
      <c r="AE740" s="34" t="e">
        <f t="shared" si="1762"/>
        <v>#N/A</v>
      </c>
      <c r="AF740" s="34" t="e">
        <f t="shared" si="1762"/>
        <v>#N/A</v>
      </c>
      <c r="AG740" s="34" t="e">
        <f t="shared" si="1762"/>
        <v>#N/A</v>
      </c>
      <c r="AH740" s="34" t="e">
        <f t="shared" si="1762"/>
        <v>#N/A</v>
      </c>
      <c r="AI740" s="34" t="e">
        <f t="shared" si="1762"/>
        <v>#N/A</v>
      </c>
      <c r="AJ740" s="34" t="e">
        <f t="shared" si="1762"/>
        <v>#N/A</v>
      </c>
      <c r="AK740" s="34" t="e">
        <f t="shared" si="1762"/>
        <v>#N/A</v>
      </c>
      <c r="AL740" s="34" t="e">
        <f t="shared" si="1762"/>
        <v>#N/A</v>
      </c>
      <c r="AM740" s="34" t="e">
        <f t="shared" si="1762"/>
        <v>#N/A</v>
      </c>
      <c r="AN740" s="34" t="e">
        <f t="shared" si="1762"/>
        <v>#N/A</v>
      </c>
      <c r="AO740" s="34" t="e">
        <f t="shared" si="1762"/>
        <v>#N/A</v>
      </c>
      <c r="AP740" s="34" t="e">
        <f t="shared" si="1762"/>
        <v>#N/A</v>
      </c>
      <c r="AQ740" s="34" t="e">
        <f t="shared" si="1762"/>
        <v>#N/A</v>
      </c>
      <c r="AR740" s="34" t="e">
        <f t="shared" si="1762"/>
        <v>#N/A</v>
      </c>
      <c r="AS740" s="27"/>
      <c r="AT740" s="39"/>
      <c r="AU740" s="39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30"/>
    </row>
    <row r="741" spans="1:66" ht="11.25" customHeight="1" x14ac:dyDescent="0.2">
      <c r="A741" s="38" t="s">
        <v>59</v>
      </c>
      <c r="B741" s="73"/>
      <c r="C741" s="33">
        <v>5</v>
      </c>
      <c r="D741" s="13" t="s">
        <v>476</v>
      </c>
      <c r="E741" s="16">
        <f t="shared" si="1750"/>
        <v>0</v>
      </c>
      <c r="F741" s="16">
        <f>SUMIFS([0]!VOTOS2,[0]!TURNO1,F$31,[0]!CANDIDATO1,$C741,[0]!MUNICIPIO1,$B$737)</f>
        <v>0</v>
      </c>
      <c r="G741" s="16">
        <f>SUMIFS([0]!VOTOS2,[0]!TURNO1,G$31,[0]!CANDIDATO1,$C741,[0]!MUNICIPIO1,$B$737)</f>
        <v>0</v>
      </c>
      <c r="H741" s="16">
        <f>SUMIFS([0]!VOTOS2,[0]!TURNO1,H$31,[0]!CANDIDATO1,$C741,[0]!MUNICIPIO1,$B$737)</f>
        <v>0</v>
      </c>
      <c r="I741" s="16">
        <f>SUMIFS([0]!VOTOS2,[0]!TURNO1,I$31,[0]!CANDIDATO1,$C741,[0]!MUNICIPIO1,$B$737)</f>
        <v>0</v>
      </c>
      <c r="J741" s="16">
        <f>SUMIFS([0]!VOTOS2,[0]!TURNO1,J$31,[0]!CANDIDATO1,$C741,[0]!MUNICIPIO1,$B$737)</f>
        <v>0</v>
      </c>
      <c r="K741" s="16">
        <f>SUMIFS([0]!VOTOS2,[0]!TURNO1,K$31,[0]!CANDIDATO1,$C741,[0]!MUNICIPIO1,$B$737)</f>
        <v>0</v>
      </c>
      <c r="L741" s="16">
        <f>SUMIFS([0]!VOTOS2,[0]!TURNO1,L$31,[0]!CANDIDATO1,$C741,[0]!MUNICIPIO1,$B$737)</f>
        <v>0</v>
      </c>
      <c r="M741" s="16">
        <f>SUMIFS([0]!VOTOS2,[0]!TURNO1,M$31,[0]!CANDIDATO1,$C741,[0]!MUNICIPIO1,$B$737)</f>
        <v>0</v>
      </c>
      <c r="N741" s="16">
        <f>SUMIFS([0]!VOTOS2,[0]!TURNO1,N$31,[0]!CANDIDATO1,$C741,[0]!MUNICIPIO1,$B$737)</f>
        <v>0</v>
      </c>
      <c r="O741" s="16">
        <f>SUMIFS([0]!VOTOS2,[0]!TURNO1,O$31,[0]!CANDIDATO1,$C741,[0]!MUNICIPIO1,$B$737)</f>
        <v>0</v>
      </c>
      <c r="P741" s="16">
        <f>SUMIFS([0]!VOTOS2,[0]!TURNO1,P$31,[0]!CANDIDATO1,$C741,[0]!MUNICIPIO1,$B$737)</f>
        <v>0</v>
      </c>
      <c r="Q741" s="16">
        <f>SUMIFS([0]!VOTOS2,[0]!TURNO1,Q$31,[0]!CANDIDATO1,$C741,[0]!MUNICIPIO1,$B$737)</f>
        <v>0</v>
      </c>
      <c r="R741" s="16">
        <f>SUMIFS([0]!VOTOS2,[0]!TURNO1,R$31,[0]!CANDIDATO1,$C741,[0]!MUNICIPIO1,$B$737)</f>
        <v>0</v>
      </c>
      <c r="S741" s="16">
        <f>SUMIFS([0]!VOTOS2,[0]!TURNO1,S$31,[0]!CANDIDATO1,$C741,[0]!MUNICIPIO1,$B$737)</f>
        <v>0</v>
      </c>
      <c r="T741" s="16">
        <f>SUMIFS([0]!VOTOS2,[0]!TURNO1,T$31,[0]!CANDIDATO1,$C741,[0]!MUNICIPIO1,$B$737)</f>
        <v>0</v>
      </c>
      <c r="U741" s="16">
        <f>SUMIFS([0]!VOTOS2,[0]!TURNO1,U$31,[0]!CANDIDATO1,$C741,[0]!MUNICIPIO1,$B$737)</f>
        <v>0</v>
      </c>
      <c r="V741" s="16">
        <f>SUMIFS([0]!VOTOS2,[0]!TURNO1,V$31,[0]!CANDIDATO1,$C741,[0]!MUNICIPIO1,$B$737)</f>
        <v>0</v>
      </c>
      <c r="W741" s="16">
        <f>SUMIFS([0]!VOTOS2,[0]!TURNO1,W$31,[0]!CANDIDATO1,$C741,[0]!MUNICIPIO1,$B$737)</f>
        <v>0</v>
      </c>
      <c r="X741" s="24"/>
      <c r="Y741" s="18" t="str">
        <f t="shared" si="1751"/>
        <v>CARLOS DUARTE</v>
      </c>
      <c r="Z741" s="34">
        <f t="shared" si="1752"/>
        <v>0</v>
      </c>
      <c r="AA741" s="34">
        <f t="shared" si="1753"/>
        <v>0</v>
      </c>
      <c r="AB741" s="34" t="e">
        <f t="shared" ref="AB741:AR741" si="1763">IF(SUM(G737:G749)=0,NA(),G741+AA741)</f>
        <v>#N/A</v>
      </c>
      <c r="AC741" s="34" t="e">
        <f t="shared" si="1763"/>
        <v>#N/A</v>
      </c>
      <c r="AD741" s="34" t="e">
        <f t="shared" si="1763"/>
        <v>#N/A</v>
      </c>
      <c r="AE741" s="34" t="e">
        <f t="shared" si="1763"/>
        <v>#N/A</v>
      </c>
      <c r="AF741" s="34" t="e">
        <f t="shared" si="1763"/>
        <v>#N/A</v>
      </c>
      <c r="AG741" s="34" t="e">
        <f t="shared" si="1763"/>
        <v>#N/A</v>
      </c>
      <c r="AH741" s="34" t="e">
        <f t="shared" si="1763"/>
        <v>#N/A</v>
      </c>
      <c r="AI741" s="34" t="e">
        <f t="shared" si="1763"/>
        <v>#N/A</v>
      </c>
      <c r="AJ741" s="34" t="e">
        <f t="shared" si="1763"/>
        <v>#N/A</v>
      </c>
      <c r="AK741" s="34" t="e">
        <f t="shared" si="1763"/>
        <v>#N/A</v>
      </c>
      <c r="AL741" s="34" t="e">
        <f t="shared" si="1763"/>
        <v>#N/A</v>
      </c>
      <c r="AM741" s="34" t="e">
        <f t="shared" si="1763"/>
        <v>#N/A</v>
      </c>
      <c r="AN741" s="34" t="e">
        <f t="shared" si="1763"/>
        <v>#N/A</v>
      </c>
      <c r="AO741" s="34" t="e">
        <f t="shared" si="1763"/>
        <v>#N/A</v>
      </c>
      <c r="AP741" s="34" t="e">
        <f t="shared" si="1763"/>
        <v>#N/A</v>
      </c>
      <c r="AQ741" s="34" t="e">
        <f t="shared" si="1763"/>
        <v>#N/A</v>
      </c>
      <c r="AR741" s="34" t="e">
        <f t="shared" si="1763"/>
        <v>#N/A</v>
      </c>
      <c r="AS741" s="27"/>
      <c r="AT741" s="39"/>
      <c r="AU741" s="39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30"/>
    </row>
    <row r="742" spans="1:66" ht="11.25" customHeight="1" x14ac:dyDescent="0.2">
      <c r="A742" s="37"/>
      <c r="B742" s="73"/>
      <c r="C742" s="33">
        <v>6</v>
      </c>
      <c r="D742" s="13" t="s">
        <v>477</v>
      </c>
      <c r="E742" s="16">
        <f t="shared" si="1750"/>
        <v>0</v>
      </c>
      <c r="F742" s="16">
        <f>SUMIFS([0]!VOTOS2,[0]!TURNO1,F$31,[0]!CANDIDATO1,$C742,[0]!MUNICIPIO1,$B$737)</f>
        <v>0</v>
      </c>
      <c r="G742" s="16">
        <f>SUMIFS([0]!VOTOS2,[0]!TURNO1,G$31,[0]!CANDIDATO1,$C742,[0]!MUNICIPIO1,$B$737)</f>
        <v>0</v>
      </c>
      <c r="H742" s="16">
        <f>SUMIFS([0]!VOTOS2,[0]!TURNO1,H$31,[0]!CANDIDATO1,$C742,[0]!MUNICIPIO1,$B$737)</f>
        <v>0</v>
      </c>
      <c r="I742" s="16">
        <f>SUMIFS([0]!VOTOS2,[0]!TURNO1,I$31,[0]!CANDIDATO1,$C742,[0]!MUNICIPIO1,$B$737)</f>
        <v>0</v>
      </c>
      <c r="J742" s="16">
        <f>SUMIFS([0]!VOTOS2,[0]!TURNO1,J$31,[0]!CANDIDATO1,$C742,[0]!MUNICIPIO1,$B$737)</f>
        <v>0</v>
      </c>
      <c r="K742" s="16">
        <f>SUMIFS([0]!VOTOS2,[0]!TURNO1,K$31,[0]!CANDIDATO1,$C742,[0]!MUNICIPIO1,$B$737)</f>
        <v>0</v>
      </c>
      <c r="L742" s="16">
        <f>SUMIFS([0]!VOTOS2,[0]!TURNO1,L$31,[0]!CANDIDATO1,$C742,[0]!MUNICIPIO1,$B$737)</f>
        <v>0</v>
      </c>
      <c r="M742" s="16">
        <f>SUMIFS([0]!VOTOS2,[0]!TURNO1,M$31,[0]!CANDIDATO1,$C742,[0]!MUNICIPIO1,$B$737)</f>
        <v>0</v>
      </c>
      <c r="N742" s="16">
        <f>SUMIFS([0]!VOTOS2,[0]!TURNO1,N$31,[0]!CANDIDATO1,$C742,[0]!MUNICIPIO1,$B$737)</f>
        <v>0</v>
      </c>
      <c r="O742" s="16">
        <f>SUMIFS([0]!VOTOS2,[0]!TURNO1,O$31,[0]!CANDIDATO1,$C742,[0]!MUNICIPIO1,$B$737)</f>
        <v>0</v>
      </c>
      <c r="P742" s="16">
        <f>SUMIFS([0]!VOTOS2,[0]!TURNO1,P$31,[0]!CANDIDATO1,$C742,[0]!MUNICIPIO1,$B$737)</f>
        <v>0</v>
      </c>
      <c r="Q742" s="16">
        <f>SUMIFS([0]!VOTOS2,[0]!TURNO1,Q$31,[0]!CANDIDATO1,$C742,[0]!MUNICIPIO1,$B$737)</f>
        <v>0</v>
      </c>
      <c r="R742" s="16">
        <f>SUMIFS([0]!VOTOS2,[0]!TURNO1,R$31,[0]!CANDIDATO1,$C742,[0]!MUNICIPIO1,$B$737)</f>
        <v>0</v>
      </c>
      <c r="S742" s="16">
        <f>SUMIFS([0]!VOTOS2,[0]!TURNO1,S$31,[0]!CANDIDATO1,$C742,[0]!MUNICIPIO1,$B$737)</f>
        <v>0</v>
      </c>
      <c r="T742" s="16">
        <f>SUMIFS([0]!VOTOS2,[0]!TURNO1,T$31,[0]!CANDIDATO1,$C742,[0]!MUNICIPIO1,$B$737)</f>
        <v>0</v>
      </c>
      <c r="U742" s="16">
        <f>SUMIFS([0]!VOTOS2,[0]!TURNO1,U$31,[0]!CANDIDATO1,$C742,[0]!MUNICIPIO1,$B$737)</f>
        <v>0</v>
      </c>
      <c r="V742" s="16">
        <f>SUMIFS([0]!VOTOS2,[0]!TURNO1,V$31,[0]!CANDIDATO1,$C742,[0]!MUNICIPIO1,$B$737)</f>
        <v>0</v>
      </c>
      <c r="W742" s="16">
        <f>SUMIFS([0]!VOTOS2,[0]!TURNO1,W$31,[0]!CANDIDATO1,$C742,[0]!MUNICIPIO1,$B$737)</f>
        <v>0</v>
      </c>
      <c r="X742" s="24"/>
      <c r="Y742" s="18" t="str">
        <f t="shared" si="1751"/>
        <v>JOSE SOTO</v>
      </c>
      <c r="Z742" s="34">
        <f t="shared" si="1752"/>
        <v>0</v>
      </c>
      <c r="AA742" s="34">
        <f t="shared" si="1753"/>
        <v>0</v>
      </c>
      <c r="AB742" s="34" t="e">
        <f t="shared" ref="AB742:AR742" si="1764">IF(SUM(G737:G749)=0,NA(),G742+AA742)</f>
        <v>#N/A</v>
      </c>
      <c r="AC742" s="34" t="e">
        <f t="shared" si="1764"/>
        <v>#N/A</v>
      </c>
      <c r="AD742" s="34" t="e">
        <f t="shared" si="1764"/>
        <v>#N/A</v>
      </c>
      <c r="AE742" s="34" t="e">
        <f t="shared" si="1764"/>
        <v>#N/A</v>
      </c>
      <c r="AF742" s="34" t="e">
        <f t="shared" si="1764"/>
        <v>#N/A</v>
      </c>
      <c r="AG742" s="34" t="e">
        <f t="shared" si="1764"/>
        <v>#N/A</v>
      </c>
      <c r="AH742" s="34" t="e">
        <f t="shared" si="1764"/>
        <v>#N/A</v>
      </c>
      <c r="AI742" s="34" t="e">
        <f t="shared" si="1764"/>
        <v>#N/A</v>
      </c>
      <c r="AJ742" s="34" t="e">
        <f t="shared" si="1764"/>
        <v>#N/A</v>
      </c>
      <c r="AK742" s="34" t="e">
        <f t="shared" si="1764"/>
        <v>#N/A</v>
      </c>
      <c r="AL742" s="34" t="e">
        <f t="shared" si="1764"/>
        <v>#N/A</v>
      </c>
      <c r="AM742" s="34" t="e">
        <f t="shared" si="1764"/>
        <v>#N/A</v>
      </c>
      <c r="AN742" s="34" t="e">
        <f t="shared" si="1764"/>
        <v>#N/A</v>
      </c>
      <c r="AO742" s="34" t="e">
        <f t="shared" si="1764"/>
        <v>#N/A</v>
      </c>
      <c r="AP742" s="34" t="e">
        <f t="shared" si="1764"/>
        <v>#N/A</v>
      </c>
      <c r="AQ742" s="34" t="e">
        <f t="shared" si="1764"/>
        <v>#N/A</v>
      </c>
      <c r="AR742" s="34" t="e">
        <f t="shared" si="1764"/>
        <v>#N/A</v>
      </c>
      <c r="AS742" s="27"/>
      <c r="AT742" s="39"/>
      <c r="AU742" s="39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30"/>
    </row>
    <row r="743" spans="1:66" ht="11.25" customHeight="1" x14ac:dyDescent="0.2">
      <c r="A743" s="37"/>
      <c r="B743" s="73"/>
      <c r="C743" s="33">
        <v>7</v>
      </c>
      <c r="D743" s="13" t="s">
        <v>478</v>
      </c>
      <c r="E743" s="16">
        <f t="shared" si="1750"/>
        <v>0</v>
      </c>
      <c r="F743" s="16">
        <f>SUMIFS([0]!VOTOS2,[0]!TURNO1,F$31,[0]!CANDIDATO1,$C743,[0]!MUNICIPIO1,$B$737)</f>
        <v>0</v>
      </c>
      <c r="G743" s="16">
        <f>SUMIFS([0]!VOTOS2,[0]!TURNO1,G$31,[0]!CANDIDATO1,$C743,[0]!MUNICIPIO1,$B$737)</f>
        <v>0</v>
      </c>
      <c r="H743" s="16">
        <f>SUMIFS([0]!VOTOS2,[0]!TURNO1,H$31,[0]!CANDIDATO1,$C743,[0]!MUNICIPIO1,$B$737)</f>
        <v>0</v>
      </c>
      <c r="I743" s="16">
        <f>SUMIFS([0]!VOTOS2,[0]!TURNO1,I$31,[0]!CANDIDATO1,$C743,[0]!MUNICIPIO1,$B$737)</f>
        <v>0</v>
      </c>
      <c r="J743" s="16">
        <f>SUMIFS([0]!VOTOS2,[0]!TURNO1,J$31,[0]!CANDIDATO1,$C743,[0]!MUNICIPIO1,$B$737)</f>
        <v>0</v>
      </c>
      <c r="K743" s="16">
        <f>SUMIFS([0]!VOTOS2,[0]!TURNO1,K$31,[0]!CANDIDATO1,$C743,[0]!MUNICIPIO1,$B$737)</f>
        <v>0</v>
      </c>
      <c r="L743" s="16">
        <f>SUMIFS([0]!VOTOS2,[0]!TURNO1,L$31,[0]!CANDIDATO1,$C743,[0]!MUNICIPIO1,$B$737)</f>
        <v>0</v>
      </c>
      <c r="M743" s="16">
        <f>SUMIFS([0]!VOTOS2,[0]!TURNO1,M$31,[0]!CANDIDATO1,$C743,[0]!MUNICIPIO1,$B$737)</f>
        <v>0</v>
      </c>
      <c r="N743" s="16">
        <f>SUMIFS([0]!VOTOS2,[0]!TURNO1,N$31,[0]!CANDIDATO1,$C743,[0]!MUNICIPIO1,$B$737)</f>
        <v>0</v>
      </c>
      <c r="O743" s="16">
        <f>SUMIFS([0]!VOTOS2,[0]!TURNO1,O$31,[0]!CANDIDATO1,$C743,[0]!MUNICIPIO1,$B$737)</f>
        <v>0</v>
      </c>
      <c r="P743" s="16">
        <f>SUMIFS([0]!VOTOS2,[0]!TURNO1,P$31,[0]!CANDIDATO1,$C743,[0]!MUNICIPIO1,$B$737)</f>
        <v>0</v>
      </c>
      <c r="Q743" s="16">
        <f>SUMIFS([0]!VOTOS2,[0]!TURNO1,Q$31,[0]!CANDIDATO1,$C743,[0]!MUNICIPIO1,$B$737)</f>
        <v>0</v>
      </c>
      <c r="R743" s="16">
        <f>SUMIFS([0]!VOTOS2,[0]!TURNO1,R$31,[0]!CANDIDATO1,$C743,[0]!MUNICIPIO1,$B$737)</f>
        <v>0</v>
      </c>
      <c r="S743" s="16">
        <f>SUMIFS([0]!VOTOS2,[0]!TURNO1,S$31,[0]!CANDIDATO1,$C743,[0]!MUNICIPIO1,$B$737)</f>
        <v>0</v>
      </c>
      <c r="T743" s="16">
        <f>SUMIFS([0]!VOTOS2,[0]!TURNO1,T$31,[0]!CANDIDATO1,$C743,[0]!MUNICIPIO1,$B$737)</f>
        <v>0</v>
      </c>
      <c r="U743" s="16">
        <f>SUMIFS([0]!VOTOS2,[0]!TURNO1,U$31,[0]!CANDIDATO1,$C743,[0]!MUNICIPIO1,$B$737)</f>
        <v>0</v>
      </c>
      <c r="V743" s="16">
        <f>SUMIFS([0]!VOTOS2,[0]!TURNO1,V$31,[0]!CANDIDATO1,$C743,[0]!MUNICIPIO1,$B$737)</f>
        <v>0</v>
      </c>
      <c r="W743" s="16">
        <f>SUMIFS([0]!VOTOS2,[0]!TURNO1,W$31,[0]!CANDIDATO1,$C743,[0]!MUNICIPIO1,$B$737)</f>
        <v>0</v>
      </c>
      <c r="X743" s="24"/>
      <c r="Y743" s="18" t="str">
        <f t="shared" si="1751"/>
        <v>EDIXON CARRUYO</v>
      </c>
      <c r="Z743" s="34">
        <f t="shared" si="1752"/>
        <v>0</v>
      </c>
      <c r="AA743" s="34">
        <f t="shared" si="1753"/>
        <v>0</v>
      </c>
      <c r="AB743" s="34" t="e">
        <f t="shared" ref="AB743:AR743" si="1765">IF(SUM(G737:G749)=0,NA(),G743+AA743)</f>
        <v>#N/A</v>
      </c>
      <c r="AC743" s="34" t="e">
        <f t="shared" si="1765"/>
        <v>#N/A</v>
      </c>
      <c r="AD743" s="34" t="e">
        <f t="shared" si="1765"/>
        <v>#N/A</v>
      </c>
      <c r="AE743" s="34" t="e">
        <f t="shared" si="1765"/>
        <v>#N/A</v>
      </c>
      <c r="AF743" s="34" t="e">
        <f t="shared" si="1765"/>
        <v>#N/A</v>
      </c>
      <c r="AG743" s="34" t="e">
        <f t="shared" si="1765"/>
        <v>#N/A</v>
      </c>
      <c r="AH743" s="34" t="e">
        <f t="shared" si="1765"/>
        <v>#N/A</v>
      </c>
      <c r="AI743" s="34" t="e">
        <f t="shared" si="1765"/>
        <v>#N/A</v>
      </c>
      <c r="AJ743" s="34" t="e">
        <f t="shared" si="1765"/>
        <v>#N/A</v>
      </c>
      <c r="AK743" s="34" t="e">
        <f t="shared" si="1765"/>
        <v>#N/A</v>
      </c>
      <c r="AL743" s="34" t="e">
        <f t="shared" si="1765"/>
        <v>#N/A</v>
      </c>
      <c r="AM743" s="34" t="e">
        <f t="shared" si="1765"/>
        <v>#N/A</v>
      </c>
      <c r="AN743" s="34" t="e">
        <f t="shared" si="1765"/>
        <v>#N/A</v>
      </c>
      <c r="AO743" s="34" t="e">
        <f t="shared" si="1765"/>
        <v>#N/A</v>
      </c>
      <c r="AP743" s="34" t="e">
        <f t="shared" si="1765"/>
        <v>#N/A</v>
      </c>
      <c r="AQ743" s="34" t="e">
        <f t="shared" si="1765"/>
        <v>#N/A</v>
      </c>
      <c r="AR743" s="34" t="e">
        <f t="shared" si="1765"/>
        <v>#N/A</v>
      </c>
      <c r="AS743" s="27"/>
      <c r="AT743" s="39"/>
      <c r="AU743" s="39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30"/>
    </row>
    <row r="744" spans="1:66" ht="11.25" customHeight="1" x14ac:dyDescent="0.2">
      <c r="A744" s="42"/>
      <c r="B744" s="74"/>
      <c r="C744" s="33">
        <v>8</v>
      </c>
      <c r="D744" s="13" t="s">
        <v>479</v>
      </c>
      <c r="E744" s="16">
        <f t="shared" si="1750"/>
        <v>0</v>
      </c>
      <c r="F744" s="16">
        <f>SUMIFS([0]!VOTOS2,[0]!TURNO1,F$31,[0]!CANDIDATO1,$C744,[0]!MUNICIPIO1,$B$737)</f>
        <v>0</v>
      </c>
      <c r="G744" s="16">
        <f>SUMIFS([0]!VOTOS2,[0]!TURNO1,G$31,[0]!CANDIDATO1,$C744,[0]!MUNICIPIO1,$B$737)</f>
        <v>0</v>
      </c>
      <c r="H744" s="16">
        <f>SUMIFS([0]!VOTOS2,[0]!TURNO1,H$31,[0]!CANDIDATO1,$C744,[0]!MUNICIPIO1,$B$737)</f>
        <v>0</v>
      </c>
      <c r="I744" s="16">
        <f>SUMIFS([0]!VOTOS2,[0]!TURNO1,I$31,[0]!CANDIDATO1,$C744,[0]!MUNICIPIO1,$B$737)</f>
        <v>0</v>
      </c>
      <c r="J744" s="16">
        <f>SUMIFS([0]!VOTOS2,[0]!TURNO1,J$31,[0]!CANDIDATO1,$C744,[0]!MUNICIPIO1,$B$737)</f>
        <v>0</v>
      </c>
      <c r="K744" s="16">
        <f>SUMIFS([0]!VOTOS2,[0]!TURNO1,K$31,[0]!CANDIDATO1,$C744,[0]!MUNICIPIO1,$B$737)</f>
        <v>0</v>
      </c>
      <c r="L744" s="16">
        <f>SUMIFS([0]!VOTOS2,[0]!TURNO1,L$31,[0]!CANDIDATO1,$C744,[0]!MUNICIPIO1,$B$737)</f>
        <v>0</v>
      </c>
      <c r="M744" s="16">
        <f>SUMIFS([0]!VOTOS2,[0]!TURNO1,M$31,[0]!CANDIDATO1,$C744,[0]!MUNICIPIO1,$B$737)</f>
        <v>0</v>
      </c>
      <c r="N744" s="16">
        <f>SUMIFS([0]!VOTOS2,[0]!TURNO1,N$31,[0]!CANDIDATO1,$C744,[0]!MUNICIPIO1,$B$737)</f>
        <v>0</v>
      </c>
      <c r="O744" s="16">
        <f>SUMIFS([0]!VOTOS2,[0]!TURNO1,O$31,[0]!CANDIDATO1,$C744,[0]!MUNICIPIO1,$B$737)</f>
        <v>0</v>
      </c>
      <c r="P744" s="16">
        <f>SUMIFS([0]!VOTOS2,[0]!TURNO1,P$31,[0]!CANDIDATO1,$C744,[0]!MUNICIPIO1,$B$737)</f>
        <v>0</v>
      </c>
      <c r="Q744" s="16">
        <f>SUMIFS([0]!VOTOS2,[0]!TURNO1,Q$31,[0]!CANDIDATO1,$C744,[0]!MUNICIPIO1,$B$737)</f>
        <v>0</v>
      </c>
      <c r="R744" s="16">
        <f>SUMIFS([0]!VOTOS2,[0]!TURNO1,R$31,[0]!CANDIDATO1,$C744,[0]!MUNICIPIO1,$B$737)</f>
        <v>0</v>
      </c>
      <c r="S744" s="16">
        <f>SUMIFS([0]!VOTOS2,[0]!TURNO1,S$31,[0]!CANDIDATO1,$C744,[0]!MUNICIPIO1,$B$737)</f>
        <v>0</v>
      </c>
      <c r="T744" s="16">
        <f>SUMIFS([0]!VOTOS2,[0]!TURNO1,T$31,[0]!CANDIDATO1,$C744,[0]!MUNICIPIO1,$B$737)</f>
        <v>0</v>
      </c>
      <c r="U744" s="16">
        <f>SUMIFS([0]!VOTOS2,[0]!TURNO1,U$31,[0]!CANDIDATO1,$C744,[0]!MUNICIPIO1,$B$737)</f>
        <v>0</v>
      </c>
      <c r="V744" s="16">
        <f>SUMIFS([0]!VOTOS2,[0]!TURNO1,V$31,[0]!CANDIDATO1,$C744,[0]!MUNICIPIO1,$B$737)</f>
        <v>0</v>
      </c>
      <c r="W744" s="16">
        <f>SUMIFS([0]!VOTOS2,[0]!TURNO1,W$31,[0]!CANDIDATO1,$C744,[0]!MUNICIPIO1,$B$737)</f>
        <v>0</v>
      </c>
      <c r="X744" s="24"/>
      <c r="Y744" s="18" t="str">
        <f t="shared" si="1751"/>
        <v>LUIS VALLES</v>
      </c>
      <c r="Z744" s="34">
        <f t="shared" si="1752"/>
        <v>0</v>
      </c>
      <c r="AA744" s="34">
        <f t="shared" si="1753"/>
        <v>0</v>
      </c>
      <c r="AB744" s="34" t="e">
        <f t="shared" ref="AB744:AR744" si="1766">IF(SUM(G737:G749)=0,NA(),G744+AA744)</f>
        <v>#N/A</v>
      </c>
      <c r="AC744" s="34" t="e">
        <f t="shared" si="1766"/>
        <v>#N/A</v>
      </c>
      <c r="AD744" s="34" t="e">
        <f t="shared" si="1766"/>
        <v>#N/A</v>
      </c>
      <c r="AE744" s="34" t="e">
        <f t="shared" si="1766"/>
        <v>#N/A</v>
      </c>
      <c r="AF744" s="34" t="e">
        <f t="shared" si="1766"/>
        <v>#N/A</v>
      </c>
      <c r="AG744" s="34" t="e">
        <f t="shared" si="1766"/>
        <v>#N/A</v>
      </c>
      <c r="AH744" s="34" t="e">
        <f t="shared" si="1766"/>
        <v>#N/A</v>
      </c>
      <c r="AI744" s="34" t="e">
        <f t="shared" si="1766"/>
        <v>#N/A</v>
      </c>
      <c r="AJ744" s="34" t="e">
        <f t="shared" si="1766"/>
        <v>#N/A</v>
      </c>
      <c r="AK744" s="34" t="e">
        <f t="shared" si="1766"/>
        <v>#N/A</v>
      </c>
      <c r="AL744" s="34" t="e">
        <f t="shared" si="1766"/>
        <v>#N/A</v>
      </c>
      <c r="AM744" s="34" t="e">
        <f t="shared" si="1766"/>
        <v>#N/A</v>
      </c>
      <c r="AN744" s="34" t="e">
        <f t="shared" si="1766"/>
        <v>#N/A</v>
      </c>
      <c r="AO744" s="34" t="e">
        <f t="shared" si="1766"/>
        <v>#N/A</v>
      </c>
      <c r="AP744" s="34" t="e">
        <f t="shared" si="1766"/>
        <v>#N/A</v>
      </c>
      <c r="AQ744" s="34" t="e">
        <f t="shared" si="1766"/>
        <v>#N/A</v>
      </c>
      <c r="AR744" s="34" t="e">
        <f t="shared" si="1766"/>
        <v>#N/A</v>
      </c>
      <c r="AS744" s="27"/>
      <c r="AT744" s="41"/>
      <c r="AU744" s="41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30"/>
    </row>
    <row r="745" spans="1:66" ht="11.25" customHeight="1" x14ac:dyDescent="0.2">
      <c r="A745" s="44"/>
      <c r="B745" s="45"/>
      <c r="C745" s="46">
        <v>9</v>
      </c>
      <c r="D745" s="14" t="s">
        <v>76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24"/>
      <c r="Y745" s="18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27"/>
      <c r="AT745" s="41"/>
      <c r="AU745" s="41"/>
      <c r="AV745" s="43"/>
      <c r="AW745" s="43"/>
      <c r="AX745" s="43"/>
      <c r="AY745" s="43"/>
      <c r="AZ745" s="43"/>
      <c r="BA745" s="43"/>
      <c r="BB745" s="43"/>
      <c r="BC745" s="43"/>
      <c r="BD745" s="43"/>
      <c r="BE745" s="43"/>
      <c r="BF745" s="43"/>
      <c r="BG745" s="43"/>
      <c r="BH745" s="43"/>
      <c r="BI745" s="43"/>
      <c r="BJ745" s="43"/>
      <c r="BK745" s="43"/>
      <c r="BL745" s="43"/>
      <c r="BM745" s="43"/>
      <c r="BN745" s="30"/>
    </row>
    <row r="746" spans="1:66" ht="11.25" customHeight="1" x14ac:dyDescent="0.2">
      <c r="A746" s="44"/>
      <c r="B746" s="45"/>
      <c r="C746" s="46">
        <v>10</v>
      </c>
      <c r="D746" s="14" t="s">
        <v>76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24"/>
      <c r="Y746" s="18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27"/>
      <c r="AT746" s="41"/>
      <c r="AU746" s="41"/>
      <c r="AV746" s="43"/>
      <c r="AW746" s="43"/>
      <c r="AX746" s="43"/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43"/>
      <c r="BJ746" s="43"/>
      <c r="BK746" s="43"/>
      <c r="BL746" s="43"/>
      <c r="BM746" s="43"/>
      <c r="BN746" s="30"/>
    </row>
    <row r="747" spans="1:66" ht="11.25" customHeight="1" x14ac:dyDescent="0.2">
      <c r="A747" s="44"/>
      <c r="B747" s="45"/>
      <c r="C747" s="46">
        <v>11</v>
      </c>
      <c r="D747" s="14" t="s">
        <v>76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24"/>
      <c r="Y747" s="18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27"/>
      <c r="AT747" s="41"/>
      <c r="AU747" s="41"/>
      <c r="AV747" s="43"/>
      <c r="AW747" s="43"/>
      <c r="AX747" s="43"/>
      <c r="AY747" s="43"/>
      <c r="AZ747" s="43"/>
      <c r="BA747" s="43"/>
      <c r="BB747" s="43"/>
      <c r="BC747" s="43"/>
      <c r="BD747" s="43"/>
      <c r="BE747" s="43"/>
      <c r="BF747" s="43"/>
      <c r="BG747" s="43"/>
      <c r="BH747" s="43"/>
      <c r="BI747" s="43"/>
      <c r="BJ747" s="43"/>
      <c r="BK747" s="43"/>
      <c r="BL747" s="43"/>
      <c r="BM747" s="43"/>
      <c r="BN747" s="30"/>
    </row>
    <row r="748" spans="1:66" ht="11.25" customHeight="1" x14ac:dyDescent="0.2">
      <c r="A748" s="44"/>
      <c r="B748" s="45"/>
      <c r="C748" s="46">
        <v>12</v>
      </c>
      <c r="D748" s="14" t="s">
        <v>76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24"/>
      <c r="Y748" s="18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27"/>
      <c r="AT748" s="41"/>
      <c r="AU748" s="41"/>
      <c r="AV748" s="43"/>
      <c r="AW748" s="43"/>
      <c r="AX748" s="43"/>
      <c r="AY748" s="43"/>
      <c r="AZ748" s="43"/>
      <c r="BA748" s="43"/>
      <c r="BB748" s="43"/>
      <c r="BC748" s="43"/>
      <c r="BD748" s="43"/>
      <c r="BE748" s="43"/>
      <c r="BF748" s="43"/>
      <c r="BG748" s="43"/>
      <c r="BH748" s="43"/>
      <c r="BI748" s="43"/>
      <c r="BJ748" s="43"/>
      <c r="BK748" s="43"/>
      <c r="BL748" s="43"/>
      <c r="BM748" s="43"/>
      <c r="BN748" s="30"/>
    </row>
    <row r="749" spans="1:66" ht="11.25" customHeight="1" x14ac:dyDescent="0.2">
      <c r="A749" s="44"/>
      <c r="B749" s="45"/>
      <c r="C749" s="46">
        <v>13</v>
      </c>
      <c r="D749" s="14" t="s">
        <v>76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24"/>
      <c r="Y749" s="18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27"/>
      <c r="AT749" s="41"/>
      <c r="AU749" s="41"/>
      <c r="AV749" s="43"/>
      <c r="AW749" s="43"/>
      <c r="AX749" s="43"/>
      <c r="AY749" s="43"/>
      <c r="AZ749" s="43"/>
      <c r="BA749" s="43"/>
      <c r="BB749" s="43"/>
      <c r="BC749" s="43"/>
      <c r="BD749" s="43"/>
      <c r="BE749" s="43"/>
      <c r="BF749" s="43"/>
      <c r="BG749" s="43"/>
      <c r="BH749" s="43"/>
      <c r="BI749" s="43"/>
      <c r="BJ749" s="43"/>
      <c r="BK749" s="43"/>
      <c r="BL749" s="43"/>
      <c r="BM749" s="43"/>
      <c r="BN749" s="30"/>
    </row>
    <row r="750" spans="1:66" ht="11.25" customHeight="1" x14ac:dyDescent="0.2">
      <c r="X750" s="24"/>
      <c r="Y750" s="19" t="s">
        <v>79</v>
      </c>
      <c r="Z750" s="34">
        <f t="shared" ref="Z750" si="1767">SUM(Z739:Z749)</f>
        <v>0</v>
      </c>
      <c r="AA750" s="34">
        <f t="shared" ref="AA750" si="1768">SUM(AA739:AA749)</f>
        <v>0</v>
      </c>
      <c r="AB750" s="34" t="e">
        <f t="shared" ref="AB750" si="1769">SUM(AB739:AB749)</f>
        <v>#N/A</v>
      </c>
      <c r="AC750" s="34" t="e">
        <f t="shared" ref="AC750" si="1770">SUM(AC739:AC749)</f>
        <v>#N/A</v>
      </c>
      <c r="AD750" s="34" t="e">
        <f t="shared" ref="AD750" si="1771">SUM(AD739:AD749)</f>
        <v>#N/A</v>
      </c>
      <c r="AE750" s="34" t="e">
        <f t="shared" ref="AE750" si="1772">SUM(AE739:AE749)</f>
        <v>#N/A</v>
      </c>
      <c r="AF750" s="34" t="e">
        <f t="shared" ref="AF750" si="1773">SUM(AF739:AF749)</f>
        <v>#N/A</v>
      </c>
      <c r="AG750" s="34" t="e">
        <f t="shared" ref="AG750" si="1774">SUM(AG739:AG749)</f>
        <v>#N/A</v>
      </c>
      <c r="AH750" s="34" t="e">
        <f t="shared" ref="AH750" si="1775">SUM(AH739:AH749)</f>
        <v>#N/A</v>
      </c>
      <c r="AI750" s="34" t="e">
        <f t="shared" ref="AI750" si="1776">SUM(AI739:AI749)</f>
        <v>#N/A</v>
      </c>
      <c r="AJ750" s="34" t="e">
        <f t="shared" ref="AJ750" si="1777">SUM(AJ739:AJ749)</f>
        <v>#N/A</v>
      </c>
      <c r="AK750" s="34" t="e">
        <f t="shared" ref="AK750" si="1778">SUM(AK739:AK749)</f>
        <v>#N/A</v>
      </c>
      <c r="AL750" s="34" t="e">
        <f t="shared" ref="AL750" si="1779">SUM(AL739:AL749)</f>
        <v>#N/A</v>
      </c>
      <c r="AM750" s="34" t="e">
        <f t="shared" ref="AM750" si="1780">SUM(AM739:AM749)</f>
        <v>#N/A</v>
      </c>
      <c r="AN750" s="34" t="e">
        <f t="shared" ref="AN750" si="1781">SUM(AN739:AN749)</f>
        <v>#N/A</v>
      </c>
      <c r="AO750" s="34" t="e">
        <f t="shared" ref="AO750" si="1782">SUM(AO739:AO749)</f>
        <v>#N/A</v>
      </c>
      <c r="AP750" s="34" t="e">
        <f t="shared" ref="AP750" si="1783">SUM(AP739:AP749)</f>
        <v>#N/A</v>
      </c>
      <c r="AQ750" s="34" t="e">
        <f t="shared" ref="AQ750" si="1784">SUM(AQ739:AQ749)</f>
        <v>#N/A</v>
      </c>
      <c r="AR750" s="34" t="e">
        <f t="shared" ref="AR750" si="1785">SUM(AR739:AR749)</f>
        <v>#N/A</v>
      </c>
      <c r="AS750" s="27"/>
      <c r="AT750" s="41"/>
      <c r="AU750" s="41"/>
      <c r="AV750" s="43"/>
      <c r="AW750" s="43"/>
      <c r="AX750" s="43"/>
      <c r="AY750" s="43"/>
      <c r="AZ750" s="43"/>
      <c r="BA750" s="43"/>
      <c r="BB750" s="43"/>
      <c r="BC750" s="43"/>
      <c r="BD750" s="43"/>
      <c r="BE750" s="43"/>
      <c r="BF750" s="43"/>
      <c r="BG750" s="43"/>
      <c r="BH750" s="43"/>
      <c r="BI750" s="43"/>
      <c r="BJ750" s="43"/>
      <c r="BK750" s="43"/>
      <c r="BL750" s="43"/>
      <c r="BM750" s="43"/>
      <c r="BN750" s="30"/>
    </row>
    <row r="751" spans="1:66" ht="11.25" customHeight="1" x14ac:dyDescent="0.2">
      <c r="A751" s="75" t="s">
        <v>63</v>
      </c>
      <c r="B751" s="76"/>
      <c r="C751" s="21"/>
      <c r="D751" s="22" t="s">
        <v>75</v>
      </c>
      <c r="E751" s="23" t="s">
        <v>70</v>
      </c>
      <c r="F751" s="23">
        <v>0</v>
      </c>
      <c r="G751" s="23">
        <v>1</v>
      </c>
      <c r="H751" s="23">
        <v>2</v>
      </c>
      <c r="I751" s="23">
        <v>3</v>
      </c>
      <c r="J751" s="23">
        <v>4</v>
      </c>
      <c r="K751" s="23">
        <v>5</v>
      </c>
      <c r="L751" s="23">
        <v>6</v>
      </c>
      <c r="M751" s="23">
        <v>7</v>
      </c>
      <c r="N751" s="23">
        <v>8</v>
      </c>
      <c r="O751" s="23">
        <v>9</v>
      </c>
      <c r="P751" s="23">
        <v>10</v>
      </c>
      <c r="Q751" s="23">
        <v>11</v>
      </c>
      <c r="R751" s="23">
        <v>12</v>
      </c>
      <c r="S751" s="23">
        <v>13</v>
      </c>
      <c r="T751" s="23">
        <v>14</v>
      </c>
      <c r="U751" s="23">
        <v>15</v>
      </c>
      <c r="V751" s="23">
        <v>16</v>
      </c>
      <c r="W751" s="23">
        <v>17</v>
      </c>
      <c r="X751" s="24"/>
      <c r="Y751" s="17"/>
      <c r="Z751" s="25" t="s">
        <v>64</v>
      </c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7"/>
      <c r="AT751" s="28"/>
      <c r="AU751" s="28" t="s">
        <v>64</v>
      </c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30"/>
    </row>
    <row r="752" spans="1:66" ht="11.25" customHeight="1" x14ac:dyDescent="0.2">
      <c r="A752" s="32"/>
      <c r="B752" s="72">
        <v>51</v>
      </c>
      <c r="C752" s="33">
        <v>1</v>
      </c>
      <c r="D752" s="13" t="s">
        <v>480</v>
      </c>
      <c r="E752" s="16">
        <f t="shared" ref="E752:E757" si="1786">SUM(F752:W752)</f>
        <v>6</v>
      </c>
      <c r="F752" s="16">
        <f>SUMIFS([0]!VOTOS2,[0]!TURNO1,F$31,[0]!CANDIDATO1,$C752,[0]!MUNICIPIO1,$B$752)</f>
        <v>6</v>
      </c>
      <c r="G752" s="16">
        <f>SUMIFS([0]!VOTOS2,[0]!TURNO1,G$31,[0]!CANDIDATO1,$C752,[0]!MUNICIPIO1,$B$752)</f>
        <v>0</v>
      </c>
      <c r="H752" s="16">
        <f>SUMIFS([0]!VOTOS2,[0]!TURNO1,H$31,[0]!CANDIDATO1,$C752,[0]!MUNICIPIO1,$B$752)</f>
        <v>0</v>
      </c>
      <c r="I752" s="16">
        <f>SUMIFS([0]!VOTOS2,[0]!TURNO1,I$31,[0]!CANDIDATO1,$C752,[0]!MUNICIPIO1,$B$752)</f>
        <v>0</v>
      </c>
      <c r="J752" s="16">
        <f>SUMIFS([0]!VOTOS2,[0]!TURNO1,J$31,[0]!CANDIDATO1,$C752,[0]!MUNICIPIO1,$B$752)</f>
        <v>0</v>
      </c>
      <c r="K752" s="16">
        <f>SUMIFS([0]!VOTOS2,[0]!TURNO1,K$31,[0]!CANDIDATO1,$C752,[0]!MUNICIPIO1,$B$752)</f>
        <v>0</v>
      </c>
      <c r="L752" s="16">
        <f>SUMIFS([0]!VOTOS2,[0]!TURNO1,L$31,[0]!CANDIDATO1,$C752,[0]!MUNICIPIO1,$B$752)</f>
        <v>0</v>
      </c>
      <c r="M752" s="16">
        <f>SUMIFS([0]!VOTOS2,[0]!TURNO1,M$31,[0]!CANDIDATO1,$C752,[0]!MUNICIPIO1,$B$752)</f>
        <v>0</v>
      </c>
      <c r="N752" s="16">
        <f>SUMIFS([0]!VOTOS2,[0]!TURNO1,N$31,[0]!CANDIDATO1,$C752,[0]!MUNICIPIO1,$B$752)</f>
        <v>0</v>
      </c>
      <c r="O752" s="16">
        <f>SUMIFS([0]!VOTOS2,[0]!TURNO1,O$31,[0]!CANDIDATO1,$C752,[0]!MUNICIPIO1,$B$752)</f>
        <v>0</v>
      </c>
      <c r="P752" s="16">
        <f>SUMIFS([0]!VOTOS2,[0]!TURNO1,P$31,[0]!CANDIDATO1,$C752,[0]!MUNICIPIO1,$B$752)</f>
        <v>0</v>
      </c>
      <c r="Q752" s="16">
        <f>SUMIFS([0]!VOTOS2,[0]!TURNO1,Q$31,[0]!CANDIDATO1,$C752,[0]!MUNICIPIO1,$B$752)</f>
        <v>0</v>
      </c>
      <c r="R752" s="16">
        <f>SUMIFS([0]!VOTOS2,[0]!TURNO1,R$31,[0]!CANDIDATO1,$C752,[0]!MUNICIPIO1,$B$752)</f>
        <v>0</v>
      </c>
      <c r="S752" s="16">
        <f>SUMIFS([0]!VOTOS2,[0]!TURNO1,S$31,[0]!CANDIDATO1,$C752,[0]!MUNICIPIO1,$B$752)</f>
        <v>0</v>
      </c>
      <c r="T752" s="16">
        <f>SUMIFS([0]!VOTOS2,[0]!TURNO1,T$31,[0]!CANDIDATO1,$C752,[0]!MUNICIPIO1,$B$752)</f>
        <v>0</v>
      </c>
      <c r="U752" s="16">
        <f>SUMIFS([0]!VOTOS2,[0]!TURNO1,U$31,[0]!CANDIDATO1,$C752,[0]!MUNICIPIO1,$B$752)</f>
        <v>0</v>
      </c>
      <c r="V752" s="16">
        <f>SUMIFS([0]!VOTOS2,[0]!TURNO1,V$31,[0]!CANDIDATO1,$C752,[0]!MUNICIPIO1,$B$752)</f>
        <v>0</v>
      </c>
      <c r="W752" s="16">
        <f>SUMIFS([0]!VOTOS2,[0]!TURNO1,W$31,[0]!CANDIDATO1,$C752,[0]!MUNICIPIO1,$B$752)</f>
        <v>0</v>
      </c>
      <c r="X752" s="24"/>
      <c r="Y752" s="18" t="str">
        <f t="shared" ref="Y752:Y757" si="1787">D752</f>
        <v xml:space="preserve">VILMA CARVAJAL </v>
      </c>
      <c r="Z752" s="34">
        <f t="shared" ref="Z752:Z757" si="1788">E752</f>
        <v>6</v>
      </c>
      <c r="AA752" s="34">
        <f t="shared" ref="AA752:AA757" si="1789">F752</f>
        <v>6</v>
      </c>
      <c r="AB752" s="34" t="e">
        <f t="shared" ref="AB752:AR752" si="1790">IF(SUM(G752:G764)=0,NA(),G752+AA752)</f>
        <v>#N/A</v>
      </c>
      <c r="AC752" s="34" t="e">
        <f t="shared" si="1790"/>
        <v>#N/A</v>
      </c>
      <c r="AD752" s="34" t="e">
        <f t="shared" si="1790"/>
        <v>#N/A</v>
      </c>
      <c r="AE752" s="34" t="e">
        <f t="shared" si="1790"/>
        <v>#N/A</v>
      </c>
      <c r="AF752" s="34" t="e">
        <f t="shared" si="1790"/>
        <v>#N/A</v>
      </c>
      <c r="AG752" s="34" t="e">
        <f t="shared" si="1790"/>
        <v>#N/A</v>
      </c>
      <c r="AH752" s="34" t="e">
        <f t="shared" si="1790"/>
        <v>#N/A</v>
      </c>
      <c r="AI752" s="34" t="e">
        <f t="shared" si="1790"/>
        <v>#N/A</v>
      </c>
      <c r="AJ752" s="34" t="e">
        <f t="shared" si="1790"/>
        <v>#N/A</v>
      </c>
      <c r="AK752" s="34" t="e">
        <f t="shared" si="1790"/>
        <v>#N/A</v>
      </c>
      <c r="AL752" s="34" t="e">
        <f t="shared" si="1790"/>
        <v>#N/A</v>
      </c>
      <c r="AM752" s="34" t="e">
        <f t="shared" si="1790"/>
        <v>#N/A</v>
      </c>
      <c r="AN752" s="34" t="e">
        <f t="shared" si="1790"/>
        <v>#N/A</v>
      </c>
      <c r="AO752" s="34" t="e">
        <f t="shared" si="1790"/>
        <v>#N/A</v>
      </c>
      <c r="AP752" s="34" t="e">
        <f t="shared" si="1790"/>
        <v>#N/A</v>
      </c>
      <c r="AQ752" s="34" t="e">
        <f t="shared" si="1790"/>
        <v>#N/A</v>
      </c>
      <c r="AR752" s="34" t="e">
        <f t="shared" si="1790"/>
        <v>#N/A</v>
      </c>
      <c r="AS752" s="27"/>
      <c r="AT752" s="35" t="str">
        <f t="shared" ref="AT752:AT753" si="1791">Y752</f>
        <v xml:space="preserve">VILMA CARVAJAL </v>
      </c>
      <c r="AU752" s="36">
        <f t="shared" ref="AU752:BM752" si="1792">Z752/(Z752+Z753+Z765)</f>
        <v>0.5</v>
      </c>
      <c r="AV752" s="36">
        <f t="shared" si="1792"/>
        <v>0.5</v>
      </c>
      <c r="AW752" s="36" t="e">
        <f t="shared" si="1792"/>
        <v>#N/A</v>
      </c>
      <c r="AX752" s="36" t="e">
        <f t="shared" si="1792"/>
        <v>#N/A</v>
      </c>
      <c r="AY752" s="36" t="e">
        <f t="shared" si="1792"/>
        <v>#N/A</v>
      </c>
      <c r="AZ752" s="36" t="e">
        <f t="shared" si="1792"/>
        <v>#N/A</v>
      </c>
      <c r="BA752" s="36" t="e">
        <f t="shared" si="1792"/>
        <v>#N/A</v>
      </c>
      <c r="BB752" s="36" t="e">
        <f t="shared" si="1792"/>
        <v>#N/A</v>
      </c>
      <c r="BC752" s="36" t="e">
        <f t="shared" si="1792"/>
        <v>#N/A</v>
      </c>
      <c r="BD752" s="36" t="e">
        <f t="shared" si="1792"/>
        <v>#N/A</v>
      </c>
      <c r="BE752" s="36" t="e">
        <f t="shared" si="1792"/>
        <v>#N/A</v>
      </c>
      <c r="BF752" s="36" t="e">
        <f t="shared" si="1792"/>
        <v>#N/A</v>
      </c>
      <c r="BG752" s="36" t="e">
        <f t="shared" si="1792"/>
        <v>#N/A</v>
      </c>
      <c r="BH752" s="36" t="e">
        <f t="shared" si="1792"/>
        <v>#N/A</v>
      </c>
      <c r="BI752" s="36" t="e">
        <f t="shared" si="1792"/>
        <v>#N/A</v>
      </c>
      <c r="BJ752" s="36" t="e">
        <f t="shared" si="1792"/>
        <v>#N/A</v>
      </c>
      <c r="BK752" s="36" t="e">
        <f t="shared" si="1792"/>
        <v>#N/A</v>
      </c>
      <c r="BL752" s="36" t="e">
        <f t="shared" si="1792"/>
        <v>#N/A</v>
      </c>
      <c r="BM752" s="36" t="e">
        <f t="shared" si="1792"/>
        <v>#N/A</v>
      </c>
      <c r="BN752" s="30"/>
    </row>
    <row r="753" spans="1:66" ht="11.25" customHeight="1" x14ac:dyDescent="0.2">
      <c r="A753" s="37"/>
      <c r="B753" s="73"/>
      <c r="C753" s="33">
        <v>2</v>
      </c>
      <c r="D753" s="13" t="s">
        <v>481</v>
      </c>
      <c r="E753" s="16">
        <f t="shared" si="1786"/>
        <v>6</v>
      </c>
      <c r="F753" s="16">
        <f>SUMIFS([0]!VOTOS2,[0]!TURNO1,F$31,[0]!CANDIDATO1,$C753,[0]!MUNICIPIO1,$B$752)</f>
        <v>6</v>
      </c>
      <c r="G753" s="16">
        <f>SUMIFS([0]!VOTOS2,[0]!TURNO1,G$31,[0]!CANDIDATO1,$C753,[0]!MUNICIPIO1,$B$752)</f>
        <v>0</v>
      </c>
      <c r="H753" s="16">
        <f>SUMIFS([0]!VOTOS2,[0]!TURNO1,H$31,[0]!CANDIDATO1,$C753,[0]!MUNICIPIO1,$B$752)</f>
        <v>0</v>
      </c>
      <c r="I753" s="16">
        <f>SUMIFS([0]!VOTOS2,[0]!TURNO1,I$31,[0]!CANDIDATO1,$C753,[0]!MUNICIPIO1,$B$752)</f>
        <v>0</v>
      </c>
      <c r="J753" s="16">
        <f>SUMIFS([0]!VOTOS2,[0]!TURNO1,J$31,[0]!CANDIDATO1,$C753,[0]!MUNICIPIO1,$B$752)</f>
        <v>0</v>
      </c>
      <c r="K753" s="16">
        <f>SUMIFS([0]!VOTOS2,[0]!TURNO1,K$31,[0]!CANDIDATO1,$C753,[0]!MUNICIPIO1,$B$752)</f>
        <v>0</v>
      </c>
      <c r="L753" s="16">
        <f>SUMIFS([0]!VOTOS2,[0]!TURNO1,L$31,[0]!CANDIDATO1,$C753,[0]!MUNICIPIO1,$B$752)</f>
        <v>0</v>
      </c>
      <c r="M753" s="16">
        <f>SUMIFS([0]!VOTOS2,[0]!TURNO1,M$31,[0]!CANDIDATO1,$C753,[0]!MUNICIPIO1,$B$752)</f>
        <v>0</v>
      </c>
      <c r="N753" s="16">
        <f>SUMIFS([0]!VOTOS2,[0]!TURNO1,N$31,[0]!CANDIDATO1,$C753,[0]!MUNICIPIO1,$B$752)</f>
        <v>0</v>
      </c>
      <c r="O753" s="16">
        <f>SUMIFS([0]!VOTOS2,[0]!TURNO1,O$31,[0]!CANDIDATO1,$C753,[0]!MUNICIPIO1,$B$752)</f>
        <v>0</v>
      </c>
      <c r="P753" s="16">
        <f>SUMIFS([0]!VOTOS2,[0]!TURNO1,P$31,[0]!CANDIDATO1,$C753,[0]!MUNICIPIO1,$B$752)</f>
        <v>0</v>
      </c>
      <c r="Q753" s="16">
        <f>SUMIFS([0]!VOTOS2,[0]!TURNO1,Q$31,[0]!CANDIDATO1,$C753,[0]!MUNICIPIO1,$B$752)</f>
        <v>0</v>
      </c>
      <c r="R753" s="16">
        <f>SUMIFS([0]!VOTOS2,[0]!TURNO1,R$31,[0]!CANDIDATO1,$C753,[0]!MUNICIPIO1,$B$752)</f>
        <v>0</v>
      </c>
      <c r="S753" s="16">
        <f>SUMIFS([0]!VOTOS2,[0]!TURNO1,S$31,[0]!CANDIDATO1,$C753,[0]!MUNICIPIO1,$B$752)</f>
        <v>0</v>
      </c>
      <c r="T753" s="16">
        <f>SUMIFS([0]!VOTOS2,[0]!TURNO1,T$31,[0]!CANDIDATO1,$C753,[0]!MUNICIPIO1,$B$752)</f>
        <v>0</v>
      </c>
      <c r="U753" s="16">
        <f>SUMIFS([0]!VOTOS2,[0]!TURNO1,U$31,[0]!CANDIDATO1,$C753,[0]!MUNICIPIO1,$B$752)</f>
        <v>0</v>
      </c>
      <c r="V753" s="16">
        <f>SUMIFS([0]!VOTOS2,[0]!TURNO1,V$31,[0]!CANDIDATO1,$C753,[0]!MUNICIPIO1,$B$752)</f>
        <v>0</v>
      </c>
      <c r="W753" s="16">
        <f>SUMIFS([0]!VOTOS2,[0]!TURNO1,W$31,[0]!CANDIDATO1,$C753,[0]!MUNICIPIO1,$B$752)</f>
        <v>0</v>
      </c>
      <c r="X753" s="24"/>
      <c r="Y753" s="18" t="str">
        <f t="shared" si="1787"/>
        <v>PEDRO EMILIO BRICEÑO</v>
      </c>
      <c r="Z753" s="34">
        <f t="shared" si="1788"/>
        <v>6</v>
      </c>
      <c r="AA753" s="34">
        <f t="shared" si="1789"/>
        <v>6</v>
      </c>
      <c r="AB753" s="34" t="e">
        <f t="shared" ref="AB753:AR753" si="1793">IF(SUM(G752:G764)=0,NA(),G753+AA753)</f>
        <v>#N/A</v>
      </c>
      <c r="AC753" s="34" t="e">
        <f t="shared" si="1793"/>
        <v>#N/A</v>
      </c>
      <c r="AD753" s="34" t="e">
        <f t="shared" si="1793"/>
        <v>#N/A</v>
      </c>
      <c r="AE753" s="34" t="e">
        <f t="shared" si="1793"/>
        <v>#N/A</v>
      </c>
      <c r="AF753" s="34" t="e">
        <f t="shared" si="1793"/>
        <v>#N/A</v>
      </c>
      <c r="AG753" s="34" t="e">
        <f t="shared" si="1793"/>
        <v>#N/A</v>
      </c>
      <c r="AH753" s="34" t="e">
        <f t="shared" si="1793"/>
        <v>#N/A</v>
      </c>
      <c r="AI753" s="34" t="e">
        <f t="shared" si="1793"/>
        <v>#N/A</v>
      </c>
      <c r="AJ753" s="34" t="e">
        <f t="shared" si="1793"/>
        <v>#N/A</v>
      </c>
      <c r="AK753" s="34" t="e">
        <f t="shared" si="1793"/>
        <v>#N/A</v>
      </c>
      <c r="AL753" s="34" t="e">
        <f t="shared" si="1793"/>
        <v>#N/A</v>
      </c>
      <c r="AM753" s="34" t="e">
        <f t="shared" si="1793"/>
        <v>#N/A</v>
      </c>
      <c r="AN753" s="34" t="e">
        <f t="shared" si="1793"/>
        <v>#N/A</v>
      </c>
      <c r="AO753" s="34" t="e">
        <f t="shared" si="1793"/>
        <v>#N/A</v>
      </c>
      <c r="AP753" s="34" t="e">
        <f t="shared" si="1793"/>
        <v>#N/A</v>
      </c>
      <c r="AQ753" s="34" t="e">
        <f t="shared" si="1793"/>
        <v>#N/A</v>
      </c>
      <c r="AR753" s="34" t="e">
        <f t="shared" si="1793"/>
        <v>#N/A</v>
      </c>
      <c r="AS753" s="27"/>
      <c r="AT753" s="35" t="str">
        <f t="shared" si="1791"/>
        <v>PEDRO EMILIO BRICEÑO</v>
      </c>
      <c r="AU753" s="36">
        <f t="shared" ref="AU753:BM753" si="1794">Z753/(Z752+Z753+Z765)</f>
        <v>0.5</v>
      </c>
      <c r="AV753" s="36">
        <f t="shared" si="1794"/>
        <v>0.5</v>
      </c>
      <c r="AW753" s="36" t="e">
        <f t="shared" si="1794"/>
        <v>#N/A</v>
      </c>
      <c r="AX753" s="36" t="e">
        <f t="shared" si="1794"/>
        <v>#N/A</v>
      </c>
      <c r="AY753" s="36" t="e">
        <f t="shared" si="1794"/>
        <v>#N/A</v>
      </c>
      <c r="AZ753" s="36" t="e">
        <f t="shared" si="1794"/>
        <v>#N/A</v>
      </c>
      <c r="BA753" s="36" t="e">
        <f t="shared" si="1794"/>
        <v>#N/A</v>
      </c>
      <c r="BB753" s="36" t="e">
        <f t="shared" si="1794"/>
        <v>#N/A</v>
      </c>
      <c r="BC753" s="36" t="e">
        <f t="shared" si="1794"/>
        <v>#N/A</v>
      </c>
      <c r="BD753" s="36" t="e">
        <f t="shared" si="1794"/>
        <v>#N/A</v>
      </c>
      <c r="BE753" s="36" t="e">
        <f t="shared" si="1794"/>
        <v>#N/A</v>
      </c>
      <c r="BF753" s="36" t="e">
        <f t="shared" si="1794"/>
        <v>#N/A</v>
      </c>
      <c r="BG753" s="36" t="e">
        <f t="shared" si="1794"/>
        <v>#N/A</v>
      </c>
      <c r="BH753" s="36" t="e">
        <f t="shared" si="1794"/>
        <v>#N/A</v>
      </c>
      <c r="BI753" s="36" t="e">
        <f t="shared" si="1794"/>
        <v>#N/A</v>
      </c>
      <c r="BJ753" s="36" t="e">
        <f t="shared" si="1794"/>
        <v>#N/A</v>
      </c>
      <c r="BK753" s="36" t="e">
        <f t="shared" si="1794"/>
        <v>#N/A</v>
      </c>
      <c r="BL753" s="36" t="e">
        <f t="shared" si="1794"/>
        <v>#N/A</v>
      </c>
      <c r="BM753" s="36" t="e">
        <f t="shared" si="1794"/>
        <v>#N/A</v>
      </c>
      <c r="BN753" s="30"/>
    </row>
    <row r="754" spans="1:66" ht="11.25" customHeight="1" x14ac:dyDescent="0.2">
      <c r="A754" s="37"/>
      <c r="B754" s="73"/>
      <c r="C754" s="33">
        <v>3</v>
      </c>
      <c r="D754" s="13" t="s">
        <v>482</v>
      </c>
      <c r="E754" s="16">
        <f t="shared" si="1786"/>
        <v>0</v>
      </c>
      <c r="F754" s="16">
        <f>SUMIFS([0]!VOTOS2,[0]!TURNO1,F$31,[0]!CANDIDATO1,$C754,[0]!MUNICIPIO1,$B$752)</f>
        <v>0</v>
      </c>
      <c r="G754" s="16">
        <f>SUMIFS([0]!VOTOS2,[0]!TURNO1,G$31,[0]!CANDIDATO1,$C754,[0]!MUNICIPIO1,$B$752)</f>
        <v>0</v>
      </c>
      <c r="H754" s="16">
        <f>SUMIFS([0]!VOTOS2,[0]!TURNO1,H$31,[0]!CANDIDATO1,$C754,[0]!MUNICIPIO1,$B$752)</f>
        <v>0</v>
      </c>
      <c r="I754" s="16">
        <f>SUMIFS([0]!VOTOS2,[0]!TURNO1,I$31,[0]!CANDIDATO1,$C754,[0]!MUNICIPIO1,$B$752)</f>
        <v>0</v>
      </c>
      <c r="J754" s="16">
        <f>SUMIFS([0]!VOTOS2,[0]!TURNO1,J$31,[0]!CANDIDATO1,$C754,[0]!MUNICIPIO1,$B$752)</f>
        <v>0</v>
      </c>
      <c r="K754" s="16">
        <f>SUMIFS([0]!VOTOS2,[0]!TURNO1,K$31,[0]!CANDIDATO1,$C754,[0]!MUNICIPIO1,$B$752)</f>
        <v>0</v>
      </c>
      <c r="L754" s="16">
        <f>SUMIFS([0]!VOTOS2,[0]!TURNO1,L$31,[0]!CANDIDATO1,$C754,[0]!MUNICIPIO1,$B$752)</f>
        <v>0</v>
      </c>
      <c r="M754" s="16">
        <f>SUMIFS([0]!VOTOS2,[0]!TURNO1,M$31,[0]!CANDIDATO1,$C754,[0]!MUNICIPIO1,$B$752)</f>
        <v>0</v>
      </c>
      <c r="N754" s="16">
        <f>SUMIFS([0]!VOTOS2,[0]!TURNO1,N$31,[0]!CANDIDATO1,$C754,[0]!MUNICIPIO1,$B$752)</f>
        <v>0</v>
      </c>
      <c r="O754" s="16">
        <f>SUMIFS([0]!VOTOS2,[0]!TURNO1,O$31,[0]!CANDIDATO1,$C754,[0]!MUNICIPIO1,$B$752)</f>
        <v>0</v>
      </c>
      <c r="P754" s="16">
        <f>SUMIFS([0]!VOTOS2,[0]!TURNO1,P$31,[0]!CANDIDATO1,$C754,[0]!MUNICIPIO1,$B$752)</f>
        <v>0</v>
      </c>
      <c r="Q754" s="16">
        <f>SUMIFS([0]!VOTOS2,[0]!TURNO1,Q$31,[0]!CANDIDATO1,$C754,[0]!MUNICIPIO1,$B$752)</f>
        <v>0</v>
      </c>
      <c r="R754" s="16">
        <f>SUMIFS([0]!VOTOS2,[0]!TURNO1,R$31,[0]!CANDIDATO1,$C754,[0]!MUNICIPIO1,$B$752)</f>
        <v>0</v>
      </c>
      <c r="S754" s="16">
        <f>SUMIFS([0]!VOTOS2,[0]!TURNO1,S$31,[0]!CANDIDATO1,$C754,[0]!MUNICIPIO1,$B$752)</f>
        <v>0</v>
      </c>
      <c r="T754" s="16">
        <f>SUMIFS([0]!VOTOS2,[0]!TURNO1,T$31,[0]!CANDIDATO1,$C754,[0]!MUNICIPIO1,$B$752)</f>
        <v>0</v>
      </c>
      <c r="U754" s="16">
        <f>SUMIFS([0]!VOTOS2,[0]!TURNO1,U$31,[0]!CANDIDATO1,$C754,[0]!MUNICIPIO1,$B$752)</f>
        <v>0</v>
      </c>
      <c r="V754" s="16">
        <f>SUMIFS([0]!VOTOS2,[0]!TURNO1,V$31,[0]!CANDIDATO1,$C754,[0]!MUNICIPIO1,$B$752)</f>
        <v>0</v>
      </c>
      <c r="W754" s="16">
        <f>SUMIFS([0]!VOTOS2,[0]!TURNO1,W$31,[0]!CANDIDATO1,$C754,[0]!MUNICIPIO1,$B$752)</f>
        <v>0</v>
      </c>
      <c r="X754" s="24"/>
      <c r="Y754" s="18" t="str">
        <f t="shared" si="1787"/>
        <v>BAQUERO ERNESTO</v>
      </c>
      <c r="Z754" s="34">
        <f t="shared" si="1788"/>
        <v>0</v>
      </c>
      <c r="AA754" s="34">
        <f t="shared" si="1789"/>
        <v>0</v>
      </c>
      <c r="AB754" s="34" t="e">
        <f t="shared" ref="AB754:AR754" si="1795">IF(SUM(G752:G764)=0,NA(),G754+AA754)</f>
        <v>#N/A</v>
      </c>
      <c r="AC754" s="34" t="e">
        <f t="shared" si="1795"/>
        <v>#N/A</v>
      </c>
      <c r="AD754" s="34" t="e">
        <f t="shared" si="1795"/>
        <v>#N/A</v>
      </c>
      <c r="AE754" s="34" t="e">
        <f t="shared" si="1795"/>
        <v>#N/A</v>
      </c>
      <c r="AF754" s="34" t="e">
        <f t="shared" si="1795"/>
        <v>#N/A</v>
      </c>
      <c r="AG754" s="34" t="e">
        <f t="shared" si="1795"/>
        <v>#N/A</v>
      </c>
      <c r="AH754" s="34" t="e">
        <f t="shared" si="1795"/>
        <v>#N/A</v>
      </c>
      <c r="AI754" s="34" t="e">
        <f t="shared" si="1795"/>
        <v>#N/A</v>
      </c>
      <c r="AJ754" s="34" t="e">
        <f t="shared" si="1795"/>
        <v>#N/A</v>
      </c>
      <c r="AK754" s="34" t="e">
        <f t="shared" si="1795"/>
        <v>#N/A</v>
      </c>
      <c r="AL754" s="34" t="e">
        <f t="shared" si="1795"/>
        <v>#N/A</v>
      </c>
      <c r="AM754" s="34" t="e">
        <f t="shared" si="1795"/>
        <v>#N/A</v>
      </c>
      <c r="AN754" s="34" t="e">
        <f t="shared" si="1795"/>
        <v>#N/A</v>
      </c>
      <c r="AO754" s="34" t="e">
        <f t="shared" si="1795"/>
        <v>#N/A</v>
      </c>
      <c r="AP754" s="34" t="e">
        <f t="shared" si="1795"/>
        <v>#N/A</v>
      </c>
      <c r="AQ754" s="34" t="e">
        <f t="shared" si="1795"/>
        <v>#N/A</v>
      </c>
      <c r="AR754" s="34" t="e">
        <f t="shared" si="1795"/>
        <v>#N/A</v>
      </c>
      <c r="AS754" s="27"/>
      <c r="AT754" s="35" t="str">
        <f t="shared" ref="AT754" si="1796">Y765</f>
        <v>Otros</v>
      </c>
      <c r="AU754" s="36">
        <f t="shared" ref="AU754:BM754" si="1797">Z765/(Z752+Z753+Z765)</f>
        <v>0</v>
      </c>
      <c r="AV754" s="36">
        <f t="shared" si="1797"/>
        <v>0</v>
      </c>
      <c r="AW754" s="36" t="e">
        <f t="shared" si="1797"/>
        <v>#N/A</v>
      </c>
      <c r="AX754" s="36" t="e">
        <f t="shared" si="1797"/>
        <v>#N/A</v>
      </c>
      <c r="AY754" s="36" t="e">
        <f t="shared" si="1797"/>
        <v>#N/A</v>
      </c>
      <c r="AZ754" s="36" t="e">
        <f t="shared" si="1797"/>
        <v>#N/A</v>
      </c>
      <c r="BA754" s="36" t="e">
        <f t="shared" si="1797"/>
        <v>#N/A</v>
      </c>
      <c r="BB754" s="36" t="e">
        <f t="shared" si="1797"/>
        <v>#N/A</v>
      </c>
      <c r="BC754" s="36" t="e">
        <f t="shared" si="1797"/>
        <v>#N/A</v>
      </c>
      <c r="BD754" s="36" t="e">
        <f t="shared" si="1797"/>
        <v>#N/A</v>
      </c>
      <c r="BE754" s="36" t="e">
        <f t="shared" si="1797"/>
        <v>#N/A</v>
      </c>
      <c r="BF754" s="36" t="e">
        <f t="shared" si="1797"/>
        <v>#N/A</v>
      </c>
      <c r="BG754" s="36" t="e">
        <f t="shared" si="1797"/>
        <v>#N/A</v>
      </c>
      <c r="BH754" s="36" t="e">
        <f t="shared" si="1797"/>
        <v>#N/A</v>
      </c>
      <c r="BI754" s="36" t="e">
        <f t="shared" si="1797"/>
        <v>#N/A</v>
      </c>
      <c r="BJ754" s="36" t="e">
        <f t="shared" si="1797"/>
        <v>#N/A</v>
      </c>
      <c r="BK754" s="36" t="e">
        <f t="shared" si="1797"/>
        <v>#N/A</v>
      </c>
      <c r="BL754" s="36" t="e">
        <f t="shared" si="1797"/>
        <v>#N/A</v>
      </c>
      <c r="BM754" s="36" t="e">
        <f t="shared" si="1797"/>
        <v>#N/A</v>
      </c>
      <c r="BN754" s="30"/>
    </row>
    <row r="755" spans="1:66" ht="11.25" customHeight="1" x14ac:dyDescent="0.2">
      <c r="A755" s="38" t="s">
        <v>40</v>
      </c>
      <c r="B755" s="73"/>
      <c r="C755" s="33">
        <v>4</v>
      </c>
      <c r="D755" s="13" t="s">
        <v>483</v>
      </c>
      <c r="E755" s="16">
        <f t="shared" si="1786"/>
        <v>0</v>
      </c>
      <c r="F755" s="16">
        <f>SUMIFS([0]!VOTOS2,[0]!TURNO1,F$31,[0]!CANDIDATO1,$C755,[0]!MUNICIPIO1,$B$752)</f>
        <v>0</v>
      </c>
      <c r="G755" s="16">
        <f>SUMIFS([0]!VOTOS2,[0]!TURNO1,G$31,[0]!CANDIDATO1,$C755,[0]!MUNICIPIO1,$B$752)</f>
        <v>0</v>
      </c>
      <c r="H755" s="16">
        <f>SUMIFS([0]!VOTOS2,[0]!TURNO1,H$31,[0]!CANDIDATO1,$C755,[0]!MUNICIPIO1,$B$752)</f>
        <v>0</v>
      </c>
      <c r="I755" s="16">
        <f>SUMIFS([0]!VOTOS2,[0]!TURNO1,I$31,[0]!CANDIDATO1,$C755,[0]!MUNICIPIO1,$B$752)</f>
        <v>0</v>
      </c>
      <c r="J755" s="16">
        <f>SUMIFS([0]!VOTOS2,[0]!TURNO1,J$31,[0]!CANDIDATO1,$C755,[0]!MUNICIPIO1,$B$752)</f>
        <v>0</v>
      </c>
      <c r="K755" s="16">
        <f>SUMIFS([0]!VOTOS2,[0]!TURNO1,K$31,[0]!CANDIDATO1,$C755,[0]!MUNICIPIO1,$B$752)</f>
        <v>0</v>
      </c>
      <c r="L755" s="16">
        <f>SUMIFS([0]!VOTOS2,[0]!TURNO1,L$31,[0]!CANDIDATO1,$C755,[0]!MUNICIPIO1,$B$752)</f>
        <v>0</v>
      </c>
      <c r="M755" s="16">
        <f>SUMIFS([0]!VOTOS2,[0]!TURNO1,M$31,[0]!CANDIDATO1,$C755,[0]!MUNICIPIO1,$B$752)</f>
        <v>0</v>
      </c>
      <c r="N755" s="16">
        <f>SUMIFS([0]!VOTOS2,[0]!TURNO1,N$31,[0]!CANDIDATO1,$C755,[0]!MUNICIPIO1,$B$752)</f>
        <v>0</v>
      </c>
      <c r="O755" s="16">
        <f>SUMIFS([0]!VOTOS2,[0]!TURNO1,O$31,[0]!CANDIDATO1,$C755,[0]!MUNICIPIO1,$B$752)</f>
        <v>0</v>
      </c>
      <c r="P755" s="16">
        <f>SUMIFS([0]!VOTOS2,[0]!TURNO1,P$31,[0]!CANDIDATO1,$C755,[0]!MUNICIPIO1,$B$752)</f>
        <v>0</v>
      </c>
      <c r="Q755" s="16">
        <f>SUMIFS([0]!VOTOS2,[0]!TURNO1,Q$31,[0]!CANDIDATO1,$C755,[0]!MUNICIPIO1,$B$752)</f>
        <v>0</v>
      </c>
      <c r="R755" s="16">
        <f>SUMIFS([0]!VOTOS2,[0]!TURNO1,R$31,[0]!CANDIDATO1,$C755,[0]!MUNICIPIO1,$B$752)</f>
        <v>0</v>
      </c>
      <c r="S755" s="16">
        <f>SUMIFS([0]!VOTOS2,[0]!TURNO1,S$31,[0]!CANDIDATO1,$C755,[0]!MUNICIPIO1,$B$752)</f>
        <v>0</v>
      </c>
      <c r="T755" s="16">
        <f>SUMIFS([0]!VOTOS2,[0]!TURNO1,T$31,[0]!CANDIDATO1,$C755,[0]!MUNICIPIO1,$B$752)</f>
        <v>0</v>
      </c>
      <c r="U755" s="16">
        <f>SUMIFS([0]!VOTOS2,[0]!TURNO1,U$31,[0]!CANDIDATO1,$C755,[0]!MUNICIPIO1,$B$752)</f>
        <v>0</v>
      </c>
      <c r="V755" s="16">
        <f>SUMIFS([0]!VOTOS2,[0]!TURNO1,V$31,[0]!CANDIDATO1,$C755,[0]!MUNICIPIO1,$B$752)</f>
        <v>0</v>
      </c>
      <c r="W755" s="16">
        <f>SUMIFS([0]!VOTOS2,[0]!TURNO1,W$31,[0]!CANDIDATO1,$C755,[0]!MUNICIPIO1,$B$752)</f>
        <v>0</v>
      </c>
      <c r="X755" s="24"/>
      <c r="Y755" s="18" t="str">
        <f t="shared" si="1787"/>
        <v>YSMANIA FERNANDEZ</v>
      </c>
      <c r="Z755" s="34">
        <f t="shared" si="1788"/>
        <v>0</v>
      </c>
      <c r="AA755" s="34">
        <f t="shared" si="1789"/>
        <v>0</v>
      </c>
      <c r="AB755" s="34" t="e">
        <f t="shared" ref="AB755:AR755" si="1798">IF(SUM(G752:G764)=0,NA(),G755+AA755)</f>
        <v>#N/A</v>
      </c>
      <c r="AC755" s="34" t="e">
        <f t="shared" si="1798"/>
        <v>#N/A</v>
      </c>
      <c r="AD755" s="34" t="e">
        <f t="shared" si="1798"/>
        <v>#N/A</v>
      </c>
      <c r="AE755" s="34" t="e">
        <f t="shared" si="1798"/>
        <v>#N/A</v>
      </c>
      <c r="AF755" s="34" t="e">
        <f t="shared" si="1798"/>
        <v>#N/A</v>
      </c>
      <c r="AG755" s="34" t="e">
        <f t="shared" si="1798"/>
        <v>#N/A</v>
      </c>
      <c r="AH755" s="34" t="e">
        <f t="shared" si="1798"/>
        <v>#N/A</v>
      </c>
      <c r="AI755" s="34" t="e">
        <f t="shared" si="1798"/>
        <v>#N/A</v>
      </c>
      <c r="AJ755" s="34" t="e">
        <f t="shared" si="1798"/>
        <v>#N/A</v>
      </c>
      <c r="AK755" s="34" t="e">
        <f t="shared" si="1798"/>
        <v>#N/A</v>
      </c>
      <c r="AL755" s="34" t="e">
        <f t="shared" si="1798"/>
        <v>#N/A</v>
      </c>
      <c r="AM755" s="34" t="e">
        <f t="shared" si="1798"/>
        <v>#N/A</v>
      </c>
      <c r="AN755" s="34" t="e">
        <f t="shared" si="1798"/>
        <v>#N/A</v>
      </c>
      <c r="AO755" s="34" t="e">
        <f t="shared" si="1798"/>
        <v>#N/A</v>
      </c>
      <c r="AP755" s="34" t="e">
        <f t="shared" si="1798"/>
        <v>#N/A</v>
      </c>
      <c r="AQ755" s="34" t="e">
        <f t="shared" si="1798"/>
        <v>#N/A</v>
      </c>
      <c r="AR755" s="34" t="e">
        <f t="shared" si="1798"/>
        <v>#N/A</v>
      </c>
      <c r="AS755" s="27"/>
      <c r="AT755" s="39"/>
      <c r="AU755" s="39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30"/>
    </row>
    <row r="756" spans="1:66" ht="11.25" customHeight="1" x14ac:dyDescent="0.2">
      <c r="A756" s="38" t="s">
        <v>19</v>
      </c>
      <c r="B756" s="73"/>
      <c r="C756" s="33">
        <v>5</v>
      </c>
      <c r="D756" s="13" t="s">
        <v>484</v>
      </c>
      <c r="E756" s="16">
        <f t="shared" si="1786"/>
        <v>0</v>
      </c>
      <c r="F756" s="16">
        <f>SUMIFS([0]!VOTOS2,[0]!TURNO1,F$31,[0]!CANDIDATO1,$C756,[0]!MUNICIPIO1,$B$752)</f>
        <v>0</v>
      </c>
      <c r="G756" s="16">
        <f>SUMIFS([0]!VOTOS2,[0]!TURNO1,G$31,[0]!CANDIDATO1,$C756,[0]!MUNICIPIO1,$B$752)</f>
        <v>0</v>
      </c>
      <c r="H756" s="16">
        <f>SUMIFS([0]!VOTOS2,[0]!TURNO1,H$31,[0]!CANDIDATO1,$C756,[0]!MUNICIPIO1,$B$752)</f>
        <v>0</v>
      </c>
      <c r="I756" s="16">
        <f>SUMIFS([0]!VOTOS2,[0]!TURNO1,I$31,[0]!CANDIDATO1,$C756,[0]!MUNICIPIO1,$B$752)</f>
        <v>0</v>
      </c>
      <c r="J756" s="16">
        <f>SUMIFS([0]!VOTOS2,[0]!TURNO1,J$31,[0]!CANDIDATO1,$C756,[0]!MUNICIPIO1,$B$752)</f>
        <v>0</v>
      </c>
      <c r="K756" s="16">
        <f>SUMIFS([0]!VOTOS2,[0]!TURNO1,K$31,[0]!CANDIDATO1,$C756,[0]!MUNICIPIO1,$B$752)</f>
        <v>0</v>
      </c>
      <c r="L756" s="16">
        <f>SUMIFS([0]!VOTOS2,[0]!TURNO1,L$31,[0]!CANDIDATO1,$C756,[0]!MUNICIPIO1,$B$752)</f>
        <v>0</v>
      </c>
      <c r="M756" s="16">
        <f>SUMIFS([0]!VOTOS2,[0]!TURNO1,M$31,[0]!CANDIDATO1,$C756,[0]!MUNICIPIO1,$B$752)</f>
        <v>0</v>
      </c>
      <c r="N756" s="16">
        <f>SUMIFS([0]!VOTOS2,[0]!TURNO1,N$31,[0]!CANDIDATO1,$C756,[0]!MUNICIPIO1,$B$752)</f>
        <v>0</v>
      </c>
      <c r="O756" s="16">
        <f>SUMIFS([0]!VOTOS2,[0]!TURNO1,O$31,[0]!CANDIDATO1,$C756,[0]!MUNICIPIO1,$B$752)</f>
        <v>0</v>
      </c>
      <c r="P756" s="16">
        <f>SUMIFS([0]!VOTOS2,[0]!TURNO1,P$31,[0]!CANDIDATO1,$C756,[0]!MUNICIPIO1,$B$752)</f>
        <v>0</v>
      </c>
      <c r="Q756" s="16">
        <f>SUMIFS([0]!VOTOS2,[0]!TURNO1,Q$31,[0]!CANDIDATO1,$C756,[0]!MUNICIPIO1,$B$752)</f>
        <v>0</v>
      </c>
      <c r="R756" s="16">
        <f>SUMIFS([0]!VOTOS2,[0]!TURNO1,R$31,[0]!CANDIDATO1,$C756,[0]!MUNICIPIO1,$B$752)</f>
        <v>0</v>
      </c>
      <c r="S756" s="16">
        <f>SUMIFS([0]!VOTOS2,[0]!TURNO1,S$31,[0]!CANDIDATO1,$C756,[0]!MUNICIPIO1,$B$752)</f>
        <v>0</v>
      </c>
      <c r="T756" s="16">
        <f>SUMIFS([0]!VOTOS2,[0]!TURNO1,T$31,[0]!CANDIDATO1,$C756,[0]!MUNICIPIO1,$B$752)</f>
        <v>0</v>
      </c>
      <c r="U756" s="16">
        <f>SUMIFS([0]!VOTOS2,[0]!TURNO1,U$31,[0]!CANDIDATO1,$C756,[0]!MUNICIPIO1,$B$752)</f>
        <v>0</v>
      </c>
      <c r="V756" s="16">
        <f>SUMIFS([0]!VOTOS2,[0]!TURNO1,V$31,[0]!CANDIDATO1,$C756,[0]!MUNICIPIO1,$B$752)</f>
        <v>0</v>
      </c>
      <c r="W756" s="16">
        <f>SUMIFS([0]!VOTOS2,[0]!TURNO1,W$31,[0]!CANDIDATO1,$C756,[0]!MUNICIPIO1,$B$752)</f>
        <v>0</v>
      </c>
      <c r="X756" s="24"/>
      <c r="Y756" s="18" t="str">
        <f t="shared" si="1787"/>
        <v>NELLYS VIVENEZ</v>
      </c>
      <c r="Z756" s="34">
        <f t="shared" si="1788"/>
        <v>0</v>
      </c>
      <c r="AA756" s="34">
        <f t="shared" si="1789"/>
        <v>0</v>
      </c>
      <c r="AB756" s="34" t="e">
        <f t="shared" ref="AB756:AR756" si="1799">IF(SUM(G752:G764)=0,NA(),G756+AA756)</f>
        <v>#N/A</v>
      </c>
      <c r="AC756" s="34" t="e">
        <f t="shared" si="1799"/>
        <v>#N/A</v>
      </c>
      <c r="AD756" s="34" t="e">
        <f t="shared" si="1799"/>
        <v>#N/A</v>
      </c>
      <c r="AE756" s="34" t="e">
        <f t="shared" si="1799"/>
        <v>#N/A</v>
      </c>
      <c r="AF756" s="34" t="e">
        <f t="shared" si="1799"/>
        <v>#N/A</v>
      </c>
      <c r="AG756" s="34" t="e">
        <f t="shared" si="1799"/>
        <v>#N/A</v>
      </c>
      <c r="AH756" s="34" t="e">
        <f t="shared" si="1799"/>
        <v>#N/A</v>
      </c>
      <c r="AI756" s="34" t="e">
        <f t="shared" si="1799"/>
        <v>#N/A</v>
      </c>
      <c r="AJ756" s="34" t="e">
        <f t="shared" si="1799"/>
        <v>#N/A</v>
      </c>
      <c r="AK756" s="34" t="e">
        <f t="shared" si="1799"/>
        <v>#N/A</v>
      </c>
      <c r="AL756" s="34" t="e">
        <f t="shared" si="1799"/>
        <v>#N/A</v>
      </c>
      <c r="AM756" s="34" t="e">
        <f t="shared" si="1799"/>
        <v>#N/A</v>
      </c>
      <c r="AN756" s="34" t="e">
        <f t="shared" si="1799"/>
        <v>#N/A</v>
      </c>
      <c r="AO756" s="34" t="e">
        <f t="shared" si="1799"/>
        <v>#N/A</v>
      </c>
      <c r="AP756" s="34" t="e">
        <f t="shared" si="1799"/>
        <v>#N/A</v>
      </c>
      <c r="AQ756" s="34" t="e">
        <f t="shared" si="1799"/>
        <v>#N/A</v>
      </c>
      <c r="AR756" s="34" t="e">
        <f t="shared" si="1799"/>
        <v>#N/A</v>
      </c>
      <c r="AS756" s="27"/>
      <c r="AT756" s="39"/>
      <c r="AU756" s="39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30"/>
    </row>
    <row r="757" spans="1:66" ht="11.25" customHeight="1" x14ac:dyDescent="0.2">
      <c r="A757" s="42"/>
      <c r="B757" s="74"/>
      <c r="C757" s="33">
        <v>6</v>
      </c>
      <c r="D757" s="13" t="s">
        <v>485</v>
      </c>
      <c r="E757" s="16">
        <f t="shared" si="1786"/>
        <v>0</v>
      </c>
      <c r="F757" s="16">
        <f>SUMIFS([0]!VOTOS2,[0]!TURNO1,F$31,[0]!CANDIDATO1,$C757,[0]!MUNICIPIO1,$B$752)</f>
        <v>0</v>
      </c>
      <c r="G757" s="16">
        <f>SUMIFS([0]!VOTOS2,[0]!TURNO1,G$31,[0]!CANDIDATO1,$C757,[0]!MUNICIPIO1,$B$752)</f>
        <v>0</v>
      </c>
      <c r="H757" s="16">
        <f>SUMIFS([0]!VOTOS2,[0]!TURNO1,H$31,[0]!CANDIDATO1,$C757,[0]!MUNICIPIO1,$B$752)</f>
        <v>0</v>
      </c>
      <c r="I757" s="16">
        <f>SUMIFS([0]!VOTOS2,[0]!TURNO1,I$31,[0]!CANDIDATO1,$C757,[0]!MUNICIPIO1,$B$752)</f>
        <v>0</v>
      </c>
      <c r="J757" s="16">
        <f>SUMIFS([0]!VOTOS2,[0]!TURNO1,J$31,[0]!CANDIDATO1,$C757,[0]!MUNICIPIO1,$B$752)</f>
        <v>0</v>
      </c>
      <c r="K757" s="16">
        <f>SUMIFS([0]!VOTOS2,[0]!TURNO1,K$31,[0]!CANDIDATO1,$C757,[0]!MUNICIPIO1,$B$752)</f>
        <v>0</v>
      </c>
      <c r="L757" s="16">
        <f>SUMIFS([0]!VOTOS2,[0]!TURNO1,L$31,[0]!CANDIDATO1,$C757,[0]!MUNICIPIO1,$B$752)</f>
        <v>0</v>
      </c>
      <c r="M757" s="16">
        <f>SUMIFS([0]!VOTOS2,[0]!TURNO1,M$31,[0]!CANDIDATO1,$C757,[0]!MUNICIPIO1,$B$752)</f>
        <v>0</v>
      </c>
      <c r="N757" s="16">
        <f>SUMIFS([0]!VOTOS2,[0]!TURNO1,N$31,[0]!CANDIDATO1,$C757,[0]!MUNICIPIO1,$B$752)</f>
        <v>0</v>
      </c>
      <c r="O757" s="16">
        <f>SUMIFS([0]!VOTOS2,[0]!TURNO1,O$31,[0]!CANDIDATO1,$C757,[0]!MUNICIPIO1,$B$752)</f>
        <v>0</v>
      </c>
      <c r="P757" s="16">
        <f>SUMIFS([0]!VOTOS2,[0]!TURNO1,P$31,[0]!CANDIDATO1,$C757,[0]!MUNICIPIO1,$B$752)</f>
        <v>0</v>
      </c>
      <c r="Q757" s="16">
        <f>SUMIFS([0]!VOTOS2,[0]!TURNO1,Q$31,[0]!CANDIDATO1,$C757,[0]!MUNICIPIO1,$B$752)</f>
        <v>0</v>
      </c>
      <c r="R757" s="16">
        <f>SUMIFS([0]!VOTOS2,[0]!TURNO1,R$31,[0]!CANDIDATO1,$C757,[0]!MUNICIPIO1,$B$752)</f>
        <v>0</v>
      </c>
      <c r="S757" s="16">
        <f>SUMIFS([0]!VOTOS2,[0]!TURNO1,S$31,[0]!CANDIDATO1,$C757,[0]!MUNICIPIO1,$B$752)</f>
        <v>0</v>
      </c>
      <c r="T757" s="16">
        <f>SUMIFS([0]!VOTOS2,[0]!TURNO1,T$31,[0]!CANDIDATO1,$C757,[0]!MUNICIPIO1,$B$752)</f>
        <v>0</v>
      </c>
      <c r="U757" s="16">
        <f>SUMIFS([0]!VOTOS2,[0]!TURNO1,U$31,[0]!CANDIDATO1,$C757,[0]!MUNICIPIO1,$B$752)</f>
        <v>0</v>
      </c>
      <c r="V757" s="16">
        <f>SUMIFS([0]!VOTOS2,[0]!TURNO1,V$31,[0]!CANDIDATO1,$C757,[0]!MUNICIPIO1,$B$752)</f>
        <v>0</v>
      </c>
      <c r="W757" s="16">
        <f>SUMIFS([0]!VOTOS2,[0]!TURNO1,W$31,[0]!CANDIDATO1,$C757,[0]!MUNICIPIO1,$B$752)</f>
        <v>0</v>
      </c>
      <c r="X757" s="24"/>
      <c r="Y757" s="18" t="str">
        <f t="shared" si="1787"/>
        <v>DOMINGO PEDEMONTE</v>
      </c>
      <c r="Z757" s="34">
        <f t="shared" si="1788"/>
        <v>0</v>
      </c>
      <c r="AA757" s="34">
        <f t="shared" si="1789"/>
        <v>0</v>
      </c>
      <c r="AB757" s="34" t="e">
        <f t="shared" ref="AB757:AR757" si="1800">IF(SUM(G752:G764)=0,NA(),G757+AA757)</f>
        <v>#N/A</v>
      </c>
      <c r="AC757" s="34" t="e">
        <f t="shared" si="1800"/>
        <v>#N/A</v>
      </c>
      <c r="AD757" s="34" t="e">
        <f t="shared" si="1800"/>
        <v>#N/A</v>
      </c>
      <c r="AE757" s="34" t="e">
        <f t="shared" si="1800"/>
        <v>#N/A</v>
      </c>
      <c r="AF757" s="34" t="e">
        <f t="shared" si="1800"/>
        <v>#N/A</v>
      </c>
      <c r="AG757" s="34" t="e">
        <f t="shared" si="1800"/>
        <v>#N/A</v>
      </c>
      <c r="AH757" s="34" t="e">
        <f t="shared" si="1800"/>
        <v>#N/A</v>
      </c>
      <c r="AI757" s="34" t="e">
        <f t="shared" si="1800"/>
        <v>#N/A</v>
      </c>
      <c r="AJ757" s="34" t="e">
        <f t="shared" si="1800"/>
        <v>#N/A</v>
      </c>
      <c r="AK757" s="34" t="e">
        <f t="shared" si="1800"/>
        <v>#N/A</v>
      </c>
      <c r="AL757" s="34" t="e">
        <f t="shared" si="1800"/>
        <v>#N/A</v>
      </c>
      <c r="AM757" s="34" t="e">
        <f t="shared" si="1800"/>
        <v>#N/A</v>
      </c>
      <c r="AN757" s="34" t="e">
        <f t="shared" si="1800"/>
        <v>#N/A</v>
      </c>
      <c r="AO757" s="34" t="e">
        <f t="shared" si="1800"/>
        <v>#N/A</v>
      </c>
      <c r="AP757" s="34" t="e">
        <f t="shared" si="1800"/>
        <v>#N/A</v>
      </c>
      <c r="AQ757" s="34" t="e">
        <f t="shared" si="1800"/>
        <v>#N/A</v>
      </c>
      <c r="AR757" s="34" t="e">
        <f t="shared" si="1800"/>
        <v>#N/A</v>
      </c>
      <c r="AS757" s="27"/>
      <c r="AT757" s="39"/>
      <c r="AU757" s="39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30"/>
    </row>
    <row r="758" spans="1:66" ht="11.25" customHeight="1" x14ac:dyDescent="0.2">
      <c r="A758" s="44"/>
      <c r="B758" s="45"/>
      <c r="C758" s="46">
        <v>7</v>
      </c>
      <c r="D758" s="14" t="s">
        <v>76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24"/>
      <c r="Y758" s="18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27"/>
      <c r="AT758" s="39"/>
      <c r="AU758" s="39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30"/>
    </row>
    <row r="759" spans="1:66" ht="11.25" customHeight="1" x14ac:dyDescent="0.2">
      <c r="A759" s="44"/>
      <c r="B759" s="45"/>
      <c r="C759" s="46">
        <v>8</v>
      </c>
      <c r="D759" s="14" t="s">
        <v>76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24"/>
      <c r="Y759" s="18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27"/>
      <c r="AT759" s="41"/>
      <c r="AU759" s="41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30"/>
    </row>
    <row r="760" spans="1:66" ht="11.25" customHeight="1" x14ac:dyDescent="0.2">
      <c r="A760" s="44"/>
      <c r="B760" s="45"/>
      <c r="C760" s="46">
        <v>9</v>
      </c>
      <c r="D760" s="14" t="s">
        <v>76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24"/>
      <c r="Y760" s="18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27"/>
      <c r="AT760" s="41"/>
      <c r="AU760" s="41"/>
      <c r="AV760" s="43"/>
      <c r="AW760" s="43"/>
      <c r="AX760" s="43"/>
      <c r="AY760" s="43"/>
      <c r="AZ760" s="43"/>
      <c r="BA760" s="43"/>
      <c r="BB760" s="43"/>
      <c r="BC760" s="43"/>
      <c r="BD760" s="43"/>
      <c r="BE760" s="43"/>
      <c r="BF760" s="43"/>
      <c r="BG760" s="43"/>
      <c r="BH760" s="43"/>
      <c r="BI760" s="43"/>
      <c r="BJ760" s="43"/>
      <c r="BK760" s="43"/>
      <c r="BL760" s="43"/>
      <c r="BM760" s="43"/>
      <c r="BN760" s="30"/>
    </row>
    <row r="761" spans="1:66" ht="11.25" customHeight="1" x14ac:dyDescent="0.2">
      <c r="A761" s="44"/>
      <c r="B761" s="45"/>
      <c r="C761" s="46">
        <v>10</v>
      </c>
      <c r="D761" s="14" t="s">
        <v>76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24"/>
      <c r="Y761" s="18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27"/>
      <c r="AT761" s="41"/>
      <c r="AU761" s="41"/>
      <c r="AV761" s="43"/>
      <c r="AW761" s="43"/>
      <c r="AX761" s="43"/>
      <c r="AY761" s="43"/>
      <c r="AZ761" s="43"/>
      <c r="BA761" s="43"/>
      <c r="BB761" s="43"/>
      <c r="BC761" s="43"/>
      <c r="BD761" s="43"/>
      <c r="BE761" s="43"/>
      <c r="BF761" s="43"/>
      <c r="BG761" s="43"/>
      <c r="BH761" s="43"/>
      <c r="BI761" s="43"/>
      <c r="BJ761" s="43"/>
      <c r="BK761" s="43"/>
      <c r="BL761" s="43"/>
      <c r="BM761" s="43"/>
      <c r="BN761" s="30"/>
    </row>
    <row r="762" spans="1:66" ht="11.25" customHeight="1" x14ac:dyDescent="0.2">
      <c r="A762" s="44"/>
      <c r="B762" s="45"/>
      <c r="C762" s="46">
        <v>11</v>
      </c>
      <c r="D762" s="14" t="s">
        <v>76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24"/>
      <c r="Y762" s="18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27"/>
      <c r="AT762" s="41"/>
      <c r="AU762" s="41"/>
      <c r="AV762" s="43"/>
      <c r="AW762" s="43"/>
      <c r="AX762" s="43"/>
      <c r="AY762" s="43"/>
      <c r="AZ762" s="43"/>
      <c r="BA762" s="43"/>
      <c r="BB762" s="43"/>
      <c r="BC762" s="43"/>
      <c r="BD762" s="43"/>
      <c r="BE762" s="43"/>
      <c r="BF762" s="43"/>
      <c r="BG762" s="43"/>
      <c r="BH762" s="43"/>
      <c r="BI762" s="43"/>
      <c r="BJ762" s="43"/>
      <c r="BK762" s="43"/>
      <c r="BL762" s="43"/>
      <c r="BM762" s="43"/>
      <c r="BN762" s="30"/>
    </row>
    <row r="763" spans="1:66" ht="11.25" customHeight="1" x14ac:dyDescent="0.2">
      <c r="A763" s="44"/>
      <c r="B763" s="45"/>
      <c r="C763" s="46">
        <v>12</v>
      </c>
      <c r="D763" s="14" t="s">
        <v>76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24"/>
      <c r="Y763" s="18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27"/>
      <c r="AT763" s="41"/>
      <c r="AU763" s="41"/>
      <c r="AV763" s="43"/>
      <c r="AW763" s="43"/>
      <c r="AX763" s="43"/>
      <c r="AY763" s="43"/>
      <c r="AZ763" s="43"/>
      <c r="BA763" s="43"/>
      <c r="BB763" s="43"/>
      <c r="BC763" s="43"/>
      <c r="BD763" s="43"/>
      <c r="BE763" s="43"/>
      <c r="BF763" s="43"/>
      <c r="BG763" s="43"/>
      <c r="BH763" s="43"/>
      <c r="BI763" s="43"/>
      <c r="BJ763" s="43"/>
      <c r="BK763" s="43"/>
      <c r="BL763" s="43"/>
      <c r="BM763" s="43"/>
      <c r="BN763" s="30"/>
    </row>
    <row r="764" spans="1:66" ht="11.25" customHeight="1" x14ac:dyDescent="0.2">
      <c r="A764" s="44"/>
      <c r="B764" s="45"/>
      <c r="C764" s="46">
        <v>13</v>
      </c>
      <c r="D764" s="14" t="s">
        <v>76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24"/>
      <c r="Y764" s="18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27"/>
      <c r="AT764" s="41"/>
      <c r="AU764" s="41"/>
      <c r="AV764" s="43"/>
      <c r="AW764" s="43"/>
      <c r="AX764" s="43"/>
      <c r="AY764" s="43"/>
      <c r="AZ764" s="43"/>
      <c r="BA764" s="43"/>
      <c r="BB764" s="43"/>
      <c r="BC764" s="43"/>
      <c r="BD764" s="43"/>
      <c r="BE764" s="43"/>
      <c r="BF764" s="43"/>
      <c r="BG764" s="43"/>
      <c r="BH764" s="43"/>
      <c r="BI764" s="43"/>
      <c r="BJ764" s="43"/>
      <c r="BK764" s="43"/>
      <c r="BL764" s="43"/>
      <c r="BM764" s="43"/>
      <c r="BN764" s="30"/>
    </row>
    <row r="765" spans="1:66" ht="11.25" customHeight="1" x14ac:dyDescent="0.2">
      <c r="X765" s="24"/>
      <c r="Y765" s="19" t="s">
        <v>79</v>
      </c>
      <c r="Z765" s="34">
        <f t="shared" ref="Z765" si="1801">SUM(Z754:Z764)</f>
        <v>0</v>
      </c>
      <c r="AA765" s="34">
        <f t="shared" ref="AA765" si="1802">SUM(AA754:AA764)</f>
        <v>0</v>
      </c>
      <c r="AB765" s="34" t="e">
        <f t="shared" ref="AB765" si="1803">SUM(AB754:AB764)</f>
        <v>#N/A</v>
      </c>
      <c r="AC765" s="34" t="e">
        <f t="shared" ref="AC765" si="1804">SUM(AC754:AC764)</f>
        <v>#N/A</v>
      </c>
      <c r="AD765" s="34" t="e">
        <f t="shared" ref="AD765" si="1805">SUM(AD754:AD764)</f>
        <v>#N/A</v>
      </c>
      <c r="AE765" s="34" t="e">
        <f t="shared" ref="AE765" si="1806">SUM(AE754:AE764)</f>
        <v>#N/A</v>
      </c>
      <c r="AF765" s="34" t="e">
        <f t="shared" ref="AF765" si="1807">SUM(AF754:AF764)</f>
        <v>#N/A</v>
      </c>
      <c r="AG765" s="34" t="e">
        <f t="shared" ref="AG765" si="1808">SUM(AG754:AG764)</f>
        <v>#N/A</v>
      </c>
      <c r="AH765" s="34" t="e">
        <f t="shared" ref="AH765" si="1809">SUM(AH754:AH764)</f>
        <v>#N/A</v>
      </c>
      <c r="AI765" s="34" t="e">
        <f t="shared" ref="AI765" si="1810">SUM(AI754:AI764)</f>
        <v>#N/A</v>
      </c>
      <c r="AJ765" s="34" t="e">
        <f t="shared" ref="AJ765" si="1811">SUM(AJ754:AJ764)</f>
        <v>#N/A</v>
      </c>
      <c r="AK765" s="34" t="e">
        <f t="shared" ref="AK765" si="1812">SUM(AK754:AK764)</f>
        <v>#N/A</v>
      </c>
      <c r="AL765" s="34" t="e">
        <f t="shared" ref="AL765" si="1813">SUM(AL754:AL764)</f>
        <v>#N/A</v>
      </c>
      <c r="AM765" s="34" t="e">
        <f t="shared" ref="AM765" si="1814">SUM(AM754:AM764)</f>
        <v>#N/A</v>
      </c>
      <c r="AN765" s="34" t="e">
        <f t="shared" ref="AN765" si="1815">SUM(AN754:AN764)</f>
        <v>#N/A</v>
      </c>
      <c r="AO765" s="34" t="e">
        <f t="shared" ref="AO765" si="1816">SUM(AO754:AO764)</f>
        <v>#N/A</v>
      </c>
      <c r="AP765" s="34" t="e">
        <f t="shared" ref="AP765" si="1817">SUM(AP754:AP764)</f>
        <v>#N/A</v>
      </c>
      <c r="AQ765" s="34" t="e">
        <f t="shared" ref="AQ765" si="1818">SUM(AQ754:AQ764)</f>
        <v>#N/A</v>
      </c>
      <c r="AR765" s="34" t="e">
        <f t="shared" ref="AR765" si="1819">SUM(AR754:AR764)</f>
        <v>#N/A</v>
      </c>
      <c r="AS765" s="27"/>
      <c r="AT765" s="41"/>
      <c r="AU765" s="41"/>
      <c r="AV765" s="43"/>
      <c r="AW765" s="43"/>
      <c r="AX765" s="43"/>
      <c r="AY765" s="43"/>
      <c r="AZ765" s="43"/>
      <c r="BA765" s="43"/>
      <c r="BB765" s="43"/>
      <c r="BC765" s="43"/>
      <c r="BD765" s="43"/>
      <c r="BE765" s="43"/>
      <c r="BF765" s="43"/>
      <c r="BG765" s="43"/>
      <c r="BH765" s="43"/>
      <c r="BI765" s="43"/>
      <c r="BJ765" s="43"/>
      <c r="BK765" s="43"/>
      <c r="BL765" s="43"/>
      <c r="BM765" s="43"/>
      <c r="BN765" s="30"/>
    </row>
    <row r="766" spans="1:66" ht="11.25" customHeight="1" x14ac:dyDescent="0.2">
      <c r="A766" s="75" t="s">
        <v>63</v>
      </c>
      <c r="B766" s="76"/>
      <c r="C766" s="21"/>
      <c r="D766" s="22" t="s">
        <v>75</v>
      </c>
      <c r="E766" s="23" t="s">
        <v>70</v>
      </c>
      <c r="F766" s="23">
        <v>0</v>
      </c>
      <c r="G766" s="23">
        <v>1</v>
      </c>
      <c r="H766" s="23">
        <v>2</v>
      </c>
      <c r="I766" s="23">
        <v>3</v>
      </c>
      <c r="J766" s="23">
        <v>4</v>
      </c>
      <c r="K766" s="23">
        <v>5</v>
      </c>
      <c r="L766" s="23">
        <v>6</v>
      </c>
      <c r="M766" s="23">
        <v>7</v>
      </c>
      <c r="N766" s="23">
        <v>8</v>
      </c>
      <c r="O766" s="23">
        <v>9</v>
      </c>
      <c r="P766" s="23">
        <v>10</v>
      </c>
      <c r="Q766" s="23">
        <v>11</v>
      </c>
      <c r="R766" s="23">
        <v>12</v>
      </c>
      <c r="S766" s="23">
        <v>13</v>
      </c>
      <c r="T766" s="23">
        <v>14</v>
      </c>
      <c r="U766" s="23">
        <v>15</v>
      </c>
      <c r="V766" s="23">
        <v>16</v>
      </c>
      <c r="W766" s="23">
        <v>17</v>
      </c>
      <c r="X766" s="24"/>
      <c r="Y766" s="17"/>
      <c r="Z766" s="25" t="s">
        <v>64</v>
      </c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  <c r="AN766" s="26"/>
      <c r="AO766" s="26"/>
      <c r="AP766" s="26"/>
      <c r="AQ766" s="26"/>
      <c r="AR766" s="26"/>
      <c r="AS766" s="27"/>
      <c r="AT766" s="28"/>
      <c r="AU766" s="28" t="s">
        <v>64</v>
      </c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30"/>
    </row>
    <row r="767" spans="1:66" ht="11.25" customHeight="1" x14ac:dyDescent="0.2">
      <c r="A767" s="32"/>
      <c r="B767" s="72">
        <v>52</v>
      </c>
      <c r="C767" s="33">
        <v>1</v>
      </c>
      <c r="D767" s="13" t="s">
        <v>486</v>
      </c>
      <c r="E767" s="16">
        <f t="shared" ref="E767:E772" si="1820">SUM(F767:W767)</f>
        <v>10</v>
      </c>
      <c r="F767" s="16">
        <f>SUMIFS([0]!VOTOS2,[0]!TURNO1,F$31,[0]!CANDIDATO1,$C767,[0]!MUNICIPIO1,$B$767)</f>
        <v>10</v>
      </c>
      <c r="G767" s="16">
        <f>SUMIFS([0]!VOTOS2,[0]!TURNO1,G$31,[0]!CANDIDATO1,$C767,[0]!MUNICIPIO1,$B$767)</f>
        <v>0</v>
      </c>
      <c r="H767" s="16">
        <f>SUMIFS([0]!VOTOS2,[0]!TURNO1,H$31,[0]!CANDIDATO1,$C767,[0]!MUNICIPIO1,$B$767)</f>
        <v>0</v>
      </c>
      <c r="I767" s="16">
        <f>SUMIFS([0]!VOTOS2,[0]!TURNO1,I$31,[0]!CANDIDATO1,$C767,[0]!MUNICIPIO1,$B$767)</f>
        <v>0</v>
      </c>
      <c r="J767" s="16">
        <f>SUMIFS([0]!VOTOS2,[0]!TURNO1,J$31,[0]!CANDIDATO1,$C767,[0]!MUNICIPIO1,$B$767)</f>
        <v>0</v>
      </c>
      <c r="K767" s="16">
        <f>SUMIFS([0]!VOTOS2,[0]!TURNO1,K$31,[0]!CANDIDATO1,$C767,[0]!MUNICIPIO1,$B$767)</f>
        <v>0</v>
      </c>
      <c r="L767" s="16">
        <f>SUMIFS([0]!VOTOS2,[0]!TURNO1,L$31,[0]!CANDIDATO1,$C767,[0]!MUNICIPIO1,$B$767)</f>
        <v>0</v>
      </c>
      <c r="M767" s="16">
        <f>SUMIFS([0]!VOTOS2,[0]!TURNO1,M$31,[0]!CANDIDATO1,$C767,[0]!MUNICIPIO1,$B$767)</f>
        <v>0</v>
      </c>
      <c r="N767" s="16">
        <f>SUMIFS([0]!VOTOS2,[0]!TURNO1,N$31,[0]!CANDIDATO1,$C767,[0]!MUNICIPIO1,$B$767)</f>
        <v>0</v>
      </c>
      <c r="O767" s="16">
        <f>SUMIFS([0]!VOTOS2,[0]!TURNO1,O$31,[0]!CANDIDATO1,$C767,[0]!MUNICIPIO1,$B$767)</f>
        <v>0</v>
      </c>
      <c r="P767" s="16">
        <f>SUMIFS([0]!VOTOS2,[0]!TURNO1,P$31,[0]!CANDIDATO1,$C767,[0]!MUNICIPIO1,$B$767)</f>
        <v>0</v>
      </c>
      <c r="Q767" s="16">
        <f>SUMIFS([0]!VOTOS2,[0]!TURNO1,Q$31,[0]!CANDIDATO1,$C767,[0]!MUNICIPIO1,$B$767)</f>
        <v>0</v>
      </c>
      <c r="R767" s="16">
        <f>SUMIFS([0]!VOTOS2,[0]!TURNO1,R$31,[0]!CANDIDATO1,$C767,[0]!MUNICIPIO1,$B$767)</f>
        <v>0</v>
      </c>
      <c r="S767" s="16">
        <f>SUMIFS([0]!VOTOS2,[0]!TURNO1,S$31,[0]!CANDIDATO1,$C767,[0]!MUNICIPIO1,$B$767)</f>
        <v>0</v>
      </c>
      <c r="T767" s="16">
        <f>SUMIFS([0]!VOTOS2,[0]!TURNO1,T$31,[0]!CANDIDATO1,$C767,[0]!MUNICIPIO1,$B$767)</f>
        <v>0</v>
      </c>
      <c r="U767" s="16">
        <f>SUMIFS([0]!VOTOS2,[0]!TURNO1,U$31,[0]!CANDIDATO1,$C767,[0]!MUNICIPIO1,$B$767)</f>
        <v>0</v>
      </c>
      <c r="V767" s="16">
        <f>SUMIFS([0]!VOTOS2,[0]!TURNO1,V$31,[0]!CANDIDATO1,$C767,[0]!MUNICIPIO1,$B$767)</f>
        <v>0</v>
      </c>
      <c r="W767" s="16">
        <f>SUMIFS([0]!VOTOS2,[0]!TURNO1,W$31,[0]!CANDIDATO1,$C767,[0]!MUNICIPIO1,$B$767)</f>
        <v>0</v>
      </c>
      <c r="X767" s="24"/>
      <c r="Y767" s="18" t="str">
        <f t="shared" ref="Y767:Y772" si="1821">D767</f>
        <v>MARCOS RAMOS</v>
      </c>
      <c r="Z767" s="34">
        <f t="shared" ref="Z767:Z772" si="1822">E767</f>
        <v>10</v>
      </c>
      <c r="AA767" s="34">
        <f t="shared" ref="AA767:AA772" si="1823">F767</f>
        <v>10</v>
      </c>
      <c r="AB767" s="34" t="e">
        <f t="shared" ref="AB767:AR767" si="1824">IF(SUM(G767:G779)=0,NA(),G767+AA767)</f>
        <v>#N/A</v>
      </c>
      <c r="AC767" s="34" t="e">
        <f t="shared" si="1824"/>
        <v>#N/A</v>
      </c>
      <c r="AD767" s="34" t="e">
        <f t="shared" si="1824"/>
        <v>#N/A</v>
      </c>
      <c r="AE767" s="34" t="e">
        <f t="shared" si="1824"/>
        <v>#N/A</v>
      </c>
      <c r="AF767" s="34" t="e">
        <f t="shared" si="1824"/>
        <v>#N/A</v>
      </c>
      <c r="AG767" s="34" t="e">
        <f t="shared" si="1824"/>
        <v>#N/A</v>
      </c>
      <c r="AH767" s="34" t="e">
        <f t="shared" si="1824"/>
        <v>#N/A</v>
      </c>
      <c r="AI767" s="34" t="e">
        <f t="shared" si="1824"/>
        <v>#N/A</v>
      </c>
      <c r="AJ767" s="34" t="e">
        <f t="shared" si="1824"/>
        <v>#N/A</v>
      </c>
      <c r="AK767" s="34" t="e">
        <f t="shared" si="1824"/>
        <v>#N/A</v>
      </c>
      <c r="AL767" s="34" t="e">
        <f t="shared" si="1824"/>
        <v>#N/A</v>
      </c>
      <c r="AM767" s="34" t="e">
        <f t="shared" si="1824"/>
        <v>#N/A</v>
      </c>
      <c r="AN767" s="34" t="e">
        <f t="shared" si="1824"/>
        <v>#N/A</v>
      </c>
      <c r="AO767" s="34" t="e">
        <f t="shared" si="1824"/>
        <v>#N/A</v>
      </c>
      <c r="AP767" s="34" t="e">
        <f t="shared" si="1824"/>
        <v>#N/A</v>
      </c>
      <c r="AQ767" s="34" t="e">
        <f t="shared" si="1824"/>
        <v>#N/A</v>
      </c>
      <c r="AR767" s="34" t="e">
        <f t="shared" si="1824"/>
        <v>#N/A</v>
      </c>
      <c r="AS767" s="27"/>
      <c r="AT767" s="35" t="str">
        <f t="shared" ref="AT767:AT768" si="1825">Y767</f>
        <v>MARCOS RAMOS</v>
      </c>
      <c r="AU767" s="36">
        <f t="shared" ref="AU767:BM767" si="1826">Z767/(Z767+Z768+Z780)</f>
        <v>0.5</v>
      </c>
      <c r="AV767" s="36">
        <f t="shared" si="1826"/>
        <v>0.5</v>
      </c>
      <c r="AW767" s="36" t="e">
        <f t="shared" si="1826"/>
        <v>#N/A</v>
      </c>
      <c r="AX767" s="36" t="e">
        <f t="shared" si="1826"/>
        <v>#N/A</v>
      </c>
      <c r="AY767" s="36" t="e">
        <f t="shared" si="1826"/>
        <v>#N/A</v>
      </c>
      <c r="AZ767" s="36" t="e">
        <f t="shared" si="1826"/>
        <v>#N/A</v>
      </c>
      <c r="BA767" s="36" t="e">
        <f t="shared" si="1826"/>
        <v>#N/A</v>
      </c>
      <c r="BB767" s="36" t="e">
        <f t="shared" si="1826"/>
        <v>#N/A</v>
      </c>
      <c r="BC767" s="36" t="e">
        <f t="shared" si="1826"/>
        <v>#N/A</v>
      </c>
      <c r="BD767" s="36" t="e">
        <f t="shared" si="1826"/>
        <v>#N/A</v>
      </c>
      <c r="BE767" s="36" t="e">
        <f t="shared" si="1826"/>
        <v>#N/A</v>
      </c>
      <c r="BF767" s="36" t="e">
        <f t="shared" si="1826"/>
        <v>#N/A</v>
      </c>
      <c r="BG767" s="36" t="e">
        <f t="shared" si="1826"/>
        <v>#N/A</v>
      </c>
      <c r="BH767" s="36" t="e">
        <f t="shared" si="1826"/>
        <v>#N/A</v>
      </c>
      <c r="BI767" s="36" t="e">
        <f t="shared" si="1826"/>
        <v>#N/A</v>
      </c>
      <c r="BJ767" s="36" t="e">
        <f t="shared" si="1826"/>
        <v>#N/A</v>
      </c>
      <c r="BK767" s="36" t="e">
        <f t="shared" si="1826"/>
        <v>#N/A</v>
      </c>
      <c r="BL767" s="36" t="e">
        <f t="shared" si="1826"/>
        <v>#N/A</v>
      </c>
      <c r="BM767" s="36" t="e">
        <f t="shared" si="1826"/>
        <v>#N/A</v>
      </c>
      <c r="BN767" s="30"/>
    </row>
    <row r="768" spans="1:66" ht="11.25" customHeight="1" x14ac:dyDescent="0.2">
      <c r="A768" s="37"/>
      <c r="B768" s="73"/>
      <c r="C768" s="33">
        <v>2</v>
      </c>
      <c r="D768" s="13" t="s">
        <v>487</v>
      </c>
      <c r="E768" s="16">
        <f t="shared" si="1820"/>
        <v>10</v>
      </c>
      <c r="F768" s="16">
        <f>SUMIFS([0]!VOTOS2,[0]!TURNO1,F$31,[0]!CANDIDATO1,$C768,[0]!MUNICIPIO1,$B$767)</f>
        <v>10</v>
      </c>
      <c r="G768" s="16">
        <f>SUMIFS([0]!VOTOS2,[0]!TURNO1,G$31,[0]!CANDIDATO1,$C768,[0]!MUNICIPIO1,$B$767)</f>
        <v>0</v>
      </c>
      <c r="H768" s="16">
        <f>SUMIFS([0]!VOTOS2,[0]!TURNO1,H$31,[0]!CANDIDATO1,$C768,[0]!MUNICIPIO1,$B$767)</f>
        <v>0</v>
      </c>
      <c r="I768" s="16">
        <f>SUMIFS([0]!VOTOS2,[0]!TURNO1,I$31,[0]!CANDIDATO1,$C768,[0]!MUNICIPIO1,$B$767)</f>
        <v>0</v>
      </c>
      <c r="J768" s="16">
        <f>SUMIFS([0]!VOTOS2,[0]!TURNO1,J$31,[0]!CANDIDATO1,$C768,[0]!MUNICIPIO1,$B$767)</f>
        <v>0</v>
      </c>
      <c r="K768" s="16">
        <f>SUMIFS([0]!VOTOS2,[0]!TURNO1,K$31,[0]!CANDIDATO1,$C768,[0]!MUNICIPIO1,$B$767)</f>
        <v>0</v>
      </c>
      <c r="L768" s="16">
        <f>SUMIFS([0]!VOTOS2,[0]!TURNO1,L$31,[0]!CANDIDATO1,$C768,[0]!MUNICIPIO1,$B$767)</f>
        <v>0</v>
      </c>
      <c r="M768" s="16">
        <f>SUMIFS([0]!VOTOS2,[0]!TURNO1,M$31,[0]!CANDIDATO1,$C768,[0]!MUNICIPIO1,$B$767)</f>
        <v>0</v>
      </c>
      <c r="N768" s="16">
        <f>SUMIFS([0]!VOTOS2,[0]!TURNO1,N$31,[0]!CANDIDATO1,$C768,[0]!MUNICIPIO1,$B$767)</f>
        <v>0</v>
      </c>
      <c r="O768" s="16">
        <f>SUMIFS([0]!VOTOS2,[0]!TURNO1,O$31,[0]!CANDIDATO1,$C768,[0]!MUNICIPIO1,$B$767)</f>
        <v>0</v>
      </c>
      <c r="P768" s="16">
        <f>SUMIFS([0]!VOTOS2,[0]!TURNO1,P$31,[0]!CANDIDATO1,$C768,[0]!MUNICIPIO1,$B$767)</f>
        <v>0</v>
      </c>
      <c r="Q768" s="16">
        <f>SUMIFS([0]!VOTOS2,[0]!TURNO1,Q$31,[0]!CANDIDATO1,$C768,[0]!MUNICIPIO1,$B$767)</f>
        <v>0</v>
      </c>
      <c r="R768" s="16">
        <f>SUMIFS([0]!VOTOS2,[0]!TURNO1,R$31,[0]!CANDIDATO1,$C768,[0]!MUNICIPIO1,$B$767)</f>
        <v>0</v>
      </c>
      <c r="S768" s="16">
        <f>SUMIFS([0]!VOTOS2,[0]!TURNO1,S$31,[0]!CANDIDATO1,$C768,[0]!MUNICIPIO1,$B$767)</f>
        <v>0</v>
      </c>
      <c r="T768" s="16">
        <f>SUMIFS([0]!VOTOS2,[0]!TURNO1,T$31,[0]!CANDIDATO1,$C768,[0]!MUNICIPIO1,$B$767)</f>
        <v>0</v>
      </c>
      <c r="U768" s="16">
        <f>SUMIFS([0]!VOTOS2,[0]!TURNO1,U$31,[0]!CANDIDATO1,$C768,[0]!MUNICIPIO1,$B$767)</f>
        <v>0</v>
      </c>
      <c r="V768" s="16">
        <f>SUMIFS([0]!VOTOS2,[0]!TURNO1,V$31,[0]!CANDIDATO1,$C768,[0]!MUNICIPIO1,$B$767)</f>
        <v>0</v>
      </c>
      <c r="W768" s="16">
        <f>SUMIFS([0]!VOTOS2,[0]!TURNO1,W$31,[0]!CANDIDATO1,$C768,[0]!MUNICIPIO1,$B$767)</f>
        <v>0</v>
      </c>
      <c r="X768" s="24"/>
      <c r="Y768" s="18" t="str">
        <f t="shared" si="1821"/>
        <v>JACINTO ROMERO</v>
      </c>
      <c r="Z768" s="34">
        <f t="shared" si="1822"/>
        <v>10</v>
      </c>
      <c r="AA768" s="34">
        <f t="shared" si="1823"/>
        <v>10</v>
      </c>
      <c r="AB768" s="34" t="e">
        <f t="shared" ref="AB768:AR768" si="1827">IF(SUM(G767:G779)=0,NA(),G768+AA768)</f>
        <v>#N/A</v>
      </c>
      <c r="AC768" s="34" t="e">
        <f t="shared" si="1827"/>
        <v>#N/A</v>
      </c>
      <c r="AD768" s="34" t="e">
        <f t="shared" si="1827"/>
        <v>#N/A</v>
      </c>
      <c r="AE768" s="34" t="e">
        <f t="shared" si="1827"/>
        <v>#N/A</v>
      </c>
      <c r="AF768" s="34" t="e">
        <f t="shared" si="1827"/>
        <v>#N/A</v>
      </c>
      <c r="AG768" s="34" t="e">
        <f t="shared" si="1827"/>
        <v>#N/A</v>
      </c>
      <c r="AH768" s="34" t="e">
        <f t="shared" si="1827"/>
        <v>#N/A</v>
      </c>
      <c r="AI768" s="34" t="e">
        <f t="shared" si="1827"/>
        <v>#N/A</v>
      </c>
      <c r="AJ768" s="34" t="e">
        <f t="shared" si="1827"/>
        <v>#N/A</v>
      </c>
      <c r="AK768" s="34" t="e">
        <f t="shared" si="1827"/>
        <v>#N/A</v>
      </c>
      <c r="AL768" s="34" t="e">
        <f t="shared" si="1827"/>
        <v>#N/A</v>
      </c>
      <c r="AM768" s="34" t="e">
        <f t="shared" si="1827"/>
        <v>#N/A</v>
      </c>
      <c r="AN768" s="34" t="e">
        <f t="shared" si="1827"/>
        <v>#N/A</v>
      </c>
      <c r="AO768" s="34" t="e">
        <f t="shared" si="1827"/>
        <v>#N/A</v>
      </c>
      <c r="AP768" s="34" t="e">
        <f t="shared" si="1827"/>
        <v>#N/A</v>
      </c>
      <c r="AQ768" s="34" t="e">
        <f t="shared" si="1827"/>
        <v>#N/A</v>
      </c>
      <c r="AR768" s="34" t="e">
        <f t="shared" si="1827"/>
        <v>#N/A</v>
      </c>
      <c r="AS768" s="27"/>
      <c r="AT768" s="35" t="str">
        <f t="shared" si="1825"/>
        <v>JACINTO ROMERO</v>
      </c>
      <c r="AU768" s="36">
        <f t="shared" ref="AU768:BM768" si="1828">Z768/(Z767+Z768+Z780)</f>
        <v>0.5</v>
      </c>
      <c r="AV768" s="36">
        <f t="shared" si="1828"/>
        <v>0.5</v>
      </c>
      <c r="AW768" s="36" t="e">
        <f t="shared" si="1828"/>
        <v>#N/A</v>
      </c>
      <c r="AX768" s="36" t="e">
        <f t="shared" si="1828"/>
        <v>#N/A</v>
      </c>
      <c r="AY768" s="36" t="e">
        <f t="shared" si="1828"/>
        <v>#N/A</v>
      </c>
      <c r="AZ768" s="36" t="e">
        <f t="shared" si="1828"/>
        <v>#N/A</v>
      </c>
      <c r="BA768" s="36" t="e">
        <f t="shared" si="1828"/>
        <v>#N/A</v>
      </c>
      <c r="BB768" s="36" t="e">
        <f t="shared" si="1828"/>
        <v>#N/A</v>
      </c>
      <c r="BC768" s="36" t="e">
        <f t="shared" si="1828"/>
        <v>#N/A</v>
      </c>
      <c r="BD768" s="36" t="e">
        <f t="shared" si="1828"/>
        <v>#N/A</v>
      </c>
      <c r="BE768" s="36" t="e">
        <f t="shared" si="1828"/>
        <v>#N/A</v>
      </c>
      <c r="BF768" s="36" t="e">
        <f t="shared" si="1828"/>
        <v>#N/A</v>
      </c>
      <c r="BG768" s="36" t="e">
        <f t="shared" si="1828"/>
        <v>#N/A</v>
      </c>
      <c r="BH768" s="36" t="e">
        <f t="shared" si="1828"/>
        <v>#N/A</v>
      </c>
      <c r="BI768" s="36" t="e">
        <f t="shared" si="1828"/>
        <v>#N/A</v>
      </c>
      <c r="BJ768" s="36" t="e">
        <f t="shared" si="1828"/>
        <v>#N/A</v>
      </c>
      <c r="BK768" s="36" t="e">
        <f t="shared" si="1828"/>
        <v>#N/A</v>
      </c>
      <c r="BL768" s="36" t="e">
        <f t="shared" si="1828"/>
        <v>#N/A</v>
      </c>
      <c r="BM768" s="36" t="e">
        <f t="shared" si="1828"/>
        <v>#N/A</v>
      </c>
      <c r="BN768" s="30"/>
    </row>
    <row r="769" spans="1:66" ht="11.25" customHeight="1" x14ac:dyDescent="0.2">
      <c r="A769" s="37"/>
      <c r="B769" s="73"/>
      <c r="C769" s="33">
        <v>3</v>
      </c>
      <c r="D769" s="13" t="s">
        <v>488</v>
      </c>
      <c r="E769" s="16">
        <f t="shared" si="1820"/>
        <v>0</v>
      </c>
      <c r="F769" s="16">
        <f>SUMIFS([0]!VOTOS2,[0]!TURNO1,F$31,[0]!CANDIDATO1,$C769,[0]!MUNICIPIO1,$B$767)</f>
        <v>0</v>
      </c>
      <c r="G769" s="16">
        <f>SUMIFS([0]!VOTOS2,[0]!TURNO1,G$31,[0]!CANDIDATO1,$C769,[0]!MUNICIPIO1,$B$767)</f>
        <v>0</v>
      </c>
      <c r="H769" s="16">
        <f>SUMIFS([0]!VOTOS2,[0]!TURNO1,H$31,[0]!CANDIDATO1,$C769,[0]!MUNICIPIO1,$B$767)</f>
        <v>0</v>
      </c>
      <c r="I769" s="16">
        <f>SUMIFS([0]!VOTOS2,[0]!TURNO1,I$31,[0]!CANDIDATO1,$C769,[0]!MUNICIPIO1,$B$767)</f>
        <v>0</v>
      </c>
      <c r="J769" s="16">
        <f>SUMIFS([0]!VOTOS2,[0]!TURNO1,J$31,[0]!CANDIDATO1,$C769,[0]!MUNICIPIO1,$B$767)</f>
        <v>0</v>
      </c>
      <c r="K769" s="16">
        <f>SUMIFS([0]!VOTOS2,[0]!TURNO1,K$31,[0]!CANDIDATO1,$C769,[0]!MUNICIPIO1,$B$767)</f>
        <v>0</v>
      </c>
      <c r="L769" s="16">
        <f>SUMIFS([0]!VOTOS2,[0]!TURNO1,L$31,[0]!CANDIDATO1,$C769,[0]!MUNICIPIO1,$B$767)</f>
        <v>0</v>
      </c>
      <c r="M769" s="16">
        <f>SUMIFS([0]!VOTOS2,[0]!TURNO1,M$31,[0]!CANDIDATO1,$C769,[0]!MUNICIPIO1,$B$767)</f>
        <v>0</v>
      </c>
      <c r="N769" s="16">
        <f>SUMIFS([0]!VOTOS2,[0]!TURNO1,N$31,[0]!CANDIDATO1,$C769,[0]!MUNICIPIO1,$B$767)</f>
        <v>0</v>
      </c>
      <c r="O769" s="16">
        <f>SUMIFS([0]!VOTOS2,[0]!TURNO1,O$31,[0]!CANDIDATO1,$C769,[0]!MUNICIPIO1,$B$767)</f>
        <v>0</v>
      </c>
      <c r="P769" s="16">
        <f>SUMIFS([0]!VOTOS2,[0]!TURNO1,P$31,[0]!CANDIDATO1,$C769,[0]!MUNICIPIO1,$B$767)</f>
        <v>0</v>
      </c>
      <c r="Q769" s="16">
        <f>SUMIFS([0]!VOTOS2,[0]!TURNO1,Q$31,[0]!CANDIDATO1,$C769,[0]!MUNICIPIO1,$B$767)</f>
        <v>0</v>
      </c>
      <c r="R769" s="16">
        <f>SUMIFS([0]!VOTOS2,[0]!TURNO1,R$31,[0]!CANDIDATO1,$C769,[0]!MUNICIPIO1,$B$767)</f>
        <v>0</v>
      </c>
      <c r="S769" s="16">
        <f>SUMIFS([0]!VOTOS2,[0]!TURNO1,S$31,[0]!CANDIDATO1,$C769,[0]!MUNICIPIO1,$B$767)</f>
        <v>0</v>
      </c>
      <c r="T769" s="16">
        <f>SUMIFS([0]!VOTOS2,[0]!TURNO1,T$31,[0]!CANDIDATO1,$C769,[0]!MUNICIPIO1,$B$767)</f>
        <v>0</v>
      </c>
      <c r="U769" s="16">
        <f>SUMIFS([0]!VOTOS2,[0]!TURNO1,U$31,[0]!CANDIDATO1,$C769,[0]!MUNICIPIO1,$B$767)</f>
        <v>0</v>
      </c>
      <c r="V769" s="16">
        <f>SUMIFS([0]!VOTOS2,[0]!TURNO1,V$31,[0]!CANDIDATO1,$C769,[0]!MUNICIPIO1,$B$767)</f>
        <v>0</v>
      </c>
      <c r="W769" s="16">
        <f>SUMIFS([0]!VOTOS2,[0]!TURNO1,W$31,[0]!CANDIDATO1,$C769,[0]!MUNICIPIO1,$B$767)</f>
        <v>0</v>
      </c>
      <c r="X769" s="24"/>
      <c r="Y769" s="18" t="str">
        <f t="shared" si="1821"/>
        <v>JUAN RONDON</v>
      </c>
      <c r="Z769" s="34">
        <f t="shared" si="1822"/>
        <v>0</v>
      </c>
      <c r="AA769" s="34">
        <f t="shared" si="1823"/>
        <v>0</v>
      </c>
      <c r="AB769" s="34" t="e">
        <f t="shared" ref="AB769:AR769" si="1829">IF(SUM(G767:G779)=0,NA(),G769+AA769)</f>
        <v>#N/A</v>
      </c>
      <c r="AC769" s="34" t="e">
        <f t="shared" si="1829"/>
        <v>#N/A</v>
      </c>
      <c r="AD769" s="34" t="e">
        <f t="shared" si="1829"/>
        <v>#N/A</v>
      </c>
      <c r="AE769" s="34" t="e">
        <f t="shared" si="1829"/>
        <v>#N/A</v>
      </c>
      <c r="AF769" s="34" t="e">
        <f t="shared" si="1829"/>
        <v>#N/A</v>
      </c>
      <c r="AG769" s="34" t="e">
        <f t="shared" si="1829"/>
        <v>#N/A</v>
      </c>
      <c r="AH769" s="34" t="e">
        <f t="shared" si="1829"/>
        <v>#N/A</v>
      </c>
      <c r="AI769" s="34" t="e">
        <f t="shared" si="1829"/>
        <v>#N/A</v>
      </c>
      <c r="AJ769" s="34" t="e">
        <f t="shared" si="1829"/>
        <v>#N/A</v>
      </c>
      <c r="AK769" s="34" t="e">
        <f t="shared" si="1829"/>
        <v>#N/A</v>
      </c>
      <c r="AL769" s="34" t="e">
        <f t="shared" si="1829"/>
        <v>#N/A</v>
      </c>
      <c r="AM769" s="34" t="e">
        <f t="shared" si="1829"/>
        <v>#N/A</v>
      </c>
      <c r="AN769" s="34" t="e">
        <f t="shared" si="1829"/>
        <v>#N/A</v>
      </c>
      <c r="AO769" s="34" t="e">
        <f t="shared" si="1829"/>
        <v>#N/A</v>
      </c>
      <c r="AP769" s="34" t="e">
        <f t="shared" si="1829"/>
        <v>#N/A</v>
      </c>
      <c r="AQ769" s="34" t="e">
        <f t="shared" si="1829"/>
        <v>#N/A</v>
      </c>
      <c r="AR769" s="34" t="e">
        <f t="shared" si="1829"/>
        <v>#N/A</v>
      </c>
      <c r="AS769" s="27"/>
      <c r="AT769" s="35" t="str">
        <f t="shared" ref="AT769" si="1830">Y780</f>
        <v>Otros</v>
      </c>
      <c r="AU769" s="36">
        <f t="shared" ref="AU769:BM769" si="1831">Z780/(Z767+Z768+Z780)</f>
        <v>0</v>
      </c>
      <c r="AV769" s="36">
        <f t="shared" si="1831"/>
        <v>0</v>
      </c>
      <c r="AW769" s="36" t="e">
        <f t="shared" si="1831"/>
        <v>#N/A</v>
      </c>
      <c r="AX769" s="36" t="e">
        <f t="shared" si="1831"/>
        <v>#N/A</v>
      </c>
      <c r="AY769" s="36" t="e">
        <f t="shared" si="1831"/>
        <v>#N/A</v>
      </c>
      <c r="AZ769" s="36" t="e">
        <f t="shared" si="1831"/>
        <v>#N/A</v>
      </c>
      <c r="BA769" s="36" t="e">
        <f t="shared" si="1831"/>
        <v>#N/A</v>
      </c>
      <c r="BB769" s="36" t="e">
        <f t="shared" si="1831"/>
        <v>#N/A</v>
      </c>
      <c r="BC769" s="36" t="e">
        <f t="shared" si="1831"/>
        <v>#N/A</v>
      </c>
      <c r="BD769" s="36" t="e">
        <f t="shared" si="1831"/>
        <v>#N/A</v>
      </c>
      <c r="BE769" s="36" t="e">
        <f t="shared" si="1831"/>
        <v>#N/A</v>
      </c>
      <c r="BF769" s="36" t="e">
        <f t="shared" si="1831"/>
        <v>#N/A</v>
      </c>
      <c r="BG769" s="36" t="e">
        <f t="shared" si="1831"/>
        <v>#N/A</v>
      </c>
      <c r="BH769" s="36" t="e">
        <f t="shared" si="1831"/>
        <v>#N/A</v>
      </c>
      <c r="BI769" s="36" t="e">
        <f t="shared" si="1831"/>
        <v>#N/A</v>
      </c>
      <c r="BJ769" s="36" t="e">
        <f t="shared" si="1831"/>
        <v>#N/A</v>
      </c>
      <c r="BK769" s="36" t="e">
        <f t="shared" si="1831"/>
        <v>#N/A</v>
      </c>
      <c r="BL769" s="36" t="e">
        <f t="shared" si="1831"/>
        <v>#N/A</v>
      </c>
      <c r="BM769" s="36" t="e">
        <f t="shared" si="1831"/>
        <v>#N/A</v>
      </c>
      <c r="BN769" s="30"/>
    </row>
    <row r="770" spans="1:66" ht="11.25" customHeight="1" x14ac:dyDescent="0.2">
      <c r="A770" s="38" t="s">
        <v>0</v>
      </c>
      <c r="B770" s="73"/>
      <c r="C770" s="33">
        <v>4</v>
      </c>
      <c r="D770" s="13" t="s">
        <v>489</v>
      </c>
      <c r="E770" s="16">
        <f t="shared" si="1820"/>
        <v>0</v>
      </c>
      <c r="F770" s="16">
        <f>SUMIFS([0]!VOTOS2,[0]!TURNO1,F$31,[0]!CANDIDATO1,$C770,[0]!MUNICIPIO1,$B$767)</f>
        <v>0</v>
      </c>
      <c r="G770" s="16">
        <f>SUMIFS([0]!VOTOS2,[0]!TURNO1,G$31,[0]!CANDIDATO1,$C770,[0]!MUNICIPIO1,$B$767)</f>
        <v>0</v>
      </c>
      <c r="H770" s="16">
        <f>SUMIFS([0]!VOTOS2,[0]!TURNO1,H$31,[0]!CANDIDATO1,$C770,[0]!MUNICIPIO1,$B$767)</f>
        <v>0</v>
      </c>
      <c r="I770" s="16">
        <f>SUMIFS([0]!VOTOS2,[0]!TURNO1,I$31,[0]!CANDIDATO1,$C770,[0]!MUNICIPIO1,$B$767)</f>
        <v>0</v>
      </c>
      <c r="J770" s="16">
        <f>SUMIFS([0]!VOTOS2,[0]!TURNO1,J$31,[0]!CANDIDATO1,$C770,[0]!MUNICIPIO1,$B$767)</f>
        <v>0</v>
      </c>
      <c r="K770" s="16">
        <f>SUMIFS([0]!VOTOS2,[0]!TURNO1,K$31,[0]!CANDIDATO1,$C770,[0]!MUNICIPIO1,$B$767)</f>
        <v>0</v>
      </c>
      <c r="L770" s="16">
        <f>SUMIFS([0]!VOTOS2,[0]!TURNO1,L$31,[0]!CANDIDATO1,$C770,[0]!MUNICIPIO1,$B$767)</f>
        <v>0</v>
      </c>
      <c r="M770" s="16">
        <f>SUMIFS([0]!VOTOS2,[0]!TURNO1,M$31,[0]!CANDIDATO1,$C770,[0]!MUNICIPIO1,$B$767)</f>
        <v>0</v>
      </c>
      <c r="N770" s="16">
        <f>SUMIFS([0]!VOTOS2,[0]!TURNO1,N$31,[0]!CANDIDATO1,$C770,[0]!MUNICIPIO1,$B$767)</f>
        <v>0</v>
      </c>
      <c r="O770" s="16">
        <f>SUMIFS([0]!VOTOS2,[0]!TURNO1,O$31,[0]!CANDIDATO1,$C770,[0]!MUNICIPIO1,$B$767)</f>
        <v>0</v>
      </c>
      <c r="P770" s="16">
        <f>SUMIFS([0]!VOTOS2,[0]!TURNO1,P$31,[0]!CANDIDATO1,$C770,[0]!MUNICIPIO1,$B$767)</f>
        <v>0</v>
      </c>
      <c r="Q770" s="16">
        <f>SUMIFS([0]!VOTOS2,[0]!TURNO1,Q$31,[0]!CANDIDATO1,$C770,[0]!MUNICIPIO1,$B$767)</f>
        <v>0</v>
      </c>
      <c r="R770" s="16">
        <f>SUMIFS([0]!VOTOS2,[0]!TURNO1,R$31,[0]!CANDIDATO1,$C770,[0]!MUNICIPIO1,$B$767)</f>
        <v>0</v>
      </c>
      <c r="S770" s="16">
        <f>SUMIFS([0]!VOTOS2,[0]!TURNO1,S$31,[0]!CANDIDATO1,$C770,[0]!MUNICIPIO1,$B$767)</f>
        <v>0</v>
      </c>
      <c r="T770" s="16">
        <f>SUMIFS([0]!VOTOS2,[0]!TURNO1,T$31,[0]!CANDIDATO1,$C770,[0]!MUNICIPIO1,$B$767)</f>
        <v>0</v>
      </c>
      <c r="U770" s="16">
        <f>SUMIFS([0]!VOTOS2,[0]!TURNO1,U$31,[0]!CANDIDATO1,$C770,[0]!MUNICIPIO1,$B$767)</f>
        <v>0</v>
      </c>
      <c r="V770" s="16">
        <f>SUMIFS([0]!VOTOS2,[0]!TURNO1,V$31,[0]!CANDIDATO1,$C770,[0]!MUNICIPIO1,$B$767)</f>
        <v>0</v>
      </c>
      <c r="W770" s="16">
        <f>SUMIFS([0]!VOTOS2,[0]!TURNO1,W$31,[0]!CANDIDATO1,$C770,[0]!MUNICIPIO1,$B$767)</f>
        <v>0</v>
      </c>
      <c r="X770" s="24"/>
      <c r="Y770" s="18" t="str">
        <f t="shared" si="1821"/>
        <v>RINA LINERO</v>
      </c>
      <c r="Z770" s="34">
        <f t="shared" si="1822"/>
        <v>0</v>
      </c>
      <c r="AA770" s="34">
        <f t="shared" si="1823"/>
        <v>0</v>
      </c>
      <c r="AB770" s="34" t="e">
        <f t="shared" ref="AB770:AR770" si="1832">IF(SUM(G767:G779)=0,NA(),G770+AA770)</f>
        <v>#N/A</v>
      </c>
      <c r="AC770" s="34" t="e">
        <f t="shared" si="1832"/>
        <v>#N/A</v>
      </c>
      <c r="AD770" s="34" t="e">
        <f t="shared" si="1832"/>
        <v>#N/A</v>
      </c>
      <c r="AE770" s="34" t="e">
        <f t="shared" si="1832"/>
        <v>#N/A</v>
      </c>
      <c r="AF770" s="34" t="e">
        <f t="shared" si="1832"/>
        <v>#N/A</v>
      </c>
      <c r="AG770" s="34" t="e">
        <f t="shared" si="1832"/>
        <v>#N/A</v>
      </c>
      <c r="AH770" s="34" t="e">
        <f t="shared" si="1832"/>
        <v>#N/A</v>
      </c>
      <c r="AI770" s="34" t="e">
        <f t="shared" si="1832"/>
        <v>#N/A</v>
      </c>
      <c r="AJ770" s="34" t="e">
        <f t="shared" si="1832"/>
        <v>#N/A</v>
      </c>
      <c r="AK770" s="34" t="e">
        <f t="shared" si="1832"/>
        <v>#N/A</v>
      </c>
      <c r="AL770" s="34" t="e">
        <f t="shared" si="1832"/>
        <v>#N/A</v>
      </c>
      <c r="AM770" s="34" t="e">
        <f t="shared" si="1832"/>
        <v>#N/A</v>
      </c>
      <c r="AN770" s="34" t="e">
        <f t="shared" si="1832"/>
        <v>#N/A</v>
      </c>
      <c r="AO770" s="34" t="e">
        <f t="shared" si="1832"/>
        <v>#N/A</v>
      </c>
      <c r="AP770" s="34" t="e">
        <f t="shared" si="1832"/>
        <v>#N/A</v>
      </c>
      <c r="AQ770" s="34" t="e">
        <f t="shared" si="1832"/>
        <v>#N/A</v>
      </c>
      <c r="AR770" s="34" t="e">
        <f t="shared" si="1832"/>
        <v>#N/A</v>
      </c>
      <c r="AS770" s="27"/>
      <c r="AT770" s="39"/>
      <c r="AU770" s="39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30"/>
    </row>
    <row r="771" spans="1:66" ht="11.25" customHeight="1" x14ac:dyDescent="0.2">
      <c r="A771" s="38" t="s">
        <v>1</v>
      </c>
      <c r="B771" s="73"/>
      <c r="C771" s="33">
        <v>5</v>
      </c>
      <c r="D771" s="13" t="s">
        <v>490</v>
      </c>
      <c r="E771" s="16">
        <f t="shared" si="1820"/>
        <v>0</v>
      </c>
      <c r="F771" s="16">
        <f>SUMIFS([0]!VOTOS2,[0]!TURNO1,F$31,[0]!CANDIDATO1,$C771,[0]!MUNICIPIO1,$B$767)</f>
        <v>0</v>
      </c>
      <c r="G771" s="16">
        <f>SUMIFS([0]!VOTOS2,[0]!TURNO1,G$31,[0]!CANDIDATO1,$C771,[0]!MUNICIPIO1,$B$767)</f>
        <v>0</v>
      </c>
      <c r="H771" s="16">
        <f>SUMIFS([0]!VOTOS2,[0]!TURNO1,H$31,[0]!CANDIDATO1,$C771,[0]!MUNICIPIO1,$B$767)</f>
        <v>0</v>
      </c>
      <c r="I771" s="16">
        <f>SUMIFS([0]!VOTOS2,[0]!TURNO1,I$31,[0]!CANDIDATO1,$C771,[0]!MUNICIPIO1,$B$767)</f>
        <v>0</v>
      </c>
      <c r="J771" s="16">
        <f>SUMIFS([0]!VOTOS2,[0]!TURNO1,J$31,[0]!CANDIDATO1,$C771,[0]!MUNICIPIO1,$B$767)</f>
        <v>0</v>
      </c>
      <c r="K771" s="16">
        <f>SUMIFS([0]!VOTOS2,[0]!TURNO1,K$31,[0]!CANDIDATO1,$C771,[0]!MUNICIPIO1,$B$767)</f>
        <v>0</v>
      </c>
      <c r="L771" s="16">
        <f>SUMIFS([0]!VOTOS2,[0]!TURNO1,L$31,[0]!CANDIDATO1,$C771,[0]!MUNICIPIO1,$B$767)</f>
        <v>0</v>
      </c>
      <c r="M771" s="16">
        <f>SUMIFS([0]!VOTOS2,[0]!TURNO1,M$31,[0]!CANDIDATO1,$C771,[0]!MUNICIPIO1,$B$767)</f>
        <v>0</v>
      </c>
      <c r="N771" s="16">
        <f>SUMIFS([0]!VOTOS2,[0]!TURNO1,N$31,[0]!CANDIDATO1,$C771,[0]!MUNICIPIO1,$B$767)</f>
        <v>0</v>
      </c>
      <c r="O771" s="16">
        <f>SUMIFS([0]!VOTOS2,[0]!TURNO1,O$31,[0]!CANDIDATO1,$C771,[0]!MUNICIPIO1,$B$767)</f>
        <v>0</v>
      </c>
      <c r="P771" s="16">
        <f>SUMIFS([0]!VOTOS2,[0]!TURNO1,P$31,[0]!CANDIDATO1,$C771,[0]!MUNICIPIO1,$B$767)</f>
        <v>0</v>
      </c>
      <c r="Q771" s="16">
        <f>SUMIFS([0]!VOTOS2,[0]!TURNO1,Q$31,[0]!CANDIDATO1,$C771,[0]!MUNICIPIO1,$B$767)</f>
        <v>0</v>
      </c>
      <c r="R771" s="16">
        <f>SUMIFS([0]!VOTOS2,[0]!TURNO1,R$31,[0]!CANDIDATO1,$C771,[0]!MUNICIPIO1,$B$767)</f>
        <v>0</v>
      </c>
      <c r="S771" s="16">
        <f>SUMIFS([0]!VOTOS2,[0]!TURNO1,S$31,[0]!CANDIDATO1,$C771,[0]!MUNICIPIO1,$B$767)</f>
        <v>0</v>
      </c>
      <c r="T771" s="16">
        <f>SUMIFS([0]!VOTOS2,[0]!TURNO1,T$31,[0]!CANDIDATO1,$C771,[0]!MUNICIPIO1,$B$767)</f>
        <v>0</v>
      </c>
      <c r="U771" s="16">
        <f>SUMIFS([0]!VOTOS2,[0]!TURNO1,U$31,[0]!CANDIDATO1,$C771,[0]!MUNICIPIO1,$B$767)</f>
        <v>0</v>
      </c>
      <c r="V771" s="16">
        <f>SUMIFS([0]!VOTOS2,[0]!TURNO1,V$31,[0]!CANDIDATO1,$C771,[0]!MUNICIPIO1,$B$767)</f>
        <v>0</v>
      </c>
      <c r="W771" s="16">
        <f>SUMIFS([0]!VOTOS2,[0]!TURNO1,W$31,[0]!CANDIDATO1,$C771,[0]!MUNICIPIO1,$B$767)</f>
        <v>0</v>
      </c>
      <c r="X771" s="24"/>
      <c r="Y771" s="18" t="str">
        <f t="shared" si="1821"/>
        <v>MAGALY CASTRO</v>
      </c>
      <c r="Z771" s="34">
        <f t="shared" si="1822"/>
        <v>0</v>
      </c>
      <c r="AA771" s="34">
        <f t="shared" si="1823"/>
        <v>0</v>
      </c>
      <c r="AB771" s="34" t="e">
        <f>IF(SUM(G767:G779)=0,NA(),G771+AA771)</f>
        <v>#N/A</v>
      </c>
      <c r="AC771" s="34" t="e">
        <f t="shared" ref="AC771:AR771" si="1833">IF(SUM(H767:H779)=0,NA(),H771+AB771)</f>
        <v>#N/A</v>
      </c>
      <c r="AD771" s="34" t="e">
        <f t="shared" si="1833"/>
        <v>#N/A</v>
      </c>
      <c r="AE771" s="34" t="e">
        <f t="shared" si="1833"/>
        <v>#N/A</v>
      </c>
      <c r="AF771" s="34" t="e">
        <f t="shared" si="1833"/>
        <v>#N/A</v>
      </c>
      <c r="AG771" s="34" t="e">
        <f t="shared" si="1833"/>
        <v>#N/A</v>
      </c>
      <c r="AH771" s="34" t="e">
        <f t="shared" si="1833"/>
        <v>#N/A</v>
      </c>
      <c r="AI771" s="34" t="e">
        <f t="shared" si="1833"/>
        <v>#N/A</v>
      </c>
      <c r="AJ771" s="34" t="e">
        <f t="shared" si="1833"/>
        <v>#N/A</v>
      </c>
      <c r="AK771" s="34" t="e">
        <f t="shared" si="1833"/>
        <v>#N/A</v>
      </c>
      <c r="AL771" s="34" t="e">
        <f t="shared" si="1833"/>
        <v>#N/A</v>
      </c>
      <c r="AM771" s="34" t="e">
        <f t="shared" si="1833"/>
        <v>#N/A</v>
      </c>
      <c r="AN771" s="34" t="e">
        <f t="shared" si="1833"/>
        <v>#N/A</v>
      </c>
      <c r="AO771" s="34" t="e">
        <f t="shared" si="1833"/>
        <v>#N/A</v>
      </c>
      <c r="AP771" s="34" t="e">
        <f t="shared" si="1833"/>
        <v>#N/A</v>
      </c>
      <c r="AQ771" s="34" t="e">
        <f t="shared" si="1833"/>
        <v>#N/A</v>
      </c>
      <c r="AR771" s="34" t="e">
        <f t="shared" si="1833"/>
        <v>#N/A</v>
      </c>
      <c r="AS771" s="27"/>
      <c r="AT771" s="39"/>
      <c r="AU771" s="39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30"/>
    </row>
    <row r="772" spans="1:66" ht="11.25" customHeight="1" x14ac:dyDescent="0.2">
      <c r="A772" s="42"/>
      <c r="B772" s="74"/>
      <c r="C772" s="33">
        <v>6</v>
      </c>
      <c r="D772" s="13" t="s">
        <v>491</v>
      </c>
      <c r="E772" s="16">
        <f t="shared" si="1820"/>
        <v>0</v>
      </c>
      <c r="F772" s="16">
        <f>SUMIFS([0]!VOTOS2,[0]!TURNO1,F$31,[0]!CANDIDATO1,$C772,[0]!MUNICIPIO1,$B$767)</f>
        <v>0</v>
      </c>
      <c r="G772" s="16">
        <f>SUMIFS([0]!VOTOS2,[0]!TURNO1,G$31,[0]!CANDIDATO1,$C772,[0]!MUNICIPIO1,$B$767)</f>
        <v>0</v>
      </c>
      <c r="H772" s="16">
        <f>SUMIFS([0]!VOTOS2,[0]!TURNO1,H$31,[0]!CANDIDATO1,$C772,[0]!MUNICIPIO1,$B$767)</f>
        <v>0</v>
      </c>
      <c r="I772" s="16">
        <f>SUMIFS([0]!VOTOS2,[0]!TURNO1,I$31,[0]!CANDIDATO1,$C772,[0]!MUNICIPIO1,$B$767)</f>
        <v>0</v>
      </c>
      <c r="J772" s="16">
        <f>SUMIFS([0]!VOTOS2,[0]!TURNO1,J$31,[0]!CANDIDATO1,$C772,[0]!MUNICIPIO1,$B$767)</f>
        <v>0</v>
      </c>
      <c r="K772" s="16">
        <f>SUMIFS([0]!VOTOS2,[0]!TURNO1,K$31,[0]!CANDIDATO1,$C772,[0]!MUNICIPIO1,$B$767)</f>
        <v>0</v>
      </c>
      <c r="L772" s="16">
        <f>SUMIFS([0]!VOTOS2,[0]!TURNO1,L$31,[0]!CANDIDATO1,$C772,[0]!MUNICIPIO1,$B$767)</f>
        <v>0</v>
      </c>
      <c r="M772" s="16">
        <f>SUMIFS([0]!VOTOS2,[0]!TURNO1,M$31,[0]!CANDIDATO1,$C772,[0]!MUNICIPIO1,$B$767)</f>
        <v>0</v>
      </c>
      <c r="N772" s="16">
        <f>SUMIFS([0]!VOTOS2,[0]!TURNO1,N$31,[0]!CANDIDATO1,$C772,[0]!MUNICIPIO1,$B$767)</f>
        <v>0</v>
      </c>
      <c r="O772" s="16">
        <f>SUMIFS([0]!VOTOS2,[0]!TURNO1,O$31,[0]!CANDIDATO1,$C772,[0]!MUNICIPIO1,$B$767)</f>
        <v>0</v>
      </c>
      <c r="P772" s="16">
        <f>SUMIFS([0]!VOTOS2,[0]!TURNO1,P$31,[0]!CANDIDATO1,$C772,[0]!MUNICIPIO1,$B$767)</f>
        <v>0</v>
      </c>
      <c r="Q772" s="16">
        <f>SUMIFS([0]!VOTOS2,[0]!TURNO1,Q$31,[0]!CANDIDATO1,$C772,[0]!MUNICIPIO1,$B$767)</f>
        <v>0</v>
      </c>
      <c r="R772" s="16">
        <f>SUMIFS([0]!VOTOS2,[0]!TURNO1,R$31,[0]!CANDIDATO1,$C772,[0]!MUNICIPIO1,$B$767)</f>
        <v>0</v>
      </c>
      <c r="S772" s="16">
        <f>SUMIFS([0]!VOTOS2,[0]!TURNO1,S$31,[0]!CANDIDATO1,$C772,[0]!MUNICIPIO1,$B$767)</f>
        <v>0</v>
      </c>
      <c r="T772" s="16">
        <f>SUMIFS([0]!VOTOS2,[0]!TURNO1,T$31,[0]!CANDIDATO1,$C772,[0]!MUNICIPIO1,$B$767)</f>
        <v>0</v>
      </c>
      <c r="U772" s="16">
        <f>SUMIFS([0]!VOTOS2,[0]!TURNO1,U$31,[0]!CANDIDATO1,$C772,[0]!MUNICIPIO1,$B$767)</f>
        <v>0</v>
      </c>
      <c r="V772" s="16">
        <f>SUMIFS([0]!VOTOS2,[0]!TURNO1,V$31,[0]!CANDIDATO1,$C772,[0]!MUNICIPIO1,$B$767)</f>
        <v>0</v>
      </c>
      <c r="W772" s="16">
        <f>SUMIFS([0]!VOTOS2,[0]!TURNO1,W$31,[0]!CANDIDATO1,$C772,[0]!MUNICIPIO1,$B$767)</f>
        <v>0</v>
      </c>
      <c r="X772" s="24"/>
      <c r="Y772" s="18" t="str">
        <f t="shared" si="1821"/>
        <v>LUIS PLANCHART</v>
      </c>
      <c r="Z772" s="34">
        <f t="shared" si="1822"/>
        <v>0</v>
      </c>
      <c r="AA772" s="34">
        <f t="shared" si="1823"/>
        <v>0</v>
      </c>
      <c r="AB772" s="34" t="e">
        <f t="shared" ref="AB772:AR772" si="1834">IF(SUM(G767:G779)=0,NA(),G772+AA772)</f>
        <v>#N/A</v>
      </c>
      <c r="AC772" s="34" t="e">
        <f t="shared" si="1834"/>
        <v>#N/A</v>
      </c>
      <c r="AD772" s="34" t="e">
        <f t="shared" si="1834"/>
        <v>#N/A</v>
      </c>
      <c r="AE772" s="34" t="e">
        <f t="shared" si="1834"/>
        <v>#N/A</v>
      </c>
      <c r="AF772" s="34" t="e">
        <f t="shared" si="1834"/>
        <v>#N/A</v>
      </c>
      <c r="AG772" s="34" t="e">
        <f t="shared" si="1834"/>
        <v>#N/A</v>
      </c>
      <c r="AH772" s="34" t="e">
        <f t="shared" si="1834"/>
        <v>#N/A</v>
      </c>
      <c r="AI772" s="34" t="e">
        <f t="shared" si="1834"/>
        <v>#N/A</v>
      </c>
      <c r="AJ772" s="34" t="e">
        <f t="shared" si="1834"/>
        <v>#N/A</v>
      </c>
      <c r="AK772" s="34" t="e">
        <f t="shared" si="1834"/>
        <v>#N/A</v>
      </c>
      <c r="AL772" s="34" t="e">
        <f t="shared" si="1834"/>
        <v>#N/A</v>
      </c>
      <c r="AM772" s="34" t="e">
        <f t="shared" si="1834"/>
        <v>#N/A</v>
      </c>
      <c r="AN772" s="34" t="e">
        <f t="shared" si="1834"/>
        <v>#N/A</v>
      </c>
      <c r="AO772" s="34" t="e">
        <f t="shared" si="1834"/>
        <v>#N/A</v>
      </c>
      <c r="AP772" s="34" t="e">
        <f t="shared" si="1834"/>
        <v>#N/A</v>
      </c>
      <c r="AQ772" s="34" t="e">
        <f t="shared" si="1834"/>
        <v>#N/A</v>
      </c>
      <c r="AR772" s="34" t="e">
        <f t="shared" si="1834"/>
        <v>#N/A</v>
      </c>
      <c r="AS772" s="27"/>
      <c r="AT772" s="39"/>
      <c r="AU772" s="39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30"/>
    </row>
    <row r="773" spans="1:66" ht="11.25" customHeight="1" x14ac:dyDescent="0.2">
      <c r="A773" s="44"/>
      <c r="B773" s="45"/>
      <c r="C773" s="46">
        <v>7</v>
      </c>
      <c r="D773" s="14" t="s">
        <v>76</v>
      </c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24"/>
      <c r="Y773" s="18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27"/>
      <c r="AT773" s="39"/>
      <c r="AU773" s="39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30"/>
    </row>
    <row r="774" spans="1:66" ht="11.25" customHeight="1" x14ac:dyDescent="0.2">
      <c r="A774" s="44"/>
      <c r="B774" s="45"/>
      <c r="C774" s="46">
        <v>8</v>
      </c>
      <c r="D774" s="14" t="s">
        <v>76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24"/>
      <c r="Y774" s="18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27"/>
      <c r="AT774" s="41"/>
      <c r="AU774" s="41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30"/>
    </row>
    <row r="775" spans="1:66" ht="11.25" customHeight="1" x14ac:dyDescent="0.2">
      <c r="A775" s="44"/>
      <c r="B775" s="45"/>
      <c r="C775" s="46">
        <v>9</v>
      </c>
      <c r="D775" s="14" t="s">
        <v>76</v>
      </c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24"/>
      <c r="Y775" s="18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27"/>
      <c r="AT775" s="41"/>
      <c r="AU775" s="41"/>
      <c r="AV775" s="43"/>
      <c r="AW775" s="43"/>
      <c r="AX775" s="43"/>
      <c r="AY775" s="43"/>
      <c r="AZ775" s="43"/>
      <c r="BA775" s="43"/>
      <c r="BB775" s="43"/>
      <c r="BC775" s="43"/>
      <c r="BD775" s="43"/>
      <c r="BE775" s="43"/>
      <c r="BF775" s="43"/>
      <c r="BG775" s="43"/>
      <c r="BH775" s="43"/>
      <c r="BI775" s="43"/>
      <c r="BJ775" s="43"/>
      <c r="BK775" s="43"/>
      <c r="BL775" s="43"/>
      <c r="BM775" s="43"/>
      <c r="BN775" s="30"/>
    </row>
    <row r="776" spans="1:66" ht="11.25" customHeight="1" x14ac:dyDescent="0.2">
      <c r="A776" s="44"/>
      <c r="B776" s="45"/>
      <c r="C776" s="46">
        <v>10</v>
      </c>
      <c r="D776" s="14" t="s">
        <v>76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24"/>
      <c r="Y776" s="18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27"/>
      <c r="AT776" s="41"/>
      <c r="AU776" s="41"/>
      <c r="AV776" s="43"/>
      <c r="AW776" s="43"/>
      <c r="AX776" s="43"/>
      <c r="AY776" s="43"/>
      <c r="AZ776" s="43"/>
      <c r="BA776" s="43"/>
      <c r="BB776" s="43"/>
      <c r="BC776" s="43"/>
      <c r="BD776" s="43"/>
      <c r="BE776" s="43"/>
      <c r="BF776" s="43"/>
      <c r="BG776" s="43"/>
      <c r="BH776" s="43"/>
      <c r="BI776" s="43"/>
      <c r="BJ776" s="43"/>
      <c r="BK776" s="43"/>
      <c r="BL776" s="43"/>
      <c r="BM776" s="43"/>
      <c r="BN776" s="30"/>
    </row>
    <row r="777" spans="1:66" ht="11.25" customHeight="1" x14ac:dyDescent="0.2">
      <c r="A777" s="44"/>
      <c r="B777" s="45"/>
      <c r="C777" s="46">
        <v>11</v>
      </c>
      <c r="D777" s="14" t="s">
        <v>76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24"/>
      <c r="Y777" s="18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27"/>
      <c r="AT777" s="41"/>
      <c r="AU777" s="41"/>
      <c r="AV777" s="43"/>
      <c r="AW777" s="43"/>
      <c r="AX777" s="43"/>
      <c r="AY777" s="43"/>
      <c r="AZ777" s="43"/>
      <c r="BA777" s="43"/>
      <c r="BB777" s="43"/>
      <c r="BC777" s="43"/>
      <c r="BD777" s="43"/>
      <c r="BE777" s="43"/>
      <c r="BF777" s="43"/>
      <c r="BG777" s="43"/>
      <c r="BH777" s="43"/>
      <c r="BI777" s="43"/>
      <c r="BJ777" s="43"/>
      <c r="BK777" s="43"/>
      <c r="BL777" s="43"/>
      <c r="BM777" s="43"/>
      <c r="BN777" s="30"/>
    </row>
    <row r="778" spans="1:66" ht="11.25" customHeight="1" x14ac:dyDescent="0.2">
      <c r="A778" s="44"/>
      <c r="B778" s="45"/>
      <c r="C778" s="46">
        <v>12</v>
      </c>
      <c r="D778" s="14" t="s">
        <v>76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24"/>
      <c r="Y778" s="18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27"/>
      <c r="AT778" s="41"/>
      <c r="AU778" s="41"/>
      <c r="AV778" s="43"/>
      <c r="AW778" s="43"/>
      <c r="AX778" s="43"/>
      <c r="AY778" s="43"/>
      <c r="AZ778" s="43"/>
      <c r="BA778" s="43"/>
      <c r="BB778" s="43"/>
      <c r="BC778" s="43"/>
      <c r="BD778" s="43"/>
      <c r="BE778" s="43"/>
      <c r="BF778" s="43"/>
      <c r="BG778" s="43"/>
      <c r="BH778" s="43"/>
      <c r="BI778" s="43"/>
      <c r="BJ778" s="43"/>
      <c r="BK778" s="43"/>
      <c r="BL778" s="43"/>
      <c r="BM778" s="43"/>
      <c r="BN778" s="30"/>
    </row>
    <row r="779" spans="1:66" ht="11.25" customHeight="1" x14ac:dyDescent="0.2">
      <c r="A779" s="44"/>
      <c r="B779" s="45"/>
      <c r="C779" s="46">
        <v>13</v>
      </c>
      <c r="D779" s="14" t="s">
        <v>76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24"/>
      <c r="Y779" s="18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27"/>
      <c r="AT779" s="41"/>
      <c r="AU779" s="41"/>
      <c r="AV779" s="43"/>
      <c r="AW779" s="43"/>
      <c r="AX779" s="43"/>
      <c r="AY779" s="43"/>
      <c r="AZ779" s="43"/>
      <c r="BA779" s="43"/>
      <c r="BB779" s="43"/>
      <c r="BC779" s="43"/>
      <c r="BD779" s="43"/>
      <c r="BE779" s="43"/>
      <c r="BF779" s="43"/>
      <c r="BG779" s="43"/>
      <c r="BH779" s="43"/>
      <c r="BI779" s="43"/>
      <c r="BJ779" s="43"/>
      <c r="BK779" s="43"/>
      <c r="BL779" s="43"/>
      <c r="BM779" s="43"/>
      <c r="BN779" s="30"/>
    </row>
    <row r="780" spans="1:66" ht="11.25" customHeight="1" x14ac:dyDescent="0.2">
      <c r="X780" s="24"/>
      <c r="Y780" s="19" t="s">
        <v>79</v>
      </c>
      <c r="Z780" s="34">
        <f t="shared" ref="Z780" si="1835">SUM(Z769:Z779)</f>
        <v>0</v>
      </c>
      <c r="AA780" s="34">
        <f t="shared" ref="AA780" si="1836">SUM(AA769:AA779)</f>
        <v>0</v>
      </c>
      <c r="AB780" s="34" t="e">
        <f t="shared" ref="AB780" si="1837">SUM(AB769:AB779)</f>
        <v>#N/A</v>
      </c>
      <c r="AC780" s="34" t="e">
        <f t="shared" ref="AC780" si="1838">SUM(AC769:AC779)</f>
        <v>#N/A</v>
      </c>
      <c r="AD780" s="34" t="e">
        <f t="shared" ref="AD780" si="1839">SUM(AD769:AD779)</f>
        <v>#N/A</v>
      </c>
      <c r="AE780" s="34" t="e">
        <f t="shared" ref="AE780" si="1840">SUM(AE769:AE779)</f>
        <v>#N/A</v>
      </c>
      <c r="AF780" s="34" t="e">
        <f t="shared" ref="AF780" si="1841">SUM(AF769:AF779)</f>
        <v>#N/A</v>
      </c>
      <c r="AG780" s="34" t="e">
        <f t="shared" ref="AG780" si="1842">SUM(AG769:AG779)</f>
        <v>#N/A</v>
      </c>
      <c r="AH780" s="34" t="e">
        <f t="shared" ref="AH780" si="1843">SUM(AH769:AH779)</f>
        <v>#N/A</v>
      </c>
      <c r="AI780" s="34" t="e">
        <f t="shared" ref="AI780" si="1844">SUM(AI769:AI779)</f>
        <v>#N/A</v>
      </c>
      <c r="AJ780" s="34" t="e">
        <f t="shared" ref="AJ780" si="1845">SUM(AJ769:AJ779)</f>
        <v>#N/A</v>
      </c>
      <c r="AK780" s="34" t="e">
        <f t="shared" ref="AK780" si="1846">SUM(AK769:AK779)</f>
        <v>#N/A</v>
      </c>
      <c r="AL780" s="34" t="e">
        <f t="shared" ref="AL780" si="1847">SUM(AL769:AL779)</f>
        <v>#N/A</v>
      </c>
      <c r="AM780" s="34" t="e">
        <f t="shared" ref="AM780" si="1848">SUM(AM769:AM779)</f>
        <v>#N/A</v>
      </c>
      <c r="AN780" s="34" t="e">
        <f t="shared" ref="AN780" si="1849">SUM(AN769:AN779)</f>
        <v>#N/A</v>
      </c>
      <c r="AO780" s="34" t="e">
        <f t="shared" ref="AO780" si="1850">SUM(AO769:AO779)</f>
        <v>#N/A</v>
      </c>
      <c r="AP780" s="34" t="e">
        <f t="shared" ref="AP780" si="1851">SUM(AP769:AP779)</f>
        <v>#N/A</v>
      </c>
      <c r="AQ780" s="34" t="e">
        <f t="shared" ref="AQ780" si="1852">SUM(AQ769:AQ779)</f>
        <v>#N/A</v>
      </c>
      <c r="AR780" s="34" t="e">
        <f t="shared" ref="AR780" si="1853">SUM(AR769:AR779)</f>
        <v>#N/A</v>
      </c>
      <c r="AS780" s="27"/>
      <c r="AT780" s="41"/>
      <c r="AU780" s="41"/>
      <c r="AV780" s="43"/>
      <c r="AW780" s="43"/>
      <c r="AX780" s="43"/>
      <c r="AY780" s="43"/>
      <c r="AZ780" s="43"/>
      <c r="BA780" s="43"/>
      <c r="BB780" s="43"/>
      <c r="BC780" s="43"/>
      <c r="BD780" s="43"/>
      <c r="BE780" s="43"/>
      <c r="BF780" s="43"/>
      <c r="BG780" s="43"/>
      <c r="BH780" s="43"/>
      <c r="BI780" s="43"/>
      <c r="BJ780" s="43"/>
      <c r="BK780" s="43"/>
      <c r="BL780" s="43"/>
      <c r="BM780" s="43"/>
      <c r="BN780" s="30"/>
    </row>
  </sheetData>
  <sortState ref="C4:U10">
    <sortCondition descending="1" ref="E4:E10"/>
  </sortState>
  <mergeCells count="105">
    <mergeCell ref="A766:B766"/>
    <mergeCell ref="B752:B757"/>
    <mergeCell ref="B767:B772"/>
    <mergeCell ref="B317:B321"/>
    <mergeCell ref="B332:B337"/>
    <mergeCell ref="B347:B355"/>
    <mergeCell ref="A1:B1"/>
    <mergeCell ref="A16:B16"/>
    <mergeCell ref="B2:B10"/>
    <mergeCell ref="B17:B26"/>
    <mergeCell ref="B362:B368"/>
    <mergeCell ref="A706:B706"/>
    <mergeCell ref="A721:B721"/>
    <mergeCell ref="A736:B736"/>
    <mergeCell ref="A751:B751"/>
    <mergeCell ref="B677:B684"/>
    <mergeCell ref="B692:B698"/>
    <mergeCell ref="B707:B712"/>
    <mergeCell ref="B722:B734"/>
    <mergeCell ref="B737:B744"/>
    <mergeCell ref="A631:B631"/>
    <mergeCell ref="A646:B646"/>
    <mergeCell ref="A661:B661"/>
    <mergeCell ref="A676:B676"/>
    <mergeCell ref="A691:B691"/>
    <mergeCell ref="B602:B609"/>
    <mergeCell ref="B617:B625"/>
    <mergeCell ref="B632:B638"/>
    <mergeCell ref="B647:B654"/>
    <mergeCell ref="B662:B667"/>
    <mergeCell ref="A556:B556"/>
    <mergeCell ref="A571:B571"/>
    <mergeCell ref="A586:B586"/>
    <mergeCell ref="A601:B601"/>
    <mergeCell ref="A616:B616"/>
    <mergeCell ref="B527:B531"/>
    <mergeCell ref="B557:B562"/>
    <mergeCell ref="B542:B550"/>
    <mergeCell ref="B572:B578"/>
    <mergeCell ref="B587:B593"/>
    <mergeCell ref="A526:B526"/>
    <mergeCell ref="B497:B506"/>
    <mergeCell ref="A481:B481"/>
    <mergeCell ref="A496:B496"/>
    <mergeCell ref="A511:B511"/>
    <mergeCell ref="A541:B541"/>
    <mergeCell ref="B452:B461"/>
    <mergeCell ref="B467:B473"/>
    <mergeCell ref="B482:B487"/>
    <mergeCell ref="B512:B519"/>
    <mergeCell ref="A451:B451"/>
    <mergeCell ref="A466:B466"/>
    <mergeCell ref="A406:B406"/>
    <mergeCell ref="A421:B421"/>
    <mergeCell ref="A436:B436"/>
    <mergeCell ref="B407:B413"/>
    <mergeCell ref="B422:B428"/>
    <mergeCell ref="B437:B443"/>
    <mergeCell ref="A391:B391"/>
    <mergeCell ref="A331:B331"/>
    <mergeCell ref="A346:B346"/>
    <mergeCell ref="A361:B361"/>
    <mergeCell ref="A376:B376"/>
    <mergeCell ref="B377:B385"/>
    <mergeCell ref="B392:B399"/>
    <mergeCell ref="A301:B301"/>
    <mergeCell ref="A316:B316"/>
    <mergeCell ref="A271:B271"/>
    <mergeCell ref="B272:B282"/>
    <mergeCell ref="A286:B286"/>
    <mergeCell ref="B287:B295"/>
    <mergeCell ref="B302:B310"/>
    <mergeCell ref="B242:B249"/>
    <mergeCell ref="A256:B256"/>
    <mergeCell ref="B257:B266"/>
    <mergeCell ref="A226:B226"/>
    <mergeCell ref="B227:B234"/>
    <mergeCell ref="A211:B211"/>
    <mergeCell ref="B212:B220"/>
    <mergeCell ref="A136:B136"/>
    <mergeCell ref="B137:B145"/>
    <mergeCell ref="A151:B151"/>
    <mergeCell ref="B152:B161"/>
    <mergeCell ref="A181:B181"/>
    <mergeCell ref="A241:B241"/>
    <mergeCell ref="A166:B166"/>
    <mergeCell ref="B167:B173"/>
    <mergeCell ref="B122:B130"/>
    <mergeCell ref="A61:B61"/>
    <mergeCell ref="B62:B69"/>
    <mergeCell ref="A76:B76"/>
    <mergeCell ref="B77:B84"/>
    <mergeCell ref="A91:B91"/>
    <mergeCell ref="B182:B188"/>
    <mergeCell ref="A196:B196"/>
    <mergeCell ref="B197:B207"/>
    <mergeCell ref="A32:A39"/>
    <mergeCell ref="B32:B39"/>
    <mergeCell ref="A46:B46"/>
    <mergeCell ref="B47:B56"/>
    <mergeCell ref="A31:B31"/>
    <mergeCell ref="B92:B98"/>
    <mergeCell ref="A106:B106"/>
    <mergeCell ref="B107:B111"/>
    <mergeCell ref="A121:B121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4"/>
  <sheetViews>
    <sheetView tabSelected="1" zoomScale="60" zoomScaleNormal="60" workbookViewId="0"/>
  </sheetViews>
  <sheetFormatPr baseColWidth="10" defaultColWidth="3" defaultRowHeight="17.850000000000001" customHeight="1" x14ac:dyDescent="0.2"/>
  <cols>
    <col min="1" max="1" width="3" style="65"/>
    <col min="2" max="2" width="6.85546875" style="65" bestFit="1" customWidth="1"/>
    <col min="3" max="21" width="4.28515625" style="65" customWidth="1"/>
    <col min="22" max="22" width="6.85546875" style="65" bestFit="1" customWidth="1"/>
    <col min="23" max="41" width="4.28515625" style="65" customWidth="1"/>
    <col min="42" max="42" width="7.7109375" style="65" bestFit="1" customWidth="1"/>
    <col min="43" max="61" width="4.28515625" style="65" customWidth="1"/>
    <col min="62" max="63" width="3" style="65"/>
    <col min="64" max="16384" width="3" style="64"/>
  </cols>
  <sheetData>
    <row r="1" spans="1:60" s="64" customFormat="1" ht="17.850000000000001" customHeight="1" x14ac:dyDescent="0.2">
      <c r="A1" s="66"/>
      <c r="B1" s="84" t="s">
        <v>492</v>
      </c>
      <c r="C1" s="84">
        <v>0</v>
      </c>
      <c r="D1" s="84">
        <v>1</v>
      </c>
      <c r="E1" s="84">
        <v>2</v>
      </c>
      <c r="F1" s="84">
        <v>3</v>
      </c>
      <c r="G1" s="84">
        <v>4</v>
      </c>
      <c r="H1" s="84">
        <v>5</v>
      </c>
      <c r="I1" s="84">
        <v>6</v>
      </c>
      <c r="J1" s="84">
        <v>7</v>
      </c>
      <c r="K1" s="84">
        <v>8</v>
      </c>
      <c r="L1" s="84">
        <v>9</v>
      </c>
      <c r="M1" s="84">
        <v>10</v>
      </c>
      <c r="N1" s="84">
        <v>11</v>
      </c>
      <c r="O1" s="84">
        <v>12</v>
      </c>
      <c r="P1" s="84">
        <v>13</v>
      </c>
      <c r="Q1" s="84">
        <v>14</v>
      </c>
      <c r="R1" s="84">
        <v>15</v>
      </c>
      <c r="S1" s="84">
        <v>16</v>
      </c>
      <c r="T1" s="84">
        <v>17</v>
      </c>
      <c r="U1" s="65"/>
      <c r="V1" s="84" t="s">
        <v>492</v>
      </c>
      <c r="W1" s="84">
        <v>0</v>
      </c>
      <c r="X1" s="84">
        <v>1</v>
      </c>
      <c r="Y1" s="84">
        <v>2</v>
      </c>
      <c r="Z1" s="84">
        <v>3</v>
      </c>
      <c r="AA1" s="84">
        <v>4</v>
      </c>
      <c r="AB1" s="84">
        <v>5</v>
      </c>
      <c r="AC1" s="84">
        <v>6</v>
      </c>
      <c r="AD1" s="84">
        <v>7</v>
      </c>
      <c r="AE1" s="84">
        <v>8</v>
      </c>
      <c r="AF1" s="84">
        <v>9</v>
      </c>
      <c r="AG1" s="84">
        <v>10</v>
      </c>
      <c r="AH1" s="84">
        <v>11</v>
      </c>
      <c r="AI1" s="84">
        <v>12</v>
      </c>
      <c r="AJ1" s="84">
        <v>13</v>
      </c>
      <c r="AK1" s="84">
        <v>14</v>
      </c>
      <c r="AL1" s="84">
        <v>15</v>
      </c>
      <c r="AM1" s="84">
        <v>16</v>
      </c>
      <c r="AN1" s="84">
        <v>17</v>
      </c>
      <c r="AO1" s="65"/>
      <c r="AP1" s="84" t="s">
        <v>492</v>
      </c>
      <c r="AQ1" s="84">
        <v>0</v>
      </c>
      <c r="AR1" s="84">
        <v>1</v>
      </c>
      <c r="AS1" s="84">
        <v>2</v>
      </c>
      <c r="AT1" s="84">
        <v>3</v>
      </c>
      <c r="AU1" s="84">
        <v>4</v>
      </c>
      <c r="AV1" s="84">
        <v>5</v>
      </c>
      <c r="AW1" s="84">
        <v>6</v>
      </c>
      <c r="AX1" s="84">
        <v>7</v>
      </c>
      <c r="AY1" s="84">
        <v>8</v>
      </c>
      <c r="AZ1" s="84">
        <v>9</v>
      </c>
      <c r="BA1" s="84">
        <v>10</v>
      </c>
      <c r="BB1" s="84">
        <v>11</v>
      </c>
      <c r="BC1" s="84">
        <v>12</v>
      </c>
      <c r="BD1" s="84">
        <v>13</v>
      </c>
      <c r="BE1" s="84">
        <v>14</v>
      </c>
      <c r="BF1" s="84">
        <v>15</v>
      </c>
      <c r="BG1" s="84">
        <v>16</v>
      </c>
      <c r="BH1" s="84">
        <v>17</v>
      </c>
    </row>
    <row r="2" spans="1:60" s="64" customFormat="1" ht="17.850000000000001" customHeight="1" x14ac:dyDescent="0.3">
      <c r="A2" s="66"/>
      <c r="B2" s="85">
        <v>1</v>
      </c>
      <c r="C2" s="86">
        <f>SUMIFS(VOTOS1,CENTRO1,$B2,TURNO1,C$1)</f>
        <v>997</v>
      </c>
      <c r="D2" s="86">
        <f t="shared" ref="C2:M17" si="0">SUMIFS(VOTOS1,CENTRO1,$B2,TURNO1,D$1)</f>
        <v>997</v>
      </c>
      <c r="E2" s="87">
        <f t="shared" si="0"/>
        <v>997</v>
      </c>
      <c r="F2" s="87">
        <f t="shared" si="0"/>
        <v>1003</v>
      </c>
      <c r="G2" s="87">
        <f t="shared" si="0"/>
        <v>1000</v>
      </c>
      <c r="H2" s="87">
        <f t="shared" si="0"/>
        <v>997</v>
      </c>
      <c r="I2" s="87">
        <f t="shared" si="0"/>
        <v>998</v>
      </c>
      <c r="J2" s="87">
        <f t="shared" si="0"/>
        <v>14</v>
      </c>
      <c r="K2" s="87">
        <f t="shared" si="0"/>
        <v>3</v>
      </c>
      <c r="L2" s="87">
        <f t="shared" si="0"/>
        <v>0</v>
      </c>
      <c r="M2" s="87">
        <f t="shared" si="0"/>
        <v>0</v>
      </c>
      <c r="N2" s="87">
        <f t="shared" ref="N2:T17" si="1">SUMIFS(VOTOS1,CENTRO1,$B2,TURNO1,N$1)</f>
        <v>0</v>
      </c>
      <c r="O2" s="87">
        <f t="shared" si="1"/>
        <v>0</v>
      </c>
      <c r="P2" s="87">
        <f t="shared" si="1"/>
        <v>0</v>
      </c>
      <c r="Q2" s="87">
        <f t="shared" si="1"/>
        <v>0</v>
      </c>
      <c r="R2" s="87">
        <f t="shared" si="1"/>
        <v>0</v>
      </c>
      <c r="S2" s="87">
        <f t="shared" si="1"/>
        <v>0</v>
      </c>
      <c r="T2" s="87">
        <f t="shared" si="1"/>
        <v>0</v>
      </c>
      <c r="U2" s="65"/>
      <c r="V2" s="88">
        <v>42</v>
      </c>
      <c r="W2" s="86">
        <f t="shared" ref="W2:W42" si="2">SUMIFS(VOTOS1,CENTRO1,$V2,TURNO1,C$1)</f>
        <v>2</v>
      </c>
      <c r="X2" s="86">
        <f t="shared" ref="X2:X42" si="3">SUMIFS(VOTOS1,CENTRO1,$V2,TURNO1,D$1)</f>
        <v>50</v>
      </c>
      <c r="Y2" s="87">
        <f t="shared" ref="Y2:Y42" si="4">SUMIFS(VOTOS1,CENTRO1,$V2,TURNO1,E$1)</f>
        <v>0</v>
      </c>
      <c r="Z2" s="87">
        <f t="shared" ref="Z2:Z42" si="5">SUMIFS(VOTOS1,CENTRO1,$V2,TURNO1,F$1)</f>
        <v>18</v>
      </c>
      <c r="AA2" s="87">
        <f t="shared" ref="AA2:AA42" si="6">SUMIFS(VOTOS1,CENTRO1,$V2,TURNO1,G$1)</f>
        <v>17</v>
      </c>
      <c r="AB2" s="87">
        <f t="shared" ref="AB2:AB42" si="7">SUMIFS(VOTOS1,CENTRO1,$V2,TURNO1,H$1)</f>
        <v>20</v>
      </c>
      <c r="AC2" s="87">
        <f t="shared" ref="AC2:AC42" si="8">SUMIFS(VOTOS1,CENTRO1,$V2,TURNO1,I$1)</f>
        <v>16</v>
      </c>
      <c r="AD2" s="87">
        <f t="shared" ref="AD2:AD42" si="9">SUMIFS(VOTOS1,CENTRO1,$V2,TURNO1,J$1)</f>
        <v>20</v>
      </c>
      <c r="AE2" s="87">
        <f t="shared" ref="AE2:AE42" si="10">SUMIFS(VOTOS1,CENTRO1,$V2,TURNO1,K$1)</f>
        <v>39</v>
      </c>
      <c r="AF2" s="87">
        <f t="shared" ref="AF2:AF42" si="11">SUMIFS(VOTOS1,CENTRO1,$V2,TURNO1,L$1)</f>
        <v>48</v>
      </c>
      <c r="AG2" s="87">
        <f t="shared" ref="AG2:AG42" si="12">SUMIFS(VOTOS1,CENTRO1,$V2,TURNO1,M$1)</f>
        <v>0</v>
      </c>
      <c r="AH2" s="87">
        <f t="shared" ref="AH2:AH42" si="13">SUMIFS(VOTOS1,CENTRO1,$V2,TURNO1,N$1)</f>
        <v>0</v>
      </c>
      <c r="AI2" s="87">
        <f t="shared" ref="AI2:AI42" si="14">SUMIFS(VOTOS1,CENTRO1,$V2,TURNO1,O$1)</f>
        <v>0</v>
      </c>
      <c r="AJ2" s="87">
        <f t="shared" ref="AJ2:AJ42" si="15">SUMIFS(VOTOS1,CENTRO1,$V2,TURNO1,P$1)</f>
        <v>0</v>
      </c>
      <c r="AK2" s="87">
        <f t="shared" ref="AK2:AK42" si="16">SUMIFS(VOTOS1,CENTRO1,$V2,TURNO1,Q$1)</f>
        <v>0</v>
      </c>
      <c r="AL2" s="87">
        <f t="shared" ref="AL2:AL42" si="17">SUMIFS(VOTOS1,CENTRO1,$V2,TURNO1,R$1)</f>
        <v>0</v>
      </c>
      <c r="AM2" s="87">
        <f t="shared" ref="AM2:AM42" si="18">SUMIFS(VOTOS1,CENTRO1,$V2,TURNO1,S$1)</f>
        <v>0</v>
      </c>
      <c r="AN2" s="87">
        <f t="shared" ref="AN2:AN42" si="19">SUMIFS(VOTOS1,CENTRO1,$V2,TURNO1,T$1)</f>
        <v>0</v>
      </c>
      <c r="AO2" s="65"/>
      <c r="AP2" s="85">
        <v>83</v>
      </c>
      <c r="AQ2" s="86">
        <f t="shared" ref="AQ2:AQ41" si="20">SUMIFS(VOTOS1,CENTRO1,$AP2,TURNO1,C$1)</f>
        <v>2</v>
      </c>
      <c r="AR2" s="86">
        <f t="shared" ref="AR2:AR41" si="21">SUMIFS(VOTOS1,CENTRO1,$AP2,TURNO1,D$1)</f>
        <v>0</v>
      </c>
      <c r="AS2" s="87">
        <f t="shared" ref="AS2:AS41" si="22">SUMIFS(VOTOS1,CENTRO1,$AP2,TURNO1,E$1)</f>
        <v>0</v>
      </c>
      <c r="AT2" s="87">
        <f t="shared" ref="AT2:AT41" si="23">SUMIFS(VOTOS1,CENTRO1,$AP2,TURNO1,F$1)</f>
        <v>0</v>
      </c>
      <c r="AU2" s="87">
        <f t="shared" ref="AU2:AU41" si="24">SUMIFS(VOTOS1,CENTRO1,$AP2,TURNO1,G$1)</f>
        <v>0</v>
      </c>
      <c r="AV2" s="87">
        <f t="shared" ref="AV2:AV41" si="25">SUMIFS(VOTOS1,CENTRO1,$AP2,TURNO1,H$1)</f>
        <v>0</v>
      </c>
      <c r="AW2" s="87">
        <f t="shared" ref="AW2:AW41" si="26">SUMIFS(VOTOS1,CENTRO1,$AP2,TURNO1,I$1)</f>
        <v>0</v>
      </c>
      <c r="AX2" s="87">
        <f t="shared" ref="AX2:AX41" si="27">SUMIFS(VOTOS1,CENTRO1,$AP2,TURNO1,J$1)</f>
        <v>0</v>
      </c>
      <c r="AY2" s="87">
        <f t="shared" ref="AY2:AY41" si="28">SUMIFS(VOTOS1,CENTRO1,$AP2,TURNO1,K$1)</f>
        <v>0</v>
      </c>
      <c r="AZ2" s="87">
        <f t="shared" ref="AZ2:AZ41" si="29">SUMIFS(VOTOS1,CENTRO1,$AP2,TURNO1,L$1)</f>
        <v>0</v>
      </c>
      <c r="BA2" s="87">
        <f t="shared" ref="BA2:BA41" si="30">SUMIFS(VOTOS1,CENTRO1,$AP2,TURNO1,M$1)</f>
        <v>0</v>
      </c>
      <c r="BB2" s="87">
        <f t="shared" ref="BB2:BB41" si="31">SUMIFS(VOTOS1,CENTRO1,$AP2,TURNO1,N$1)</f>
        <v>0</v>
      </c>
      <c r="BC2" s="87">
        <f t="shared" ref="BC2:BC41" si="32">SUMIFS(VOTOS1,CENTRO1,$AP2,TURNO1,O$1)</f>
        <v>0</v>
      </c>
      <c r="BD2" s="87">
        <f t="shared" ref="BD2:BD41" si="33">SUMIFS(VOTOS1,CENTRO1,$AP2,TURNO1,P$1)</f>
        <v>0</v>
      </c>
      <c r="BE2" s="87">
        <f t="shared" ref="BE2:BE41" si="34">SUMIFS(VOTOS1,CENTRO1,$AP2,TURNO1,Q$1)</f>
        <v>0</v>
      </c>
      <c r="BF2" s="87">
        <f t="shared" ref="BF2:BF41" si="35">SUMIFS(VOTOS1,CENTRO1,$AP2,TURNO1,R$1)</f>
        <v>0</v>
      </c>
      <c r="BG2" s="87">
        <f t="shared" ref="BG2:BG41" si="36">SUMIFS(VOTOS1,CENTRO1,$AP2,TURNO1,S$1)</f>
        <v>0</v>
      </c>
      <c r="BH2" s="87">
        <f t="shared" ref="BH2:BH41" si="37">SUMIFS(VOTOS1,CENTRO1,$AP2,TURNO1,T$1)</f>
        <v>0</v>
      </c>
    </row>
    <row r="3" spans="1:60" s="64" customFormat="1" ht="17.850000000000001" customHeight="1" x14ac:dyDescent="0.3">
      <c r="A3" s="66"/>
      <c r="B3" s="88">
        <v>2</v>
      </c>
      <c r="C3" s="87">
        <f t="shared" si="0"/>
        <v>2</v>
      </c>
      <c r="D3" s="87">
        <f t="shared" si="0"/>
        <v>994</v>
      </c>
      <c r="E3" s="87">
        <f t="shared" si="0"/>
        <v>994</v>
      </c>
      <c r="F3" s="87">
        <f t="shared" si="0"/>
        <v>994</v>
      </c>
      <c r="G3" s="87">
        <f t="shared" si="0"/>
        <v>994</v>
      </c>
      <c r="H3" s="87">
        <f t="shared" si="0"/>
        <v>994</v>
      </c>
      <c r="I3" s="87">
        <f t="shared" si="0"/>
        <v>0</v>
      </c>
      <c r="J3" s="87">
        <f t="shared" si="0"/>
        <v>29</v>
      </c>
      <c r="K3" s="87">
        <f t="shared" si="0"/>
        <v>29</v>
      </c>
      <c r="L3" s="87">
        <f t="shared" si="0"/>
        <v>24</v>
      </c>
      <c r="M3" s="87">
        <f t="shared" si="0"/>
        <v>0</v>
      </c>
      <c r="N3" s="87">
        <f t="shared" si="1"/>
        <v>0</v>
      </c>
      <c r="O3" s="87">
        <f t="shared" si="1"/>
        <v>0</v>
      </c>
      <c r="P3" s="87">
        <f t="shared" si="1"/>
        <v>0</v>
      </c>
      <c r="Q3" s="87">
        <f t="shared" si="1"/>
        <v>0</v>
      </c>
      <c r="R3" s="87">
        <f t="shared" si="1"/>
        <v>0</v>
      </c>
      <c r="S3" s="87">
        <f t="shared" si="1"/>
        <v>5</v>
      </c>
      <c r="T3" s="87">
        <f t="shared" si="1"/>
        <v>0</v>
      </c>
      <c r="U3" s="65"/>
      <c r="V3" s="85">
        <v>43</v>
      </c>
      <c r="W3" s="87">
        <f t="shared" si="2"/>
        <v>2</v>
      </c>
      <c r="X3" s="87">
        <f t="shared" si="3"/>
        <v>11</v>
      </c>
      <c r="Y3" s="87">
        <f t="shared" si="4"/>
        <v>16</v>
      </c>
      <c r="Z3" s="87">
        <f t="shared" si="5"/>
        <v>17</v>
      </c>
      <c r="AA3" s="87">
        <f t="shared" si="6"/>
        <v>17</v>
      </c>
      <c r="AB3" s="87">
        <f t="shared" si="7"/>
        <v>5</v>
      </c>
      <c r="AC3" s="87">
        <f t="shared" si="8"/>
        <v>9</v>
      </c>
      <c r="AD3" s="87">
        <f t="shared" si="9"/>
        <v>0</v>
      </c>
      <c r="AE3" s="87">
        <f t="shared" si="10"/>
        <v>8</v>
      </c>
      <c r="AF3" s="87">
        <f t="shared" si="11"/>
        <v>12</v>
      </c>
      <c r="AG3" s="87">
        <f t="shared" si="12"/>
        <v>0</v>
      </c>
      <c r="AH3" s="87">
        <f t="shared" si="13"/>
        <v>0</v>
      </c>
      <c r="AI3" s="87">
        <f t="shared" si="14"/>
        <v>0</v>
      </c>
      <c r="AJ3" s="87">
        <f t="shared" si="15"/>
        <v>0</v>
      </c>
      <c r="AK3" s="87">
        <f t="shared" si="16"/>
        <v>0</v>
      </c>
      <c r="AL3" s="87">
        <f t="shared" si="17"/>
        <v>0</v>
      </c>
      <c r="AM3" s="87">
        <f t="shared" si="18"/>
        <v>0</v>
      </c>
      <c r="AN3" s="87">
        <f t="shared" si="19"/>
        <v>0</v>
      </c>
      <c r="AO3" s="65"/>
      <c r="AP3" s="88">
        <v>84</v>
      </c>
      <c r="AQ3" s="87">
        <f t="shared" si="20"/>
        <v>2</v>
      </c>
      <c r="AR3" s="87">
        <f t="shared" si="21"/>
        <v>0</v>
      </c>
      <c r="AS3" s="87">
        <f t="shared" si="22"/>
        <v>0</v>
      </c>
      <c r="AT3" s="87">
        <f t="shared" si="23"/>
        <v>0</v>
      </c>
      <c r="AU3" s="87">
        <f t="shared" si="24"/>
        <v>0</v>
      </c>
      <c r="AV3" s="87">
        <f t="shared" si="25"/>
        <v>0</v>
      </c>
      <c r="AW3" s="87">
        <f t="shared" si="26"/>
        <v>0</v>
      </c>
      <c r="AX3" s="87">
        <f t="shared" si="27"/>
        <v>0</v>
      </c>
      <c r="AY3" s="87">
        <f t="shared" si="28"/>
        <v>0</v>
      </c>
      <c r="AZ3" s="87">
        <f t="shared" si="29"/>
        <v>0</v>
      </c>
      <c r="BA3" s="87">
        <f t="shared" si="30"/>
        <v>0</v>
      </c>
      <c r="BB3" s="87">
        <f t="shared" si="31"/>
        <v>0</v>
      </c>
      <c r="BC3" s="87">
        <f t="shared" si="32"/>
        <v>0</v>
      </c>
      <c r="BD3" s="87">
        <f t="shared" si="33"/>
        <v>0</v>
      </c>
      <c r="BE3" s="87">
        <f t="shared" si="34"/>
        <v>0</v>
      </c>
      <c r="BF3" s="87">
        <f t="shared" si="35"/>
        <v>0</v>
      </c>
      <c r="BG3" s="87">
        <f t="shared" si="36"/>
        <v>0</v>
      </c>
      <c r="BH3" s="87">
        <f t="shared" si="37"/>
        <v>0</v>
      </c>
    </row>
    <row r="4" spans="1:60" s="64" customFormat="1" ht="17.850000000000001" customHeight="1" x14ac:dyDescent="0.3">
      <c r="A4" s="66"/>
      <c r="B4" s="85">
        <v>3</v>
      </c>
      <c r="C4" s="87">
        <f t="shared" si="0"/>
        <v>0</v>
      </c>
      <c r="D4" s="87">
        <f t="shared" si="0"/>
        <v>28</v>
      </c>
      <c r="E4" s="87">
        <f t="shared" si="0"/>
        <v>34</v>
      </c>
      <c r="F4" s="87">
        <f t="shared" si="0"/>
        <v>43</v>
      </c>
      <c r="G4" s="87">
        <f t="shared" si="0"/>
        <v>46</v>
      </c>
      <c r="H4" s="87">
        <f t="shared" si="0"/>
        <v>40</v>
      </c>
      <c r="I4" s="87">
        <f t="shared" si="0"/>
        <v>27</v>
      </c>
      <c r="J4" s="87">
        <f t="shared" si="0"/>
        <v>28</v>
      </c>
      <c r="K4" s="87">
        <f t="shared" si="0"/>
        <v>24</v>
      </c>
      <c r="L4" s="87">
        <f t="shared" si="0"/>
        <v>0</v>
      </c>
      <c r="M4" s="87">
        <f t="shared" si="0"/>
        <v>0</v>
      </c>
      <c r="N4" s="87">
        <f t="shared" si="1"/>
        <v>0</v>
      </c>
      <c r="O4" s="87">
        <f t="shared" si="1"/>
        <v>0</v>
      </c>
      <c r="P4" s="87">
        <f t="shared" si="1"/>
        <v>0</v>
      </c>
      <c r="Q4" s="87">
        <f t="shared" si="1"/>
        <v>0</v>
      </c>
      <c r="R4" s="87">
        <f t="shared" si="1"/>
        <v>0</v>
      </c>
      <c r="S4" s="87">
        <f t="shared" si="1"/>
        <v>0</v>
      </c>
      <c r="T4" s="87">
        <f t="shared" si="1"/>
        <v>0</v>
      </c>
      <c r="U4" s="65"/>
      <c r="V4" s="88">
        <v>44</v>
      </c>
      <c r="W4" s="87">
        <f t="shared" si="2"/>
        <v>2</v>
      </c>
      <c r="X4" s="87">
        <f t="shared" si="3"/>
        <v>42</v>
      </c>
      <c r="Y4" s="87">
        <f t="shared" si="4"/>
        <v>38</v>
      </c>
      <c r="Z4" s="87">
        <f t="shared" si="5"/>
        <v>14</v>
      </c>
      <c r="AA4" s="87">
        <f t="shared" si="6"/>
        <v>33</v>
      </c>
      <c r="AB4" s="87">
        <f t="shared" si="7"/>
        <v>52</v>
      </c>
      <c r="AC4" s="87">
        <f t="shared" si="8"/>
        <v>48</v>
      </c>
      <c r="AD4" s="87">
        <f t="shared" si="9"/>
        <v>18</v>
      </c>
      <c r="AE4" s="87">
        <f t="shared" si="10"/>
        <v>19</v>
      </c>
      <c r="AF4" s="87">
        <f t="shared" si="11"/>
        <v>13</v>
      </c>
      <c r="AG4" s="87">
        <f t="shared" si="12"/>
        <v>0</v>
      </c>
      <c r="AH4" s="87">
        <f t="shared" si="13"/>
        <v>0</v>
      </c>
      <c r="AI4" s="87">
        <f t="shared" si="14"/>
        <v>0</v>
      </c>
      <c r="AJ4" s="87">
        <f t="shared" si="15"/>
        <v>0</v>
      </c>
      <c r="AK4" s="87">
        <f t="shared" si="16"/>
        <v>0</v>
      </c>
      <c r="AL4" s="87">
        <f t="shared" si="17"/>
        <v>0</v>
      </c>
      <c r="AM4" s="87">
        <f t="shared" si="18"/>
        <v>0</v>
      </c>
      <c r="AN4" s="87">
        <f t="shared" si="19"/>
        <v>0</v>
      </c>
      <c r="AO4" s="65"/>
      <c r="AP4" s="85">
        <v>85</v>
      </c>
      <c r="AQ4" s="87">
        <f t="shared" si="20"/>
        <v>2</v>
      </c>
      <c r="AR4" s="87">
        <f t="shared" si="21"/>
        <v>0</v>
      </c>
      <c r="AS4" s="87">
        <f t="shared" si="22"/>
        <v>0</v>
      </c>
      <c r="AT4" s="87">
        <f t="shared" si="23"/>
        <v>0</v>
      </c>
      <c r="AU4" s="87">
        <f t="shared" si="24"/>
        <v>0</v>
      </c>
      <c r="AV4" s="87">
        <f t="shared" si="25"/>
        <v>0</v>
      </c>
      <c r="AW4" s="87">
        <f t="shared" si="26"/>
        <v>0</v>
      </c>
      <c r="AX4" s="87">
        <f t="shared" si="27"/>
        <v>0</v>
      </c>
      <c r="AY4" s="87">
        <f t="shared" si="28"/>
        <v>0</v>
      </c>
      <c r="AZ4" s="87">
        <f t="shared" si="29"/>
        <v>0</v>
      </c>
      <c r="BA4" s="87">
        <f t="shared" si="30"/>
        <v>0</v>
      </c>
      <c r="BB4" s="87">
        <f t="shared" si="31"/>
        <v>0</v>
      </c>
      <c r="BC4" s="87">
        <f t="shared" si="32"/>
        <v>0</v>
      </c>
      <c r="BD4" s="87">
        <f t="shared" si="33"/>
        <v>0</v>
      </c>
      <c r="BE4" s="87">
        <f t="shared" si="34"/>
        <v>0</v>
      </c>
      <c r="BF4" s="87">
        <f t="shared" si="35"/>
        <v>0</v>
      </c>
      <c r="BG4" s="87">
        <f t="shared" si="36"/>
        <v>0</v>
      </c>
      <c r="BH4" s="87">
        <f t="shared" si="37"/>
        <v>0</v>
      </c>
    </row>
    <row r="5" spans="1:60" s="64" customFormat="1" ht="17.850000000000001" customHeight="1" x14ac:dyDescent="0.3">
      <c r="A5" s="66"/>
      <c r="B5" s="88">
        <v>4</v>
      </c>
      <c r="C5" s="87">
        <f t="shared" si="0"/>
        <v>2</v>
      </c>
      <c r="D5" s="87">
        <f t="shared" si="0"/>
        <v>16</v>
      </c>
      <c r="E5" s="87">
        <f t="shared" si="0"/>
        <v>49</v>
      </c>
      <c r="F5" s="87">
        <f t="shared" si="0"/>
        <v>43</v>
      </c>
      <c r="G5" s="87">
        <f t="shared" si="0"/>
        <v>36</v>
      </c>
      <c r="H5" s="87">
        <f t="shared" si="0"/>
        <v>40</v>
      </c>
      <c r="I5" s="87">
        <f t="shared" si="0"/>
        <v>31</v>
      </c>
      <c r="J5" s="87">
        <f t="shared" si="0"/>
        <v>33</v>
      </c>
      <c r="K5" s="87">
        <f t="shared" si="0"/>
        <v>20</v>
      </c>
      <c r="L5" s="87">
        <f t="shared" si="0"/>
        <v>21</v>
      </c>
      <c r="M5" s="87">
        <f t="shared" si="0"/>
        <v>0</v>
      </c>
      <c r="N5" s="87">
        <f t="shared" si="1"/>
        <v>0</v>
      </c>
      <c r="O5" s="87">
        <f t="shared" si="1"/>
        <v>0</v>
      </c>
      <c r="P5" s="87">
        <f t="shared" si="1"/>
        <v>0</v>
      </c>
      <c r="Q5" s="87">
        <f t="shared" si="1"/>
        <v>0</v>
      </c>
      <c r="R5" s="87">
        <f t="shared" si="1"/>
        <v>0</v>
      </c>
      <c r="S5" s="87">
        <f t="shared" si="1"/>
        <v>0</v>
      </c>
      <c r="T5" s="87">
        <f t="shared" si="1"/>
        <v>0</v>
      </c>
      <c r="U5" s="65"/>
      <c r="V5" s="85">
        <v>45</v>
      </c>
      <c r="W5" s="87">
        <f t="shared" si="2"/>
        <v>2</v>
      </c>
      <c r="X5" s="87">
        <f t="shared" si="3"/>
        <v>14</v>
      </c>
      <c r="Y5" s="87">
        <f t="shared" si="4"/>
        <v>10</v>
      </c>
      <c r="Z5" s="87">
        <f t="shared" si="5"/>
        <v>6</v>
      </c>
      <c r="AA5" s="87">
        <f t="shared" si="6"/>
        <v>7</v>
      </c>
      <c r="AB5" s="87">
        <f t="shared" si="7"/>
        <v>3</v>
      </c>
      <c r="AC5" s="87">
        <f t="shared" si="8"/>
        <v>6</v>
      </c>
      <c r="AD5" s="87">
        <f t="shared" si="9"/>
        <v>4</v>
      </c>
      <c r="AE5" s="87">
        <f t="shared" si="10"/>
        <v>0</v>
      </c>
      <c r="AF5" s="87">
        <f t="shared" si="11"/>
        <v>9</v>
      </c>
      <c r="AG5" s="87">
        <f t="shared" si="12"/>
        <v>0</v>
      </c>
      <c r="AH5" s="87">
        <f t="shared" si="13"/>
        <v>0</v>
      </c>
      <c r="AI5" s="87">
        <f t="shared" si="14"/>
        <v>0</v>
      </c>
      <c r="AJ5" s="87">
        <f t="shared" si="15"/>
        <v>0</v>
      </c>
      <c r="AK5" s="87">
        <f t="shared" si="16"/>
        <v>0</v>
      </c>
      <c r="AL5" s="87">
        <f t="shared" si="17"/>
        <v>0</v>
      </c>
      <c r="AM5" s="87">
        <f t="shared" si="18"/>
        <v>0</v>
      </c>
      <c r="AN5" s="87">
        <f t="shared" si="19"/>
        <v>0</v>
      </c>
      <c r="AO5" s="65"/>
      <c r="AP5" s="88">
        <v>86</v>
      </c>
      <c r="AQ5" s="87">
        <f t="shared" si="20"/>
        <v>2</v>
      </c>
      <c r="AR5" s="87">
        <f t="shared" si="21"/>
        <v>0</v>
      </c>
      <c r="AS5" s="87">
        <f t="shared" si="22"/>
        <v>0</v>
      </c>
      <c r="AT5" s="87">
        <f t="shared" si="23"/>
        <v>0</v>
      </c>
      <c r="AU5" s="87">
        <f t="shared" si="24"/>
        <v>0</v>
      </c>
      <c r="AV5" s="87">
        <f t="shared" si="25"/>
        <v>0</v>
      </c>
      <c r="AW5" s="87">
        <f t="shared" si="26"/>
        <v>0</v>
      </c>
      <c r="AX5" s="87">
        <f t="shared" si="27"/>
        <v>0</v>
      </c>
      <c r="AY5" s="87">
        <f t="shared" si="28"/>
        <v>0</v>
      </c>
      <c r="AZ5" s="87">
        <f t="shared" si="29"/>
        <v>0</v>
      </c>
      <c r="BA5" s="87">
        <f t="shared" si="30"/>
        <v>0</v>
      </c>
      <c r="BB5" s="87">
        <f t="shared" si="31"/>
        <v>0</v>
      </c>
      <c r="BC5" s="87">
        <f t="shared" si="32"/>
        <v>0</v>
      </c>
      <c r="BD5" s="87">
        <f t="shared" si="33"/>
        <v>0</v>
      </c>
      <c r="BE5" s="87">
        <f t="shared" si="34"/>
        <v>0</v>
      </c>
      <c r="BF5" s="87">
        <f t="shared" si="35"/>
        <v>0</v>
      </c>
      <c r="BG5" s="87">
        <f t="shared" si="36"/>
        <v>0</v>
      </c>
      <c r="BH5" s="87">
        <f t="shared" si="37"/>
        <v>0</v>
      </c>
    </row>
    <row r="6" spans="1:60" s="64" customFormat="1" ht="17.850000000000001" customHeight="1" x14ac:dyDescent="0.3">
      <c r="A6" s="66"/>
      <c r="B6" s="85">
        <v>5</v>
      </c>
      <c r="C6" s="87">
        <f t="shared" si="0"/>
        <v>2</v>
      </c>
      <c r="D6" s="87">
        <f t="shared" si="0"/>
        <v>1000</v>
      </c>
      <c r="E6" s="87">
        <f t="shared" si="0"/>
        <v>999</v>
      </c>
      <c r="F6" s="87">
        <f t="shared" si="0"/>
        <v>997</v>
      </c>
      <c r="G6" s="87">
        <f t="shared" si="0"/>
        <v>999</v>
      </c>
      <c r="H6" s="87">
        <f t="shared" si="0"/>
        <v>999</v>
      </c>
      <c r="I6" s="87">
        <f t="shared" si="0"/>
        <v>999</v>
      </c>
      <c r="J6" s="87">
        <f t="shared" si="0"/>
        <v>25</v>
      </c>
      <c r="K6" s="87">
        <f t="shared" si="0"/>
        <v>19</v>
      </c>
      <c r="L6" s="87">
        <f t="shared" si="0"/>
        <v>0</v>
      </c>
      <c r="M6" s="87">
        <f t="shared" si="0"/>
        <v>0</v>
      </c>
      <c r="N6" s="87">
        <f t="shared" si="1"/>
        <v>0</v>
      </c>
      <c r="O6" s="87">
        <f t="shared" si="1"/>
        <v>0</v>
      </c>
      <c r="P6" s="87">
        <f t="shared" si="1"/>
        <v>0</v>
      </c>
      <c r="Q6" s="87">
        <f t="shared" si="1"/>
        <v>0</v>
      </c>
      <c r="R6" s="87">
        <f t="shared" si="1"/>
        <v>0</v>
      </c>
      <c r="S6" s="87">
        <f t="shared" si="1"/>
        <v>0</v>
      </c>
      <c r="T6" s="87">
        <f t="shared" si="1"/>
        <v>0</v>
      </c>
      <c r="U6" s="65"/>
      <c r="V6" s="88">
        <v>46</v>
      </c>
      <c r="W6" s="87">
        <f t="shared" si="2"/>
        <v>2</v>
      </c>
      <c r="X6" s="87">
        <f t="shared" si="3"/>
        <v>47</v>
      </c>
      <c r="Y6" s="87">
        <f t="shared" si="4"/>
        <v>29</v>
      </c>
      <c r="Z6" s="87">
        <f t="shared" si="5"/>
        <v>16</v>
      </c>
      <c r="AA6" s="87">
        <f t="shared" si="6"/>
        <v>29</v>
      </c>
      <c r="AB6" s="87">
        <f t="shared" si="7"/>
        <v>17</v>
      </c>
      <c r="AC6" s="87">
        <f t="shared" si="8"/>
        <v>22</v>
      </c>
      <c r="AD6" s="87">
        <f t="shared" si="9"/>
        <v>13</v>
      </c>
      <c r="AE6" s="87">
        <f t="shared" si="10"/>
        <v>18</v>
      </c>
      <c r="AF6" s="87">
        <f t="shared" si="11"/>
        <v>12</v>
      </c>
      <c r="AG6" s="87">
        <f t="shared" si="12"/>
        <v>0</v>
      </c>
      <c r="AH6" s="87">
        <f t="shared" si="13"/>
        <v>0</v>
      </c>
      <c r="AI6" s="87">
        <f t="shared" si="14"/>
        <v>0</v>
      </c>
      <c r="AJ6" s="87">
        <f t="shared" si="15"/>
        <v>0</v>
      </c>
      <c r="AK6" s="87">
        <f t="shared" si="16"/>
        <v>0</v>
      </c>
      <c r="AL6" s="87">
        <f t="shared" si="17"/>
        <v>0</v>
      </c>
      <c r="AM6" s="87">
        <f t="shared" si="18"/>
        <v>0</v>
      </c>
      <c r="AN6" s="87">
        <f t="shared" si="19"/>
        <v>0</v>
      </c>
      <c r="AO6" s="65"/>
      <c r="AP6" s="85">
        <v>87</v>
      </c>
      <c r="AQ6" s="87">
        <f t="shared" si="20"/>
        <v>2</v>
      </c>
      <c r="AR6" s="87">
        <f t="shared" si="21"/>
        <v>0</v>
      </c>
      <c r="AS6" s="87">
        <f t="shared" si="22"/>
        <v>0</v>
      </c>
      <c r="AT6" s="87">
        <f t="shared" si="23"/>
        <v>0</v>
      </c>
      <c r="AU6" s="87">
        <f t="shared" si="24"/>
        <v>0</v>
      </c>
      <c r="AV6" s="87">
        <f t="shared" si="25"/>
        <v>0</v>
      </c>
      <c r="AW6" s="87">
        <f t="shared" si="26"/>
        <v>0</v>
      </c>
      <c r="AX6" s="87">
        <f t="shared" si="27"/>
        <v>0</v>
      </c>
      <c r="AY6" s="87">
        <f t="shared" si="28"/>
        <v>0</v>
      </c>
      <c r="AZ6" s="87">
        <f t="shared" si="29"/>
        <v>0</v>
      </c>
      <c r="BA6" s="87">
        <f t="shared" si="30"/>
        <v>0</v>
      </c>
      <c r="BB6" s="87">
        <f t="shared" si="31"/>
        <v>0</v>
      </c>
      <c r="BC6" s="87">
        <f t="shared" si="32"/>
        <v>0</v>
      </c>
      <c r="BD6" s="87">
        <f t="shared" si="33"/>
        <v>0</v>
      </c>
      <c r="BE6" s="87">
        <f t="shared" si="34"/>
        <v>0</v>
      </c>
      <c r="BF6" s="87">
        <f t="shared" si="35"/>
        <v>0</v>
      </c>
      <c r="BG6" s="87">
        <f t="shared" si="36"/>
        <v>0</v>
      </c>
      <c r="BH6" s="87">
        <f t="shared" si="37"/>
        <v>0</v>
      </c>
    </row>
    <row r="7" spans="1:60" s="64" customFormat="1" ht="17.850000000000001" customHeight="1" x14ac:dyDescent="0.3">
      <c r="A7" s="66"/>
      <c r="B7" s="88">
        <v>6</v>
      </c>
      <c r="C7" s="87">
        <f t="shared" si="0"/>
        <v>2</v>
      </c>
      <c r="D7" s="87">
        <f t="shared" si="0"/>
        <v>43</v>
      </c>
      <c r="E7" s="87">
        <f t="shared" si="0"/>
        <v>31</v>
      </c>
      <c r="F7" s="87">
        <f t="shared" si="0"/>
        <v>22</v>
      </c>
      <c r="G7" s="87">
        <f t="shared" si="0"/>
        <v>25</v>
      </c>
      <c r="H7" s="87">
        <f t="shared" si="0"/>
        <v>31</v>
      </c>
      <c r="I7" s="87">
        <f t="shared" si="0"/>
        <v>38</v>
      </c>
      <c r="J7" s="87">
        <f t="shared" si="0"/>
        <v>16</v>
      </c>
      <c r="K7" s="87">
        <f t="shared" si="0"/>
        <v>37</v>
      </c>
      <c r="L7" s="87">
        <f t="shared" si="0"/>
        <v>4</v>
      </c>
      <c r="M7" s="87">
        <f t="shared" si="0"/>
        <v>0</v>
      </c>
      <c r="N7" s="87">
        <f t="shared" si="1"/>
        <v>0</v>
      </c>
      <c r="O7" s="87">
        <f t="shared" si="1"/>
        <v>0</v>
      </c>
      <c r="P7" s="87">
        <f t="shared" si="1"/>
        <v>0</v>
      </c>
      <c r="Q7" s="87">
        <f t="shared" si="1"/>
        <v>0</v>
      </c>
      <c r="R7" s="87">
        <f t="shared" si="1"/>
        <v>0</v>
      </c>
      <c r="S7" s="87">
        <f t="shared" si="1"/>
        <v>0</v>
      </c>
      <c r="T7" s="87">
        <f t="shared" si="1"/>
        <v>0</v>
      </c>
      <c r="U7" s="65"/>
      <c r="V7" s="85">
        <v>47</v>
      </c>
      <c r="W7" s="87">
        <f t="shared" si="2"/>
        <v>2</v>
      </c>
      <c r="X7" s="87">
        <f t="shared" si="3"/>
        <v>37</v>
      </c>
      <c r="Y7" s="87">
        <f t="shared" si="4"/>
        <v>33</v>
      </c>
      <c r="Z7" s="87">
        <f t="shared" si="5"/>
        <v>0</v>
      </c>
      <c r="AA7" s="87">
        <f t="shared" si="6"/>
        <v>29</v>
      </c>
      <c r="AB7" s="87">
        <f t="shared" si="7"/>
        <v>25</v>
      </c>
      <c r="AC7" s="87">
        <f t="shared" si="8"/>
        <v>25</v>
      </c>
      <c r="AD7" s="87">
        <f t="shared" si="9"/>
        <v>29</v>
      </c>
      <c r="AE7" s="87">
        <f t="shared" si="10"/>
        <v>38</v>
      </c>
      <c r="AF7" s="87">
        <f t="shared" si="11"/>
        <v>37</v>
      </c>
      <c r="AG7" s="87">
        <f t="shared" si="12"/>
        <v>0</v>
      </c>
      <c r="AH7" s="87">
        <f t="shared" si="13"/>
        <v>0</v>
      </c>
      <c r="AI7" s="87">
        <f t="shared" si="14"/>
        <v>0</v>
      </c>
      <c r="AJ7" s="87">
        <f t="shared" si="15"/>
        <v>0</v>
      </c>
      <c r="AK7" s="87">
        <f t="shared" si="16"/>
        <v>0</v>
      </c>
      <c r="AL7" s="87">
        <f t="shared" si="17"/>
        <v>0</v>
      </c>
      <c r="AM7" s="87">
        <f t="shared" si="18"/>
        <v>0</v>
      </c>
      <c r="AN7" s="87">
        <f t="shared" si="19"/>
        <v>0</v>
      </c>
      <c r="AO7" s="65"/>
      <c r="AP7" s="88">
        <v>88</v>
      </c>
      <c r="AQ7" s="87">
        <f t="shared" si="20"/>
        <v>2</v>
      </c>
      <c r="AR7" s="87">
        <f t="shared" si="21"/>
        <v>0</v>
      </c>
      <c r="AS7" s="87">
        <f t="shared" si="22"/>
        <v>0</v>
      </c>
      <c r="AT7" s="87">
        <f t="shared" si="23"/>
        <v>0</v>
      </c>
      <c r="AU7" s="87">
        <f t="shared" si="24"/>
        <v>0</v>
      </c>
      <c r="AV7" s="87">
        <f t="shared" si="25"/>
        <v>0</v>
      </c>
      <c r="AW7" s="87">
        <f t="shared" si="26"/>
        <v>0</v>
      </c>
      <c r="AX7" s="87">
        <f t="shared" si="27"/>
        <v>0</v>
      </c>
      <c r="AY7" s="87">
        <f t="shared" si="28"/>
        <v>0</v>
      </c>
      <c r="AZ7" s="87">
        <f t="shared" si="29"/>
        <v>0</v>
      </c>
      <c r="BA7" s="87">
        <f t="shared" si="30"/>
        <v>0</v>
      </c>
      <c r="BB7" s="87">
        <f t="shared" si="31"/>
        <v>0</v>
      </c>
      <c r="BC7" s="87">
        <f t="shared" si="32"/>
        <v>0</v>
      </c>
      <c r="BD7" s="87">
        <f t="shared" si="33"/>
        <v>0</v>
      </c>
      <c r="BE7" s="87">
        <f t="shared" si="34"/>
        <v>0</v>
      </c>
      <c r="BF7" s="87">
        <f t="shared" si="35"/>
        <v>0</v>
      </c>
      <c r="BG7" s="87">
        <f t="shared" si="36"/>
        <v>0</v>
      </c>
      <c r="BH7" s="87">
        <f t="shared" si="37"/>
        <v>0</v>
      </c>
    </row>
    <row r="8" spans="1:60" s="64" customFormat="1" ht="17.850000000000001" customHeight="1" x14ac:dyDescent="0.3">
      <c r="A8" s="66"/>
      <c r="B8" s="85">
        <v>7</v>
      </c>
      <c r="C8" s="87">
        <f t="shared" si="0"/>
        <v>997</v>
      </c>
      <c r="D8" s="87">
        <f t="shared" si="0"/>
        <v>998</v>
      </c>
      <c r="E8" s="87">
        <f t="shared" si="0"/>
        <v>997</v>
      </c>
      <c r="F8" s="87">
        <f t="shared" si="0"/>
        <v>999</v>
      </c>
      <c r="G8" s="87">
        <f t="shared" si="0"/>
        <v>997</v>
      </c>
      <c r="H8" s="87">
        <f t="shared" si="0"/>
        <v>998</v>
      </c>
      <c r="I8" s="87">
        <f t="shared" si="0"/>
        <v>997</v>
      </c>
      <c r="J8" s="87">
        <f t="shared" si="0"/>
        <v>26</v>
      </c>
      <c r="K8" s="87">
        <f t="shared" si="0"/>
        <v>23</v>
      </c>
      <c r="L8" s="87">
        <f t="shared" si="0"/>
        <v>0</v>
      </c>
      <c r="M8" s="87">
        <f t="shared" si="0"/>
        <v>0</v>
      </c>
      <c r="N8" s="87">
        <f t="shared" si="1"/>
        <v>0</v>
      </c>
      <c r="O8" s="87">
        <f t="shared" si="1"/>
        <v>0</v>
      </c>
      <c r="P8" s="87">
        <f t="shared" si="1"/>
        <v>0</v>
      </c>
      <c r="Q8" s="87">
        <f t="shared" si="1"/>
        <v>0</v>
      </c>
      <c r="R8" s="87">
        <f t="shared" si="1"/>
        <v>0</v>
      </c>
      <c r="S8" s="87">
        <f t="shared" si="1"/>
        <v>0</v>
      </c>
      <c r="T8" s="87">
        <f t="shared" si="1"/>
        <v>0</v>
      </c>
      <c r="U8" s="65"/>
      <c r="V8" s="88">
        <v>48</v>
      </c>
      <c r="W8" s="87">
        <f t="shared" si="2"/>
        <v>2</v>
      </c>
      <c r="X8" s="87">
        <f t="shared" si="3"/>
        <v>0</v>
      </c>
      <c r="Y8" s="87">
        <f t="shared" si="4"/>
        <v>0</v>
      </c>
      <c r="Z8" s="87">
        <f t="shared" si="5"/>
        <v>0</v>
      </c>
      <c r="AA8" s="87">
        <f t="shared" si="6"/>
        <v>0</v>
      </c>
      <c r="AB8" s="87">
        <f t="shared" si="7"/>
        <v>0</v>
      </c>
      <c r="AC8" s="87">
        <f t="shared" si="8"/>
        <v>0</v>
      </c>
      <c r="AD8" s="87">
        <f t="shared" si="9"/>
        <v>0</v>
      </c>
      <c r="AE8" s="87">
        <f t="shared" si="10"/>
        <v>0</v>
      </c>
      <c r="AF8" s="87">
        <f t="shared" si="11"/>
        <v>0</v>
      </c>
      <c r="AG8" s="87">
        <f t="shared" si="12"/>
        <v>0</v>
      </c>
      <c r="AH8" s="87">
        <f t="shared" si="13"/>
        <v>0</v>
      </c>
      <c r="AI8" s="87">
        <f t="shared" si="14"/>
        <v>0</v>
      </c>
      <c r="AJ8" s="87">
        <f t="shared" si="15"/>
        <v>0</v>
      </c>
      <c r="AK8" s="87">
        <f t="shared" si="16"/>
        <v>0</v>
      </c>
      <c r="AL8" s="87">
        <f t="shared" si="17"/>
        <v>0</v>
      </c>
      <c r="AM8" s="87">
        <f t="shared" si="18"/>
        <v>0</v>
      </c>
      <c r="AN8" s="87">
        <f t="shared" si="19"/>
        <v>0</v>
      </c>
      <c r="AO8" s="65"/>
      <c r="AP8" s="85">
        <v>89</v>
      </c>
      <c r="AQ8" s="87">
        <f t="shared" si="20"/>
        <v>2</v>
      </c>
      <c r="AR8" s="87">
        <f t="shared" si="21"/>
        <v>0</v>
      </c>
      <c r="AS8" s="87">
        <f t="shared" si="22"/>
        <v>0</v>
      </c>
      <c r="AT8" s="87">
        <f t="shared" si="23"/>
        <v>0</v>
      </c>
      <c r="AU8" s="87">
        <f t="shared" si="24"/>
        <v>0</v>
      </c>
      <c r="AV8" s="87">
        <f t="shared" si="25"/>
        <v>0</v>
      </c>
      <c r="AW8" s="87">
        <f t="shared" si="26"/>
        <v>0</v>
      </c>
      <c r="AX8" s="87">
        <f t="shared" si="27"/>
        <v>0</v>
      </c>
      <c r="AY8" s="87">
        <f t="shared" si="28"/>
        <v>0</v>
      </c>
      <c r="AZ8" s="87">
        <f t="shared" si="29"/>
        <v>0</v>
      </c>
      <c r="BA8" s="87">
        <f t="shared" si="30"/>
        <v>0</v>
      </c>
      <c r="BB8" s="87">
        <f t="shared" si="31"/>
        <v>0</v>
      </c>
      <c r="BC8" s="87">
        <f t="shared" si="32"/>
        <v>0</v>
      </c>
      <c r="BD8" s="87">
        <f t="shared" si="33"/>
        <v>0</v>
      </c>
      <c r="BE8" s="87">
        <f t="shared" si="34"/>
        <v>0</v>
      </c>
      <c r="BF8" s="87">
        <f t="shared" si="35"/>
        <v>0</v>
      </c>
      <c r="BG8" s="87">
        <f t="shared" si="36"/>
        <v>0</v>
      </c>
      <c r="BH8" s="87">
        <f t="shared" si="37"/>
        <v>0</v>
      </c>
    </row>
    <row r="9" spans="1:60" s="64" customFormat="1" ht="17.850000000000001" customHeight="1" x14ac:dyDescent="0.3">
      <c r="A9" s="66"/>
      <c r="B9" s="88">
        <v>8</v>
      </c>
      <c r="C9" s="87">
        <f t="shared" si="0"/>
        <v>2</v>
      </c>
      <c r="D9" s="87">
        <f t="shared" si="0"/>
        <v>0</v>
      </c>
      <c r="E9" s="87">
        <f t="shared" si="0"/>
        <v>0</v>
      </c>
      <c r="F9" s="87">
        <f t="shared" si="0"/>
        <v>0</v>
      </c>
      <c r="G9" s="87">
        <f t="shared" si="0"/>
        <v>0</v>
      </c>
      <c r="H9" s="87">
        <f t="shared" si="0"/>
        <v>0</v>
      </c>
      <c r="I9" s="87">
        <f t="shared" si="0"/>
        <v>0</v>
      </c>
      <c r="J9" s="87">
        <f>SUMIFS(VOTOS1,CENTRO1,$B9,TURNO1,J$1)</f>
        <v>0</v>
      </c>
      <c r="K9" s="87">
        <f t="shared" si="0"/>
        <v>0</v>
      </c>
      <c r="L9" s="87">
        <f t="shared" si="0"/>
        <v>0</v>
      </c>
      <c r="M9" s="87">
        <f t="shared" si="0"/>
        <v>0</v>
      </c>
      <c r="N9" s="87">
        <f t="shared" si="1"/>
        <v>0</v>
      </c>
      <c r="O9" s="87">
        <f t="shared" si="1"/>
        <v>0</v>
      </c>
      <c r="P9" s="87">
        <f t="shared" si="1"/>
        <v>0</v>
      </c>
      <c r="Q9" s="87">
        <f t="shared" si="1"/>
        <v>0</v>
      </c>
      <c r="R9" s="87">
        <f t="shared" si="1"/>
        <v>0</v>
      </c>
      <c r="S9" s="87">
        <f t="shared" si="1"/>
        <v>0</v>
      </c>
      <c r="T9" s="87">
        <f t="shared" si="1"/>
        <v>0</v>
      </c>
      <c r="U9" s="65"/>
      <c r="V9" s="85">
        <v>49</v>
      </c>
      <c r="W9" s="87">
        <f t="shared" si="2"/>
        <v>2</v>
      </c>
      <c r="X9" s="87">
        <f t="shared" si="3"/>
        <v>0</v>
      </c>
      <c r="Y9" s="87">
        <f t="shared" si="4"/>
        <v>0</v>
      </c>
      <c r="Z9" s="87">
        <f t="shared" si="5"/>
        <v>0</v>
      </c>
      <c r="AA9" s="87">
        <f t="shared" si="6"/>
        <v>0</v>
      </c>
      <c r="AB9" s="87">
        <f t="shared" si="7"/>
        <v>0</v>
      </c>
      <c r="AC9" s="87">
        <f t="shared" si="8"/>
        <v>0</v>
      </c>
      <c r="AD9" s="87">
        <f t="shared" si="9"/>
        <v>0</v>
      </c>
      <c r="AE9" s="87">
        <f t="shared" si="10"/>
        <v>0</v>
      </c>
      <c r="AF9" s="87">
        <f t="shared" si="11"/>
        <v>0</v>
      </c>
      <c r="AG9" s="87">
        <f t="shared" si="12"/>
        <v>0</v>
      </c>
      <c r="AH9" s="87">
        <f t="shared" si="13"/>
        <v>0</v>
      </c>
      <c r="AI9" s="87">
        <f t="shared" si="14"/>
        <v>0</v>
      </c>
      <c r="AJ9" s="87">
        <f t="shared" si="15"/>
        <v>0</v>
      </c>
      <c r="AK9" s="87">
        <f t="shared" si="16"/>
        <v>0</v>
      </c>
      <c r="AL9" s="87">
        <f t="shared" si="17"/>
        <v>0</v>
      </c>
      <c r="AM9" s="87">
        <f t="shared" si="18"/>
        <v>0</v>
      </c>
      <c r="AN9" s="87">
        <f t="shared" si="19"/>
        <v>0</v>
      </c>
      <c r="AO9" s="65"/>
      <c r="AP9" s="88">
        <v>90</v>
      </c>
      <c r="AQ9" s="87">
        <f t="shared" si="20"/>
        <v>2</v>
      </c>
      <c r="AR9" s="87">
        <f t="shared" si="21"/>
        <v>0</v>
      </c>
      <c r="AS9" s="87">
        <f t="shared" si="22"/>
        <v>0</v>
      </c>
      <c r="AT9" s="87">
        <f t="shared" si="23"/>
        <v>0</v>
      </c>
      <c r="AU9" s="87">
        <f t="shared" si="24"/>
        <v>0</v>
      </c>
      <c r="AV9" s="87">
        <f t="shared" si="25"/>
        <v>0</v>
      </c>
      <c r="AW9" s="87">
        <f t="shared" si="26"/>
        <v>0</v>
      </c>
      <c r="AX9" s="87">
        <f t="shared" si="27"/>
        <v>0</v>
      </c>
      <c r="AY9" s="87">
        <f t="shared" si="28"/>
        <v>0</v>
      </c>
      <c r="AZ9" s="87">
        <f t="shared" si="29"/>
        <v>0</v>
      </c>
      <c r="BA9" s="87">
        <f t="shared" si="30"/>
        <v>0</v>
      </c>
      <c r="BB9" s="87">
        <f t="shared" si="31"/>
        <v>0</v>
      </c>
      <c r="BC9" s="87">
        <f t="shared" si="32"/>
        <v>0</v>
      </c>
      <c r="BD9" s="87">
        <f t="shared" si="33"/>
        <v>0</v>
      </c>
      <c r="BE9" s="87">
        <f t="shared" si="34"/>
        <v>0</v>
      </c>
      <c r="BF9" s="87">
        <f t="shared" si="35"/>
        <v>0</v>
      </c>
      <c r="BG9" s="87">
        <f t="shared" si="36"/>
        <v>0</v>
      </c>
      <c r="BH9" s="87">
        <f t="shared" si="37"/>
        <v>0</v>
      </c>
    </row>
    <row r="10" spans="1:60" s="64" customFormat="1" ht="17.850000000000001" customHeight="1" x14ac:dyDescent="0.3">
      <c r="A10" s="66"/>
      <c r="B10" s="85">
        <v>9</v>
      </c>
      <c r="C10" s="87">
        <f t="shared" si="0"/>
        <v>2</v>
      </c>
      <c r="D10" s="87">
        <f t="shared" si="0"/>
        <v>37</v>
      </c>
      <c r="E10" s="87">
        <f t="shared" si="0"/>
        <v>50</v>
      </c>
      <c r="F10" s="87">
        <f t="shared" si="0"/>
        <v>48</v>
      </c>
      <c r="G10" s="87">
        <f t="shared" si="0"/>
        <v>39</v>
      </c>
      <c r="H10" s="87">
        <f t="shared" si="0"/>
        <v>60</v>
      </c>
      <c r="I10" s="87">
        <f t="shared" si="0"/>
        <v>50</v>
      </c>
      <c r="J10" s="87">
        <f t="shared" si="0"/>
        <v>48</v>
      </c>
      <c r="K10" s="87">
        <f t="shared" si="0"/>
        <v>32</v>
      </c>
      <c r="L10" s="87">
        <f t="shared" si="0"/>
        <v>0</v>
      </c>
      <c r="M10" s="87">
        <f t="shared" si="0"/>
        <v>0</v>
      </c>
      <c r="N10" s="87">
        <f t="shared" si="1"/>
        <v>0</v>
      </c>
      <c r="O10" s="87">
        <f t="shared" si="1"/>
        <v>0</v>
      </c>
      <c r="P10" s="87">
        <f t="shared" si="1"/>
        <v>0</v>
      </c>
      <c r="Q10" s="87">
        <f t="shared" si="1"/>
        <v>0</v>
      </c>
      <c r="R10" s="87">
        <f t="shared" si="1"/>
        <v>0</v>
      </c>
      <c r="S10" s="87">
        <f t="shared" si="1"/>
        <v>0</v>
      </c>
      <c r="T10" s="87">
        <f t="shared" si="1"/>
        <v>0</v>
      </c>
      <c r="U10" s="65"/>
      <c r="V10" s="88">
        <v>50</v>
      </c>
      <c r="W10" s="87">
        <f t="shared" si="2"/>
        <v>2</v>
      </c>
      <c r="X10" s="87">
        <f t="shared" si="3"/>
        <v>0</v>
      </c>
      <c r="Y10" s="87">
        <f t="shared" si="4"/>
        <v>0</v>
      </c>
      <c r="Z10" s="87">
        <f t="shared" si="5"/>
        <v>0</v>
      </c>
      <c r="AA10" s="87">
        <f t="shared" si="6"/>
        <v>0</v>
      </c>
      <c r="AB10" s="87">
        <f t="shared" si="7"/>
        <v>0</v>
      </c>
      <c r="AC10" s="87">
        <f t="shared" si="8"/>
        <v>0</v>
      </c>
      <c r="AD10" s="87">
        <f t="shared" si="9"/>
        <v>0</v>
      </c>
      <c r="AE10" s="87">
        <f t="shared" si="10"/>
        <v>0</v>
      </c>
      <c r="AF10" s="87">
        <f t="shared" si="11"/>
        <v>0</v>
      </c>
      <c r="AG10" s="87">
        <f t="shared" si="12"/>
        <v>0</v>
      </c>
      <c r="AH10" s="87">
        <f t="shared" si="13"/>
        <v>0</v>
      </c>
      <c r="AI10" s="87">
        <f t="shared" si="14"/>
        <v>0</v>
      </c>
      <c r="AJ10" s="87">
        <f t="shared" si="15"/>
        <v>0</v>
      </c>
      <c r="AK10" s="87">
        <f t="shared" si="16"/>
        <v>0</v>
      </c>
      <c r="AL10" s="87">
        <f t="shared" si="17"/>
        <v>0</v>
      </c>
      <c r="AM10" s="87">
        <f t="shared" si="18"/>
        <v>0</v>
      </c>
      <c r="AN10" s="87">
        <f t="shared" si="19"/>
        <v>0</v>
      </c>
      <c r="AO10" s="65"/>
      <c r="AP10" s="85">
        <v>91</v>
      </c>
      <c r="AQ10" s="87">
        <f t="shared" si="20"/>
        <v>2</v>
      </c>
      <c r="AR10" s="87">
        <f t="shared" si="21"/>
        <v>0</v>
      </c>
      <c r="AS10" s="87">
        <f t="shared" si="22"/>
        <v>0</v>
      </c>
      <c r="AT10" s="87">
        <f t="shared" si="23"/>
        <v>0</v>
      </c>
      <c r="AU10" s="87">
        <f t="shared" si="24"/>
        <v>0</v>
      </c>
      <c r="AV10" s="87">
        <f t="shared" si="25"/>
        <v>0</v>
      </c>
      <c r="AW10" s="87">
        <f t="shared" si="26"/>
        <v>0</v>
      </c>
      <c r="AX10" s="87">
        <f t="shared" si="27"/>
        <v>0</v>
      </c>
      <c r="AY10" s="87">
        <f t="shared" si="28"/>
        <v>0</v>
      </c>
      <c r="AZ10" s="87">
        <f t="shared" si="29"/>
        <v>0</v>
      </c>
      <c r="BA10" s="87">
        <f t="shared" si="30"/>
        <v>0</v>
      </c>
      <c r="BB10" s="87">
        <f t="shared" si="31"/>
        <v>0</v>
      </c>
      <c r="BC10" s="87">
        <f t="shared" si="32"/>
        <v>0</v>
      </c>
      <c r="BD10" s="87">
        <f t="shared" si="33"/>
        <v>0</v>
      </c>
      <c r="BE10" s="87">
        <f t="shared" si="34"/>
        <v>0</v>
      </c>
      <c r="BF10" s="87">
        <f t="shared" si="35"/>
        <v>0</v>
      </c>
      <c r="BG10" s="87">
        <f t="shared" si="36"/>
        <v>0</v>
      </c>
      <c r="BH10" s="87">
        <f t="shared" si="37"/>
        <v>0</v>
      </c>
    </row>
    <row r="11" spans="1:60" s="64" customFormat="1" ht="17.850000000000001" customHeight="1" x14ac:dyDescent="0.3">
      <c r="A11" s="66"/>
      <c r="B11" s="88">
        <v>10</v>
      </c>
      <c r="C11" s="87">
        <f t="shared" si="0"/>
        <v>2</v>
      </c>
      <c r="D11" s="87">
        <f t="shared" si="0"/>
        <v>0</v>
      </c>
      <c r="E11" s="87">
        <f t="shared" si="0"/>
        <v>0</v>
      </c>
      <c r="F11" s="87">
        <f t="shared" si="0"/>
        <v>0</v>
      </c>
      <c r="G11" s="87">
        <f t="shared" si="0"/>
        <v>0</v>
      </c>
      <c r="H11" s="87">
        <f t="shared" si="0"/>
        <v>0</v>
      </c>
      <c r="I11" s="87">
        <f t="shared" si="0"/>
        <v>0</v>
      </c>
      <c r="J11" s="87">
        <f t="shared" si="0"/>
        <v>0</v>
      </c>
      <c r="K11" s="87">
        <f t="shared" si="0"/>
        <v>0</v>
      </c>
      <c r="L11" s="87">
        <f t="shared" si="0"/>
        <v>0</v>
      </c>
      <c r="M11" s="87">
        <f t="shared" si="0"/>
        <v>0</v>
      </c>
      <c r="N11" s="87">
        <f t="shared" si="1"/>
        <v>0</v>
      </c>
      <c r="O11" s="87">
        <f t="shared" si="1"/>
        <v>0</v>
      </c>
      <c r="P11" s="87">
        <f t="shared" si="1"/>
        <v>0</v>
      </c>
      <c r="Q11" s="87">
        <f t="shared" si="1"/>
        <v>0</v>
      </c>
      <c r="R11" s="87">
        <f t="shared" si="1"/>
        <v>0</v>
      </c>
      <c r="S11" s="87">
        <f t="shared" si="1"/>
        <v>0</v>
      </c>
      <c r="T11" s="87">
        <f t="shared" si="1"/>
        <v>0</v>
      </c>
      <c r="U11" s="65"/>
      <c r="V11" s="85">
        <v>51</v>
      </c>
      <c r="W11" s="87">
        <f t="shared" si="2"/>
        <v>2</v>
      </c>
      <c r="X11" s="87">
        <f t="shared" si="3"/>
        <v>0</v>
      </c>
      <c r="Y11" s="87">
        <f t="shared" si="4"/>
        <v>0</v>
      </c>
      <c r="Z11" s="87">
        <f t="shared" si="5"/>
        <v>0</v>
      </c>
      <c r="AA11" s="87">
        <f t="shared" si="6"/>
        <v>0</v>
      </c>
      <c r="AB11" s="87">
        <f t="shared" si="7"/>
        <v>0</v>
      </c>
      <c r="AC11" s="87">
        <f t="shared" si="8"/>
        <v>0</v>
      </c>
      <c r="AD11" s="87">
        <f t="shared" si="9"/>
        <v>0</v>
      </c>
      <c r="AE11" s="87">
        <f t="shared" si="10"/>
        <v>0</v>
      </c>
      <c r="AF11" s="87">
        <f t="shared" si="11"/>
        <v>0</v>
      </c>
      <c r="AG11" s="87">
        <f t="shared" si="12"/>
        <v>0</v>
      </c>
      <c r="AH11" s="87">
        <f t="shared" si="13"/>
        <v>0</v>
      </c>
      <c r="AI11" s="87">
        <f t="shared" si="14"/>
        <v>0</v>
      </c>
      <c r="AJ11" s="87">
        <f t="shared" si="15"/>
        <v>0</v>
      </c>
      <c r="AK11" s="87">
        <f t="shared" si="16"/>
        <v>0</v>
      </c>
      <c r="AL11" s="87">
        <f t="shared" si="17"/>
        <v>0</v>
      </c>
      <c r="AM11" s="87">
        <f t="shared" si="18"/>
        <v>0</v>
      </c>
      <c r="AN11" s="87">
        <f t="shared" si="19"/>
        <v>0</v>
      </c>
      <c r="AO11" s="65"/>
      <c r="AP11" s="88">
        <v>92</v>
      </c>
      <c r="AQ11" s="87">
        <f t="shared" si="20"/>
        <v>2</v>
      </c>
      <c r="AR11" s="87">
        <f t="shared" si="21"/>
        <v>0</v>
      </c>
      <c r="AS11" s="87">
        <f t="shared" si="22"/>
        <v>0</v>
      </c>
      <c r="AT11" s="87">
        <f t="shared" si="23"/>
        <v>0</v>
      </c>
      <c r="AU11" s="87">
        <f t="shared" si="24"/>
        <v>0</v>
      </c>
      <c r="AV11" s="87">
        <f t="shared" si="25"/>
        <v>0</v>
      </c>
      <c r="AW11" s="87">
        <f t="shared" si="26"/>
        <v>0</v>
      </c>
      <c r="AX11" s="87">
        <f t="shared" si="27"/>
        <v>0</v>
      </c>
      <c r="AY11" s="87">
        <f t="shared" si="28"/>
        <v>0</v>
      </c>
      <c r="AZ11" s="87">
        <f t="shared" si="29"/>
        <v>0</v>
      </c>
      <c r="BA11" s="87">
        <f t="shared" si="30"/>
        <v>0</v>
      </c>
      <c r="BB11" s="87">
        <f t="shared" si="31"/>
        <v>0</v>
      </c>
      <c r="BC11" s="87">
        <f t="shared" si="32"/>
        <v>0</v>
      </c>
      <c r="BD11" s="87">
        <f t="shared" si="33"/>
        <v>0</v>
      </c>
      <c r="BE11" s="87">
        <f t="shared" si="34"/>
        <v>0</v>
      </c>
      <c r="BF11" s="87">
        <f t="shared" si="35"/>
        <v>0</v>
      </c>
      <c r="BG11" s="87">
        <f t="shared" si="36"/>
        <v>0</v>
      </c>
      <c r="BH11" s="87">
        <f t="shared" si="37"/>
        <v>0</v>
      </c>
    </row>
    <row r="12" spans="1:60" s="64" customFormat="1" ht="17.850000000000001" customHeight="1" x14ac:dyDescent="0.3">
      <c r="A12" s="66"/>
      <c r="B12" s="85">
        <v>11</v>
      </c>
      <c r="C12" s="87">
        <f t="shared" si="0"/>
        <v>2</v>
      </c>
      <c r="D12" s="87">
        <f t="shared" si="0"/>
        <v>8</v>
      </c>
      <c r="E12" s="87">
        <f t="shared" si="0"/>
        <v>28</v>
      </c>
      <c r="F12" s="87">
        <f t="shared" si="0"/>
        <v>35</v>
      </c>
      <c r="G12" s="87">
        <f t="shared" si="0"/>
        <v>911</v>
      </c>
      <c r="H12" s="87">
        <f t="shared" si="0"/>
        <v>30</v>
      </c>
      <c r="I12" s="87">
        <f t="shared" si="0"/>
        <v>26</v>
      </c>
      <c r="J12" s="87">
        <f t="shared" si="0"/>
        <v>17</v>
      </c>
      <c r="K12" s="87">
        <f t="shared" si="0"/>
        <v>12</v>
      </c>
      <c r="L12" s="87">
        <f t="shared" si="0"/>
        <v>0</v>
      </c>
      <c r="M12" s="87">
        <f t="shared" si="0"/>
        <v>0</v>
      </c>
      <c r="N12" s="87">
        <f t="shared" si="1"/>
        <v>0</v>
      </c>
      <c r="O12" s="87">
        <f t="shared" si="1"/>
        <v>0</v>
      </c>
      <c r="P12" s="87">
        <f t="shared" si="1"/>
        <v>0</v>
      </c>
      <c r="Q12" s="87">
        <f t="shared" si="1"/>
        <v>0</v>
      </c>
      <c r="R12" s="87">
        <f t="shared" si="1"/>
        <v>0</v>
      </c>
      <c r="S12" s="87">
        <f t="shared" si="1"/>
        <v>0</v>
      </c>
      <c r="T12" s="87">
        <f t="shared" si="1"/>
        <v>0</v>
      </c>
      <c r="U12" s="65"/>
      <c r="V12" s="88">
        <v>52</v>
      </c>
      <c r="W12" s="87">
        <f t="shared" si="2"/>
        <v>2</v>
      </c>
      <c r="X12" s="87">
        <f t="shared" si="3"/>
        <v>0</v>
      </c>
      <c r="Y12" s="87">
        <f t="shared" si="4"/>
        <v>0</v>
      </c>
      <c r="Z12" s="87">
        <f t="shared" si="5"/>
        <v>0</v>
      </c>
      <c r="AA12" s="87">
        <f t="shared" si="6"/>
        <v>0</v>
      </c>
      <c r="AB12" s="87">
        <f t="shared" si="7"/>
        <v>0</v>
      </c>
      <c r="AC12" s="87">
        <f t="shared" si="8"/>
        <v>0</v>
      </c>
      <c r="AD12" s="87">
        <f t="shared" si="9"/>
        <v>0</v>
      </c>
      <c r="AE12" s="87">
        <f t="shared" si="10"/>
        <v>0</v>
      </c>
      <c r="AF12" s="87">
        <f t="shared" si="11"/>
        <v>0</v>
      </c>
      <c r="AG12" s="87">
        <f t="shared" si="12"/>
        <v>0</v>
      </c>
      <c r="AH12" s="87">
        <f t="shared" si="13"/>
        <v>0</v>
      </c>
      <c r="AI12" s="87">
        <f t="shared" si="14"/>
        <v>0</v>
      </c>
      <c r="AJ12" s="87">
        <f t="shared" si="15"/>
        <v>0</v>
      </c>
      <c r="AK12" s="87">
        <f t="shared" si="16"/>
        <v>0</v>
      </c>
      <c r="AL12" s="87">
        <f t="shared" si="17"/>
        <v>0</v>
      </c>
      <c r="AM12" s="87">
        <f t="shared" si="18"/>
        <v>0</v>
      </c>
      <c r="AN12" s="87">
        <f t="shared" si="19"/>
        <v>0</v>
      </c>
      <c r="AO12" s="65"/>
      <c r="AP12" s="85">
        <v>93</v>
      </c>
      <c r="AQ12" s="87">
        <f t="shared" si="20"/>
        <v>2</v>
      </c>
      <c r="AR12" s="87">
        <f t="shared" si="21"/>
        <v>0</v>
      </c>
      <c r="AS12" s="87">
        <f t="shared" si="22"/>
        <v>0</v>
      </c>
      <c r="AT12" s="87">
        <f t="shared" si="23"/>
        <v>0</v>
      </c>
      <c r="AU12" s="87">
        <f t="shared" si="24"/>
        <v>0</v>
      </c>
      <c r="AV12" s="87">
        <f t="shared" si="25"/>
        <v>0</v>
      </c>
      <c r="AW12" s="87">
        <f t="shared" si="26"/>
        <v>0</v>
      </c>
      <c r="AX12" s="87">
        <f t="shared" si="27"/>
        <v>0</v>
      </c>
      <c r="AY12" s="87">
        <f t="shared" si="28"/>
        <v>0</v>
      </c>
      <c r="AZ12" s="87">
        <f t="shared" si="29"/>
        <v>0</v>
      </c>
      <c r="BA12" s="87">
        <f t="shared" si="30"/>
        <v>0</v>
      </c>
      <c r="BB12" s="87">
        <f t="shared" si="31"/>
        <v>0</v>
      </c>
      <c r="BC12" s="87">
        <f t="shared" si="32"/>
        <v>0</v>
      </c>
      <c r="BD12" s="87">
        <f t="shared" si="33"/>
        <v>0</v>
      </c>
      <c r="BE12" s="87">
        <f t="shared" si="34"/>
        <v>0</v>
      </c>
      <c r="BF12" s="87">
        <f t="shared" si="35"/>
        <v>0</v>
      </c>
      <c r="BG12" s="87">
        <f t="shared" si="36"/>
        <v>0</v>
      </c>
      <c r="BH12" s="87">
        <f t="shared" si="37"/>
        <v>0</v>
      </c>
    </row>
    <row r="13" spans="1:60" s="64" customFormat="1" ht="17.850000000000001" customHeight="1" x14ac:dyDescent="0.3">
      <c r="A13" s="66"/>
      <c r="B13" s="88">
        <v>12</v>
      </c>
      <c r="C13" s="87">
        <f t="shared" si="0"/>
        <v>2</v>
      </c>
      <c r="D13" s="87">
        <f t="shared" si="0"/>
        <v>15</v>
      </c>
      <c r="E13" s="87">
        <f t="shared" si="0"/>
        <v>19</v>
      </c>
      <c r="F13" s="87">
        <f t="shared" si="0"/>
        <v>23</v>
      </c>
      <c r="G13" s="87">
        <f t="shared" si="0"/>
        <v>27</v>
      </c>
      <c r="H13" s="87">
        <f t="shared" si="0"/>
        <v>23</v>
      </c>
      <c r="I13" s="87">
        <f t="shared" si="0"/>
        <v>29</v>
      </c>
      <c r="J13" s="87">
        <f t="shared" si="0"/>
        <v>28</v>
      </c>
      <c r="K13" s="87">
        <f t="shared" si="0"/>
        <v>27</v>
      </c>
      <c r="L13" s="87">
        <f t="shared" si="0"/>
        <v>33</v>
      </c>
      <c r="M13" s="87">
        <f t="shared" si="0"/>
        <v>0</v>
      </c>
      <c r="N13" s="87">
        <f t="shared" si="1"/>
        <v>0</v>
      </c>
      <c r="O13" s="87">
        <f t="shared" si="1"/>
        <v>0</v>
      </c>
      <c r="P13" s="87">
        <f t="shared" si="1"/>
        <v>0</v>
      </c>
      <c r="Q13" s="87">
        <f t="shared" si="1"/>
        <v>0</v>
      </c>
      <c r="R13" s="87">
        <f t="shared" si="1"/>
        <v>0</v>
      </c>
      <c r="S13" s="87">
        <f t="shared" si="1"/>
        <v>0</v>
      </c>
      <c r="T13" s="87">
        <f t="shared" si="1"/>
        <v>0</v>
      </c>
      <c r="U13" s="65"/>
      <c r="V13" s="85">
        <v>53</v>
      </c>
      <c r="W13" s="87">
        <f t="shared" si="2"/>
        <v>2</v>
      </c>
      <c r="X13" s="87">
        <f t="shared" si="3"/>
        <v>35</v>
      </c>
      <c r="Y13" s="87">
        <f t="shared" si="4"/>
        <v>36</v>
      </c>
      <c r="Z13" s="87">
        <f t="shared" si="5"/>
        <v>36</v>
      </c>
      <c r="AA13" s="87">
        <f t="shared" si="6"/>
        <v>31</v>
      </c>
      <c r="AB13" s="87">
        <f t="shared" si="7"/>
        <v>32</v>
      </c>
      <c r="AC13" s="87">
        <f t="shared" si="8"/>
        <v>28</v>
      </c>
      <c r="AD13" s="87">
        <f t="shared" si="9"/>
        <v>19</v>
      </c>
      <c r="AE13" s="87">
        <f t="shared" si="10"/>
        <v>26</v>
      </c>
      <c r="AF13" s="87">
        <f t="shared" si="11"/>
        <v>19</v>
      </c>
      <c r="AG13" s="87">
        <f t="shared" si="12"/>
        <v>0</v>
      </c>
      <c r="AH13" s="87">
        <f t="shared" si="13"/>
        <v>0</v>
      </c>
      <c r="AI13" s="87">
        <f t="shared" si="14"/>
        <v>0</v>
      </c>
      <c r="AJ13" s="87">
        <f t="shared" si="15"/>
        <v>0</v>
      </c>
      <c r="AK13" s="87">
        <f t="shared" si="16"/>
        <v>0</v>
      </c>
      <c r="AL13" s="87">
        <f t="shared" si="17"/>
        <v>0</v>
      </c>
      <c r="AM13" s="87">
        <f t="shared" si="18"/>
        <v>0</v>
      </c>
      <c r="AN13" s="87">
        <f t="shared" si="19"/>
        <v>0</v>
      </c>
      <c r="AO13" s="65"/>
      <c r="AP13" s="88">
        <v>94</v>
      </c>
      <c r="AQ13" s="87">
        <f t="shared" si="20"/>
        <v>2</v>
      </c>
      <c r="AR13" s="87">
        <f t="shared" si="21"/>
        <v>0</v>
      </c>
      <c r="AS13" s="87">
        <f t="shared" si="22"/>
        <v>0</v>
      </c>
      <c r="AT13" s="87">
        <f t="shared" si="23"/>
        <v>0</v>
      </c>
      <c r="AU13" s="87">
        <f t="shared" si="24"/>
        <v>0</v>
      </c>
      <c r="AV13" s="87">
        <f t="shared" si="25"/>
        <v>0</v>
      </c>
      <c r="AW13" s="87">
        <f t="shared" si="26"/>
        <v>0</v>
      </c>
      <c r="AX13" s="87">
        <f t="shared" si="27"/>
        <v>0</v>
      </c>
      <c r="AY13" s="87">
        <f t="shared" si="28"/>
        <v>0</v>
      </c>
      <c r="AZ13" s="87">
        <f t="shared" si="29"/>
        <v>0</v>
      </c>
      <c r="BA13" s="87">
        <f t="shared" si="30"/>
        <v>0</v>
      </c>
      <c r="BB13" s="87">
        <f t="shared" si="31"/>
        <v>0</v>
      </c>
      <c r="BC13" s="87">
        <f t="shared" si="32"/>
        <v>0</v>
      </c>
      <c r="BD13" s="87">
        <f t="shared" si="33"/>
        <v>0</v>
      </c>
      <c r="BE13" s="87">
        <f t="shared" si="34"/>
        <v>0</v>
      </c>
      <c r="BF13" s="87">
        <f t="shared" si="35"/>
        <v>0</v>
      </c>
      <c r="BG13" s="87">
        <f t="shared" si="36"/>
        <v>0</v>
      </c>
      <c r="BH13" s="87">
        <f t="shared" si="37"/>
        <v>0</v>
      </c>
    </row>
    <row r="14" spans="1:60" s="64" customFormat="1" ht="17.850000000000001" customHeight="1" x14ac:dyDescent="0.3">
      <c r="A14" s="65"/>
      <c r="B14" s="85">
        <v>13</v>
      </c>
      <c r="C14" s="87">
        <f t="shared" si="0"/>
        <v>0</v>
      </c>
      <c r="D14" s="87">
        <f t="shared" si="0"/>
        <v>1006</v>
      </c>
      <c r="E14" s="87">
        <f t="shared" si="0"/>
        <v>1002</v>
      </c>
      <c r="F14" s="87">
        <f t="shared" si="0"/>
        <v>1000</v>
      </c>
      <c r="G14" s="87">
        <f t="shared" si="0"/>
        <v>1001</v>
      </c>
      <c r="H14" s="87">
        <f t="shared" si="0"/>
        <v>1001</v>
      </c>
      <c r="I14" s="87">
        <f t="shared" si="0"/>
        <v>999</v>
      </c>
      <c r="J14" s="87">
        <f t="shared" si="0"/>
        <v>31</v>
      </c>
      <c r="K14" s="87">
        <f t="shared" si="0"/>
        <v>32</v>
      </c>
      <c r="L14" s="87">
        <f t="shared" si="0"/>
        <v>0</v>
      </c>
      <c r="M14" s="87">
        <f t="shared" si="0"/>
        <v>0</v>
      </c>
      <c r="N14" s="87">
        <f t="shared" si="1"/>
        <v>0</v>
      </c>
      <c r="O14" s="87">
        <f t="shared" si="1"/>
        <v>0</v>
      </c>
      <c r="P14" s="87">
        <f t="shared" si="1"/>
        <v>0</v>
      </c>
      <c r="Q14" s="87">
        <f t="shared" si="1"/>
        <v>0</v>
      </c>
      <c r="R14" s="87">
        <f t="shared" si="1"/>
        <v>0</v>
      </c>
      <c r="S14" s="87">
        <f t="shared" si="1"/>
        <v>0</v>
      </c>
      <c r="T14" s="87">
        <f t="shared" si="1"/>
        <v>0</v>
      </c>
      <c r="U14" s="65"/>
      <c r="V14" s="88">
        <v>54</v>
      </c>
      <c r="W14" s="87">
        <f t="shared" si="2"/>
        <v>2</v>
      </c>
      <c r="X14" s="87">
        <f t="shared" si="3"/>
        <v>20</v>
      </c>
      <c r="Y14" s="87">
        <f t="shared" si="4"/>
        <v>21</v>
      </c>
      <c r="Z14" s="87">
        <f t="shared" si="5"/>
        <v>23</v>
      </c>
      <c r="AA14" s="87">
        <f t="shared" si="6"/>
        <v>33</v>
      </c>
      <c r="AB14" s="87">
        <f t="shared" si="7"/>
        <v>35</v>
      </c>
      <c r="AC14" s="87">
        <f t="shared" si="8"/>
        <v>33</v>
      </c>
      <c r="AD14" s="87">
        <f t="shared" si="9"/>
        <v>27</v>
      </c>
      <c r="AE14" s="87">
        <f t="shared" si="10"/>
        <v>116</v>
      </c>
      <c r="AF14" s="87">
        <f t="shared" si="11"/>
        <v>0</v>
      </c>
      <c r="AG14" s="87">
        <f t="shared" si="12"/>
        <v>0</v>
      </c>
      <c r="AH14" s="87">
        <f t="shared" si="13"/>
        <v>0</v>
      </c>
      <c r="AI14" s="87">
        <f t="shared" si="14"/>
        <v>0</v>
      </c>
      <c r="AJ14" s="87">
        <f t="shared" si="15"/>
        <v>0</v>
      </c>
      <c r="AK14" s="87">
        <f t="shared" si="16"/>
        <v>0</v>
      </c>
      <c r="AL14" s="87">
        <f t="shared" si="17"/>
        <v>0</v>
      </c>
      <c r="AM14" s="87">
        <f t="shared" si="18"/>
        <v>0</v>
      </c>
      <c r="AN14" s="87">
        <f t="shared" si="19"/>
        <v>0</v>
      </c>
      <c r="AO14" s="65"/>
      <c r="AP14" s="85">
        <v>95</v>
      </c>
      <c r="AQ14" s="87">
        <f t="shared" si="20"/>
        <v>2</v>
      </c>
      <c r="AR14" s="87">
        <f t="shared" si="21"/>
        <v>0</v>
      </c>
      <c r="AS14" s="87">
        <f t="shared" si="22"/>
        <v>0</v>
      </c>
      <c r="AT14" s="87">
        <f t="shared" si="23"/>
        <v>0</v>
      </c>
      <c r="AU14" s="87">
        <f t="shared" si="24"/>
        <v>0</v>
      </c>
      <c r="AV14" s="87">
        <f t="shared" si="25"/>
        <v>0</v>
      </c>
      <c r="AW14" s="87">
        <f t="shared" si="26"/>
        <v>0</v>
      </c>
      <c r="AX14" s="87">
        <f t="shared" si="27"/>
        <v>0</v>
      </c>
      <c r="AY14" s="87">
        <f t="shared" si="28"/>
        <v>0</v>
      </c>
      <c r="AZ14" s="87">
        <f t="shared" si="29"/>
        <v>0</v>
      </c>
      <c r="BA14" s="87">
        <f t="shared" si="30"/>
        <v>0</v>
      </c>
      <c r="BB14" s="87">
        <f t="shared" si="31"/>
        <v>0</v>
      </c>
      <c r="BC14" s="87">
        <f t="shared" si="32"/>
        <v>0</v>
      </c>
      <c r="BD14" s="87">
        <f t="shared" si="33"/>
        <v>0</v>
      </c>
      <c r="BE14" s="87">
        <f t="shared" si="34"/>
        <v>0</v>
      </c>
      <c r="BF14" s="87">
        <f t="shared" si="35"/>
        <v>0</v>
      </c>
      <c r="BG14" s="87">
        <f t="shared" si="36"/>
        <v>0</v>
      </c>
      <c r="BH14" s="87">
        <f t="shared" si="37"/>
        <v>0</v>
      </c>
    </row>
    <row r="15" spans="1:60" s="64" customFormat="1" ht="17.850000000000001" customHeight="1" x14ac:dyDescent="0.3">
      <c r="A15" s="65"/>
      <c r="B15" s="88">
        <v>14</v>
      </c>
      <c r="C15" s="87">
        <f t="shared" si="0"/>
        <v>996</v>
      </c>
      <c r="D15" s="87">
        <f t="shared" si="0"/>
        <v>1001</v>
      </c>
      <c r="E15" s="87">
        <f t="shared" si="0"/>
        <v>1006</v>
      </c>
      <c r="F15" s="87">
        <f t="shared" si="0"/>
        <v>996</v>
      </c>
      <c r="G15" s="87">
        <f t="shared" si="0"/>
        <v>996</v>
      </c>
      <c r="H15" s="87">
        <f t="shared" si="0"/>
        <v>998</v>
      </c>
      <c r="I15" s="87">
        <f t="shared" si="0"/>
        <v>20</v>
      </c>
      <c r="J15" s="87">
        <f>SUMIFS(VOTOS1,CENTRO1,$B15,TURNO1,J$1)</f>
        <v>34</v>
      </c>
      <c r="K15" s="87">
        <f t="shared" si="0"/>
        <v>0</v>
      </c>
      <c r="L15" s="87">
        <f t="shared" si="0"/>
        <v>0</v>
      </c>
      <c r="M15" s="87">
        <f t="shared" si="0"/>
        <v>0</v>
      </c>
      <c r="N15" s="87">
        <f t="shared" si="1"/>
        <v>0</v>
      </c>
      <c r="O15" s="87">
        <f t="shared" si="1"/>
        <v>0</v>
      </c>
      <c r="P15" s="87">
        <f t="shared" si="1"/>
        <v>0</v>
      </c>
      <c r="Q15" s="87">
        <f t="shared" si="1"/>
        <v>0</v>
      </c>
      <c r="R15" s="87">
        <f t="shared" si="1"/>
        <v>0</v>
      </c>
      <c r="S15" s="87">
        <f t="shared" si="1"/>
        <v>0</v>
      </c>
      <c r="T15" s="87">
        <f t="shared" si="1"/>
        <v>0</v>
      </c>
      <c r="U15" s="65"/>
      <c r="V15" s="85">
        <v>55</v>
      </c>
      <c r="W15" s="87">
        <f t="shared" si="2"/>
        <v>2</v>
      </c>
      <c r="X15" s="87">
        <f t="shared" si="3"/>
        <v>27</v>
      </c>
      <c r="Y15" s="87">
        <f t="shared" si="4"/>
        <v>25</v>
      </c>
      <c r="Z15" s="87">
        <f t="shared" si="5"/>
        <v>25</v>
      </c>
      <c r="AA15" s="87">
        <f t="shared" si="6"/>
        <v>25</v>
      </c>
      <c r="AB15" s="87">
        <f t="shared" si="7"/>
        <v>40</v>
      </c>
      <c r="AC15" s="87">
        <f t="shared" si="8"/>
        <v>22</v>
      </c>
      <c r="AD15" s="87">
        <f t="shared" si="9"/>
        <v>26</v>
      </c>
      <c r="AE15" s="87">
        <f t="shared" si="10"/>
        <v>23</v>
      </c>
      <c r="AF15" s="87">
        <f t="shared" si="11"/>
        <v>622</v>
      </c>
      <c r="AG15" s="87">
        <f t="shared" si="12"/>
        <v>0</v>
      </c>
      <c r="AH15" s="87">
        <f t="shared" si="13"/>
        <v>0</v>
      </c>
      <c r="AI15" s="87">
        <f t="shared" si="14"/>
        <v>0</v>
      </c>
      <c r="AJ15" s="87">
        <f t="shared" si="15"/>
        <v>0</v>
      </c>
      <c r="AK15" s="87">
        <f t="shared" si="16"/>
        <v>0</v>
      </c>
      <c r="AL15" s="87">
        <f t="shared" si="17"/>
        <v>0</v>
      </c>
      <c r="AM15" s="87">
        <f t="shared" si="18"/>
        <v>0</v>
      </c>
      <c r="AN15" s="87">
        <f t="shared" si="19"/>
        <v>0</v>
      </c>
      <c r="AO15" s="65"/>
      <c r="AP15" s="88">
        <v>96</v>
      </c>
      <c r="AQ15" s="87">
        <f t="shared" si="20"/>
        <v>2</v>
      </c>
      <c r="AR15" s="87">
        <f t="shared" si="21"/>
        <v>0</v>
      </c>
      <c r="AS15" s="87">
        <f t="shared" si="22"/>
        <v>0</v>
      </c>
      <c r="AT15" s="87">
        <f t="shared" si="23"/>
        <v>0</v>
      </c>
      <c r="AU15" s="87">
        <f t="shared" si="24"/>
        <v>0</v>
      </c>
      <c r="AV15" s="87">
        <f t="shared" si="25"/>
        <v>0</v>
      </c>
      <c r="AW15" s="87">
        <f t="shared" si="26"/>
        <v>0</v>
      </c>
      <c r="AX15" s="87">
        <f t="shared" si="27"/>
        <v>0</v>
      </c>
      <c r="AY15" s="87">
        <f t="shared" si="28"/>
        <v>0</v>
      </c>
      <c r="AZ15" s="87">
        <f t="shared" si="29"/>
        <v>0</v>
      </c>
      <c r="BA15" s="87">
        <f t="shared" si="30"/>
        <v>0</v>
      </c>
      <c r="BB15" s="87">
        <f t="shared" si="31"/>
        <v>0</v>
      </c>
      <c r="BC15" s="87">
        <f t="shared" si="32"/>
        <v>0</v>
      </c>
      <c r="BD15" s="87">
        <f t="shared" si="33"/>
        <v>0</v>
      </c>
      <c r="BE15" s="87">
        <f t="shared" si="34"/>
        <v>0</v>
      </c>
      <c r="BF15" s="87">
        <f t="shared" si="35"/>
        <v>0</v>
      </c>
      <c r="BG15" s="87">
        <f t="shared" si="36"/>
        <v>0</v>
      </c>
      <c r="BH15" s="87">
        <f t="shared" si="37"/>
        <v>0</v>
      </c>
    </row>
    <row r="16" spans="1:60" s="64" customFormat="1" ht="17.850000000000001" customHeight="1" x14ac:dyDescent="0.3">
      <c r="A16" s="65"/>
      <c r="B16" s="85">
        <v>15</v>
      </c>
      <c r="C16" s="87">
        <f t="shared" si="0"/>
        <v>2</v>
      </c>
      <c r="D16" s="87">
        <f t="shared" si="0"/>
        <v>30</v>
      </c>
      <c r="E16" s="87">
        <f t="shared" si="0"/>
        <v>45</v>
      </c>
      <c r="F16" s="87">
        <f t="shared" si="0"/>
        <v>47</v>
      </c>
      <c r="G16" s="87">
        <f t="shared" si="0"/>
        <v>48</v>
      </c>
      <c r="H16" s="87">
        <f t="shared" si="0"/>
        <v>41</v>
      </c>
      <c r="I16" s="87">
        <f t="shared" si="0"/>
        <v>34</v>
      </c>
      <c r="J16" s="87">
        <f t="shared" si="0"/>
        <v>22</v>
      </c>
      <c r="K16" s="87">
        <f t="shared" si="0"/>
        <v>14</v>
      </c>
      <c r="L16" s="87">
        <f t="shared" si="0"/>
        <v>0</v>
      </c>
      <c r="M16" s="87">
        <f t="shared" si="0"/>
        <v>0</v>
      </c>
      <c r="N16" s="87">
        <f t="shared" si="1"/>
        <v>0</v>
      </c>
      <c r="O16" s="87">
        <f t="shared" si="1"/>
        <v>0</v>
      </c>
      <c r="P16" s="87">
        <f t="shared" si="1"/>
        <v>0</v>
      </c>
      <c r="Q16" s="87">
        <f t="shared" si="1"/>
        <v>0</v>
      </c>
      <c r="R16" s="87">
        <f t="shared" si="1"/>
        <v>0</v>
      </c>
      <c r="S16" s="87">
        <f t="shared" si="1"/>
        <v>0</v>
      </c>
      <c r="T16" s="87">
        <f t="shared" si="1"/>
        <v>0</v>
      </c>
      <c r="U16" s="65"/>
      <c r="V16" s="88">
        <v>56</v>
      </c>
      <c r="W16" s="87">
        <f t="shared" si="2"/>
        <v>2</v>
      </c>
      <c r="X16" s="87">
        <f t="shared" si="3"/>
        <v>0</v>
      </c>
      <c r="Y16" s="87">
        <f t="shared" si="4"/>
        <v>0</v>
      </c>
      <c r="Z16" s="87">
        <f t="shared" si="5"/>
        <v>0</v>
      </c>
      <c r="AA16" s="87">
        <f t="shared" si="6"/>
        <v>0</v>
      </c>
      <c r="AB16" s="87">
        <f t="shared" si="7"/>
        <v>0</v>
      </c>
      <c r="AC16" s="87">
        <f t="shared" si="8"/>
        <v>0</v>
      </c>
      <c r="AD16" s="87">
        <f t="shared" si="9"/>
        <v>0</v>
      </c>
      <c r="AE16" s="87">
        <f t="shared" si="10"/>
        <v>0</v>
      </c>
      <c r="AF16" s="87">
        <f t="shared" si="11"/>
        <v>0</v>
      </c>
      <c r="AG16" s="87">
        <f t="shared" si="12"/>
        <v>0</v>
      </c>
      <c r="AH16" s="87">
        <f t="shared" si="13"/>
        <v>0</v>
      </c>
      <c r="AI16" s="87">
        <f t="shared" si="14"/>
        <v>0</v>
      </c>
      <c r="AJ16" s="87">
        <f t="shared" si="15"/>
        <v>0</v>
      </c>
      <c r="AK16" s="87">
        <f t="shared" si="16"/>
        <v>0</v>
      </c>
      <c r="AL16" s="87">
        <f t="shared" si="17"/>
        <v>0</v>
      </c>
      <c r="AM16" s="87">
        <f t="shared" si="18"/>
        <v>0</v>
      </c>
      <c r="AN16" s="87">
        <f t="shared" si="19"/>
        <v>0</v>
      </c>
      <c r="AO16" s="65"/>
      <c r="AP16" s="85">
        <v>97</v>
      </c>
      <c r="AQ16" s="87">
        <f t="shared" si="20"/>
        <v>2</v>
      </c>
      <c r="AR16" s="87">
        <f t="shared" si="21"/>
        <v>0</v>
      </c>
      <c r="AS16" s="87">
        <f t="shared" si="22"/>
        <v>0</v>
      </c>
      <c r="AT16" s="87">
        <f t="shared" si="23"/>
        <v>0</v>
      </c>
      <c r="AU16" s="87">
        <f t="shared" si="24"/>
        <v>0</v>
      </c>
      <c r="AV16" s="87">
        <f t="shared" si="25"/>
        <v>0</v>
      </c>
      <c r="AW16" s="87">
        <f t="shared" si="26"/>
        <v>0</v>
      </c>
      <c r="AX16" s="87">
        <f t="shared" si="27"/>
        <v>0</v>
      </c>
      <c r="AY16" s="87">
        <f t="shared" si="28"/>
        <v>0</v>
      </c>
      <c r="AZ16" s="87">
        <f t="shared" si="29"/>
        <v>0</v>
      </c>
      <c r="BA16" s="87">
        <f t="shared" si="30"/>
        <v>0</v>
      </c>
      <c r="BB16" s="87">
        <f t="shared" si="31"/>
        <v>0</v>
      </c>
      <c r="BC16" s="87">
        <f t="shared" si="32"/>
        <v>0</v>
      </c>
      <c r="BD16" s="87">
        <f t="shared" si="33"/>
        <v>0</v>
      </c>
      <c r="BE16" s="87">
        <f t="shared" si="34"/>
        <v>0</v>
      </c>
      <c r="BF16" s="87">
        <f t="shared" si="35"/>
        <v>0</v>
      </c>
      <c r="BG16" s="87">
        <f t="shared" si="36"/>
        <v>0</v>
      </c>
      <c r="BH16" s="87">
        <f t="shared" si="37"/>
        <v>0</v>
      </c>
    </row>
    <row r="17" spans="2:60" s="64" customFormat="1" ht="17.850000000000001" customHeight="1" x14ac:dyDescent="0.3">
      <c r="B17" s="88">
        <v>16</v>
      </c>
      <c r="C17" s="87">
        <f t="shared" si="0"/>
        <v>997</v>
      </c>
      <c r="D17" s="87">
        <f t="shared" si="0"/>
        <v>0</v>
      </c>
      <c r="E17" s="87">
        <f t="shared" si="0"/>
        <v>1019</v>
      </c>
      <c r="F17" s="87">
        <f t="shared" si="0"/>
        <v>998</v>
      </c>
      <c r="G17" s="87">
        <f t="shared" si="0"/>
        <v>997</v>
      </c>
      <c r="H17" s="87">
        <f t="shared" si="0"/>
        <v>501</v>
      </c>
      <c r="I17" s="87">
        <f t="shared" si="0"/>
        <v>41</v>
      </c>
      <c r="J17" s="87">
        <f t="shared" si="0"/>
        <v>44</v>
      </c>
      <c r="K17" s="87">
        <f t="shared" si="0"/>
        <v>20</v>
      </c>
      <c r="L17" s="87">
        <f t="shared" si="0"/>
        <v>12</v>
      </c>
      <c r="M17" s="87">
        <f t="shared" si="0"/>
        <v>0</v>
      </c>
      <c r="N17" s="87">
        <f t="shared" si="1"/>
        <v>0</v>
      </c>
      <c r="O17" s="87">
        <f t="shared" si="1"/>
        <v>0</v>
      </c>
      <c r="P17" s="87">
        <f t="shared" si="1"/>
        <v>0</v>
      </c>
      <c r="Q17" s="87">
        <f t="shared" si="1"/>
        <v>0</v>
      </c>
      <c r="R17" s="87">
        <f t="shared" si="1"/>
        <v>0</v>
      </c>
      <c r="S17" s="87">
        <f t="shared" si="1"/>
        <v>0</v>
      </c>
      <c r="T17" s="87">
        <f t="shared" si="1"/>
        <v>0</v>
      </c>
      <c r="U17" s="65"/>
      <c r="V17" s="85">
        <v>57</v>
      </c>
      <c r="W17" s="87">
        <f t="shared" si="2"/>
        <v>2</v>
      </c>
      <c r="X17" s="87">
        <f t="shared" si="3"/>
        <v>0</v>
      </c>
      <c r="Y17" s="87">
        <f t="shared" si="4"/>
        <v>0</v>
      </c>
      <c r="Z17" s="87">
        <f t="shared" si="5"/>
        <v>0</v>
      </c>
      <c r="AA17" s="87">
        <f t="shared" si="6"/>
        <v>0</v>
      </c>
      <c r="AB17" s="87">
        <f t="shared" si="7"/>
        <v>0</v>
      </c>
      <c r="AC17" s="87">
        <f t="shared" si="8"/>
        <v>0</v>
      </c>
      <c r="AD17" s="87">
        <f t="shared" si="9"/>
        <v>0</v>
      </c>
      <c r="AE17" s="87">
        <f t="shared" si="10"/>
        <v>0</v>
      </c>
      <c r="AF17" s="87">
        <f t="shared" si="11"/>
        <v>0</v>
      </c>
      <c r="AG17" s="87">
        <f t="shared" si="12"/>
        <v>0</v>
      </c>
      <c r="AH17" s="87">
        <f t="shared" si="13"/>
        <v>0</v>
      </c>
      <c r="AI17" s="87">
        <f t="shared" si="14"/>
        <v>0</v>
      </c>
      <c r="AJ17" s="87">
        <f t="shared" si="15"/>
        <v>0</v>
      </c>
      <c r="AK17" s="87">
        <f t="shared" si="16"/>
        <v>0</v>
      </c>
      <c r="AL17" s="87">
        <f t="shared" si="17"/>
        <v>0</v>
      </c>
      <c r="AM17" s="87">
        <f t="shared" si="18"/>
        <v>0</v>
      </c>
      <c r="AN17" s="87">
        <f t="shared" si="19"/>
        <v>0</v>
      </c>
      <c r="AO17" s="65"/>
      <c r="AP17" s="88">
        <v>98</v>
      </c>
      <c r="AQ17" s="87">
        <f t="shared" si="20"/>
        <v>2</v>
      </c>
      <c r="AR17" s="87">
        <f t="shared" si="21"/>
        <v>0</v>
      </c>
      <c r="AS17" s="87">
        <f t="shared" si="22"/>
        <v>0</v>
      </c>
      <c r="AT17" s="87">
        <f t="shared" si="23"/>
        <v>0</v>
      </c>
      <c r="AU17" s="87">
        <f t="shared" si="24"/>
        <v>0</v>
      </c>
      <c r="AV17" s="87">
        <f t="shared" si="25"/>
        <v>0</v>
      </c>
      <c r="AW17" s="87">
        <f t="shared" si="26"/>
        <v>0</v>
      </c>
      <c r="AX17" s="87">
        <f t="shared" si="27"/>
        <v>0</v>
      </c>
      <c r="AY17" s="87">
        <f t="shared" si="28"/>
        <v>0</v>
      </c>
      <c r="AZ17" s="87">
        <f t="shared" si="29"/>
        <v>0</v>
      </c>
      <c r="BA17" s="87">
        <f t="shared" si="30"/>
        <v>0</v>
      </c>
      <c r="BB17" s="87">
        <f t="shared" si="31"/>
        <v>0</v>
      </c>
      <c r="BC17" s="87">
        <f t="shared" si="32"/>
        <v>0</v>
      </c>
      <c r="BD17" s="87">
        <f t="shared" si="33"/>
        <v>0</v>
      </c>
      <c r="BE17" s="87">
        <f t="shared" si="34"/>
        <v>0</v>
      </c>
      <c r="BF17" s="87">
        <f t="shared" si="35"/>
        <v>0</v>
      </c>
      <c r="BG17" s="87">
        <f t="shared" si="36"/>
        <v>0</v>
      </c>
      <c r="BH17" s="87">
        <f t="shared" si="37"/>
        <v>0</v>
      </c>
    </row>
    <row r="18" spans="2:60" s="64" customFormat="1" ht="17.850000000000001" customHeight="1" x14ac:dyDescent="0.3">
      <c r="B18" s="85">
        <v>17</v>
      </c>
      <c r="C18" s="87">
        <f t="shared" ref="C18:C42" si="38">SUMIFS(VOTOS1,CENTRO1,$B18,TURNO1,C$1)</f>
        <v>997</v>
      </c>
      <c r="D18" s="87">
        <f t="shared" ref="D18:S42" si="39">SUMIFS(VOTOS1,CENTRO1,$B18,TURNO1,D$1)</f>
        <v>1000</v>
      </c>
      <c r="E18" s="87">
        <f t="shared" si="39"/>
        <v>1002</v>
      </c>
      <c r="F18" s="87">
        <f t="shared" si="39"/>
        <v>1004</v>
      </c>
      <c r="G18" s="87">
        <f t="shared" si="39"/>
        <v>1002</v>
      </c>
      <c r="H18" s="87">
        <f t="shared" si="39"/>
        <v>1003</v>
      </c>
      <c r="I18" s="87">
        <f t="shared" si="39"/>
        <v>1002</v>
      </c>
      <c r="J18" s="87">
        <f t="shared" si="39"/>
        <v>25</v>
      </c>
      <c r="K18" s="87">
        <f t="shared" si="39"/>
        <v>19</v>
      </c>
      <c r="L18" s="87">
        <f t="shared" si="39"/>
        <v>21</v>
      </c>
      <c r="M18" s="87">
        <f t="shared" si="39"/>
        <v>0</v>
      </c>
      <c r="N18" s="87">
        <f t="shared" si="39"/>
        <v>0</v>
      </c>
      <c r="O18" s="87">
        <f t="shared" si="39"/>
        <v>0</v>
      </c>
      <c r="P18" s="87">
        <f t="shared" si="39"/>
        <v>0</v>
      </c>
      <c r="Q18" s="87">
        <f t="shared" si="39"/>
        <v>0</v>
      </c>
      <c r="R18" s="87">
        <f t="shared" si="39"/>
        <v>0</v>
      </c>
      <c r="S18" s="87">
        <f t="shared" si="39"/>
        <v>0</v>
      </c>
      <c r="T18" s="87">
        <f t="shared" ref="N18:T42" si="40">SUMIFS(VOTOS1,CENTRO1,$B18,TURNO1,T$1)</f>
        <v>0</v>
      </c>
      <c r="U18" s="65"/>
      <c r="V18" s="88">
        <v>58</v>
      </c>
      <c r="W18" s="87">
        <f t="shared" si="2"/>
        <v>2</v>
      </c>
      <c r="X18" s="87">
        <f t="shared" si="3"/>
        <v>0</v>
      </c>
      <c r="Y18" s="87">
        <f t="shared" si="4"/>
        <v>0</v>
      </c>
      <c r="Z18" s="87">
        <f t="shared" si="5"/>
        <v>0</v>
      </c>
      <c r="AA18" s="87">
        <f t="shared" si="6"/>
        <v>0</v>
      </c>
      <c r="AB18" s="87">
        <f t="shared" si="7"/>
        <v>0</v>
      </c>
      <c r="AC18" s="87">
        <f t="shared" si="8"/>
        <v>0</v>
      </c>
      <c r="AD18" s="87">
        <f t="shared" si="9"/>
        <v>0</v>
      </c>
      <c r="AE18" s="87">
        <f t="shared" si="10"/>
        <v>0</v>
      </c>
      <c r="AF18" s="87">
        <f t="shared" si="11"/>
        <v>0</v>
      </c>
      <c r="AG18" s="87">
        <f t="shared" si="12"/>
        <v>0</v>
      </c>
      <c r="AH18" s="87">
        <f t="shared" si="13"/>
        <v>0</v>
      </c>
      <c r="AI18" s="87">
        <f t="shared" si="14"/>
        <v>0</v>
      </c>
      <c r="AJ18" s="87">
        <f t="shared" si="15"/>
        <v>0</v>
      </c>
      <c r="AK18" s="87">
        <f t="shared" si="16"/>
        <v>0</v>
      </c>
      <c r="AL18" s="87">
        <f t="shared" si="17"/>
        <v>0</v>
      </c>
      <c r="AM18" s="87">
        <f t="shared" si="18"/>
        <v>0</v>
      </c>
      <c r="AN18" s="87">
        <f t="shared" si="19"/>
        <v>0</v>
      </c>
      <c r="AO18" s="65"/>
      <c r="AP18" s="85">
        <v>99</v>
      </c>
      <c r="AQ18" s="87">
        <f t="shared" si="20"/>
        <v>2</v>
      </c>
      <c r="AR18" s="87">
        <f t="shared" si="21"/>
        <v>0</v>
      </c>
      <c r="AS18" s="87">
        <f t="shared" si="22"/>
        <v>0</v>
      </c>
      <c r="AT18" s="87">
        <f t="shared" si="23"/>
        <v>0</v>
      </c>
      <c r="AU18" s="87">
        <f t="shared" si="24"/>
        <v>0</v>
      </c>
      <c r="AV18" s="87">
        <f t="shared" si="25"/>
        <v>0</v>
      </c>
      <c r="AW18" s="87">
        <f t="shared" si="26"/>
        <v>0</v>
      </c>
      <c r="AX18" s="87">
        <f t="shared" si="27"/>
        <v>0</v>
      </c>
      <c r="AY18" s="87">
        <f t="shared" si="28"/>
        <v>0</v>
      </c>
      <c r="AZ18" s="87">
        <f t="shared" si="29"/>
        <v>0</v>
      </c>
      <c r="BA18" s="87">
        <f t="shared" si="30"/>
        <v>0</v>
      </c>
      <c r="BB18" s="87">
        <f t="shared" si="31"/>
        <v>0</v>
      </c>
      <c r="BC18" s="87">
        <f t="shared" si="32"/>
        <v>0</v>
      </c>
      <c r="BD18" s="87">
        <f t="shared" si="33"/>
        <v>0</v>
      </c>
      <c r="BE18" s="87">
        <f t="shared" si="34"/>
        <v>0</v>
      </c>
      <c r="BF18" s="87">
        <f t="shared" si="35"/>
        <v>0</v>
      </c>
      <c r="BG18" s="87">
        <f t="shared" si="36"/>
        <v>0</v>
      </c>
      <c r="BH18" s="87">
        <f t="shared" si="37"/>
        <v>0</v>
      </c>
    </row>
    <row r="19" spans="2:60" s="64" customFormat="1" ht="17.850000000000001" customHeight="1" x14ac:dyDescent="0.3">
      <c r="B19" s="88">
        <v>18</v>
      </c>
      <c r="C19" s="87">
        <f t="shared" si="38"/>
        <v>2</v>
      </c>
      <c r="D19" s="87">
        <f t="shared" si="39"/>
        <v>0</v>
      </c>
      <c r="E19" s="87">
        <f t="shared" si="39"/>
        <v>0</v>
      </c>
      <c r="F19" s="87">
        <f t="shared" si="39"/>
        <v>0</v>
      </c>
      <c r="G19" s="87">
        <f t="shared" si="39"/>
        <v>0</v>
      </c>
      <c r="H19" s="87">
        <f t="shared" si="39"/>
        <v>0</v>
      </c>
      <c r="I19" s="87">
        <f t="shared" si="39"/>
        <v>0</v>
      </c>
      <c r="J19" s="87">
        <f t="shared" si="39"/>
        <v>0</v>
      </c>
      <c r="K19" s="87">
        <f t="shared" si="39"/>
        <v>0</v>
      </c>
      <c r="L19" s="87">
        <f t="shared" si="39"/>
        <v>0</v>
      </c>
      <c r="M19" s="87">
        <f t="shared" si="39"/>
        <v>0</v>
      </c>
      <c r="N19" s="87">
        <f t="shared" si="40"/>
        <v>0</v>
      </c>
      <c r="O19" s="87">
        <f t="shared" si="40"/>
        <v>0</v>
      </c>
      <c r="P19" s="87">
        <f t="shared" si="40"/>
        <v>0</v>
      </c>
      <c r="Q19" s="87">
        <f t="shared" si="40"/>
        <v>0</v>
      </c>
      <c r="R19" s="87">
        <f t="shared" si="40"/>
        <v>0</v>
      </c>
      <c r="S19" s="87">
        <f t="shared" si="40"/>
        <v>0</v>
      </c>
      <c r="T19" s="87">
        <f t="shared" si="40"/>
        <v>0</v>
      </c>
      <c r="U19" s="65"/>
      <c r="V19" s="85">
        <v>59</v>
      </c>
      <c r="W19" s="87">
        <f t="shared" si="2"/>
        <v>2</v>
      </c>
      <c r="X19" s="87">
        <f t="shared" si="3"/>
        <v>0</v>
      </c>
      <c r="Y19" s="87">
        <f t="shared" si="4"/>
        <v>0</v>
      </c>
      <c r="Z19" s="87">
        <f t="shared" si="5"/>
        <v>0</v>
      </c>
      <c r="AA19" s="87">
        <f t="shared" si="6"/>
        <v>0</v>
      </c>
      <c r="AB19" s="87">
        <f t="shared" si="7"/>
        <v>0</v>
      </c>
      <c r="AC19" s="87">
        <f t="shared" si="8"/>
        <v>0</v>
      </c>
      <c r="AD19" s="87">
        <f t="shared" si="9"/>
        <v>0</v>
      </c>
      <c r="AE19" s="87">
        <f t="shared" si="10"/>
        <v>0</v>
      </c>
      <c r="AF19" s="87">
        <f t="shared" si="11"/>
        <v>0</v>
      </c>
      <c r="AG19" s="87">
        <f t="shared" si="12"/>
        <v>0</v>
      </c>
      <c r="AH19" s="87">
        <f t="shared" si="13"/>
        <v>0</v>
      </c>
      <c r="AI19" s="87">
        <f t="shared" si="14"/>
        <v>0</v>
      </c>
      <c r="AJ19" s="87">
        <f t="shared" si="15"/>
        <v>0</v>
      </c>
      <c r="AK19" s="87">
        <f t="shared" si="16"/>
        <v>0</v>
      </c>
      <c r="AL19" s="87">
        <f t="shared" si="17"/>
        <v>0</v>
      </c>
      <c r="AM19" s="87">
        <f t="shared" si="18"/>
        <v>0</v>
      </c>
      <c r="AN19" s="87">
        <f t="shared" si="19"/>
        <v>0</v>
      </c>
      <c r="AO19" s="65"/>
      <c r="AP19" s="88">
        <v>100</v>
      </c>
      <c r="AQ19" s="87">
        <f t="shared" si="20"/>
        <v>2</v>
      </c>
      <c r="AR19" s="87">
        <f t="shared" si="21"/>
        <v>0</v>
      </c>
      <c r="AS19" s="87">
        <f t="shared" si="22"/>
        <v>0</v>
      </c>
      <c r="AT19" s="87">
        <f t="shared" si="23"/>
        <v>0</v>
      </c>
      <c r="AU19" s="87">
        <f t="shared" si="24"/>
        <v>0</v>
      </c>
      <c r="AV19" s="87">
        <f t="shared" si="25"/>
        <v>0</v>
      </c>
      <c r="AW19" s="87">
        <f t="shared" si="26"/>
        <v>0</v>
      </c>
      <c r="AX19" s="87">
        <f t="shared" si="27"/>
        <v>0</v>
      </c>
      <c r="AY19" s="87">
        <f t="shared" si="28"/>
        <v>0</v>
      </c>
      <c r="AZ19" s="87">
        <f t="shared" si="29"/>
        <v>0</v>
      </c>
      <c r="BA19" s="87">
        <f t="shared" si="30"/>
        <v>0</v>
      </c>
      <c r="BB19" s="87">
        <f t="shared" si="31"/>
        <v>0</v>
      </c>
      <c r="BC19" s="87">
        <f t="shared" si="32"/>
        <v>0</v>
      </c>
      <c r="BD19" s="87">
        <f t="shared" si="33"/>
        <v>0</v>
      </c>
      <c r="BE19" s="87">
        <f t="shared" si="34"/>
        <v>0</v>
      </c>
      <c r="BF19" s="87">
        <f t="shared" si="35"/>
        <v>0</v>
      </c>
      <c r="BG19" s="87">
        <f t="shared" si="36"/>
        <v>0</v>
      </c>
      <c r="BH19" s="87">
        <f t="shared" si="37"/>
        <v>0</v>
      </c>
    </row>
    <row r="20" spans="2:60" s="64" customFormat="1" ht="17.850000000000001" customHeight="1" x14ac:dyDescent="0.3">
      <c r="B20" s="85">
        <v>19</v>
      </c>
      <c r="C20" s="87">
        <f t="shared" si="38"/>
        <v>997</v>
      </c>
      <c r="D20" s="87">
        <f t="shared" si="39"/>
        <v>559</v>
      </c>
      <c r="E20" s="87">
        <f t="shared" si="39"/>
        <v>1000</v>
      </c>
      <c r="F20" s="87">
        <f t="shared" si="39"/>
        <v>998</v>
      </c>
      <c r="G20" s="87">
        <f t="shared" si="39"/>
        <v>998</v>
      </c>
      <c r="H20" s="87">
        <f t="shared" si="39"/>
        <v>999</v>
      </c>
      <c r="I20" s="87">
        <f t="shared" si="39"/>
        <v>32</v>
      </c>
      <c r="J20" s="87">
        <f t="shared" si="39"/>
        <v>15</v>
      </c>
      <c r="K20" s="87">
        <f t="shared" si="39"/>
        <v>0</v>
      </c>
      <c r="L20" s="87">
        <f t="shared" si="39"/>
        <v>0</v>
      </c>
      <c r="M20" s="87">
        <f t="shared" si="39"/>
        <v>0</v>
      </c>
      <c r="N20" s="87">
        <f t="shared" si="40"/>
        <v>0</v>
      </c>
      <c r="O20" s="87">
        <f t="shared" si="40"/>
        <v>0</v>
      </c>
      <c r="P20" s="87">
        <f t="shared" si="40"/>
        <v>0</v>
      </c>
      <c r="Q20" s="87">
        <f t="shared" si="40"/>
        <v>0</v>
      </c>
      <c r="R20" s="87">
        <f t="shared" si="40"/>
        <v>0</v>
      </c>
      <c r="S20" s="87">
        <f t="shared" si="40"/>
        <v>0</v>
      </c>
      <c r="T20" s="87">
        <f t="shared" si="40"/>
        <v>0</v>
      </c>
      <c r="U20" s="65"/>
      <c r="V20" s="88">
        <v>60</v>
      </c>
      <c r="W20" s="87">
        <f t="shared" si="2"/>
        <v>2</v>
      </c>
      <c r="X20" s="87">
        <f t="shared" si="3"/>
        <v>0</v>
      </c>
      <c r="Y20" s="87">
        <f t="shared" si="4"/>
        <v>0</v>
      </c>
      <c r="Z20" s="87">
        <f t="shared" si="5"/>
        <v>0</v>
      </c>
      <c r="AA20" s="87">
        <f t="shared" si="6"/>
        <v>0</v>
      </c>
      <c r="AB20" s="87">
        <f t="shared" si="7"/>
        <v>0</v>
      </c>
      <c r="AC20" s="87">
        <f t="shared" si="8"/>
        <v>0</v>
      </c>
      <c r="AD20" s="87">
        <f t="shared" si="9"/>
        <v>0</v>
      </c>
      <c r="AE20" s="87">
        <f t="shared" si="10"/>
        <v>0</v>
      </c>
      <c r="AF20" s="87">
        <f t="shared" si="11"/>
        <v>0</v>
      </c>
      <c r="AG20" s="87">
        <f t="shared" si="12"/>
        <v>0</v>
      </c>
      <c r="AH20" s="87">
        <f t="shared" si="13"/>
        <v>0</v>
      </c>
      <c r="AI20" s="87">
        <f t="shared" si="14"/>
        <v>0</v>
      </c>
      <c r="AJ20" s="87">
        <f t="shared" si="15"/>
        <v>0</v>
      </c>
      <c r="AK20" s="87">
        <f t="shared" si="16"/>
        <v>0</v>
      </c>
      <c r="AL20" s="87">
        <f t="shared" si="17"/>
        <v>0</v>
      </c>
      <c r="AM20" s="87">
        <f t="shared" si="18"/>
        <v>0</v>
      </c>
      <c r="AN20" s="87">
        <f t="shared" si="19"/>
        <v>0</v>
      </c>
      <c r="AO20" s="65"/>
      <c r="AP20" s="85">
        <v>101</v>
      </c>
      <c r="AQ20" s="87">
        <f t="shared" si="20"/>
        <v>2</v>
      </c>
      <c r="AR20" s="87">
        <f t="shared" si="21"/>
        <v>0</v>
      </c>
      <c r="AS20" s="87">
        <f t="shared" si="22"/>
        <v>0</v>
      </c>
      <c r="AT20" s="87">
        <f t="shared" si="23"/>
        <v>0</v>
      </c>
      <c r="AU20" s="87">
        <f t="shared" si="24"/>
        <v>0</v>
      </c>
      <c r="AV20" s="87">
        <f t="shared" si="25"/>
        <v>0</v>
      </c>
      <c r="AW20" s="87">
        <f t="shared" si="26"/>
        <v>0</v>
      </c>
      <c r="AX20" s="87">
        <f t="shared" si="27"/>
        <v>0</v>
      </c>
      <c r="AY20" s="87">
        <f t="shared" si="28"/>
        <v>0</v>
      </c>
      <c r="AZ20" s="87">
        <f t="shared" si="29"/>
        <v>0</v>
      </c>
      <c r="BA20" s="87">
        <f t="shared" si="30"/>
        <v>0</v>
      </c>
      <c r="BB20" s="87">
        <f t="shared" si="31"/>
        <v>0</v>
      </c>
      <c r="BC20" s="87">
        <f t="shared" si="32"/>
        <v>0</v>
      </c>
      <c r="BD20" s="87">
        <f t="shared" si="33"/>
        <v>0</v>
      </c>
      <c r="BE20" s="87">
        <f t="shared" si="34"/>
        <v>0</v>
      </c>
      <c r="BF20" s="87">
        <f t="shared" si="35"/>
        <v>0</v>
      </c>
      <c r="BG20" s="87">
        <f t="shared" si="36"/>
        <v>0</v>
      </c>
      <c r="BH20" s="87">
        <f t="shared" si="37"/>
        <v>0</v>
      </c>
    </row>
    <row r="21" spans="2:60" s="64" customFormat="1" ht="17.850000000000001" customHeight="1" x14ac:dyDescent="0.3">
      <c r="B21" s="88">
        <v>20</v>
      </c>
      <c r="C21" s="87">
        <f t="shared" si="38"/>
        <v>2</v>
      </c>
      <c r="D21" s="87">
        <f t="shared" si="39"/>
        <v>44</v>
      </c>
      <c r="E21" s="87">
        <f t="shared" si="39"/>
        <v>44</v>
      </c>
      <c r="F21" s="87">
        <f t="shared" si="39"/>
        <v>50</v>
      </c>
      <c r="G21" s="87">
        <f t="shared" si="39"/>
        <v>46</v>
      </c>
      <c r="H21" s="87">
        <f t="shared" si="39"/>
        <v>36</v>
      </c>
      <c r="I21" s="87">
        <f t="shared" si="39"/>
        <v>0</v>
      </c>
      <c r="J21" s="87">
        <f t="shared" si="39"/>
        <v>29</v>
      </c>
      <c r="K21" s="87">
        <f t="shared" si="39"/>
        <v>0</v>
      </c>
      <c r="L21" s="87">
        <f t="shared" si="39"/>
        <v>0</v>
      </c>
      <c r="M21" s="87">
        <f t="shared" si="39"/>
        <v>0</v>
      </c>
      <c r="N21" s="87">
        <f t="shared" si="40"/>
        <v>0</v>
      </c>
      <c r="O21" s="87">
        <f t="shared" si="40"/>
        <v>0</v>
      </c>
      <c r="P21" s="87">
        <f t="shared" si="40"/>
        <v>0</v>
      </c>
      <c r="Q21" s="87">
        <f t="shared" si="40"/>
        <v>0</v>
      </c>
      <c r="R21" s="87">
        <f t="shared" si="40"/>
        <v>0</v>
      </c>
      <c r="S21" s="87">
        <f t="shared" si="40"/>
        <v>0</v>
      </c>
      <c r="T21" s="87">
        <f t="shared" si="40"/>
        <v>0</v>
      </c>
      <c r="U21" s="65"/>
      <c r="V21" s="85">
        <v>61</v>
      </c>
      <c r="W21" s="87">
        <f t="shared" si="2"/>
        <v>2</v>
      </c>
      <c r="X21" s="87">
        <f t="shared" si="3"/>
        <v>0</v>
      </c>
      <c r="Y21" s="87">
        <f t="shared" si="4"/>
        <v>0</v>
      </c>
      <c r="Z21" s="87">
        <f t="shared" si="5"/>
        <v>0</v>
      </c>
      <c r="AA21" s="87">
        <f t="shared" si="6"/>
        <v>0</v>
      </c>
      <c r="AB21" s="87">
        <f t="shared" si="7"/>
        <v>0</v>
      </c>
      <c r="AC21" s="87">
        <f t="shared" si="8"/>
        <v>0</v>
      </c>
      <c r="AD21" s="87">
        <f t="shared" si="9"/>
        <v>0</v>
      </c>
      <c r="AE21" s="87">
        <f t="shared" si="10"/>
        <v>0</v>
      </c>
      <c r="AF21" s="87">
        <f t="shared" si="11"/>
        <v>0</v>
      </c>
      <c r="AG21" s="87">
        <f t="shared" si="12"/>
        <v>0</v>
      </c>
      <c r="AH21" s="87">
        <f t="shared" si="13"/>
        <v>0</v>
      </c>
      <c r="AI21" s="87">
        <f t="shared" si="14"/>
        <v>0</v>
      </c>
      <c r="AJ21" s="87">
        <f t="shared" si="15"/>
        <v>0</v>
      </c>
      <c r="AK21" s="87">
        <f t="shared" si="16"/>
        <v>0</v>
      </c>
      <c r="AL21" s="87">
        <f t="shared" si="17"/>
        <v>0</v>
      </c>
      <c r="AM21" s="87">
        <f t="shared" si="18"/>
        <v>0</v>
      </c>
      <c r="AN21" s="87">
        <f t="shared" si="19"/>
        <v>0</v>
      </c>
      <c r="AO21" s="65"/>
      <c r="AP21" s="88">
        <v>102</v>
      </c>
      <c r="AQ21" s="87">
        <f t="shared" si="20"/>
        <v>2</v>
      </c>
      <c r="AR21" s="87">
        <f t="shared" si="21"/>
        <v>0</v>
      </c>
      <c r="AS21" s="87">
        <f t="shared" si="22"/>
        <v>0</v>
      </c>
      <c r="AT21" s="87">
        <f t="shared" si="23"/>
        <v>0</v>
      </c>
      <c r="AU21" s="87">
        <f t="shared" si="24"/>
        <v>0</v>
      </c>
      <c r="AV21" s="87">
        <f t="shared" si="25"/>
        <v>0</v>
      </c>
      <c r="AW21" s="87">
        <f t="shared" si="26"/>
        <v>0</v>
      </c>
      <c r="AX21" s="87">
        <f t="shared" si="27"/>
        <v>0</v>
      </c>
      <c r="AY21" s="87">
        <f t="shared" si="28"/>
        <v>0</v>
      </c>
      <c r="AZ21" s="87">
        <f t="shared" si="29"/>
        <v>0</v>
      </c>
      <c r="BA21" s="87">
        <f t="shared" si="30"/>
        <v>0</v>
      </c>
      <c r="BB21" s="87">
        <f t="shared" si="31"/>
        <v>0</v>
      </c>
      <c r="BC21" s="87">
        <f t="shared" si="32"/>
        <v>0</v>
      </c>
      <c r="BD21" s="87">
        <f t="shared" si="33"/>
        <v>0</v>
      </c>
      <c r="BE21" s="87">
        <f t="shared" si="34"/>
        <v>0</v>
      </c>
      <c r="BF21" s="87">
        <f t="shared" si="35"/>
        <v>0</v>
      </c>
      <c r="BG21" s="87">
        <f t="shared" si="36"/>
        <v>0</v>
      </c>
      <c r="BH21" s="87">
        <f t="shared" si="37"/>
        <v>0</v>
      </c>
    </row>
    <row r="22" spans="2:60" s="64" customFormat="1" ht="17.850000000000001" customHeight="1" x14ac:dyDescent="0.3">
      <c r="B22" s="85">
        <v>21</v>
      </c>
      <c r="C22" s="87">
        <f t="shared" si="38"/>
        <v>2</v>
      </c>
      <c r="D22" s="87">
        <f t="shared" si="39"/>
        <v>0</v>
      </c>
      <c r="E22" s="87">
        <f t="shared" si="39"/>
        <v>0</v>
      </c>
      <c r="F22" s="87">
        <f t="shared" si="39"/>
        <v>0</v>
      </c>
      <c r="G22" s="87">
        <f t="shared" si="39"/>
        <v>0</v>
      </c>
      <c r="H22" s="87">
        <f t="shared" si="39"/>
        <v>0</v>
      </c>
      <c r="I22" s="87">
        <f t="shared" si="39"/>
        <v>0</v>
      </c>
      <c r="J22" s="87">
        <f t="shared" si="39"/>
        <v>0</v>
      </c>
      <c r="K22" s="87">
        <f t="shared" si="39"/>
        <v>0</v>
      </c>
      <c r="L22" s="87">
        <f t="shared" si="39"/>
        <v>0</v>
      </c>
      <c r="M22" s="87">
        <f t="shared" si="39"/>
        <v>0</v>
      </c>
      <c r="N22" s="87">
        <f t="shared" si="40"/>
        <v>0</v>
      </c>
      <c r="O22" s="87">
        <f t="shared" si="40"/>
        <v>0</v>
      </c>
      <c r="P22" s="87">
        <f t="shared" si="40"/>
        <v>0</v>
      </c>
      <c r="Q22" s="87">
        <f t="shared" si="40"/>
        <v>0</v>
      </c>
      <c r="R22" s="87">
        <f t="shared" si="40"/>
        <v>0</v>
      </c>
      <c r="S22" s="87">
        <f t="shared" si="40"/>
        <v>0</v>
      </c>
      <c r="T22" s="87">
        <f t="shared" si="40"/>
        <v>0</v>
      </c>
      <c r="U22" s="65"/>
      <c r="V22" s="88">
        <v>62</v>
      </c>
      <c r="W22" s="87">
        <f t="shared" si="2"/>
        <v>2</v>
      </c>
      <c r="X22" s="87">
        <f t="shared" si="3"/>
        <v>0</v>
      </c>
      <c r="Y22" s="87">
        <f t="shared" si="4"/>
        <v>0</v>
      </c>
      <c r="Z22" s="87">
        <f t="shared" si="5"/>
        <v>0</v>
      </c>
      <c r="AA22" s="87">
        <f t="shared" si="6"/>
        <v>0</v>
      </c>
      <c r="AB22" s="87">
        <f t="shared" si="7"/>
        <v>0</v>
      </c>
      <c r="AC22" s="87">
        <f t="shared" si="8"/>
        <v>0</v>
      </c>
      <c r="AD22" s="87">
        <f t="shared" si="9"/>
        <v>0</v>
      </c>
      <c r="AE22" s="87">
        <f t="shared" si="10"/>
        <v>0</v>
      </c>
      <c r="AF22" s="87">
        <f t="shared" si="11"/>
        <v>0</v>
      </c>
      <c r="AG22" s="87">
        <f t="shared" si="12"/>
        <v>0</v>
      </c>
      <c r="AH22" s="87">
        <f t="shared" si="13"/>
        <v>0</v>
      </c>
      <c r="AI22" s="87">
        <f t="shared" si="14"/>
        <v>0</v>
      </c>
      <c r="AJ22" s="87">
        <f t="shared" si="15"/>
        <v>0</v>
      </c>
      <c r="AK22" s="87">
        <f t="shared" si="16"/>
        <v>0</v>
      </c>
      <c r="AL22" s="87">
        <f t="shared" si="17"/>
        <v>0</v>
      </c>
      <c r="AM22" s="87">
        <f t="shared" si="18"/>
        <v>0</v>
      </c>
      <c r="AN22" s="87">
        <f t="shared" si="19"/>
        <v>0</v>
      </c>
      <c r="AO22" s="65"/>
      <c r="AP22" s="85">
        <v>103</v>
      </c>
      <c r="AQ22" s="87">
        <f t="shared" si="20"/>
        <v>2</v>
      </c>
      <c r="AR22" s="87">
        <f t="shared" si="21"/>
        <v>0</v>
      </c>
      <c r="AS22" s="87">
        <f t="shared" si="22"/>
        <v>0</v>
      </c>
      <c r="AT22" s="87">
        <f t="shared" si="23"/>
        <v>0</v>
      </c>
      <c r="AU22" s="87">
        <f t="shared" si="24"/>
        <v>0</v>
      </c>
      <c r="AV22" s="87">
        <f t="shared" si="25"/>
        <v>0</v>
      </c>
      <c r="AW22" s="87">
        <f t="shared" si="26"/>
        <v>0</v>
      </c>
      <c r="AX22" s="87">
        <f t="shared" si="27"/>
        <v>0</v>
      </c>
      <c r="AY22" s="87">
        <f t="shared" si="28"/>
        <v>0</v>
      </c>
      <c r="AZ22" s="87">
        <f t="shared" si="29"/>
        <v>0</v>
      </c>
      <c r="BA22" s="87">
        <f t="shared" si="30"/>
        <v>0</v>
      </c>
      <c r="BB22" s="87">
        <f t="shared" si="31"/>
        <v>0</v>
      </c>
      <c r="BC22" s="87">
        <f t="shared" si="32"/>
        <v>0</v>
      </c>
      <c r="BD22" s="87">
        <f t="shared" si="33"/>
        <v>0</v>
      </c>
      <c r="BE22" s="87">
        <f t="shared" si="34"/>
        <v>0</v>
      </c>
      <c r="BF22" s="87">
        <f t="shared" si="35"/>
        <v>0</v>
      </c>
      <c r="BG22" s="87">
        <f t="shared" si="36"/>
        <v>0</v>
      </c>
      <c r="BH22" s="87">
        <f t="shared" si="37"/>
        <v>0</v>
      </c>
    </row>
    <row r="23" spans="2:60" s="64" customFormat="1" ht="17.850000000000001" customHeight="1" x14ac:dyDescent="0.3">
      <c r="B23" s="88">
        <v>22</v>
      </c>
      <c r="C23" s="87">
        <f t="shared" si="38"/>
        <v>997</v>
      </c>
      <c r="D23" s="87">
        <f t="shared" si="39"/>
        <v>0</v>
      </c>
      <c r="E23" s="87">
        <f t="shared" si="39"/>
        <v>0</v>
      </c>
      <c r="F23" s="87">
        <f t="shared" si="39"/>
        <v>0</v>
      </c>
      <c r="G23" s="87">
        <f t="shared" si="39"/>
        <v>0</v>
      </c>
      <c r="H23" s="87">
        <f t="shared" si="39"/>
        <v>0</v>
      </c>
      <c r="I23" s="87">
        <f t="shared" si="39"/>
        <v>0</v>
      </c>
      <c r="J23" s="87">
        <f t="shared" si="39"/>
        <v>0</v>
      </c>
      <c r="K23" s="87">
        <f t="shared" si="39"/>
        <v>0</v>
      </c>
      <c r="L23" s="87">
        <f t="shared" si="39"/>
        <v>0</v>
      </c>
      <c r="M23" s="87">
        <f t="shared" si="39"/>
        <v>0</v>
      </c>
      <c r="N23" s="87">
        <f t="shared" si="40"/>
        <v>0</v>
      </c>
      <c r="O23" s="87">
        <f t="shared" si="40"/>
        <v>0</v>
      </c>
      <c r="P23" s="87">
        <f t="shared" si="40"/>
        <v>0</v>
      </c>
      <c r="Q23" s="87">
        <f t="shared" si="40"/>
        <v>0</v>
      </c>
      <c r="R23" s="87">
        <f t="shared" si="40"/>
        <v>0</v>
      </c>
      <c r="S23" s="87">
        <f t="shared" si="40"/>
        <v>0</v>
      </c>
      <c r="T23" s="87">
        <f t="shared" si="40"/>
        <v>0</v>
      </c>
      <c r="U23" s="65"/>
      <c r="V23" s="85">
        <v>63</v>
      </c>
      <c r="W23" s="87">
        <f t="shared" si="2"/>
        <v>2</v>
      </c>
      <c r="X23" s="87">
        <f t="shared" si="3"/>
        <v>0</v>
      </c>
      <c r="Y23" s="87">
        <f t="shared" si="4"/>
        <v>0</v>
      </c>
      <c r="Z23" s="87">
        <f t="shared" si="5"/>
        <v>0</v>
      </c>
      <c r="AA23" s="87">
        <f t="shared" si="6"/>
        <v>0</v>
      </c>
      <c r="AB23" s="87">
        <f t="shared" si="7"/>
        <v>0</v>
      </c>
      <c r="AC23" s="87">
        <f t="shared" si="8"/>
        <v>0</v>
      </c>
      <c r="AD23" s="87">
        <f t="shared" si="9"/>
        <v>0</v>
      </c>
      <c r="AE23" s="87">
        <f t="shared" si="10"/>
        <v>0</v>
      </c>
      <c r="AF23" s="87">
        <f t="shared" si="11"/>
        <v>0</v>
      </c>
      <c r="AG23" s="87">
        <f t="shared" si="12"/>
        <v>0</v>
      </c>
      <c r="AH23" s="87">
        <f t="shared" si="13"/>
        <v>0</v>
      </c>
      <c r="AI23" s="87">
        <f t="shared" si="14"/>
        <v>0</v>
      </c>
      <c r="AJ23" s="87">
        <f t="shared" si="15"/>
        <v>0</v>
      </c>
      <c r="AK23" s="87">
        <f t="shared" si="16"/>
        <v>0</v>
      </c>
      <c r="AL23" s="87">
        <f t="shared" si="17"/>
        <v>0</v>
      </c>
      <c r="AM23" s="87">
        <f t="shared" si="18"/>
        <v>0</v>
      </c>
      <c r="AN23" s="87">
        <f t="shared" si="19"/>
        <v>0</v>
      </c>
      <c r="AO23" s="65"/>
      <c r="AP23" s="88">
        <v>104</v>
      </c>
      <c r="AQ23" s="87">
        <f t="shared" si="20"/>
        <v>2</v>
      </c>
      <c r="AR23" s="87">
        <f t="shared" si="21"/>
        <v>0</v>
      </c>
      <c r="AS23" s="87">
        <f t="shared" si="22"/>
        <v>0</v>
      </c>
      <c r="AT23" s="87">
        <f t="shared" si="23"/>
        <v>0</v>
      </c>
      <c r="AU23" s="87">
        <f t="shared" si="24"/>
        <v>0</v>
      </c>
      <c r="AV23" s="87">
        <f t="shared" si="25"/>
        <v>0</v>
      </c>
      <c r="AW23" s="87">
        <f t="shared" si="26"/>
        <v>0</v>
      </c>
      <c r="AX23" s="87">
        <f t="shared" si="27"/>
        <v>0</v>
      </c>
      <c r="AY23" s="87">
        <f t="shared" si="28"/>
        <v>0</v>
      </c>
      <c r="AZ23" s="87">
        <f t="shared" si="29"/>
        <v>0</v>
      </c>
      <c r="BA23" s="87">
        <f t="shared" si="30"/>
        <v>0</v>
      </c>
      <c r="BB23" s="87">
        <f t="shared" si="31"/>
        <v>0</v>
      </c>
      <c r="BC23" s="87">
        <f t="shared" si="32"/>
        <v>0</v>
      </c>
      <c r="BD23" s="87">
        <f t="shared" si="33"/>
        <v>0</v>
      </c>
      <c r="BE23" s="87">
        <f t="shared" si="34"/>
        <v>0</v>
      </c>
      <c r="BF23" s="87">
        <f t="shared" si="35"/>
        <v>0</v>
      </c>
      <c r="BG23" s="87">
        <f t="shared" si="36"/>
        <v>0</v>
      </c>
      <c r="BH23" s="87">
        <f t="shared" si="37"/>
        <v>0</v>
      </c>
    </row>
    <row r="24" spans="2:60" s="64" customFormat="1" ht="17.850000000000001" customHeight="1" x14ac:dyDescent="0.3">
      <c r="B24" s="85">
        <v>23</v>
      </c>
      <c r="C24" s="87">
        <f t="shared" si="38"/>
        <v>2</v>
      </c>
      <c r="D24" s="87">
        <f t="shared" si="39"/>
        <v>0</v>
      </c>
      <c r="E24" s="87">
        <f t="shared" si="39"/>
        <v>0</v>
      </c>
      <c r="F24" s="87">
        <f t="shared" si="39"/>
        <v>0</v>
      </c>
      <c r="G24" s="87">
        <f t="shared" si="39"/>
        <v>0</v>
      </c>
      <c r="H24" s="87">
        <f t="shared" si="39"/>
        <v>0</v>
      </c>
      <c r="I24" s="87">
        <f t="shared" si="39"/>
        <v>0</v>
      </c>
      <c r="J24" s="87">
        <f t="shared" si="39"/>
        <v>0</v>
      </c>
      <c r="K24" s="87">
        <f t="shared" si="39"/>
        <v>0</v>
      </c>
      <c r="L24" s="87">
        <f t="shared" si="39"/>
        <v>0</v>
      </c>
      <c r="M24" s="87">
        <f t="shared" si="39"/>
        <v>0</v>
      </c>
      <c r="N24" s="87">
        <f t="shared" si="40"/>
        <v>0</v>
      </c>
      <c r="O24" s="87">
        <f t="shared" si="40"/>
        <v>0</v>
      </c>
      <c r="P24" s="87">
        <f t="shared" si="40"/>
        <v>0</v>
      </c>
      <c r="Q24" s="87">
        <f t="shared" si="40"/>
        <v>0</v>
      </c>
      <c r="R24" s="87">
        <f t="shared" si="40"/>
        <v>0</v>
      </c>
      <c r="S24" s="87">
        <f t="shared" si="40"/>
        <v>0</v>
      </c>
      <c r="T24" s="87">
        <f t="shared" si="40"/>
        <v>0</v>
      </c>
      <c r="U24" s="65"/>
      <c r="V24" s="88">
        <v>64</v>
      </c>
      <c r="W24" s="87">
        <f t="shared" si="2"/>
        <v>2</v>
      </c>
      <c r="X24" s="87">
        <f t="shared" si="3"/>
        <v>0</v>
      </c>
      <c r="Y24" s="87">
        <f t="shared" si="4"/>
        <v>0</v>
      </c>
      <c r="Z24" s="87">
        <f t="shared" si="5"/>
        <v>0</v>
      </c>
      <c r="AA24" s="87">
        <f t="shared" si="6"/>
        <v>0</v>
      </c>
      <c r="AB24" s="87">
        <f t="shared" si="7"/>
        <v>0</v>
      </c>
      <c r="AC24" s="87">
        <f t="shared" si="8"/>
        <v>0</v>
      </c>
      <c r="AD24" s="87">
        <f t="shared" si="9"/>
        <v>0</v>
      </c>
      <c r="AE24" s="87">
        <f t="shared" si="10"/>
        <v>0</v>
      </c>
      <c r="AF24" s="87">
        <f t="shared" si="11"/>
        <v>0</v>
      </c>
      <c r="AG24" s="87">
        <f t="shared" si="12"/>
        <v>0</v>
      </c>
      <c r="AH24" s="87">
        <f t="shared" si="13"/>
        <v>0</v>
      </c>
      <c r="AI24" s="87">
        <f t="shared" si="14"/>
        <v>0</v>
      </c>
      <c r="AJ24" s="87">
        <f t="shared" si="15"/>
        <v>0</v>
      </c>
      <c r="AK24" s="87">
        <f t="shared" si="16"/>
        <v>0</v>
      </c>
      <c r="AL24" s="87">
        <f t="shared" si="17"/>
        <v>0</v>
      </c>
      <c r="AM24" s="87">
        <f t="shared" si="18"/>
        <v>0</v>
      </c>
      <c r="AN24" s="87">
        <f t="shared" si="19"/>
        <v>0</v>
      </c>
      <c r="AO24" s="65"/>
      <c r="AP24" s="85">
        <v>105</v>
      </c>
      <c r="AQ24" s="87">
        <f t="shared" si="20"/>
        <v>2</v>
      </c>
      <c r="AR24" s="87">
        <f t="shared" si="21"/>
        <v>0</v>
      </c>
      <c r="AS24" s="87">
        <f t="shared" si="22"/>
        <v>0</v>
      </c>
      <c r="AT24" s="87">
        <f t="shared" si="23"/>
        <v>0</v>
      </c>
      <c r="AU24" s="87">
        <f t="shared" si="24"/>
        <v>0</v>
      </c>
      <c r="AV24" s="87">
        <f t="shared" si="25"/>
        <v>0</v>
      </c>
      <c r="AW24" s="87">
        <f t="shared" si="26"/>
        <v>0</v>
      </c>
      <c r="AX24" s="87">
        <f t="shared" si="27"/>
        <v>0</v>
      </c>
      <c r="AY24" s="87">
        <f t="shared" si="28"/>
        <v>0</v>
      </c>
      <c r="AZ24" s="87">
        <f t="shared" si="29"/>
        <v>0</v>
      </c>
      <c r="BA24" s="87">
        <f t="shared" si="30"/>
        <v>0</v>
      </c>
      <c r="BB24" s="87">
        <f t="shared" si="31"/>
        <v>0</v>
      </c>
      <c r="BC24" s="87">
        <f t="shared" si="32"/>
        <v>0</v>
      </c>
      <c r="BD24" s="87">
        <f t="shared" si="33"/>
        <v>0</v>
      </c>
      <c r="BE24" s="87">
        <f t="shared" si="34"/>
        <v>0</v>
      </c>
      <c r="BF24" s="87">
        <f t="shared" si="35"/>
        <v>0</v>
      </c>
      <c r="BG24" s="87">
        <f t="shared" si="36"/>
        <v>0</v>
      </c>
      <c r="BH24" s="87">
        <f t="shared" si="37"/>
        <v>0</v>
      </c>
    </row>
    <row r="25" spans="2:60" s="64" customFormat="1" ht="17.850000000000001" customHeight="1" x14ac:dyDescent="0.3">
      <c r="B25" s="88">
        <v>24</v>
      </c>
      <c r="C25" s="87">
        <f t="shared" si="38"/>
        <v>2</v>
      </c>
      <c r="D25" s="87">
        <f t="shared" si="39"/>
        <v>0</v>
      </c>
      <c r="E25" s="87">
        <f t="shared" si="39"/>
        <v>0</v>
      </c>
      <c r="F25" s="87">
        <f t="shared" si="39"/>
        <v>0</v>
      </c>
      <c r="G25" s="87">
        <f t="shared" si="39"/>
        <v>0</v>
      </c>
      <c r="H25" s="87">
        <f t="shared" si="39"/>
        <v>0</v>
      </c>
      <c r="I25" s="87">
        <f t="shared" si="39"/>
        <v>0</v>
      </c>
      <c r="J25" s="87">
        <f t="shared" si="39"/>
        <v>0</v>
      </c>
      <c r="K25" s="87">
        <f t="shared" si="39"/>
        <v>0</v>
      </c>
      <c r="L25" s="87">
        <f t="shared" si="39"/>
        <v>0</v>
      </c>
      <c r="M25" s="87">
        <f t="shared" si="39"/>
        <v>0</v>
      </c>
      <c r="N25" s="87">
        <f t="shared" si="40"/>
        <v>0</v>
      </c>
      <c r="O25" s="87">
        <f t="shared" si="40"/>
        <v>0</v>
      </c>
      <c r="P25" s="87">
        <f t="shared" si="40"/>
        <v>0</v>
      </c>
      <c r="Q25" s="87">
        <f t="shared" si="40"/>
        <v>0</v>
      </c>
      <c r="R25" s="87">
        <f t="shared" si="40"/>
        <v>0</v>
      </c>
      <c r="S25" s="87">
        <f t="shared" si="40"/>
        <v>0</v>
      </c>
      <c r="T25" s="87">
        <f t="shared" si="40"/>
        <v>0</v>
      </c>
      <c r="U25" s="65"/>
      <c r="V25" s="85">
        <v>65</v>
      </c>
      <c r="W25" s="87">
        <f t="shared" si="2"/>
        <v>2</v>
      </c>
      <c r="X25" s="87">
        <f t="shared" si="3"/>
        <v>9</v>
      </c>
      <c r="Y25" s="87">
        <f t="shared" si="4"/>
        <v>18</v>
      </c>
      <c r="Z25" s="87">
        <f t="shared" si="5"/>
        <v>17</v>
      </c>
      <c r="AA25" s="87">
        <f t="shared" si="6"/>
        <v>25</v>
      </c>
      <c r="AB25" s="87">
        <f t="shared" si="7"/>
        <v>25</v>
      </c>
      <c r="AC25" s="87">
        <f t="shared" si="8"/>
        <v>21</v>
      </c>
      <c r="AD25" s="87">
        <f t="shared" si="9"/>
        <v>30</v>
      </c>
      <c r="AE25" s="87">
        <f t="shared" si="10"/>
        <v>11</v>
      </c>
      <c r="AF25" s="87">
        <f t="shared" si="11"/>
        <v>2</v>
      </c>
      <c r="AG25" s="87">
        <f t="shared" si="12"/>
        <v>0</v>
      </c>
      <c r="AH25" s="87">
        <f t="shared" si="13"/>
        <v>0</v>
      </c>
      <c r="AI25" s="87">
        <f t="shared" si="14"/>
        <v>0</v>
      </c>
      <c r="AJ25" s="87">
        <f t="shared" si="15"/>
        <v>0</v>
      </c>
      <c r="AK25" s="87">
        <f t="shared" si="16"/>
        <v>0</v>
      </c>
      <c r="AL25" s="87">
        <f t="shared" si="17"/>
        <v>0</v>
      </c>
      <c r="AM25" s="87">
        <f t="shared" si="18"/>
        <v>0</v>
      </c>
      <c r="AN25" s="87">
        <f t="shared" si="19"/>
        <v>0</v>
      </c>
      <c r="AO25" s="65"/>
      <c r="AP25" s="88">
        <v>106</v>
      </c>
      <c r="AQ25" s="87">
        <f t="shared" si="20"/>
        <v>2</v>
      </c>
      <c r="AR25" s="87">
        <f t="shared" si="21"/>
        <v>0</v>
      </c>
      <c r="AS25" s="87">
        <f t="shared" si="22"/>
        <v>0</v>
      </c>
      <c r="AT25" s="87">
        <f t="shared" si="23"/>
        <v>0</v>
      </c>
      <c r="AU25" s="87">
        <f t="shared" si="24"/>
        <v>0</v>
      </c>
      <c r="AV25" s="87">
        <f t="shared" si="25"/>
        <v>0</v>
      </c>
      <c r="AW25" s="87">
        <f t="shared" si="26"/>
        <v>0</v>
      </c>
      <c r="AX25" s="87">
        <f t="shared" si="27"/>
        <v>0</v>
      </c>
      <c r="AY25" s="87">
        <f t="shared" si="28"/>
        <v>0</v>
      </c>
      <c r="AZ25" s="87">
        <f t="shared" si="29"/>
        <v>0</v>
      </c>
      <c r="BA25" s="87">
        <f t="shared" si="30"/>
        <v>0</v>
      </c>
      <c r="BB25" s="87">
        <f t="shared" si="31"/>
        <v>0</v>
      </c>
      <c r="BC25" s="87">
        <f t="shared" si="32"/>
        <v>0</v>
      </c>
      <c r="BD25" s="87">
        <f t="shared" si="33"/>
        <v>0</v>
      </c>
      <c r="BE25" s="87">
        <f t="shared" si="34"/>
        <v>0</v>
      </c>
      <c r="BF25" s="87">
        <f t="shared" si="35"/>
        <v>0</v>
      </c>
      <c r="BG25" s="87">
        <f t="shared" si="36"/>
        <v>0</v>
      </c>
      <c r="BH25" s="87">
        <f t="shared" si="37"/>
        <v>0</v>
      </c>
    </row>
    <row r="26" spans="2:60" s="64" customFormat="1" ht="17.850000000000001" customHeight="1" x14ac:dyDescent="0.3">
      <c r="B26" s="85">
        <v>25</v>
      </c>
      <c r="C26" s="87">
        <f t="shared" si="38"/>
        <v>2</v>
      </c>
      <c r="D26" s="87">
        <f t="shared" si="39"/>
        <v>0</v>
      </c>
      <c r="E26" s="87">
        <f t="shared" si="39"/>
        <v>0</v>
      </c>
      <c r="F26" s="87">
        <f t="shared" si="39"/>
        <v>0</v>
      </c>
      <c r="G26" s="87">
        <f t="shared" si="39"/>
        <v>0</v>
      </c>
      <c r="H26" s="87">
        <f t="shared" si="39"/>
        <v>0</v>
      </c>
      <c r="I26" s="87">
        <f t="shared" si="39"/>
        <v>0</v>
      </c>
      <c r="J26" s="87">
        <f t="shared" si="39"/>
        <v>0</v>
      </c>
      <c r="K26" s="87">
        <f t="shared" si="39"/>
        <v>0</v>
      </c>
      <c r="L26" s="87">
        <f t="shared" si="39"/>
        <v>0</v>
      </c>
      <c r="M26" s="87">
        <f t="shared" si="39"/>
        <v>0</v>
      </c>
      <c r="N26" s="87">
        <f t="shared" si="40"/>
        <v>0</v>
      </c>
      <c r="O26" s="87">
        <f t="shared" si="40"/>
        <v>0</v>
      </c>
      <c r="P26" s="87">
        <f t="shared" si="40"/>
        <v>0</v>
      </c>
      <c r="Q26" s="87">
        <f t="shared" si="40"/>
        <v>0</v>
      </c>
      <c r="R26" s="87">
        <f t="shared" si="40"/>
        <v>0</v>
      </c>
      <c r="S26" s="87">
        <f t="shared" si="40"/>
        <v>0</v>
      </c>
      <c r="T26" s="87">
        <f t="shared" si="40"/>
        <v>0</v>
      </c>
      <c r="U26" s="65"/>
      <c r="V26" s="88">
        <v>66</v>
      </c>
      <c r="W26" s="87">
        <f t="shared" si="2"/>
        <v>2</v>
      </c>
      <c r="X26" s="87">
        <f t="shared" si="3"/>
        <v>0</v>
      </c>
      <c r="Y26" s="87">
        <f t="shared" si="4"/>
        <v>0</v>
      </c>
      <c r="Z26" s="87">
        <f t="shared" si="5"/>
        <v>0</v>
      </c>
      <c r="AA26" s="87">
        <f t="shared" si="6"/>
        <v>0</v>
      </c>
      <c r="AB26" s="87">
        <f t="shared" si="7"/>
        <v>0</v>
      </c>
      <c r="AC26" s="87">
        <f t="shared" si="8"/>
        <v>0</v>
      </c>
      <c r="AD26" s="87">
        <f t="shared" si="9"/>
        <v>0</v>
      </c>
      <c r="AE26" s="87">
        <f t="shared" si="10"/>
        <v>0</v>
      </c>
      <c r="AF26" s="87">
        <f t="shared" si="11"/>
        <v>0</v>
      </c>
      <c r="AG26" s="87">
        <f t="shared" si="12"/>
        <v>0</v>
      </c>
      <c r="AH26" s="87">
        <f t="shared" si="13"/>
        <v>0</v>
      </c>
      <c r="AI26" s="87">
        <f t="shared" si="14"/>
        <v>0</v>
      </c>
      <c r="AJ26" s="87">
        <f t="shared" si="15"/>
        <v>0</v>
      </c>
      <c r="AK26" s="87">
        <f t="shared" si="16"/>
        <v>0</v>
      </c>
      <c r="AL26" s="87">
        <f t="shared" si="17"/>
        <v>0</v>
      </c>
      <c r="AM26" s="87">
        <f t="shared" si="18"/>
        <v>0</v>
      </c>
      <c r="AN26" s="87">
        <f t="shared" si="19"/>
        <v>0</v>
      </c>
      <c r="AO26" s="65"/>
      <c r="AP26" s="85">
        <v>107</v>
      </c>
      <c r="AQ26" s="87">
        <f t="shared" si="20"/>
        <v>2</v>
      </c>
      <c r="AR26" s="87">
        <f t="shared" si="21"/>
        <v>0</v>
      </c>
      <c r="AS26" s="87">
        <f t="shared" si="22"/>
        <v>0</v>
      </c>
      <c r="AT26" s="87">
        <f t="shared" si="23"/>
        <v>0</v>
      </c>
      <c r="AU26" s="87">
        <f t="shared" si="24"/>
        <v>0</v>
      </c>
      <c r="AV26" s="87">
        <f t="shared" si="25"/>
        <v>0</v>
      </c>
      <c r="AW26" s="87">
        <f t="shared" si="26"/>
        <v>0</v>
      </c>
      <c r="AX26" s="87">
        <f t="shared" si="27"/>
        <v>0</v>
      </c>
      <c r="AY26" s="87">
        <f t="shared" si="28"/>
        <v>0</v>
      </c>
      <c r="AZ26" s="87">
        <f t="shared" si="29"/>
        <v>0</v>
      </c>
      <c r="BA26" s="87">
        <f t="shared" si="30"/>
        <v>0</v>
      </c>
      <c r="BB26" s="87">
        <f t="shared" si="31"/>
        <v>0</v>
      </c>
      <c r="BC26" s="87">
        <f t="shared" si="32"/>
        <v>0</v>
      </c>
      <c r="BD26" s="87">
        <f t="shared" si="33"/>
        <v>0</v>
      </c>
      <c r="BE26" s="87">
        <f t="shared" si="34"/>
        <v>0</v>
      </c>
      <c r="BF26" s="87">
        <f t="shared" si="35"/>
        <v>0</v>
      </c>
      <c r="BG26" s="87">
        <f t="shared" si="36"/>
        <v>0</v>
      </c>
      <c r="BH26" s="87">
        <f t="shared" si="37"/>
        <v>0</v>
      </c>
    </row>
    <row r="27" spans="2:60" s="64" customFormat="1" ht="17.850000000000001" customHeight="1" x14ac:dyDescent="0.3">
      <c r="B27" s="88">
        <v>26</v>
      </c>
      <c r="C27" s="87">
        <f t="shared" si="38"/>
        <v>996</v>
      </c>
      <c r="D27" s="87">
        <f t="shared" si="39"/>
        <v>0</v>
      </c>
      <c r="E27" s="87">
        <f t="shared" si="39"/>
        <v>0</v>
      </c>
      <c r="F27" s="87">
        <f t="shared" si="39"/>
        <v>0</v>
      </c>
      <c r="G27" s="87">
        <f t="shared" si="39"/>
        <v>0</v>
      </c>
      <c r="H27" s="87">
        <f t="shared" si="39"/>
        <v>0</v>
      </c>
      <c r="I27" s="87">
        <f t="shared" si="39"/>
        <v>0</v>
      </c>
      <c r="J27" s="87">
        <f t="shared" si="39"/>
        <v>0</v>
      </c>
      <c r="K27" s="87">
        <f t="shared" si="39"/>
        <v>0</v>
      </c>
      <c r="L27" s="87">
        <f t="shared" si="39"/>
        <v>0</v>
      </c>
      <c r="M27" s="87">
        <f t="shared" si="39"/>
        <v>0</v>
      </c>
      <c r="N27" s="87">
        <f t="shared" si="40"/>
        <v>0</v>
      </c>
      <c r="O27" s="87">
        <f t="shared" si="40"/>
        <v>0</v>
      </c>
      <c r="P27" s="87">
        <f t="shared" si="40"/>
        <v>0</v>
      </c>
      <c r="Q27" s="87">
        <f t="shared" si="40"/>
        <v>0</v>
      </c>
      <c r="R27" s="87">
        <f t="shared" si="40"/>
        <v>0</v>
      </c>
      <c r="S27" s="87">
        <f t="shared" si="40"/>
        <v>0</v>
      </c>
      <c r="T27" s="87">
        <f t="shared" si="40"/>
        <v>0</v>
      </c>
      <c r="U27" s="65"/>
      <c r="V27" s="85">
        <v>67</v>
      </c>
      <c r="W27" s="87">
        <f t="shared" si="2"/>
        <v>2</v>
      </c>
      <c r="X27" s="87">
        <f t="shared" si="3"/>
        <v>0</v>
      </c>
      <c r="Y27" s="87">
        <f t="shared" si="4"/>
        <v>0</v>
      </c>
      <c r="Z27" s="87">
        <f t="shared" si="5"/>
        <v>0</v>
      </c>
      <c r="AA27" s="87">
        <f t="shared" si="6"/>
        <v>0</v>
      </c>
      <c r="AB27" s="87">
        <f t="shared" si="7"/>
        <v>0</v>
      </c>
      <c r="AC27" s="87">
        <f t="shared" si="8"/>
        <v>0</v>
      </c>
      <c r="AD27" s="87">
        <f t="shared" si="9"/>
        <v>0</v>
      </c>
      <c r="AE27" s="87">
        <f t="shared" si="10"/>
        <v>0</v>
      </c>
      <c r="AF27" s="87">
        <f t="shared" si="11"/>
        <v>0</v>
      </c>
      <c r="AG27" s="87">
        <f t="shared" si="12"/>
        <v>0</v>
      </c>
      <c r="AH27" s="87">
        <f t="shared" si="13"/>
        <v>0</v>
      </c>
      <c r="AI27" s="87">
        <f t="shared" si="14"/>
        <v>0</v>
      </c>
      <c r="AJ27" s="87">
        <f t="shared" si="15"/>
        <v>0</v>
      </c>
      <c r="AK27" s="87">
        <f t="shared" si="16"/>
        <v>0</v>
      </c>
      <c r="AL27" s="87">
        <f t="shared" si="17"/>
        <v>0</v>
      </c>
      <c r="AM27" s="87">
        <f t="shared" si="18"/>
        <v>0</v>
      </c>
      <c r="AN27" s="87">
        <f t="shared" si="19"/>
        <v>0</v>
      </c>
      <c r="AO27" s="65"/>
      <c r="AP27" s="88">
        <v>108</v>
      </c>
      <c r="AQ27" s="87">
        <f t="shared" si="20"/>
        <v>2</v>
      </c>
      <c r="AR27" s="87">
        <f t="shared" si="21"/>
        <v>0</v>
      </c>
      <c r="AS27" s="87">
        <f t="shared" si="22"/>
        <v>0</v>
      </c>
      <c r="AT27" s="87">
        <f t="shared" si="23"/>
        <v>0</v>
      </c>
      <c r="AU27" s="87">
        <f t="shared" si="24"/>
        <v>0</v>
      </c>
      <c r="AV27" s="87">
        <f t="shared" si="25"/>
        <v>0</v>
      </c>
      <c r="AW27" s="87">
        <f t="shared" si="26"/>
        <v>0</v>
      </c>
      <c r="AX27" s="87">
        <f t="shared" si="27"/>
        <v>0</v>
      </c>
      <c r="AY27" s="87">
        <f t="shared" si="28"/>
        <v>0</v>
      </c>
      <c r="AZ27" s="87">
        <f t="shared" si="29"/>
        <v>0</v>
      </c>
      <c r="BA27" s="87">
        <f t="shared" si="30"/>
        <v>0</v>
      </c>
      <c r="BB27" s="87">
        <f t="shared" si="31"/>
        <v>0</v>
      </c>
      <c r="BC27" s="87">
        <f t="shared" si="32"/>
        <v>0</v>
      </c>
      <c r="BD27" s="87">
        <f t="shared" si="33"/>
        <v>0</v>
      </c>
      <c r="BE27" s="87">
        <f t="shared" si="34"/>
        <v>0</v>
      </c>
      <c r="BF27" s="87">
        <f t="shared" si="35"/>
        <v>0</v>
      </c>
      <c r="BG27" s="87">
        <f t="shared" si="36"/>
        <v>0</v>
      </c>
      <c r="BH27" s="87">
        <f t="shared" si="37"/>
        <v>0</v>
      </c>
    </row>
    <row r="28" spans="2:60" s="64" customFormat="1" ht="17.850000000000001" customHeight="1" x14ac:dyDescent="0.3">
      <c r="B28" s="85">
        <v>27</v>
      </c>
      <c r="C28" s="87">
        <f t="shared" si="38"/>
        <v>997</v>
      </c>
      <c r="D28" s="87">
        <f t="shared" si="39"/>
        <v>997</v>
      </c>
      <c r="E28" s="87">
        <f t="shared" si="39"/>
        <v>997</v>
      </c>
      <c r="F28" s="87">
        <f t="shared" si="39"/>
        <v>997</v>
      </c>
      <c r="G28" s="87">
        <f t="shared" si="39"/>
        <v>997</v>
      </c>
      <c r="H28" s="87">
        <f t="shared" si="39"/>
        <v>997</v>
      </c>
      <c r="I28" s="87">
        <f t="shared" si="39"/>
        <v>997</v>
      </c>
      <c r="J28" s="87">
        <f t="shared" si="39"/>
        <v>17</v>
      </c>
      <c r="K28" s="87">
        <f t="shared" si="39"/>
        <v>25</v>
      </c>
      <c r="L28" s="87">
        <f t="shared" si="39"/>
        <v>0</v>
      </c>
      <c r="M28" s="87">
        <f t="shared" si="39"/>
        <v>0</v>
      </c>
      <c r="N28" s="87">
        <f t="shared" si="40"/>
        <v>0</v>
      </c>
      <c r="O28" s="87">
        <f t="shared" si="40"/>
        <v>0</v>
      </c>
      <c r="P28" s="87">
        <f t="shared" si="40"/>
        <v>0</v>
      </c>
      <c r="Q28" s="87">
        <f t="shared" si="40"/>
        <v>0</v>
      </c>
      <c r="R28" s="87">
        <f t="shared" si="40"/>
        <v>0</v>
      </c>
      <c r="S28" s="87">
        <f t="shared" si="40"/>
        <v>0</v>
      </c>
      <c r="T28" s="87">
        <f t="shared" si="40"/>
        <v>0</v>
      </c>
      <c r="U28" s="65"/>
      <c r="V28" s="88">
        <v>68</v>
      </c>
      <c r="W28" s="87">
        <f t="shared" si="2"/>
        <v>2</v>
      </c>
      <c r="X28" s="87">
        <f t="shared" si="3"/>
        <v>0</v>
      </c>
      <c r="Y28" s="87">
        <f t="shared" si="4"/>
        <v>0</v>
      </c>
      <c r="Z28" s="87">
        <f t="shared" si="5"/>
        <v>0</v>
      </c>
      <c r="AA28" s="87">
        <f t="shared" si="6"/>
        <v>0</v>
      </c>
      <c r="AB28" s="87">
        <f t="shared" si="7"/>
        <v>0</v>
      </c>
      <c r="AC28" s="87">
        <f t="shared" si="8"/>
        <v>0</v>
      </c>
      <c r="AD28" s="87">
        <f t="shared" si="9"/>
        <v>0</v>
      </c>
      <c r="AE28" s="87">
        <f t="shared" si="10"/>
        <v>0</v>
      </c>
      <c r="AF28" s="87">
        <f t="shared" si="11"/>
        <v>0</v>
      </c>
      <c r="AG28" s="87">
        <f t="shared" si="12"/>
        <v>0</v>
      </c>
      <c r="AH28" s="87">
        <f t="shared" si="13"/>
        <v>0</v>
      </c>
      <c r="AI28" s="87">
        <f t="shared" si="14"/>
        <v>0</v>
      </c>
      <c r="AJ28" s="87">
        <f t="shared" si="15"/>
        <v>0</v>
      </c>
      <c r="AK28" s="87">
        <f t="shared" si="16"/>
        <v>0</v>
      </c>
      <c r="AL28" s="87">
        <f t="shared" si="17"/>
        <v>0</v>
      </c>
      <c r="AM28" s="87">
        <f t="shared" si="18"/>
        <v>0</v>
      </c>
      <c r="AN28" s="87">
        <f t="shared" si="19"/>
        <v>0</v>
      </c>
      <c r="AO28" s="65"/>
      <c r="AP28" s="85">
        <v>109</v>
      </c>
      <c r="AQ28" s="87">
        <f t="shared" si="20"/>
        <v>2</v>
      </c>
      <c r="AR28" s="87">
        <f t="shared" si="21"/>
        <v>0</v>
      </c>
      <c r="AS28" s="87">
        <f t="shared" si="22"/>
        <v>0</v>
      </c>
      <c r="AT28" s="87">
        <f t="shared" si="23"/>
        <v>0</v>
      </c>
      <c r="AU28" s="87">
        <f t="shared" si="24"/>
        <v>0</v>
      </c>
      <c r="AV28" s="87">
        <f t="shared" si="25"/>
        <v>0</v>
      </c>
      <c r="AW28" s="87">
        <f t="shared" si="26"/>
        <v>0</v>
      </c>
      <c r="AX28" s="87">
        <f t="shared" si="27"/>
        <v>0</v>
      </c>
      <c r="AY28" s="87">
        <f t="shared" si="28"/>
        <v>0</v>
      </c>
      <c r="AZ28" s="87">
        <f t="shared" si="29"/>
        <v>0</v>
      </c>
      <c r="BA28" s="87">
        <f t="shared" si="30"/>
        <v>0</v>
      </c>
      <c r="BB28" s="87">
        <f t="shared" si="31"/>
        <v>0</v>
      </c>
      <c r="BC28" s="87">
        <f t="shared" si="32"/>
        <v>0</v>
      </c>
      <c r="BD28" s="87">
        <f t="shared" si="33"/>
        <v>0</v>
      </c>
      <c r="BE28" s="87">
        <f t="shared" si="34"/>
        <v>0</v>
      </c>
      <c r="BF28" s="87">
        <f t="shared" si="35"/>
        <v>0</v>
      </c>
      <c r="BG28" s="87">
        <f t="shared" si="36"/>
        <v>0</v>
      </c>
      <c r="BH28" s="87">
        <f t="shared" si="37"/>
        <v>0</v>
      </c>
    </row>
    <row r="29" spans="2:60" s="64" customFormat="1" ht="17.850000000000001" customHeight="1" x14ac:dyDescent="0.3">
      <c r="B29" s="88">
        <v>28</v>
      </c>
      <c r="C29" s="87">
        <f t="shared" si="38"/>
        <v>2</v>
      </c>
      <c r="D29" s="87">
        <f t="shared" si="39"/>
        <v>50</v>
      </c>
      <c r="E29" s="87">
        <f t="shared" si="39"/>
        <v>50</v>
      </c>
      <c r="F29" s="87">
        <f t="shared" si="39"/>
        <v>50</v>
      </c>
      <c r="G29" s="87">
        <f t="shared" si="39"/>
        <v>50</v>
      </c>
      <c r="H29" s="87">
        <f t="shared" si="39"/>
        <v>50</v>
      </c>
      <c r="I29" s="87">
        <f t="shared" si="39"/>
        <v>50</v>
      </c>
      <c r="J29" s="87">
        <f t="shared" si="39"/>
        <v>2</v>
      </c>
      <c r="K29" s="87">
        <f t="shared" si="39"/>
        <v>0</v>
      </c>
      <c r="L29" s="87">
        <f t="shared" si="39"/>
        <v>50</v>
      </c>
      <c r="M29" s="87">
        <f t="shared" si="39"/>
        <v>0</v>
      </c>
      <c r="N29" s="87">
        <f t="shared" si="40"/>
        <v>0</v>
      </c>
      <c r="O29" s="87">
        <f t="shared" si="40"/>
        <v>0</v>
      </c>
      <c r="P29" s="87">
        <f t="shared" si="40"/>
        <v>0</v>
      </c>
      <c r="Q29" s="87">
        <f t="shared" si="40"/>
        <v>0</v>
      </c>
      <c r="R29" s="87">
        <f t="shared" si="40"/>
        <v>0</v>
      </c>
      <c r="S29" s="87">
        <f t="shared" si="40"/>
        <v>0</v>
      </c>
      <c r="T29" s="87">
        <f t="shared" si="40"/>
        <v>0</v>
      </c>
      <c r="U29" s="65"/>
      <c r="V29" s="85">
        <v>69</v>
      </c>
      <c r="W29" s="87">
        <f t="shared" si="2"/>
        <v>2</v>
      </c>
      <c r="X29" s="87">
        <f t="shared" si="3"/>
        <v>0</v>
      </c>
      <c r="Y29" s="87">
        <f t="shared" si="4"/>
        <v>0</v>
      </c>
      <c r="Z29" s="87">
        <f t="shared" si="5"/>
        <v>0</v>
      </c>
      <c r="AA29" s="87">
        <f t="shared" si="6"/>
        <v>0</v>
      </c>
      <c r="AB29" s="87">
        <f t="shared" si="7"/>
        <v>0</v>
      </c>
      <c r="AC29" s="87">
        <f t="shared" si="8"/>
        <v>0</v>
      </c>
      <c r="AD29" s="87">
        <f t="shared" si="9"/>
        <v>0</v>
      </c>
      <c r="AE29" s="87">
        <f t="shared" si="10"/>
        <v>0</v>
      </c>
      <c r="AF29" s="87">
        <f t="shared" si="11"/>
        <v>0</v>
      </c>
      <c r="AG29" s="87">
        <f t="shared" si="12"/>
        <v>0</v>
      </c>
      <c r="AH29" s="87">
        <f t="shared" si="13"/>
        <v>0</v>
      </c>
      <c r="AI29" s="87">
        <f t="shared" si="14"/>
        <v>0</v>
      </c>
      <c r="AJ29" s="87">
        <f t="shared" si="15"/>
        <v>0</v>
      </c>
      <c r="AK29" s="87">
        <f t="shared" si="16"/>
        <v>0</v>
      </c>
      <c r="AL29" s="87">
        <f t="shared" si="17"/>
        <v>0</v>
      </c>
      <c r="AM29" s="87">
        <f t="shared" si="18"/>
        <v>0</v>
      </c>
      <c r="AN29" s="87">
        <f t="shared" si="19"/>
        <v>0</v>
      </c>
      <c r="AO29" s="65"/>
      <c r="AP29" s="88">
        <v>110</v>
      </c>
      <c r="AQ29" s="87">
        <f t="shared" si="20"/>
        <v>2</v>
      </c>
      <c r="AR29" s="87">
        <f t="shared" si="21"/>
        <v>0</v>
      </c>
      <c r="AS29" s="87">
        <f t="shared" si="22"/>
        <v>0</v>
      </c>
      <c r="AT29" s="87">
        <f t="shared" si="23"/>
        <v>0</v>
      </c>
      <c r="AU29" s="87">
        <f t="shared" si="24"/>
        <v>0</v>
      </c>
      <c r="AV29" s="87">
        <f t="shared" si="25"/>
        <v>0</v>
      </c>
      <c r="AW29" s="87">
        <f t="shared" si="26"/>
        <v>0</v>
      </c>
      <c r="AX29" s="87">
        <f t="shared" si="27"/>
        <v>0</v>
      </c>
      <c r="AY29" s="87">
        <f t="shared" si="28"/>
        <v>0</v>
      </c>
      <c r="AZ29" s="87">
        <f t="shared" si="29"/>
        <v>0</v>
      </c>
      <c r="BA29" s="87">
        <f t="shared" si="30"/>
        <v>0</v>
      </c>
      <c r="BB29" s="87">
        <f t="shared" si="31"/>
        <v>0</v>
      </c>
      <c r="BC29" s="87">
        <f t="shared" si="32"/>
        <v>0</v>
      </c>
      <c r="BD29" s="87">
        <f t="shared" si="33"/>
        <v>0</v>
      </c>
      <c r="BE29" s="87">
        <f t="shared" si="34"/>
        <v>0</v>
      </c>
      <c r="BF29" s="87">
        <f t="shared" si="35"/>
        <v>0</v>
      </c>
      <c r="BG29" s="87">
        <f t="shared" si="36"/>
        <v>0</v>
      </c>
      <c r="BH29" s="87">
        <f t="shared" si="37"/>
        <v>0</v>
      </c>
    </row>
    <row r="30" spans="2:60" s="64" customFormat="1" ht="17.850000000000001" customHeight="1" x14ac:dyDescent="0.3">
      <c r="B30" s="85">
        <v>29</v>
      </c>
      <c r="C30" s="87">
        <f t="shared" si="38"/>
        <v>2</v>
      </c>
      <c r="D30" s="87">
        <f t="shared" si="39"/>
        <v>0</v>
      </c>
      <c r="E30" s="87">
        <f t="shared" si="39"/>
        <v>49</v>
      </c>
      <c r="F30" s="87">
        <f t="shared" si="39"/>
        <v>50</v>
      </c>
      <c r="G30" s="87">
        <f t="shared" si="39"/>
        <v>45</v>
      </c>
      <c r="H30" s="87">
        <f t="shared" si="39"/>
        <v>40</v>
      </c>
      <c r="I30" s="87">
        <f t="shared" si="39"/>
        <v>50</v>
      </c>
      <c r="J30" s="87">
        <f t="shared" si="39"/>
        <v>50</v>
      </c>
      <c r="K30" s="87">
        <f t="shared" si="39"/>
        <v>50</v>
      </c>
      <c r="L30" s="87">
        <f t="shared" si="39"/>
        <v>50</v>
      </c>
      <c r="M30" s="87">
        <f t="shared" si="39"/>
        <v>0</v>
      </c>
      <c r="N30" s="87">
        <f t="shared" si="40"/>
        <v>0</v>
      </c>
      <c r="O30" s="87">
        <f t="shared" si="40"/>
        <v>0</v>
      </c>
      <c r="P30" s="87">
        <f t="shared" si="40"/>
        <v>0</v>
      </c>
      <c r="Q30" s="87">
        <f t="shared" si="40"/>
        <v>0</v>
      </c>
      <c r="R30" s="87">
        <f t="shared" si="40"/>
        <v>0</v>
      </c>
      <c r="S30" s="87">
        <f t="shared" si="40"/>
        <v>0</v>
      </c>
      <c r="T30" s="87">
        <f t="shared" si="40"/>
        <v>0</v>
      </c>
      <c r="U30" s="65"/>
      <c r="V30" s="88">
        <v>70</v>
      </c>
      <c r="W30" s="87">
        <f t="shared" si="2"/>
        <v>2</v>
      </c>
      <c r="X30" s="87">
        <f t="shared" si="3"/>
        <v>0</v>
      </c>
      <c r="Y30" s="87">
        <f t="shared" si="4"/>
        <v>0</v>
      </c>
      <c r="Z30" s="87">
        <f t="shared" si="5"/>
        <v>0</v>
      </c>
      <c r="AA30" s="87">
        <f t="shared" si="6"/>
        <v>0</v>
      </c>
      <c r="AB30" s="87">
        <f t="shared" si="7"/>
        <v>0</v>
      </c>
      <c r="AC30" s="87">
        <f t="shared" si="8"/>
        <v>0</v>
      </c>
      <c r="AD30" s="87">
        <f t="shared" si="9"/>
        <v>0</v>
      </c>
      <c r="AE30" s="87">
        <f t="shared" si="10"/>
        <v>0</v>
      </c>
      <c r="AF30" s="87">
        <f t="shared" si="11"/>
        <v>0</v>
      </c>
      <c r="AG30" s="87">
        <f t="shared" si="12"/>
        <v>0</v>
      </c>
      <c r="AH30" s="87">
        <f t="shared" si="13"/>
        <v>0</v>
      </c>
      <c r="AI30" s="87">
        <f t="shared" si="14"/>
        <v>0</v>
      </c>
      <c r="AJ30" s="87">
        <f t="shared" si="15"/>
        <v>0</v>
      </c>
      <c r="AK30" s="87">
        <f t="shared" si="16"/>
        <v>0</v>
      </c>
      <c r="AL30" s="87">
        <f t="shared" si="17"/>
        <v>0</v>
      </c>
      <c r="AM30" s="87">
        <f t="shared" si="18"/>
        <v>0</v>
      </c>
      <c r="AN30" s="87">
        <f t="shared" si="19"/>
        <v>0</v>
      </c>
      <c r="AO30" s="65"/>
      <c r="AP30" s="85">
        <v>111</v>
      </c>
      <c r="AQ30" s="87">
        <f t="shared" si="20"/>
        <v>2</v>
      </c>
      <c r="AR30" s="87">
        <f t="shared" si="21"/>
        <v>0</v>
      </c>
      <c r="AS30" s="87">
        <f t="shared" si="22"/>
        <v>0</v>
      </c>
      <c r="AT30" s="87">
        <f t="shared" si="23"/>
        <v>0</v>
      </c>
      <c r="AU30" s="87">
        <f t="shared" si="24"/>
        <v>0</v>
      </c>
      <c r="AV30" s="87">
        <f t="shared" si="25"/>
        <v>0</v>
      </c>
      <c r="AW30" s="87">
        <f t="shared" si="26"/>
        <v>0</v>
      </c>
      <c r="AX30" s="87">
        <f t="shared" si="27"/>
        <v>0</v>
      </c>
      <c r="AY30" s="87">
        <f t="shared" si="28"/>
        <v>0</v>
      </c>
      <c r="AZ30" s="87">
        <f t="shared" si="29"/>
        <v>0</v>
      </c>
      <c r="BA30" s="87">
        <f t="shared" si="30"/>
        <v>0</v>
      </c>
      <c r="BB30" s="87">
        <f t="shared" si="31"/>
        <v>0</v>
      </c>
      <c r="BC30" s="87">
        <f t="shared" si="32"/>
        <v>0</v>
      </c>
      <c r="BD30" s="87">
        <f t="shared" si="33"/>
        <v>0</v>
      </c>
      <c r="BE30" s="87">
        <f t="shared" si="34"/>
        <v>0</v>
      </c>
      <c r="BF30" s="87">
        <f t="shared" si="35"/>
        <v>0</v>
      </c>
      <c r="BG30" s="87">
        <f t="shared" si="36"/>
        <v>0</v>
      </c>
      <c r="BH30" s="87">
        <f t="shared" si="37"/>
        <v>0</v>
      </c>
    </row>
    <row r="31" spans="2:60" s="64" customFormat="1" ht="17.850000000000001" customHeight="1" x14ac:dyDescent="0.3">
      <c r="B31" s="88">
        <v>30</v>
      </c>
      <c r="C31" s="87">
        <f t="shared" si="38"/>
        <v>2</v>
      </c>
      <c r="D31" s="87">
        <f t="shared" si="39"/>
        <v>17</v>
      </c>
      <c r="E31" s="87">
        <f t="shared" si="39"/>
        <v>12</v>
      </c>
      <c r="F31" s="87">
        <f t="shared" si="39"/>
        <v>0</v>
      </c>
      <c r="G31" s="87">
        <f t="shared" si="39"/>
        <v>50</v>
      </c>
      <c r="H31" s="87">
        <f t="shared" si="39"/>
        <v>51</v>
      </c>
      <c r="I31" s="87">
        <f t="shared" si="39"/>
        <v>63</v>
      </c>
      <c r="J31" s="87">
        <f t="shared" si="39"/>
        <v>25</v>
      </c>
      <c r="K31" s="87">
        <f t="shared" si="39"/>
        <v>7</v>
      </c>
      <c r="L31" s="87">
        <f t="shared" si="39"/>
        <v>23</v>
      </c>
      <c r="M31" s="87">
        <f t="shared" si="39"/>
        <v>0</v>
      </c>
      <c r="N31" s="87">
        <f t="shared" si="40"/>
        <v>0</v>
      </c>
      <c r="O31" s="87">
        <f t="shared" si="40"/>
        <v>0</v>
      </c>
      <c r="P31" s="87">
        <f t="shared" si="40"/>
        <v>0</v>
      </c>
      <c r="Q31" s="87">
        <f t="shared" si="40"/>
        <v>0</v>
      </c>
      <c r="R31" s="87">
        <f t="shared" si="40"/>
        <v>0</v>
      </c>
      <c r="S31" s="87">
        <f t="shared" si="40"/>
        <v>0</v>
      </c>
      <c r="T31" s="87">
        <f t="shared" si="40"/>
        <v>0</v>
      </c>
      <c r="U31" s="65"/>
      <c r="V31" s="85">
        <v>71</v>
      </c>
      <c r="W31" s="87">
        <f t="shared" si="2"/>
        <v>2</v>
      </c>
      <c r="X31" s="87">
        <f t="shared" si="3"/>
        <v>0</v>
      </c>
      <c r="Y31" s="87">
        <f t="shared" si="4"/>
        <v>0</v>
      </c>
      <c r="Z31" s="87">
        <f t="shared" si="5"/>
        <v>0</v>
      </c>
      <c r="AA31" s="87">
        <f t="shared" si="6"/>
        <v>0</v>
      </c>
      <c r="AB31" s="87">
        <f t="shared" si="7"/>
        <v>0</v>
      </c>
      <c r="AC31" s="87">
        <f t="shared" si="8"/>
        <v>0</v>
      </c>
      <c r="AD31" s="87">
        <f t="shared" si="9"/>
        <v>0</v>
      </c>
      <c r="AE31" s="87">
        <f t="shared" si="10"/>
        <v>0</v>
      </c>
      <c r="AF31" s="87">
        <f t="shared" si="11"/>
        <v>0</v>
      </c>
      <c r="AG31" s="87">
        <f t="shared" si="12"/>
        <v>0</v>
      </c>
      <c r="AH31" s="87">
        <f t="shared" si="13"/>
        <v>0</v>
      </c>
      <c r="AI31" s="87">
        <f t="shared" si="14"/>
        <v>0</v>
      </c>
      <c r="AJ31" s="87">
        <f t="shared" si="15"/>
        <v>0</v>
      </c>
      <c r="AK31" s="87">
        <f t="shared" si="16"/>
        <v>0</v>
      </c>
      <c r="AL31" s="87">
        <f t="shared" si="17"/>
        <v>0</v>
      </c>
      <c r="AM31" s="87">
        <f t="shared" si="18"/>
        <v>0</v>
      </c>
      <c r="AN31" s="87">
        <f t="shared" si="19"/>
        <v>0</v>
      </c>
      <c r="AO31" s="65"/>
      <c r="AP31" s="88">
        <v>112</v>
      </c>
      <c r="AQ31" s="87">
        <f t="shared" si="20"/>
        <v>2</v>
      </c>
      <c r="AR31" s="87">
        <f t="shared" si="21"/>
        <v>0</v>
      </c>
      <c r="AS31" s="87">
        <f t="shared" si="22"/>
        <v>0</v>
      </c>
      <c r="AT31" s="87">
        <f t="shared" si="23"/>
        <v>0</v>
      </c>
      <c r="AU31" s="87">
        <f t="shared" si="24"/>
        <v>0</v>
      </c>
      <c r="AV31" s="87">
        <f t="shared" si="25"/>
        <v>0</v>
      </c>
      <c r="AW31" s="87">
        <f t="shared" si="26"/>
        <v>0</v>
      </c>
      <c r="AX31" s="87">
        <f t="shared" si="27"/>
        <v>0</v>
      </c>
      <c r="AY31" s="87">
        <f t="shared" si="28"/>
        <v>0</v>
      </c>
      <c r="AZ31" s="87">
        <f t="shared" si="29"/>
        <v>0</v>
      </c>
      <c r="BA31" s="87">
        <f t="shared" si="30"/>
        <v>0</v>
      </c>
      <c r="BB31" s="87">
        <f t="shared" si="31"/>
        <v>0</v>
      </c>
      <c r="BC31" s="87">
        <f t="shared" si="32"/>
        <v>0</v>
      </c>
      <c r="BD31" s="87">
        <f t="shared" si="33"/>
        <v>0</v>
      </c>
      <c r="BE31" s="87">
        <f t="shared" si="34"/>
        <v>0</v>
      </c>
      <c r="BF31" s="87">
        <f t="shared" si="35"/>
        <v>0</v>
      </c>
      <c r="BG31" s="87">
        <f t="shared" si="36"/>
        <v>0</v>
      </c>
      <c r="BH31" s="87">
        <f t="shared" si="37"/>
        <v>0</v>
      </c>
    </row>
    <row r="32" spans="2:60" s="64" customFormat="1" ht="17.850000000000001" customHeight="1" x14ac:dyDescent="0.3">
      <c r="B32" s="85">
        <v>31</v>
      </c>
      <c r="C32" s="87">
        <f t="shared" si="38"/>
        <v>2</v>
      </c>
      <c r="D32" s="87">
        <f t="shared" si="39"/>
        <v>0</v>
      </c>
      <c r="E32" s="87">
        <f t="shared" si="39"/>
        <v>0</v>
      </c>
      <c r="F32" s="87">
        <f t="shared" si="39"/>
        <v>0</v>
      </c>
      <c r="G32" s="87">
        <f t="shared" si="39"/>
        <v>0</v>
      </c>
      <c r="H32" s="87">
        <f t="shared" si="39"/>
        <v>0</v>
      </c>
      <c r="I32" s="87">
        <f t="shared" si="39"/>
        <v>0</v>
      </c>
      <c r="J32" s="87">
        <f t="shared" si="39"/>
        <v>0</v>
      </c>
      <c r="K32" s="87">
        <f t="shared" si="39"/>
        <v>0</v>
      </c>
      <c r="L32" s="87">
        <f t="shared" si="39"/>
        <v>0</v>
      </c>
      <c r="M32" s="87">
        <f t="shared" si="39"/>
        <v>0</v>
      </c>
      <c r="N32" s="87">
        <f t="shared" si="40"/>
        <v>0</v>
      </c>
      <c r="O32" s="87">
        <f t="shared" si="40"/>
        <v>0</v>
      </c>
      <c r="P32" s="87">
        <f t="shared" si="40"/>
        <v>0</v>
      </c>
      <c r="Q32" s="87">
        <f t="shared" si="40"/>
        <v>0</v>
      </c>
      <c r="R32" s="87">
        <f t="shared" si="40"/>
        <v>0</v>
      </c>
      <c r="S32" s="87">
        <f t="shared" si="40"/>
        <v>0</v>
      </c>
      <c r="T32" s="87">
        <f t="shared" si="40"/>
        <v>0</v>
      </c>
      <c r="U32" s="65"/>
      <c r="V32" s="88">
        <v>72</v>
      </c>
      <c r="W32" s="87">
        <f t="shared" si="2"/>
        <v>2</v>
      </c>
      <c r="X32" s="87">
        <f t="shared" si="3"/>
        <v>0</v>
      </c>
      <c r="Y32" s="87">
        <f t="shared" si="4"/>
        <v>0</v>
      </c>
      <c r="Z32" s="87">
        <f t="shared" si="5"/>
        <v>0</v>
      </c>
      <c r="AA32" s="87">
        <f t="shared" si="6"/>
        <v>0</v>
      </c>
      <c r="AB32" s="87">
        <f t="shared" si="7"/>
        <v>0</v>
      </c>
      <c r="AC32" s="87">
        <f t="shared" si="8"/>
        <v>0</v>
      </c>
      <c r="AD32" s="87">
        <f t="shared" si="9"/>
        <v>0</v>
      </c>
      <c r="AE32" s="87">
        <f t="shared" si="10"/>
        <v>0</v>
      </c>
      <c r="AF32" s="87">
        <f t="shared" si="11"/>
        <v>0</v>
      </c>
      <c r="AG32" s="87">
        <f t="shared" si="12"/>
        <v>0</v>
      </c>
      <c r="AH32" s="87">
        <f t="shared" si="13"/>
        <v>0</v>
      </c>
      <c r="AI32" s="87">
        <f t="shared" si="14"/>
        <v>0</v>
      </c>
      <c r="AJ32" s="87">
        <f t="shared" si="15"/>
        <v>0</v>
      </c>
      <c r="AK32" s="87">
        <f t="shared" si="16"/>
        <v>0</v>
      </c>
      <c r="AL32" s="87">
        <f t="shared" si="17"/>
        <v>0</v>
      </c>
      <c r="AM32" s="87">
        <f t="shared" si="18"/>
        <v>0</v>
      </c>
      <c r="AN32" s="87">
        <f t="shared" si="19"/>
        <v>0</v>
      </c>
      <c r="AO32" s="65"/>
      <c r="AP32" s="85">
        <v>113</v>
      </c>
      <c r="AQ32" s="87">
        <f t="shared" si="20"/>
        <v>2</v>
      </c>
      <c r="AR32" s="87">
        <f t="shared" si="21"/>
        <v>0</v>
      </c>
      <c r="AS32" s="87">
        <f t="shared" si="22"/>
        <v>0</v>
      </c>
      <c r="AT32" s="87">
        <f t="shared" si="23"/>
        <v>0</v>
      </c>
      <c r="AU32" s="87">
        <f t="shared" si="24"/>
        <v>0</v>
      </c>
      <c r="AV32" s="87">
        <f t="shared" si="25"/>
        <v>0</v>
      </c>
      <c r="AW32" s="87">
        <f t="shared" si="26"/>
        <v>0</v>
      </c>
      <c r="AX32" s="87">
        <f t="shared" si="27"/>
        <v>0</v>
      </c>
      <c r="AY32" s="87">
        <f t="shared" si="28"/>
        <v>0</v>
      </c>
      <c r="AZ32" s="87">
        <f t="shared" si="29"/>
        <v>0</v>
      </c>
      <c r="BA32" s="87">
        <f t="shared" si="30"/>
        <v>0</v>
      </c>
      <c r="BB32" s="87">
        <f t="shared" si="31"/>
        <v>0</v>
      </c>
      <c r="BC32" s="87">
        <f t="shared" si="32"/>
        <v>0</v>
      </c>
      <c r="BD32" s="87">
        <f t="shared" si="33"/>
        <v>0</v>
      </c>
      <c r="BE32" s="87">
        <f t="shared" si="34"/>
        <v>0</v>
      </c>
      <c r="BF32" s="87">
        <f t="shared" si="35"/>
        <v>0</v>
      </c>
      <c r="BG32" s="87">
        <f t="shared" si="36"/>
        <v>0</v>
      </c>
      <c r="BH32" s="87">
        <f t="shared" si="37"/>
        <v>0</v>
      </c>
    </row>
    <row r="33" spans="2:60" s="64" customFormat="1" ht="17.850000000000001" customHeight="1" x14ac:dyDescent="0.3">
      <c r="B33" s="88">
        <v>32</v>
      </c>
      <c r="C33" s="87">
        <f t="shared" si="38"/>
        <v>2</v>
      </c>
      <c r="D33" s="87">
        <f t="shared" si="39"/>
        <v>64</v>
      </c>
      <c r="E33" s="87">
        <f t="shared" si="39"/>
        <v>38</v>
      </c>
      <c r="F33" s="87">
        <f t="shared" si="39"/>
        <v>91</v>
      </c>
      <c r="G33" s="87">
        <f t="shared" si="39"/>
        <v>50</v>
      </c>
      <c r="H33" s="87">
        <f t="shared" si="39"/>
        <v>0</v>
      </c>
      <c r="I33" s="87">
        <f t="shared" si="39"/>
        <v>0</v>
      </c>
      <c r="J33" s="87">
        <f t="shared" si="39"/>
        <v>0</v>
      </c>
      <c r="K33" s="87">
        <f t="shared" si="39"/>
        <v>0</v>
      </c>
      <c r="L33" s="87">
        <f t="shared" si="39"/>
        <v>0</v>
      </c>
      <c r="M33" s="87">
        <f t="shared" si="39"/>
        <v>0</v>
      </c>
      <c r="N33" s="87">
        <f t="shared" si="40"/>
        <v>0</v>
      </c>
      <c r="O33" s="87">
        <f t="shared" si="40"/>
        <v>0</v>
      </c>
      <c r="P33" s="87">
        <f t="shared" si="40"/>
        <v>0</v>
      </c>
      <c r="Q33" s="87">
        <f t="shared" si="40"/>
        <v>0</v>
      </c>
      <c r="R33" s="87">
        <f t="shared" si="40"/>
        <v>0</v>
      </c>
      <c r="S33" s="87">
        <f t="shared" si="40"/>
        <v>0</v>
      </c>
      <c r="T33" s="87">
        <f t="shared" si="40"/>
        <v>0</v>
      </c>
      <c r="U33" s="65"/>
      <c r="V33" s="85">
        <v>73</v>
      </c>
      <c r="W33" s="87">
        <f t="shared" si="2"/>
        <v>2</v>
      </c>
      <c r="X33" s="87">
        <f t="shared" si="3"/>
        <v>0</v>
      </c>
      <c r="Y33" s="87">
        <f t="shared" si="4"/>
        <v>0</v>
      </c>
      <c r="Z33" s="87">
        <f t="shared" si="5"/>
        <v>0</v>
      </c>
      <c r="AA33" s="87">
        <f t="shared" si="6"/>
        <v>0</v>
      </c>
      <c r="AB33" s="87">
        <f t="shared" si="7"/>
        <v>0</v>
      </c>
      <c r="AC33" s="87">
        <f t="shared" si="8"/>
        <v>0</v>
      </c>
      <c r="AD33" s="87">
        <f t="shared" si="9"/>
        <v>0</v>
      </c>
      <c r="AE33" s="87">
        <f t="shared" si="10"/>
        <v>0</v>
      </c>
      <c r="AF33" s="87">
        <f t="shared" si="11"/>
        <v>0</v>
      </c>
      <c r="AG33" s="87">
        <f t="shared" si="12"/>
        <v>0</v>
      </c>
      <c r="AH33" s="87">
        <f t="shared" si="13"/>
        <v>0</v>
      </c>
      <c r="AI33" s="87">
        <f t="shared" si="14"/>
        <v>0</v>
      </c>
      <c r="AJ33" s="87">
        <f t="shared" si="15"/>
        <v>0</v>
      </c>
      <c r="AK33" s="87">
        <f t="shared" si="16"/>
        <v>0</v>
      </c>
      <c r="AL33" s="87">
        <f t="shared" si="17"/>
        <v>0</v>
      </c>
      <c r="AM33" s="87">
        <f t="shared" si="18"/>
        <v>0</v>
      </c>
      <c r="AN33" s="87">
        <f t="shared" si="19"/>
        <v>0</v>
      </c>
      <c r="AO33" s="65"/>
      <c r="AP33" s="88">
        <v>114</v>
      </c>
      <c r="AQ33" s="87">
        <f t="shared" si="20"/>
        <v>2</v>
      </c>
      <c r="AR33" s="87">
        <f t="shared" si="21"/>
        <v>0</v>
      </c>
      <c r="AS33" s="87">
        <f t="shared" si="22"/>
        <v>0</v>
      </c>
      <c r="AT33" s="87">
        <f t="shared" si="23"/>
        <v>0</v>
      </c>
      <c r="AU33" s="87">
        <f t="shared" si="24"/>
        <v>0</v>
      </c>
      <c r="AV33" s="87">
        <f t="shared" si="25"/>
        <v>0</v>
      </c>
      <c r="AW33" s="87">
        <f t="shared" si="26"/>
        <v>0</v>
      </c>
      <c r="AX33" s="87">
        <f t="shared" si="27"/>
        <v>0</v>
      </c>
      <c r="AY33" s="87">
        <f t="shared" si="28"/>
        <v>0</v>
      </c>
      <c r="AZ33" s="87">
        <f t="shared" si="29"/>
        <v>0</v>
      </c>
      <c r="BA33" s="87">
        <f t="shared" si="30"/>
        <v>0</v>
      </c>
      <c r="BB33" s="87">
        <f t="shared" si="31"/>
        <v>0</v>
      </c>
      <c r="BC33" s="87">
        <f t="shared" si="32"/>
        <v>0</v>
      </c>
      <c r="BD33" s="87">
        <f t="shared" si="33"/>
        <v>0</v>
      </c>
      <c r="BE33" s="87">
        <f t="shared" si="34"/>
        <v>0</v>
      </c>
      <c r="BF33" s="87">
        <f t="shared" si="35"/>
        <v>0</v>
      </c>
      <c r="BG33" s="87">
        <f t="shared" si="36"/>
        <v>0</v>
      </c>
      <c r="BH33" s="87">
        <f t="shared" si="37"/>
        <v>0</v>
      </c>
    </row>
    <row r="34" spans="2:60" s="64" customFormat="1" ht="17.850000000000001" customHeight="1" x14ac:dyDescent="0.3">
      <c r="B34" s="85">
        <v>33</v>
      </c>
      <c r="C34" s="87">
        <f t="shared" si="38"/>
        <v>2</v>
      </c>
      <c r="D34" s="87">
        <f t="shared" si="39"/>
        <v>17</v>
      </c>
      <c r="E34" s="87">
        <f t="shared" si="39"/>
        <v>15</v>
      </c>
      <c r="F34" s="87">
        <f t="shared" si="39"/>
        <v>14</v>
      </c>
      <c r="G34" s="87">
        <f t="shared" si="39"/>
        <v>13</v>
      </c>
      <c r="H34" s="87">
        <f t="shared" si="39"/>
        <v>40</v>
      </c>
      <c r="I34" s="87">
        <f t="shared" si="39"/>
        <v>26</v>
      </c>
      <c r="J34" s="87">
        <f t="shared" si="39"/>
        <v>34</v>
      </c>
      <c r="K34" s="87">
        <f t="shared" si="39"/>
        <v>21</v>
      </c>
      <c r="L34" s="87">
        <f t="shared" si="39"/>
        <v>42</v>
      </c>
      <c r="M34" s="87">
        <f t="shared" si="39"/>
        <v>0</v>
      </c>
      <c r="N34" s="87">
        <f t="shared" si="40"/>
        <v>0</v>
      </c>
      <c r="O34" s="87">
        <f t="shared" si="40"/>
        <v>0</v>
      </c>
      <c r="P34" s="87">
        <f t="shared" si="40"/>
        <v>0</v>
      </c>
      <c r="Q34" s="87">
        <f t="shared" si="40"/>
        <v>0</v>
      </c>
      <c r="R34" s="87">
        <f t="shared" si="40"/>
        <v>0</v>
      </c>
      <c r="S34" s="87">
        <f t="shared" si="40"/>
        <v>0</v>
      </c>
      <c r="T34" s="87">
        <f t="shared" si="40"/>
        <v>0</v>
      </c>
      <c r="U34" s="65"/>
      <c r="V34" s="88">
        <v>74</v>
      </c>
      <c r="W34" s="87">
        <f t="shared" si="2"/>
        <v>2</v>
      </c>
      <c r="X34" s="87">
        <f t="shared" si="3"/>
        <v>0</v>
      </c>
      <c r="Y34" s="87">
        <f t="shared" si="4"/>
        <v>0</v>
      </c>
      <c r="Z34" s="87">
        <f t="shared" si="5"/>
        <v>0</v>
      </c>
      <c r="AA34" s="87">
        <f t="shared" si="6"/>
        <v>0</v>
      </c>
      <c r="AB34" s="87">
        <f t="shared" si="7"/>
        <v>0</v>
      </c>
      <c r="AC34" s="87">
        <f t="shared" si="8"/>
        <v>0</v>
      </c>
      <c r="AD34" s="87">
        <f t="shared" si="9"/>
        <v>0</v>
      </c>
      <c r="AE34" s="87">
        <f t="shared" si="10"/>
        <v>0</v>
      </c>
      <c r="AF34" s="87">
        <f t="shared" si="11"/>
        <v>0</v>
      </c>
      <c r="AG34" s="87">
        <f t="shared" si="12"/>
        <v>0</v>
      </c>
      <c r="AH34" s="87">
        <f t="shared" si="13"/>
        <v>0</v>
      </c>
      <c r="AI34" s="87">
        <f t="shared" si="14"/>
        <v>0</v>
      </c>
      <c r="AJ34" s="87">
        <f t="shared" si="15"/>
        <v>0</v>
      </c>
      <c r="AK34" s="87">
        <f t="shared" si="16"/>
        <v>0</v>
      </c>
      <c r="AL34" s="87">
        <f t="shared" si="17"/>
        <v>0</v>
      </c>
      <c r="AM34" s="87">
        <f t="shared" si="18"/>
        <v>0</v>
      </c>
      <c r="AN34" s="87">
        <f t="shared" si="19"/>
        <v>0</v>
      </c>
      <c r="AO34" s="65"/>
      <c r="AP34" s="85">
        <v>115</v>
      </c>
      <c r="AQ34" s="87">
        <f t="shared" si="20"/>
        <v>2</v>
      </c>
      <c r="AR34" s="87">
        <f t="shared" si="21"/>
        <v>28</v>
      </c>
      <c r="AS34" s="87">
        <f t="shared" si="22"/>
        <v>43</v>
      </c>
      <c r="AT34" s="87">
        <f t="shared" si="23"/>
        <v>36</v>
      </c>
      <c r="AU34" s="87">
        <f t="shared" si="24"/>
        <v>45</v>
      </c>
      <c r="AV34" s="87">
        <f t="shared" si="25"/>
        <v>42</v>
      </c>
      <c r="AW34" s="87">
        <f t="shared" si="26"/>
        <v>44</v>
      </c>
      <c r="AX34" s="87">
        <f t="shared" si="27"/>
        <v>17</v>
      </c>
      <c r="AY34" s="87">
        <f t="shared" si="28"/>
        <v>17</v>
      </c>
      <c r="AZ34" s="87">
        <f t="shared" si="29"/>
        <v>4</v>
      </c>
      <c r="BA34" s="87">
        <f t="shared" si="30"/>
        <v>0</v>
      </c>
      <c r="BB34" s="87">
        <f t="shared" si="31"/>
        <v>0</v>
      </c>
      <c r="BC34" s="87">
        <f t="shared" si="32"/>
        <v>0</v>
      </c>
      <c r="BD34" s="87">
        <f t="shared" si="33"/>
        <v>0</v>
      </c>
      <c r="BE34" s="87">
        <f t="shared" si="34"/>
        <v>0</v>
      </c>
      <c r="BF34" s="87">
        <f t="shared" si="35"/>
        <v>0</v>
      </c>
      <c r="BG34" s="87">
        <f t="shared" si="36"/>
        <v>0</v>
      </c>
      <c r="BH34" s="87">
        <f t="shared" si="37"/>
        <v>0</v>
      </c>
    </row>
    <row r="35" spans="2:60" s="64" customFormat="1" ht="17.850000000000001" customHeight="1" x14ac:dyDescent="0.3">
      <c r="B35" s="88">
        <v>34</v>
      </c>
      <c r="C35" s="87">
        <f t="shared" si="38"/>
        <v>2</v>
      </c>
      <c r="D35" s="87">
        <f t="shared" si="39"/>
        <v>0</v>
      </c>
      <c r="E35" s="87">
        <f t="shared" si="39"/>
        <v>0</v>
      </c>
      <c r="F35" s="87">
        <f t="shared" si="39"/>
        <v>0</v>
      </c>
      <c r="G35" s="87">
        <f t="shared" si="39"/>
        <v>0</v>
      </c>
      <c r="H35" s="87">
        <f t="shared" si="39"/>
        <v>0</v>
      </c>
      <c r="I35" s="87">
        <f t="shared" si="39"/>
        <v>0</v>
      </c>
      <c r="J35" s="87">
        <f t="shared" si="39"/>
        <v>0</v>
      </c>
      <c r="K35" s="87">
        <f t="shared" si="39"/>
        <v>0</v>
      </c>
      <c r="L35" s="87">
        <f t="shared" si="39"/>
        <v>19</v>
      </c>
      <c r="M35" s="87">
        <f t="shared" si="39"/>
        <v>0</v>
      </c>
      <c r="N35" s="87">
        <f t="shared" si="40"/>
        <v>0</v>
      </c>
      <c r="O35" s="87">
        <f t="shared" si="40"/>
        <v>0</v>
      </c>
      <c r="P35" s="87">
        <f t="shared" si="40"/>
        <v>0</v>
      </c>
      <c r="Q35" s="87">
        <f t="shared" si="40"/>
        <v>0</v>
      </c>
      <c r="R35" s="87">
        <f t="shared" si="40"/>
        <v>0</v>
      </c>
      <c r="S35" s="87">
        <f t="shared" si="40"/>
        <v>0</v>
      </c>
      <c r="T35" s="87">
        <f t="shared" si="40"/>
        <v>0</v>
      </c>
      <c r="U35" s="65"/>
      <c r="V35" s="85">
        <v>75</v>
      </c>
      <c r="W35" s="87">
        <f t="shared" si="2"/>
        <v>2</v>
      </c>
      <c r="X35" s="87">
        <f t="shared" si="3"/>
        <v>0</v>
      </c>
      <c r="Y35" s="87">
        <f t="shared" si="4"/>
        <v>0</v>
      </c>
      <c r="Z35" s="87">
        <f t="shared" si="5"/>
        <v>0</v>
      </c>
      <c r="AA35" s="87">
        <f t="shared" si="6"/>
        <v>0</v>
      </c>
      <c r="AB35" s="87">
        <f t="shared" si="7"/>
        <v>0</v>
      </c>
      <c r="AC35" s="87">
        <f t="shared" si="8"/>
        <v>0</v>
      </c>
      <c r="AD35" s="87">
        <f t="shared" si="9"/>
        <v>0</v>
      </c>
      <c r="AE35" s="87">
        <f t="shared" si="10"/>
        <v>0</v>
      </c>
      <c r="AF35" s="87">
        <f t="shared" si="11"/>
        <v>0</v>
      </c>
      <c r="AG35" s="87">
        <f t="shared" si="12"/>
        <v>0</v>
      </c>
      <c r="AH35" s="87">
        <f t="shared" si="13"/>
        <v>0</v>
      </c>
      <c r="AI35" s="87">
        <f t="shared" si="14"/>
        <v>0</v>
      </c>
      <c r="AJ35" s="87">
        <f t="shared" si="15"/>
        <v>0</v>
      </c>
      <c r="AK35" s="87">
        <f t="shared" si="16"/>
        <v>0</v>
      </c>
      <c r="AL35" s="87">
        <f t="shared" si="17"/>
        <v>0</v>
      </c>
      <c r="AM35" s="87">
        <f t="shared" si="18"/>
        <v>0</v>
      </c>
      <c r="AN35" s="87">
        <f t="shared" si="19"/>
        <v>0</v>
      </c>
      <c r="AO35" s="65"/>
      <c r="AP35" s="88">
        <v>116</v>
      </c>
      <c r="AQ35" s="87">
        <f t="shared" si="20"/>
        <v>2</v>
      </c>
      <c r="AR35" s="87">
        <f t="shared" si="21"/>
        <v>6</v>
      </c>
      <c r="AS35" s="87">
        <f t="shared" si="22"/>
        <v>0</v>
      </c>
      <c r="AT35" s="87">
        <f t="shared" si="23"/>
        <v>31</v>
      </c>
      <c r="AU35" s="87">
        <f t="shared" si="24"/>
        <v>30</v>
      </c>
      <c r="AV35" s="87">
        <f t="shared" si="25"/>
        <v>15</v>
      </c>
      <c r="AW35" s="87">
        <f t="shared" si="26"/>
        <v>27</v>
      </c>
      <c r="AX35" s="87">
        <f t="shared" si="27"/>
        <v>14</v>
      </c>
      <c r="AY35" s="87">
        <f t="shared" si="28"/>
        <v>44</v>
      </c>
      <c r="AZ35" s="87">
        <f t="shared" si="29"/>
        <v>10</v>
      </c>
      <c r="BA35" s="87">
        <f t="shared" si="30"/>
        <v>0</v>
      </c>
      <c r="BB35" s="87">
        <f t="shared" si="31"/>
        <v>0</v>
      </c>
      <c r="BC35" s="87">
        <f t="shared" si="32"/>
        <v>0</v>
      </c>
      <c r="BD35" s="87">
        <f t="shared" si="33"/>
        <v>0</v>
      </c>
      <c r="BE35" s="87">
        <f t="shared" si="34"/>
        <v>0</v>
      </c>
      <c r="BF35" s="87">
        <f t="shared" si="35"/>
        <v>0</v>
      </c>
      <c r="BG35" s="87">
        <f t="shared" si="36"/>
        <v>0</v>
      </c>
      <c r="BH35" s="87">
        <f t="shared" si="37"/>
        <v>0</v>
      </c>
    </row>
    <row r="36" spans="2:60" s="64" customFormat="1" ht="17.850000000000001" customHeight="1" x14ac:dyDescent="0.3">
      <c r="B36" s="85">
        <v>35</v>
      </c>
      <c r="C36" s="87">
        <f t="shared" si="38"/>
        <v>2</v>
      </c>
      <c r="D36" s="87">
        <f t="shared" si="39"/>
        <v>11</v>
      </c>
      <c r="E36" s="87">
        <f t="shared" si="39"/>
        <v>0</v>
      </c>
      <c r="F36" s="87">
        <f t="shared" si="39"/>
        <v>10</v>
      </c>
      <c r="G36" s="87">
        <f t="shared" si="39"/>
        <v>38</v>
      </c>
      <c r="H36" s="87">
        <f t="shared" si="39"/>
        <v>50</v>
      </c>
      <c r="I36" s="87">
        <f t="shared" si="39"/>
        <v>0</v>
      </c>
      <c r="J36" s="87">
        <f t="shared" si="39"/>
        <v>0</v>
      </c>
      <c r="K36" s="87">
        <f t="shared" si="39"/>
        <v>0</v>
      </c>
      <c r="L36" s="87">
        <f t="shared" si="39"/>
        <v>0</v>
      </c>
      <c r="M36" s="87">
        <f t="shared" si="39"/>
        <v>0</v>
      </c>
      <c r="N36" s="87">
        <f t="shared" si="40"/>
        <v>0</v>
      </c>
      <c r="O36" s="87">
        <f t="shared" si="40"/>
        <v>0</v>
      </c>
      <c r="P36" s="87">
        <f t="shared" si="40"/>
        <v>0</v>
      </c>
      <c r="Q36" s="87">
        <f t="shared" si="40"/>
        <v>0</v>
      </c>
      <c r="R36" s="87">
        <f t="shared" si="40"/>
        <v>0</v>
      </c>
      <c r="S36" s="87">
        <f t="shared" si="40"/>
        <v>0</v>
      </c>
      <c r="T36" s="87">
        <f t="shared" si="40"/>
        <v>0</v>
      </c>
      <c r="U36" s="65"/>
      <c r="V36" s="88">
        <v>76</v>
      </c>
      <c r="W36" s="87">
        <f t="shared" si="2"/>
        <v>2</v>
      </c>
      <c r="X36" s="87">
        <f t="shared" si="3"/>
        <v>0</v>
      </c>
      <c r="Y36" s="87">
        <f t="shared" si="4"/>
        <v>0</v>
      </c>
      <c r="Z36" s="87">
        <f t="shared" si="5"/>
        <v>0</v>
      </c>
      <c r="AA36" s="87">
        <f t="shared" si="6"/>
        <v>0</v>
      </c>
      <c r="AB36" s="87">
        <f t="shared" si="7"/>
        <v>0</v>
      </c>
      <c r="AC36" s="87">
        <f t="shared" si="8"/>
        <v>0</v>
      </c>
      <c r="AD36" s="87">
        <f t="shared" si="9"/>
        <v>0</v>
      </c>
      <c r="AE36" s="87">
        <f t="shared" si="10"/>
        <v>0</v>
      </c>
      <c r="AF36" s="87">
        <f t="shared" si="11"/>
        <v>0</v>
      </c>
      <c r="AG36" s="87">
        <f t="shared" si="12"/>
        <v>0</v>
      </c>
      <c r="AH36" s="87">
        <f t="shared" si="13"/>
        <v>0</v>
      </c>
      <c r="AI36" s="87">
        <f t="shared" si="14"/>
        <v>0</v>
      </c>
      <c r="AJ36" s="87">
        <f t="shared" si="15"/>
        <v>0</v>
      </c>
      <c r="AK36" s="87">
        <f t="shared" si="16"/>
        <v>0</v>
      </c>
      <c r="AL36" s="87">
        <f t="shared" si="17"/>
        <v>0</v>
      </c>
      <c r="AM36" s="87">
        <f t="shared" si="18"/>
        <v>0</v>
      </c>
      <c r="AN36" s="87">
        <f t="shared" si="19"/>
        <v>0</v>
      </c>
      <c r="AO36" s="65"/>
      <c r="AP36" s="85">
        <v>117</v>
      </c>
      <c r="AQ36" s="87">
        <f t="shared" si="20"/>
        <v>2</v>
      </c>
      <c r="AR36" s="87">
        <f t="shared" si="21"/>
        <v>15</v>
      </c>
      <c r="AS36" s="87">
        <f t="shared" si="22"/>
        <v>39</v>
      </c>
      <c r="AT36" s="87">
        <f t="shared" si="23"/>
        <v>43</v>
      </c>
      <c r="AU36" s="87">
        <f t="shared" si="24"/>
        <v>28</v>
      </c>
      <c r="AV36" s="87">
        <f t="shared" si="25"/>
        <v>19</v>
      </c>
      <c r="AW36" s="87">
        <f t="shared" si="26"/>
        <v>19</v>
      </c>
      <c r="AX36" s="87">
        <f t="shared" si="27"/>
        <v>36</v>
      </c>
      <c r="AY36" s="87">
        <f t="shared" si="28"/>
        <v>22</v>
      </c>
      <c r="AZ36" s="87">
        <f t="shared" si="29"/>
        <v>3</v>
      </c>
      <c r="BA36" s="87">
        <f t="shared" si="30"/>
        <v>0</v>
      </c>
      <c r="BB36" s="87">
        <f t="shared" si="31"/>
        <v>0</v>
      </c>
      <c r="BC36" s="87">
        <f t="shared" si="32"/>
        <v>0</v>
      </c>
      <c r="BD36" s="87">
        <f t="shared" si="33"/>
        <v>0</v>
      </c>
      <c r="BE36" s="87">
        <f t="shared" si="34"/>
        <v>0</v>
      </c>
      <c r="BF36" s="87">
        <f t="shared" si="35"/>
        <v>0</v>
      </c>
      <c r="BG36" s="87">
        <f t="shared" si="36"/>
        <v>0</v>
      </c>
      <c r="BH36" s="87">
        <f t="shared" si="37"/>
        <v>0</v>
      </c>
    </row>
    <row r="37" spans="2:60" s="64" customFormat="1" ht="17.850000000000001" customHeight="1" x14ac:dyDescent="0.3">
      <c r="B37" s="88">
        <v>36</v>
      </c>
      <c r="C37" s="87">
        <f t="shared" si="38"/>
        <v>2</v>
      </c>
      <c r="D37" s="87">
        <f t="shared" si="39"/>
        <v>20</v>
      </c>
      <c r="E37" s="87">
        <f t="shared" si="39"/>
        <v>24</v>
      </c>
      <c r="F37" s="87">
        <f t="shared" si="39"/>
        <v>16</v>
      </c>
      <c r="G37" s="87">
        <f t="shared" si="39"/>
        <v>12</v>
      </c>
      <c r="H37" s="87">
        <f t="shared" si="39"/>
        <v>22</v>
      </c>
      <c r="I37" s="87">
        <f t="shared" si="39"/>
        <v>22</v>
      </c>
      <c r="J37" s="87">
        <f t="shared" si="39"/>
        <v>30</v>
      </c>
      <c r="K37" s="87">
        <f t="shared" si="39"/>
        <v>27</v>
      </c>
      <c r="L37" s="87">
        <f t="shared" si="39"/>
        <v>27</v>
      </c>
      <c r="M37" s="87">
        <f t="shared" si="39"/>
        <v>0</v>
      </c>
      <c r="N37" s="87">
        <f t="shared" si="40"/>
        <v>0</v>
      </c>
      <c r="O37" s="87">
        <f t="shared" si="40"/>
        <v>0</v>
      </c>
      <c r="P37" s="87">
        <f t="shared" si="40"/>
        <v>0</v>
      </c>
      <c r="Q37" s="87">
        <f t="shared" si="40"/>
        <v>0</v>
      </c>
      <c r="R37" s="87">
        <f t="shared" si="40"/>
        <v>0</v>
      </c>
      <c r="S37" s="87">
        <f t="shared" si="40"/>
        <v>0</v>
      </c>
      <c r="T37" s="87">
        <f t="shared" si="40"/>
        <v>0</v>
      </c>
      <c r="U37" s="65"/>
      <c r="V37" s="85">
        <v>77</v>
      </c>
      <c r="W37" s="87">
        <f t="shared" si="2"/>
        <v>2</v>
      </c>
      <c r="X37" s="87">
        <f t="shared" si="3"/>
        <v>0</v>
      </c>
      <c r="Y37" s="87">
        <f t="shared" si="4"/>
        <v>0</v>
      </c>
      <c r="Z37" s="87">
        <f t="shared" si="5"/>
        <v>0</v>
      </c>
      <c r="AA37" s="87">
        <f t="shared" si="6"/>
        <v>0</v>
      </c>
      <c r="AB37" s="87">
        <f t="shared" si="7"/>
        <v>0</v>
      </c>
      <c r="AC37" s="87">
        <f t="shared" si="8"/>
        <v>0</v>
      </c>
      <c r="AD37" s="87">
        <f t="shared" si="9"/>
        <v>0</v>
      </c>
      <c r="AE37" s="87">
        <f t="shared" si="10"/>
        <v>0</v>
      </c>
      <c r="AF37" s="87">
        <f t="shared" si="11"/>
        <v>0</v>
      </c>
      <c r="AG37" s="87">
        <f t="shared" si="12"/>
        <v>0</v>
      </c>
      <c r="AH37" s="87">
        <f t="shared" si="13"/>
        <v>0</v>
      </c>
      <c r="AI37" s="87">
        <f t="shared" si="14"/>
        <v>0</v>
      </c>
      <c r="AJ37" s="87">
        <f t="shared" si="15"/>
        <v>0</v>
      </c>
      <c r="AK37" s="87">
        <f t="shared" si="16"/>
        <v>0</v>
      </c>
      <c r="AL37" s="87">
        <f t="shared" si="17"/>
        <v>0</v>
      </c>
      <c r="AM37" s="87">
        <f t="shared" si="18"/>
        <v>0</v>
      </c>
      <c r="AN37" s="87">
        <f t="shared" si="19"/>
        <v>0</v>
      </c>
      <c r="AO37" s="65"/>
      <c r="AP37" s="88">
        <v>118</v>
      </c>
      <c r="AQ37" s="87">
        <f t="shared" si="20"/>
        <v>2</v>
      </c>
      <c r="AR37" s="87">
        <f t="shared" si="21"/>
        <v>17</v>
      </c>
      <c r="AS37" s="87">
        <f t="shared" si="22"/>
        <v>12</v>
      </c>
      <c r="AT37" s="87">
        <f t="shared" si="23"/>
        <v>57</v>
      </c>
      <c r="AU37" s="87">
        <f t="shared" si="24"/>
        <v>49</v>
      </c>
      <c r="AV37" s="87">
        <f t="shared" si="25"/>
        <v>29</v>
      </c>
      <c r="AW37" s="87">
        <f t="shared" si="26"/>
        <v>15</v>
      </c>
      <c r="AX37" s="87">
        <f t="shared" si="27"/>
        <v>15</v>
      </c>
      <c r="AY37" s="87">
        <f t="shared" si="28"/>
        <v>13</v>
      </c>
      <c r="AZ37" s="87">
        <f t="shared" si="29"/>
        <v>9</v>
      </c>
      <c r="BA37" s="87">
        <f t="shared" si="30"/>
        <v>0</v>
      </c>
      <c r="BB37" s="87">
        <f t="shared" si="31"/>
        <v>0</v>
      </c>
      <c r="BC37" s="87">
        <f t="shared" si="32"/>
        <v>0</v>
      </c>
      <c r="BD37" s="87">
        <f t="shared" si="33"/>
        <v>0</v>
      </c>
      <c r="BE37" s="87">
        <f t="shared" si="34"/>
        <v>0</v>
      </c>
      <c r="BF37" s="87">
        <f t="shared" si="35"/>
        <v>0</v>
      </c>
      <c r="BG37" s="87">
        <f t="shared" si="36"/>
        <v>0</v>
      </c>
      <c r="BH37" s="87">
        <f t="shared" si="37"/>
        <v>0</v>
      </c>
    </row>
    <row r="38" spans="2:60" s="64" customFormat="1" ht="17.850000000000001" customHeight="1" x14ac:dyDescent="0.3">
      <c r="B38" s="85">
        <v>37</v>
      </c>
      <c r="C38" s="87">
        <f t="shared" si="38"/>
        <v>2</v>
      </c>
      <c r="D38" s="87">
        <f t="shared" si="39"/>
        <v>50</v>
      </c>
      <c r="E38" s="87">
        <f t="shared" si="39"/>
        <v>44</v>
      </c>
      <c r="F38" s="87">
        <f t="shared" si="39"/>
        <v>12</v>
      </c>
      <c r="G38" s="87">
        <f t="shared" si="39"/>
        <v>29</v>
      </c>
      <c r="H38" s="87">
        <f t="shared" si="39"/>
        <v>25</v>
      </c>
      <c r="I38" s="87">
        <f t="shared" si="39"/>
        <v>28</v>
      </c>
      <c r="J38" s="87">
        <f t="shared" si="39"/>
        <v>20</v>
      </c>
      <c r="K38" s="87">
        <f t="shared" si="39"/>
        <v>12</v>
      </c>
      <c r="L38" s="87">
        <f t="shared" si="39"/>
        <v>15</v>
      </c>
      <c r="M38" s="87">
        <f t="shared" si="39"/>
        <v>0</v>
      </c>
      <c r="N38" s="87">
        <f t="shared" si="40"/>
        <v>0</v>
      </c>
      <c r="O38" s="87">
        <f t="shared" si="40"/>
        <v>0</v>
      </c>
      <c r="P38" s="87">
        <f t="shared" si="40"/>
        <v>0</v>
      </c>
      <c r="Q38" s="87">
        <f t="shared" si="40"/>
        <v>0</v>
      </c>
      <c r="R38" s="87">
        <f t="shared" si="40"/>
        <v>0</v>
      </c>
      <c r="S38" s="87">
        <f t="shared" si="40"/>
        <v>0</v>
      </c>
      <c r="T38" s="87">
        <f t="shared" si="40"/>
        <v>0</v>
      </c>
      <c r="U38" s="65"/>
      <c r="V38" s="88">
        <v>78</v>
      </c>
      <c r="W38" s="87">
        <f t="shared" si="2"/>
        <v>2</v>
      </c>
      <c r="X38" s="87">
        <f t="shared" si="3"/>
        <v>0</v>
      </c>
      <c r="Y38" s="87">
        <f t="shared" si="4"/>
        <v>0</v>
      </c>
      <c r="Z38" s="87">
        <f t="shared" si="5"/>
        <v>0</v>
      </c>
      <c r="AA38" s="87">
        <f t="shared" si="6"/>
        <v>0</v>
      </c>
      <c r="AB38" s="87">
        <f t="shared" si="7"/>
        <v>0</v>
      </c>
      <c r="AC38" s="87">
        <f t="shared" si="8"/>
        <v>0</v>
      </c>
      <c r="AD38" s="87">
        <f t="shared" si="9"/>
        <v>0</v>
      </c>
      <c r="AE38" s="87">
        <f t="shared" si="10"/>
        <v>0</v>
      </c>
      <c r="AF38" s="87">
        <f t="shared" si="11"/>
        <v>0</v>
      </c>
      <c r="AG38" s="87">
        <f t="shared" si="12"/>
        <v>0</v>
      </c>
      <c r="AH38" s="87">
        <f t="shared" si="13"/>
        <v>0</v>
      </c>
      <c r="AI38" s="87">
        <f t="shared" si="14"/>
        <v>0</v>
      </c>
      <c r="AJ38" s="87">
        <f t="shared" si="15"/>
        <v>0</v>
      </c>
      <c r="AK38" s="87">
        <f t="shared" si="16"/>
        <v>0</v>
      </c>
      <c r="AL38" s="87">
        <f t="shared" si="17"/>
        <v>0</v>
      </c>
      <c r="AM38" s="87">
        <f t="shared" si="18"/>
        <v>0</v>
      </c>
      <c r="AN38" s="87">
        <f t="shared" si="19"/>
        <v>0</v>
      </c>
      <c r="AO38" s="65"/>
      <c r="AP38" s="85">
        <v>119</v>
      </c>
      <c r="AQ38" s="87">
        <f t="shared" si="20"/>
        <v>2</v>
      </c>
      <c r="AR38" s="87">
        <f t="shared" si="21"/>
        <v>0</v>
      </c>
      <c r="AS38" s="87">
        <f t="shared" si="22"/>
        <v>0</v>
      </c>
      <c r="AT38" s="87">
        <f t="shared" si="23"/>
        <v>0</v>
      </c>
      <c r="AU38" s="87">
        <f t="shared" si="24"/>
        <v>0</v>
      </c>
      <c r="AV38" s="87">
        <f t="shared" si="25"/>
        <v>0</v>
      </c>
      <c r="AW38" s="87">
        <f t="shared" si="26"/>
        <v>0</v>
      </c>
      <c r="AX38" s="87">
        <f t="shared" si="27"/>
        <v>14</v>
      </c>
      <c r="AY38" s="87">
        <f t="shared" si="28"/>
        <v>1</v>
      </c>
      <c r="AZ38" s="87">
        <f t="shared" si="29"/>
        <v>0</v>
      </c>
      <c r="BA38" s="87">
        <f t="shared" si="30"/>
        <v>0</v>
      </c>
      <c r="BB38" s="87">
        <f t="shared" si="31"/>
        <v>0</v>
      </c>
      <c r="BC38" s="87">
        <f t="shared" si="32"/>
        <v>0</v>
      </c>
      <c r="BD38" s="87">
        <f t="shared" si="33"/>
        <v>0</v>
      </c>
      <c r="BE38" s="87">
        <f t="shared" si="34"/>
        <v>0</v>
      </c>
      <c r="BF38" s="87">
        <f t="shared" si="35"/>
        <v>0</v>
      </c>
      <c r="BG38" s="87">
        <f t="shared" si="36"/>
        <v>0</v>
      </c>
      <c r="BH38" s="87">
        <f t="shared" si="37"/>
        <v>0</v>
      </c>
    </row>
    <row r="39" spans="2:60" s="64" customFormat="1" ht="17.850000000000001" customHeight="1" x14ac:dyDescent="0.3">
      <c r="B39" s="88">
        <v>38</v>
      </c>
      <c r="C39" s="87">
        <f t="shared" si="38"/>
        <v>2</v>
      </c>
      <c r="D39" s="87">
        <f t="shared" si="39"/>
        <v>49</v>
      </c>
      <c r="E39" s="87">
        <f t="shared" si="39"/>
        <v>3</v>
      </c>
      <c r="F39" s="87">
        <f t="shared" si="39"/>
        <v>4</v>
      </c>
      <c r="G39" s="87">
        <f t="shared" si="39"/>
        <v>7</v>
      </c>
      <c r="H39" s="87">
        <f t="shared" si="39"/>
        <v>7</v>
      </c>
      <c r="I39" s="87">
        <f t="shared" si="39"/>
        <v>15</v>
      </c>
      <c r="J39" s="87">
        <f t="shared" si="39"/>
        <v>8</v>
      </c>
      <c r="K39" s="87">
        <f t="shared" si="39"/>
        <v>1</v>
      </c>
      <c r="L39" s="87">
        <f t="shared" si="39"/>
        <v>14</v>
      </c>
      <c r="M39" s="87">
        <f t="shared" si="39"/>
        <v>0</v>
      </c>
      <c r="N39" s="87">
        <f t="shared" si="40"/>
        <v>0</v>
      </c>
      <c r="O39" s="87">
        <f t="shared" si="40"/>
        <v>0</v>
      </c>
      <c r="P39" s="87">
        <f t="shared" si="40"/>
        <v>0</v>
      </c>
      <c r="Q39" s="87">
        <f t="shared" si="40"/>
        <v>0</v>
      </c>
      <c r="R39" s="87">
        <f t="shared" si="40"/>
        <v>0</v>
      </c>
      <c r="S39" s="87">
        <f t="shared" si="40"/>
        <v>0</v>
      </c>
      <c r="T39" s="87">
        <f t="shared" si="40"/>
        <v>0</v>
      </c>
      <c r="U39" s="65"/>
      <c r="V39" s="85">
        <v>79</v>
      </c>
      <c r="W39" s="87">
        <f t="shared" si="2"/>
        <v>2</v>
      </c>
      <c r="X39" s="87">
        <f t="shared" si="3"/>
        <v>0</v>
      </c>
      <c r="Y39" s="87">
        <f t="shared" si="4"/>
        <v>0</v>
      </c>
      <c r="Z39" s="87">
        <f t="shared" si="5"/>
        <v>0</v>
      </c>
      <c r="AA39" s="87">
        <f t="shared" si="6"/>
        <v>0</v>
      </c>
      <c r="AB39" s="87">
        <f t="shared" si="7"/>
        <v>0</v>
      </c>
      <c r="AC39" s="87">
        <f t="shared" si="8"/>
        <v>0</v>
      </c>
      <c r="AD39" s="87">
        <f t="shared" si="9"/>
        <v>0</v>
      </c>
      <c r="AE39" s="87">
        <f t="shared" si="10"/>
        <v>0</v>
      </c>
      <c r="AF39" s="87">
        <f t="shared" si="11"/>
        <v>0</v>
      </c>
      <c r="AG39" s="87">
        <f t="shared" si="12"/>
        <v>0</v>
      </c>
      <c r="AH39" s="87">
        <f t="shared" si="13"/>
        <v>0</v>
      </c>
      <c r="AI39" s="87">
        <f t="shared" si="14"/>
        <v>0</v>
      </c>
      <c r="AJ39" s="87">
        <f t="shared" si="15"/>
        <v>0</v>
      </c>
      <c r="AK39" s="87">
        <f t="shared" si="16"/>
        <v>0</v>
      </c>
      <c r="AL39" s="87">
        <f t="shared" si="17"/>
        <v>0</v>
      </c>
      <c r="AM39" s="87">
        <f t="shared" si="18"/>
        <v>0</v>
      </c>
      <c r="AN39" s="87">
        <f t="shared" si="19"/>
        <v>0</v>
      </c>
      <c r="AO39" s="65"/>
      <c r="AP39" s="88">
        <v>120</v>
      </c>
      <c r="AQ39" s="87">
        <f t="shared" si="20"/>
        <v>2</v>
      </c>
      <c r="AR39" s="87">
        <f t="shared" si="21"/>
        <v>5</v>
      </c>
      <c r="AS39" s="87">
        <f t="shared" si="22"/>
        <v>26</v>
      </c>
      <c r="AT39" s="87">
        <f t="shared" si="23"/>
        <v>29</v>
      </c>
      <c r="AU39" s="87">
        <f t="shared" si="24"/>
        <v>45</v>
      </c>
      <c r="AV39" s="87">
        <f t="shared" si="25"/>
        <v>50</v>
      </c>
      <c r="AW39" s="87">
        <f t="shared" si="26"/>
        <v>42</v>
      </c>
      <c r="AX39" s="87">
        <f t="shared" si="27"/>
        <v>0</v>
      </c>
      <c r="AY39" s="87">
        <f t="shared" si="28"/>
        <v>38</v>
      </c>
      <c r="AZ39" s="87">
        <f t="shared" si="29"/>
        <v>43</v>
      </c>
      <c r="BA39" s="87">
        <f t="shared" si="30"/>
        <v>0</v>
      </c>
      <c r="BB39" s="87">
        <f t="shared" si="31"/>
        <v>0</v>
      </c>
      <c r="BC39" s="87">
        <f t="shared" si="32"/>
        <v>0</v>
      </c>
      <c r="BD39" s="87">
        <f t="shared" si="33"/>
        <v>0</v>
      </c>
      <c r="BE39" s="87">
        <f t="shared" si="34"/>
        <v>0</v>
      </c>
      <c r="BF39" s="87">
        <f t="shared" si="35"/>
        <v>0</v>
      </c>
      <c r="BG39" s="87">
        <f t="shared" si="36"/>
        <v>0</v>
      </c>
      <c r="BH39" s="87">
        <f t="shared" si="37"/>
        <v>0</v>
      </c>
    </row>
    <row r="40" spans="2:60" s="64" customFormat="1" ht="17.850000000000001" customHeight="1" x14ac:dyDescent="0.3">
      <c r="B40" s="85">
        <v>39</v>
      </c>
      <c r="C40" s="87">
        <f t="shared" si="38"/>
        <v>2</v>
      </c>
      <c r="D40" s="87">
        <f t="shared" si="39"/>
        <v>7</v>
      </c>
      <c r="E40" s="87">
        <f t="shared" si="39"/>
        <v>14</v>
      </c>
      <c r="F40" s="87">
        <f t="shared" si="39"/>
        <v>21</v>
      </c>
      <c r="G40" s="87">
        <f t="shared" si="39"/>
        <v>16</v>
      </c>
      <c r="H40" s="87">
        <f t="shared" si="39"/>
        <v>4</v>
      </c>
      <c r="I40" s="87">
        <f t="shared" si="39"/>
        <v>10</v>
      </c>
      <c r="J40" s="87">
        <f t="shared" si="39"/>
        <v>21</v>
      </c>
      <c r="K40" s="87">
        <f t="shared" si="39"/>
        <v>28</v>
      </c>
      <c r="L40" s="87">
        <f t="shared" si="39"/>
        <v>26</v>
      </c>
      <c r="M40" s="87">
        <f t="shared" si="39"/>
        <v>0</v>
      </c>
      <c r="N40" s="87">
        <f t="shared" si="40"/>
        <v>0</v>
      </c>
      <c r="O40" s="87">
        <f t="shared" si="40"/>
        <v>0</v>
      </c>
      <c r="P40" s="87">
        <f t="shared" si="40"/>
        <v>0</v>
      </c>
      <c r="Q40" s="87">
        <f t="shared" si="40"/>
        <v>0</v>
      </c>
      <c r="R40" s="87">
        <f t="shared" si="40"/>
        <v>0</v>
      </c>
      <c r="S40" s="87">
        <f t="shared" si="40"/>
        <v>0</v>
      </c>
      <c r="T40" s="87">
        <f t="shared" si="40"/>
        <v>0</v>
      </c>
      <c r="U40" s="65"/>
      <c r="V40" s="88">
        <v>80</v>
      </c>
      <c r="W40" s="87">
        <f t="shared" si="2"/>
        <v>2</v>
      </c>
      <c r="X40" s="87">
        <f t="shared" si="3"/>
        <v>0</v>
      </c>
      <c r="Y40" s="87">
        <f t="shared" si="4"/>
        <v>0</v>
      </c>
      <c r="Z40" s="87">
        <f t="shared" si="5"/>
        <v>0</v>
      </c>
      <c r="AA40" s="87">
        <f t="shared" si="6"/>
        <v>0</v>
      </c>
      <c r="AB40" s="87">
        <f t="shared" si="7"/>
        <v>0</v>
      </c>
      <c r="AC40" s="87">
        <f t="shared" si="8"/>
        <v>0</v>
      </c>
      <c r="AD40" s="87">
        <f t="shared" si="9"/>
        <v>0</v>
      </c>
      <c r="AE40" s="87">
        <f t="shared" si="10"/>
        <v>0</v>
      </c>
      <c r="AF40" s="87">
        <f t="shared" si="11"/>
        <v>0</v>
      </c>
      <c r="AG40" s="87">
        <f t="shared" si="12"/>
        <v>0</v>
      </c>
      <c r="AH40" s="87">
        <f t="shared" si="13"/>
        <v>0</v>
      </c>
      <c r="AI40" s="87">
        <f t="shared" si="14"/>
        <v>0</v>
      </c>
      <c r="AJ40" s="87">
        <f t="shared" si="15"/>
        <v>0</v>
      </c>
      <c r="AK40" s="87">
        <f t="shared" si="16"/>
        <v>0</v>
      </c>
      <c r="AL40" s="87">
        <f t="shared" si="17"/>
        <v>0</v>
      </c>
      <c r="AM40" s="87">
        <f t="shared" si="18"/>
        <v>0</v>
      </c>
      <c r="AN40" s="87">
        <f t="shared" si="19"/>
        <v>0</v>
      </c>
      <c r="AO40" s="65"/>
      <c r="AP40" s="85">
        <v>121</v>
      </c>
      <c r="AQ40" s="87">
        <f t="shared" si="20"/>
        <v>2</v>
      </c>
      <c r="AR40" s="87">
        <f t="shared" si="21"/>
        <v>9</v>
      </c>
      <c r="AS40" s="87">
        <f t="shared" si="22"/>
        <v>36</v>
      </c>
      <c r="AT40" s="87">
        <f t="shared" si="23"/>
        <v>57</v>
      </c>
      <c r="AU40" s="87">
        <f t="shared" si="24"/>
        <v>51</v>
      </c>
      <c r="AV40" s="87">
        <f t="shared" si="25"/>
        <v>34</v>
      </c>
      <c r="AW40" s="87">
        <f t="shared" si="26"/>
        <v>20</v>
      </c>
      <c r="AX40" s="87">
        <f t="shared" si="27"/>
        <v>17</v>
      </c>
      <c r="AY40" s="87">
        <f t="shared" si="28"/>
        <v>19</v>
      </c>
      <c r="AZ40" s="87">
        <f t="shared" si="29"/>
        <v>7</v>
      </c>
      <c r="BA40" s="87">
        <f t="shared" si="30"/>
        <v>0</v>
      </c>
      <c r="BB40" s="87">
        <f t="shared" si="31"/>
        <v>0</v>
      </c>
      <c r="BC40" s="87">
        <f t="shared" si="32"/>
        <v>0</v>
      </c>
      <c r="BD40" s="87">
        <f t="shared" si="33"/>
        <v>0</v>
      </c>
      <c r="BE40" s="87">
        <f t="shared" si="34"/>
        <v>0</v>
      </c>
      <c r="BF40" s="87">
        <f t="shared" si="35"/>
        <v>0</v>
      </c>
      <c r="BG40" s="87">
        <f t="shared" si="36"/>
        <v>0</v>
      </c>
      <c r="BH40" s="87">
        <f t="shared" si="37"/>
        <v>0</v>
      </c>
    </row>
    <row r="41" spans="2:60" s="64" customFormat="1" ht="17.850000000000001" customHeight="1" x14ac:dyDescent="0.3">
      <c r="B41" s="88">
        <v>40</v>
      </c>
      <c r="C41" s="87">
        <f t="shared" si="38"/>
        <v>2</v>
      </c>
      <c r="D41" s="87">
        <f t="shared" si="39"/>
        <v>0</v>
      </c>
      <c r="E41" s="87">
        <f t="shared" si="39"/>
        <v>0</v>
      </c>
      <c r="F41" s="87">
        <f t="shared" si="39"/>
        <v>0</v>
      </c>
      <c r="G41" s="87">
        <f t="shared" si="39"/>
        <v>0</v>
      </c>
      <c r="H41" s="87">
        <f t="shared" si="39"/>
        <v>0</v>
      </c>
      <c r="I41" s="87">
        <f t="shared" si="39"/>
        <v>0</v>
      </c>
      <c r="J41" s="87">
        <f t="shared" si="39"/>
        <v>0</v>
      </c>
      <c r="K41" s="87">
        <f t="shared" si="39"/>
        <v>0</v>
      </c>
      <c r="L41" s="87">
        <f t="shared" si="39"/>
        <v>0</v>
      </c>
      <c r="M41" s="87">
        <f t="shared" si="39"/>
        <v>0</v>
      </c>
      <c r="N41" s="87">
        <f t="shared" si="40"/>
        <v>0</v>
      </c>
      <c r="O41" s="87">
        <f t="shared" si="40"/>
        <v>0</v>
      </c>
      <c r="P41" s="87">
        <f t="shared" si="40"/>
        <v>0</v>
      </c>
      <c r="Q41" s="87">
        <f t="shared" si="40"/>
        <v>0</v>
      </c>
      <c r="R41" s="87">
        <f t="shared" si="40"/>
        <v>0</v>
      </c>
      <c r="S41" s="87">
        <f t="shared" si="40"/>
        <v>0</v>
      </c>
      <c r="T41" s="87">
        <f t="shared" si="40"/>
        <v>0</v>
      </c>
      <c r="U41" s="65"/>
      <c r="V41" s="85">
        <v>81</v>
      </c>
      <c r="W41" s="87">
        <f t="shared" si="2"/>
        <v>2</v>
      </c>
      <c r="X41" s="87">
        <f t="shared" si="3"/>
        <v>0</v>
      </c>
      <c r="Y41" s="87">
        <f t="shared" si="4"/>
        <v>0</v>
      </c>
      <c r="Z41" s="87">
        <f t="shared" si="5"/>
        <v>0</v>
      </c>
      <c r="AA41" s="87">
        <f t="shared" si="6"/>
        <v>0</v>
      </c>
      <c r="AB41" s="87">
        <f t="shared" si="7"/>
        <v>0</v>
      </c>
      <c r="AC41" s="87">
        <f t="shared" si="8"/>
        <v>0</v>
      </c>
      <c r="AD41" s="87">
        <f t="shared" si="9"/>
        <v>0</v>
      </c>
      <c r="AE41" s="87">
        <f t="shared" si="10"/>
        <v>0</v>
      </c>
      <c r="AF41" s="87">
        <f t="shared" si="11"/>
        <v>0</v>
      </c>
      <c r="AG41" s="87">
        <f t="shared" si="12"/>
        <v>0</v>
      </c>
      <c r="AH41" s="87">
        <f t="shared" si="13"/>
        <v>0</v>
      </c>
      <c r="AI41" s="87">
        <f t="shared" si="14"/>
        <v>0</v>
      </c>
      <c r="AJ41" s="87">
        <f t="shared" si="15"/>
        <v>0</v>
      </c>
      <c r="AK41" s="87">
        <f t="shared" si="16"/>
        <v>0</v>
      </c>
      <c r="AL41" s="87">
        <f t="shared" si="17"/>
        <v>0</v>
      </c>
      <c r="AM41" s="87">
        <f t="shared" si="18"/>
        <v>0</v>
      </c>
      <c r="AN41" s="87">
        <f t="shared" si="19"/>
        <v>0</v>
      </c>
      <c r="AO41" s="65"/>
      <c r="AP41" s="88">
        <v>122</v>
      </c>
      <c r="AQ41" s="87">
        <f t="shared" si="20"/>
        <v>2</v>
      </c>
      <c r="AR41" s="87">
        <f t="shared" si="21"/>
        <v>0</v>
      </c>
      <c r="AS41" s="87">
        <f t="shared" si="22"/>
        <v>0</v>
      </c>
      <c r="AT41" s="87">
        <f t="shared" si="23"/>
        <v>0</v>
      </c>
      <c r="AU41" s="87">
        <f t="shared" si="24"/>
        <v>0</v>
      </c>
      <c r="AV41" s="87">
        <f t="shared" si="25"/>
        <v>0</v>
      </c>
      <c r="AW41" s="87">
        <f t="shared" si="26"/>
        <v>0</v>
      </c>
      <c r="AX41" s="87">
        <f t="shared" si="27"/>
        <v>0</v>
      </c>
      <c r="AY41" s="87">
        <f t="shared" si="28"/>
        <v>0</v>
      </c>
      <c r="AZ41" s="87">
        <f t="shared" si="29"/>
        <v>0</v>
      </c>
      <c r="BA41" s="87">
        <f t="shared" si="30"/>
        <v>0</v>
      </c>
      <c r="BB41" s="87">
        <f t="shared" si="31"/>
        <v>0</v>
      </c>
      <c r="BC41" s="87">
        <f t="shared" si="32"/>
        <v>0</v>
      </c>
      <c r="BD41" s="87">
        <f t="shared" si="33"/>
        <v>0</v>
      </c>
      <c r="BE41" s="87">
        <f t="shared" si="34"/>
        <v>0</v>
      </c>
      <c r="BF41" s="87">
        <f t="shared" si="35"/>
        <v>0</v>
      </c>
      <c r="BG41" s="87">
        <f t="shared" si="36"/>
        <v>0</v>
      </c>
      <c r="BH41" s="87">
        <f t="shared" si="37"/>
        <v>0</v>
      </c>
    </row>
    <row r="42" spans="2:60" s="64" customFormat="1" ht="17.850000000000001" customHeight="1" x14ac:dyDescent="0.3">
      <c r="B42" s="85">
        <v>41</v>
      </c>
      <c r="C42" s="87">
        <f t="shared" si="38"/>
        <v>2</v>
      </c>
      <c r="D42" s="87">
        <f t="shared" si="39"/>
        <v>22</v>
      </c>
      <c r="E42" s="87">
        <f t="shared" si="39"/>
        <v>2</v>
      </c>
      <c r="F42" s="87">
        <f t="shared" si="39"/>
        <v>18</v>
      </c>
      <c r="G42" s="87">
        <f t="shared" si="39"/>
        <v>10</v>
      </c>
      <c r="H42" s="87">
        <f t="shared" si="39"/>
        <v>18</v>
      </c>
      <c r="I42" s="87">
        <f t="shared" si="39"/>
        <v>22</v>
      </c>
      <c r="J42" s="87">
        <f t="shared" si="39"/>
        <v>5</v>
      </c>
      <c r="K42" s="87">
        <f t="shared" si="39"/>
        <v>6</v>
      </c>
      <c r="L42" s="87">
        <f t="shared" si="39"/>
        <v>0</v>
      </c>
      <c r="M42" s="87">
        <f t="shared" ref="M42" si="41">SUMIFS(VOTOS1,CENTRO1,$B42,TURNO1,M$1)</f>
        <v>0</v>
      </c>
      <c r="N42" s="87">
        <f t="shared" si="40"/>
        <v>0</v>
      </c>
      <c r="O42" s="87">
        <f t="shared" si="40"/>
        <v>0</v>
      </c>
      <c r="P42" s="87">
        <f t="shared" si="40"/>
        <v>0</v>
      </c>
      <c r="Q42" s="87">
        <f t="shared" si="40"/>
        <v>0</v>
      </c>
      <c r="R42" s="87">
        <f t="shared" si="40"/>
        <v>0</v>
      </c>
      <c r="S42" s="87">
        <f t="shared" si="40"/>
        <v>0</v>
      </c>
      <c r="T42" s="87">
        <f t="shared" si="40"/>
        <v>0</v>
      </c>
      <c r="U42" s="65"/>
      <c r="V42" s="88">
        <v>82</v>
      </c>
      <c r="W42" s="87">
        <f t="shared" si="2"/>
        <v>2</v>
      </c>
      <c r="X42" s="87">
        <f t="shared" si="3"/>
        <v>0</v>
      </c>
      <c r="Y42" s="87">
        <f t="shared" si="4"/>
        <v>0</v>
      </c>
      <c r="Z42" s="87">
        <f t="shared" si="5"/>
        <v>0</v>
      </c>
      <c r="AA42" s="87">
        <f t="shared" si="6"/>
        <v>0</v>
      </c>
      <c r="AB42" s="87">
        <f t="shared" si="7"/>
        <v>0</v>
      </c>
      <c r="AC42" s="87">
        <f t="shared" si="8"/>
        <v>0</v>
      </c>
      <c r="AD42" s="87">
        <f t="shared" si="9"/>
        <v>0</v>
      </c>
      <c r="AE42" s="87">
        <f t="shared" si="10"/>
        <v>0</v>
      </c>
      <c r="AF42" s="87">
        <f t="shared" si="11"/>
        <v>0</v>
      </c>
      <c r="AG42" s="87">
        <f t="shared" si="12"/>
        <v>0</v>
      </c>
      <c r="AH42" s="87">
        <f t="shared" si="13"/>
        <v>0</v>
      </c>
      <c r="AI42" s="87">
        <f t="shared" si="14"/>
        <v>0</v>
      </c>
      <c r="AJ42" s="87">
        <f t="shared" si="15"/>
        <v>0</v>
      </c>
      <c r="AK42" s="87">
        <f t="shared" si="16"/>
        <v>0</v>
      </c>
      <c r="AL42" s="87">
        <f t="shared" si="17"/>
        <v>0</v>
      </c>
      <c r="AM42" s="87">
        <f t="shared" si="18"/>
        <v>0</v>
      </c>
      <c r="AN42" s="87">
        <f t="shared" si="19"/>
        <v>0</v>
      </c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</row>
    <row r="43" spans="2:60" s="64" customFormat="1" ht="17.850000000000001" customHeight="1" x14ac:dyDescent="0.2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</row>
    <row r="63" spans="21:21" s="64" customFormat="1" ht="17.850000000000001" customHeight="1" x14ac:dyDescent="0.2">
      <c r="U63" s="65"/>
    </row>
    <row r="64" spans="21:21" s="64" customFormat="1" ht="17.850000000000001" customHeight="1" x14ac:dyDescent="0.2">
      <c r="U64" s="65"/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1FF99A0C-107E-428C-A70F-ADC0AF0F0D77}">
            <x14:iconSet iconSet="4TrafficLights" custom="1">
              <x14:cfvo type="percent">
                <xm:f>0</xm:f>
              </x14:cfvo>
              <x14:cfvo type="percent">
                <xm:f>1</xm:f>
              </x14:cfvo>
              <x14:cfvo type="percent">
                <xm:f>30</xm:f>
              </x14:cfvo>
              <x14:cfvo type="percent">
                <xm:f>99</xm:f>
              </x14:cfvo>
              <x14:cfIcon iconSet="4RedToBlack" iconId="1"/>
              <x14:cfIcon iconSet="3Symbols" iconId="1"/>
              <x14:cfIcon iconSet="3Symbols" iconId="2"/>
              <x14:cfIcon iconSet="3Symbols" iconId="0"/>
            </x14:iconSet>
          </x14:cfRule>
          <xm:sqref>C2:T42 W2:AN42 AQ2:BH41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4"/>
  <sheetViews>
    <sheetView zoomScale="68" zoomScaleNormal="68" workbookViewId="0">
      <selection activeCell="I29" sqref="I29"/>
    </sheetView>
  </sheetViews>
  <sheetFormatPr baseColWidth="10" defaultColWidth="3" defaultRowHeight="12.75" x14ac:dyDescent="0.2"/>
  <cols>
    <col min="1" max="1" width="3" style="65"/>
    <col min="2" max="2" width="8.140625" style="65" bestFit="1" customWidth="1"/>
    <col min="3" max="21" width="4.28515625" style="65" customWidth="1"/>
    <col min="22" max="22" width="8.42578125" style="65" bestFit="1" customWidth="1"/>
    <col min="23" max="41" width="4.28515625" style="65" customWidth="1"/>
    <col min="42" max="42" width="8.42578125" style="65" bestFit="1" customWidth="1"/>
    <col min="43" max="61" width="4.28515625" style="65" customWidth="1"/>
    <col min="62" max="63" width="3" style="65"/>
    <col min="64" max="16384" width="3" style="64"/>
  </cols>
  <sheetData>
    <row r="1" spans="1:60" s="64" customFormat="1" x14ac:dyDescent="0.2">
      <c r="A1" s="66"/>
      <c r="B1" s="84" t="s">
        <v>492</v>
      </c>
      <c r="C1" s="84">
        <v>0</v>
      </c>
      <c r="D1" s="84">
        <v>1</v>
      </c>
      <c r="E1" s="84">
        <v>2</v>
      </c>
      <c r="F1" s="84">
        <v>3</v>
      </c>
      <c r="G1" s="84">
        <v>4</v>
      </c>
      <c r="H1" s="84">
        <v>5</v>
      </c>
      <c r="I1" s="84">
        <v>6</v>
      </c>
      <c r="J1" s="84">
        <v>7</v>
      </c>
      <c r="K1" s="84">
        <v>8</v>
      </c>
      <c r="L1" s="84">
        <v>9</v>
      </c>
      <c r="M1" s="84">
        <v>10</v>
      </c>
      <c r="N1" s="84">
        <v>11</v>
      </c>
      <c r="O1" s="84">
        <v>12</v>
      </c>
      <c r="P1" s="84">
        <v>13</v>
      </c>
      <c r="Q1" s="84">
        <v>14</v>
      </c>
      <c r="R1" s="84">
        <v>15</v>
      </c>
      <c r="S1" s="84">
        <v>16</v>
      </c>
      <c r="T1" s="84">
        <v>17</v>
      </c>
      <c r="U1" s="65"/>
      <c r="V1" s="84" t="s">
        <v>492</v>
      </c>
      <c r="W1" s="84">
        <v>0</v>
      </c>
      <c r="X1" s="84">
        <v>1</v>
      </c>
      <c r="Y1" s="84">
        <v>2</v>
      </c>
      <c r="Z1" s="84">
        <v>3</v>
      </c>
      <c r="AA1" s="84">
        <v>4</v>
      </c>
      <c r="AB1" s="84">
        <v>5</v>
      </c>
      <c r="AC1" s="84">
        <v>6</v>
      </c>
      <c r="AD1" s="84">
        <v>7</v>
      </c>
      <c r="AE1" s="84">
        <v>8</v>
      </c>
      <c r="AF1" s="84">
        <v>9</v>
      </c>
      <c r="AG1" s="84">
        <v>10</v>
      </c>
      <c r="AH1" s="84">
        <v>11</v>
      </c>
      <c r="AI1" s="84">
        <v>12</v>
      </c>
      <c r="AJ1" s="84">
        <v>13</v>
      </c>
      <c r="AK1" s="84">
        <v>14</v>
      </c>
      <c r="AL1" s="84">
        <v>15</v>
      </c>
      <c r="AM1" s="84">
        <v>16</v>
      </c>
      <c r="AN1" s="84">
        <v>17</v>
      </c>
      <c r="AO1" s="65"/>
      <c r="AP1" s="84" t="s">
        <v>492</v>
      </c>
      <c r="AQ1" s="84">
        <v>0</v>
      </c>
      <c r="AR1" s="84">
        <v>1</v>
      </c>
      <c r="AS1" s="84">
        <v>2</v>
      </c>
      <c r="AT1" s="84">
        <v>3</v>
      </c>
      <c r="AU1" s="84">
        <v>4</v>
      </c>
      <c r="AV1" s="84">
        <v>5</v>
      </c>
      <c r="AW1" s="84">
        <v>6</v>
      </c>
      <c r="AX1" s="84">
        <v>7</v>
      </c>
      <c r="AY1" s="84">
        <v>8</v>
      </c>
      <c r="AZ1" s="84">
        <v>9</v>
      </c>
      <c r="BA1" s="84">
        <v>10</v>
      </c>
      <c r="BB1" s="84">
        <v>11</v>
      </c>
      <c r="BC1" s="84">
        <v>12</v>
      </c>
      <c r="BD1" s="84">
        <v>13</v>
      </c>
      <c r="BE1" s="84">
        <v>14</v>
      </c>
      <c r="BF1" s="84">
        <v>15</v>
      </c>
      <c r="BG1" s="84">
        <v>16</v>
      </c>
      <c r="BH1" s="84">
        <v>17</v>
      </c>
    </row>
    <row r="2" spans="1:60" s="64" customFormat="1" ht="18.75" x14ac:dyDescent="0.3">
      <c r="A2" s="66"/>
      <c r="B2" s="85">
        <v>123</v>
      </c>
      <c r="C2" s="86">
        <f>SUMIFS(VOTOS1,CENTRO1,$B2,TURNO1,C$1)</f>
        <v>2</v>
      </c>
      <c r="D2" s="86">
        <f t="shared" ref="D2:S2" si="0">SUMIFS(VOTOS1,CENTRO1,$B2,TURNO1,D$1)</f>
        <v>11</v>
      </c>
      <c r="E2" s="87">
        <f t="shared" si="0"/>
        <v>22</v>
      </c>
      <c r="F2" s="87">
        <f t="shared" si="0"/>
        <v>0</v>
      </c>
      <c r="G2" s="87">
        <f t="shared" si="0"/>
        <v>0</v>
      </c>
      <c r="H2" s="87">
        <f t="shared" si="0"/>
        <v>0</v>
      </c>
      <c r="I2" s="87">
        <f t="shared" si="0"/>
        <v>0</v>
      </c>
      <c r="J2" s="87">
        <f t="shared" si="0"/>
        <v>0</v>
      </c>
      <c r="K2" s="87">
        <f t="shared" si="0"/>
        <v>0</v>
      </c>
      <c r="L2" s="87">
        <f t="shared" si="0"/>
        <v>0</v>
      </c>
      <c r="M2" s="87">
        <f t="shared" si="0"/>
        <v>0</v>
      </c>
      <c r="N2" s="87">
        <f t="shared" si="0"/>
        <v>0</v>
      </c>
      <c r="O2" s="87">
        <f t="shared" si="0"/>
        <v>0</v>
      </c>
      <c r="P2" s="87">
        <f t="shared" si="0"/>
        <v>0</v>
      </c>
      <c r="Q2" s="87">
        <f t="shared" si="0"/>
        <v>0</v>
      </c>
      <c r="R2" s="87">
        <f t="shared" si="0"/>
        <v>0</v>
      </c>
      <c r="S2" s="87">
        <f t="shared" si="0"/>
        <v>0</v>
      </c>
      <c r="T2" s="87">
        <f t="shared" ref="N2:T17" si="1">SUMIFS(VOTOS1,CENTRO1,$B2,TURNO1,T$1)</f>
        <v>0</v>
      </c>
      <c r="U2" s="65"/>
      <c r="V2" s="88">
        <v>164</v>
      </c>
      <c r="W2" s="86">
        <f t="shared" ref="W2:W42" si="2">SUMIFS(VOTOS1,CENTRO1,$V2,TURNO1,C$1)</f>
        <v>2</v>
      </c>
      <c r="X2" s="86">
        <f t="shared" ref="X2:X42" si="3">SUMIFS(VOTOS1,CENTRO1,$V2,TURNO1,D$1)</f>
        <v>0</v>
      </c>
      <c r="Y2" s="87">
        <f t="shared" ref="Y2:Y42" si="4">SUMIFS(VOTOS1,CENTRO1,$V2,TURNO1,E$1)</f>
        <v>0</v>
      </c>
      <c r="Z2" s="87">
        <f t="shared" ref="Z2:Z42" si="5">SUMIFS(VOTOS1,CENTRO1,$V2,TURNO1,F$1)</f>
        <v>0</v>
      </c>
      <c r="AA2" s="87">
        <f t="shared" ref="AA2:AA42" si="6">SUMIFS(VOTOS1,CENTRO1,$V2,TURNO1,G$1)</f>
        <v>0</v>
      </c>
      <c r="AB2" s="87">
        <f t="shared" ref="AB2:AB42" si="7">SUMIFS(VOTOS1,CENTRO1,$V2,TURNO1,H$1)</f>
        <v>0</v>
      </c>
      <c r="AC2" s="87">
        <f t="shared" ref="AC2:AC42" si="8">SUMIFS(VOTOS1,CENTRO1,$V2,TURNO1,I$1)</f>
        <v>0</v>
      </c>
      <c r="AD2" s="87">
        <f t="shared" ref="AD2:AD42" si="9">SUMIFS(VOTOS1,CENTRO1,$V2,TURNO1,J$1)</f>
        <v>0</v>
      </c>
      <c r="AE2" s="87">
        <f t="shared" ref="AE2:AE42" si="10">SUMIFS(VOTOS1,CENTRO1,$V2,TURNO1,K$1)</f>
        <v>0</v>
      </c>
      <c r="AF2" s="87">
        <f t="shared" ref="AF2:AF42" si="11">SUMIFS(VOTOS1,CENTRO1,$V2,TURNO1,L$1)</f>
        <v>0</v>
      </c>
      <c r="AG2" s="87">
        <f t="shared" ref="AG2:AG42" si="12">SUMIFS(VOTOS1,CENTRO1,$V2,TURNO1,M$1)</f>
        <v>0</v>
      </c>
      <c r="AH2" s="87">
        <f t="shared" ref="AH2:AH42" si="13">SUMIFS(VOTOS1,CENTRO1,$V2,TURNO1,N$1)</f>
        <v>0</v>
      </c>
      <c r="AI2" s="87">
        <f t="shared" ref="AI2:AI42" si="14">SUMIFS(VOTOS1,CENTRO1,$V2,TURNO1,O$1)</f>
        <v>0</v>
      </c>
      <c r="AJ2" s="87">
        <f t="shared" ref="AJ2:AJ42" si="15">SUMIFS(VOTOS1,CENTRO1,$V2,TURNO1,P$1)</f>
        <v>0</v>
      </c>
      <c r="AK2" s="87">
        <f t="shared" ref="AK2:AK42" si="16">SUMIFS(VOTOS1,CENTRO1,$V2,TURNO1,Q$1)</f>
        <v>0</v>
      </c>
      <c r="AL2" s="87">
        <f t="shared" ref="AL2:AL42" si="17">SUMIFS(VOTOS1,CENTRO1,$V2,TURNO1,R$1)</f>
        <v>0</v>
      </c>
      <c r="AM2" s="87">
        <f t="shared" ref="AM2:AM42" si="18">SUMIFS(VOTOS1,CENTRO1,$V2,TURNO1,S$1)</f>
        <v>0</v>
      </c>
      <c r="AN2" s="87">
        <f t="shared" ref="AN2:AN42" si="19">SUMIFS(VOTOS1,CENTRO1,$V2,TURNO1,T$1)</f>
        <v>0</v>
      </c>
      <c r="AO2" s="65"/>
      <c r="AP2" s="85">
        <v>205</v>
      </c>
      <c r="AQ2" s="86">
        <f t="shared" ref="AQ2:AQ41" si="20">SUMIFS(VOTOS1,CENTRO1,$AP2,TURNO1,C$1)</f>
        <v>2</v>
      </c>
      <c r="AR2" s="86">
        <f t="shared" ref="AR2:AR41" si="21">SUMIFS(VOTOS1,CENTRO1,$AP2,TURNO1,D$1)</f>
        <v>55</v>
      </c>
      <c r="AS2" s="87">
        <f t="shared" ref="AS2:AS41" si="22">SUMIFS(VOTOS1,CENTRO1,$AP2,TURNO1,E$1)</f>
        <v>85</v>
      </c>
      <c r="AT2" s="87">
        <f t="shared" ref="AT2:AT41" si="23">SUMIFS(VOTOS1,CENTRO1,$AP2,TURNO1,F$1)</f>
        <v>0</v>
      </c>
      <c r="AU2" s="87">
        <f t="shared" ref="AU2:AU41" si="24">SUMIFS(VOTOS1,CENTRO1,$AP2,TURNO1,G$1)</f>
        <v>45</v>
      </c>
      <c r="AV2" s="87">
        <f t="shared" ref="AV2:AV41" si="25">SUMIFS(VOTOS1,CENTRO1,$AP2,TURNO1,H$1)</f>
        <v>49</v>
      </c>
      <c r="AW2" s="87">
        <f t="shared" ref="AW2:AW41" si="26">SUMIFS(VOTOS1,CENTRO1,$AP2,TURNO1,I$1)</f>
        <v>26</v>
      </c>
      <c r="AX2" s="87">
        <f t="shared" ref="AX2:AX41" si="27">SUMIFS(VOTOS1,CENTRO1,$AP2,TURNO1,J$1)</f>
        <v>35</v>
      </c>
      <c r="AY2" s="87">
        <f t="shared" ref="AY2:AY41" si="28">SUMIFS(VOTOS1,CENTRO1,$AP2,TURNO1,K$1)</f>
        <v>21</v>
      </c>
      <c r="AZ2" s="87">
        <f t="shared" ref="AZ2:AZ41" si="29">SUMIFS(VOTOS1,CENTRO1,$AP2,TURNO1,L$1)</f>
        <v>7</v>
      </c>
      <c r="BA2" s="87">
        <f t="shared" ref="BA2:BA41" si="30">SUMIFS(VOTOS1,CENTRO1,$AP2,TURNO1,M$1)</f>
        <v>0</v>
      </c>
      <c r="BB2" s="87">
        <f t="shared" ref="BB2:BB41" si="31">SUMIFS(VOTOS1,CENTRO1,$AP2,TURNO1,N$1)</f>
        <v>0</v>
      </c>
      <c r="BC2" s="87">
        <f t="shared" ref="BC2:BC41" si="32">SUMIFS(VOTOS1,CENTRO1,$AP2,TURNO1,O$1)</f>
        <v>0</v>
      </c>
      <c r="BD2" s="87">
        <f t="shared" ref="BD2:BD41" si="33">SUMIFS(VOTOS1,CENTRO1,$AP2,TURNO1,P$1)</f>
        <v>0</v>
      </c>
      <c r="BE2" s="87">
        <f t="shared" ref="BE2:BE41" si="34">SUMIFS(VOTOS1,CENTRO1,$AP2,TURNO1,Q$1)</f>
        <v>0</v>
      </c>
      <c r="BF2" s="87">
        <f t="shared" ref="BF2:BF41" si="35">SUMIFS(VOTOS1,CENTRO1,$AP2,TURNO1,R$1)</f>
        <v>0</v>
      </c>
      <c r="BG2" s="87">
        <f t="shared" ref="BG2:BG41" si="36">SUMIFS(VOTOS1,CENTRO1,$AP2,TURNO1,S$1)</f>
        <v>0</v>
      </c>
      <c r="BH2" s="87">
        <f t="shared" ref="BH2:BH41" si="37">SUMIFS(VOTOS1,CENTRO1,$AP2,TURNO1,T$1)</f>
        <v>0</v>
      </c>
    </row>
    <row r="3" spans="1:60" s="64" customFormat="1" ht="18.75" x14ac:dyDescent="0.3">
      <c r="A3" s="66"/>
      <c r="B3" s="88">
        <v>124</v>
      </c>
      <c r="C3" s="87">
        <f t="shared" ref="C3:R18" si="38">SUMIFS(VOTOS1,CENTRO1,$B3,TURNO1,C$1)</f>
        <v>2</v>
      </c>
      <c r="D3" s="87">
        <f t="shared" si="38"/>
        <v>0</v>
      </c>
      <c r="E3" s="87">
        <f t="shared" si="38"/>
        <v>0</v>
      </c>
      <c r="F3" s="87">
        <f t="shared" si="38"/>
        <v>0</v>
      </c>
      <c r="G3" s="87">
        <f t="shared" si="38"/>
        <v>0</v>
      </c>
      <c r="H3" s="87">
        <f t="shared" si="38"/>
        <v>0</v>
      </c>
      <c r="I3" s="87">
        <f t="shared" si="38"/>
        <v>0</v>
      </c>
      <c r="J3" s="87">
        <f t="shared" si="38"/>
        <v>0</v>
      </c>
      <c r="K3" s="87">
        <f t="shared" si="38"/>
        <v>0</v>
      </c>
      <c r="L3" s="87">
        <f t="shared" si="38"/>
        <v>0</v>
      </c>
      <c r="M3" s="87">
        <f t="shared" si="38"/>
        <v>0</v>
      </c>
      <c r="N3" s="87">
        <f t="shared" si="1"/>
        <v>0</v>
      </c>
      <c r="O3" s="87">
        <f t="shared" si="1"/>
        <v>0</v>
      </c>
      <c r="P3" s="87">
        <f t="shared" si="1"/>
        <v>0</v>
      </c>
      <c r="Q3" s="87">
        <f t="shared" si="1"/>
        <v>0</v>
      </c>
      <c r="R3" s="87">
        <f t="shared" si="1"/>
        <v>0</v>
      </c>
      <c r="S3" s="87">
        <f t="shared" si="1"/>
        <v>0</v>
      </c>
      <c r="T3" s="87">
        <f t="shared" si="1"/>
        <v>0</v>
      </c>
      <c r="U3" s="65"/>
      <c r="V3" s="85">
        <v>165</v>
      </c>
      <c r="W3" s="87">
        <f t="shared" si="2"/>
        <v>2</v>
      </c>
      <c r="X3" s="87">
        <f t="shared" si="3"/>
        <v>0</v>
      </c>
      <c r="Y3" s="87">
        <f t="shared" si="4"/>
        <v>0</v>
      </c>
      <c r="Z3" s="87">
        <f t="shared" si="5"/>
        <v>0</v>
      </c>
      <c r="AA3" s="87">
        <f t="shared" si="6"/>
        <v>0</v>
      </c>
      <c r="AB3" s="87">
        <f t="shared" si="7"/>
        <v>0</v>
      </c>
      <c r="AC3" s="87">
        <f t="shared" si="8"/>
        <v>0</v>
      </c>
      <c r="AD3" s="87">
        <f t="shared" si="9"/>
        <v>0</v>
      </c>
      <c r="AE3" s="87">
        <f t="shared" si="10"/>
        <v>0</v>
      </c>
      <c r="AF3" s="87">
        <f t="shared" si="11"/>
        <v>0</v>
      </c>
      <c r="AG3" s="87">
        <f t="shared" si="12"/>
        <v>0</v>
      </c>
      <c r="AH3" s="87">
        <f t="shared" si="13"/>
        <v>0</v>
      </c>
      <c r="AI3" s="87">
        <f t="shared" si="14"/>
        <v>0</v>
      </c>
      <c r="AJ3" s="87">
        <f t="shared" si="15"/>
        <v>0</v>
      </c>
      <c r="AK3" s="87">
        <f t="shared" si="16"/>
        <v>0</v>
      </c>
      <c r="AL3" s="87">
        <f t="shared" si="17"/>
        <v>0</v>
      </c>
      <c r="AM3" s="87">
        <f t="shared" si="18"/>
        <v>0</v>
      </c>
      <c r="AN3" s="87">
        <f t="shared" si="19"/>
        <v>0</v>
      </c>
      <c r="AO3" s="65"/>
      <c r="AP3" s="88">
        <v>206</v>
      </c>
      <c r="AQ3" s="87">
        <f t="shared" si="20"/>
        <v>2</v>
      </c>
      <c r="AR3" s="87">
        <f t="shared" si="21"/>
        <v>24</v>
      </c>
      <c r="AS3" s="87">
        <f t="shared" si="22"/>
        <v>22</v>
      </c>
      <c r="AT3" s="87">
        <f t="shared" si="23"/>
        <v>27</v>
      </c>
      <c r="AU3" s="87">
        <f t="shared" si="24"/>
        <v>0</v>
      </c>
      <c r="AV3" s="87">
        <f t="shared" si="25"/>
        <v>23</v>
      </c>
      <c r="AW3" s="87">
        <f t="shared" si="26"/>
        <v>27</v>
      </c>
      <c r="AX3" s="87">
        <f t="shared" si="27"/>
        <v>27</v>
      </c>
      <c r="AY3" s="87">
        <f t="shared" si="28"/>
        <v>21</v>
      </c>
      <c r="AZ3" s="87">
        <f t="shared" si="29"/>
        <v>13</v>
      </c>
      <c r="BA3" s="87">
        <f t="shared" si="30"/>
        <v>0</v>
      </c>
      <c r="BB3" s="87">
        <f t="shared" si="31"/>
        <v>0</v>
      </c>
      <c r="BC3" s="87">
        <f t="shared" si="32"/>
        <v>0</v>
      </c>
      <c r="BD3" s="87">
        <f t="shared" si="33"/>
        <v>0</v>
      </c>
      <c r="BE3" s="87">
        <f t="shared" si="34"/>
        <v>0</v>
      </c>
      <c r="BF3" s="87">
        <f t="shared" si="35"/>
        <v>0</v>
      </c>
      <c r="BG3" s="87">
        <f t="shared" si="36"/>
        <v>0</v>
      </c>
      <c r="BH3" s="87">
        <f t="shared" si="37"/>
        <v>0</v>
      </c>
    </row>
    <row r="4" spans="1:60" s="64" customFormat="1" ht="18.75" x14ac:dyDescent="0.3">
      <c r="A4" s="66"/>
      <c r="B4" s="85">
        <v>125</v>
      </c>
      <c r="C4" s="87">
        <f t="shared" si="38"/>
        <v>2</v>
      </c>
      <c r="D4" s="87">
        <f t="shared" si="38"/>
        <v>0</v>
      </c>
      <c r="E4" s="87">
        <f t="shared" si="38"/>
        <v>0</v>
      </c>
      <c r="F4" s="87">
        <f t="shared" si="38"/>
        <v>0</v>
      </c>
      <c r="G4" s="87">
        <f t="shared" si="38"/>
        <v>0</v>
      </c>
      <c r="H4" s="87">
        <f t="shared" si="38"/>
        <v>0</v>
      </c>
      <c r="I4" s="87">
        <f t="shared" si="38"/>
        <v>0</v>
      </c>
      <c r="J4" s="87">
        <f t="shared" si="38"/>
        <v>0</v>
      </c>
      <c r="K4" s="87">
        <f t="shared" si="38"/>
        <v>0</v>
      </c>
      <c r="L4" s="87">
        <f t="shared" si="38"/>
        <v>0</v>
      </c>
      <c r="M4" s="87">
        <f t="shared" si="38"/>
        <v>0</v>
      </c>
      <c r="N4" s="87">
        <f t="shared" si="1"/>
        <v>0</v>
      </c>
      <c r="O4" s="87">
        <f t="shared" si="1"/>
        <v>0</v>
      </c>
      <c r="P4" s="87">
        <f t="shared" si="1"/>
        <v>0</v>
      </c>
      <c r="Q4" s="87">
        <f t="shared" si="1"/>
        <v>0</v>
      </c>
      <c r="R4" s="87">
        <f t="shared" si="1"/>
        <v>0</v>
      </c>
      <c r="S4" s="87">
        <f t="shared" si="1"/>
        <v>0</v>
      </c>
      <c r="T4" s="87">
        <f t="shared" si="1"/>
        <v>0</v>
      </c>
      <c r="U4" s="65"/>
      <c r="V4" s="88">
        <v>166</v>
      </c>
      <c r="W4" s="87">
        <f t="shared" si="2"/>
        <v>2</v>
      </c>
      <c r="X4" s="87">
        <f t="shared" si="3"/>
        <v>0</v>
      </c>
      <c r="Y4" s="87">
        <f t="shared" si="4"/>
        <v>0</v>
      </c>
      <c r="Z4" s="87">
        <f t="shared" si="5"/>
        <v>0</v>
      </c>
      <c r="AA4" s="87">
        <f t="shared" si="6"/>
        <v>0</v>
      </c>
      <c r="AB4" s="87">
        <f t="shared" si="7"/>
        <v>0</v>
      </c>
      <c r="AC4" s="87">
        <f t="shared" si="8"/>
        <v>0</v>
      </c>
      <c r="AD4" s="87">
        <f t="shared" si="9"/>
        <v>0</v>
      </c>
      <c r="AE4" s="87">
        <f t="shared" si="10"/>
        <v>0</v>
      </c>
      <c r="AF4" s="87">
        <f t="shared" si="11"/>
        <v>0</v>
      </c>
      <c r="AG4" s="87">
        <f t="shared" si="12"/>
        <v>0</v>
      </c>
      <c r="AH4" s="87">
        <f t="shared" si="13"/>
        <v>0</v>
      </c>
      <c r="AI4" s="87">
        <f t="shared" si="14"/>
        <v>0</v>
      </c>
      <c r="AJ4" s="87">
        <f t="shared" si="15"/>
        <v>0</v>
      </c>
      <c r="AK4" s="87">
        <f t="shared" si="16"/>
        <v>0</v>
      </c>
      <c r="AL4" s="87">
        <f t="shared" si="17"/>
        <v>0</v>
      </c>
      <c r="AM4" s="87">
        <f t="shared" si="18"/>
        <v>0</v>
      </c>
      <c r="AN4" s="87">
        <f t="shared" si="19"/>
        <v>0</v>
      </c>
      <c r="AO4" s="65"/>
      <c r="AP4" s="85">
        <v>207</v>
      </c>
      <c r="AQ4" s="87">
        <f t="shared" si="20"/>
        <v>2</v>
      </c>
      <c r="AR4" s="87">
        <f t="shared" si="21"/>
        <v>0</v>
      </c>
      <c r="AS4" s="87">
        <f t="shared" si="22"/>
        <v>0</v>
      </c>
      <c r="AT4" s="87">
        <f t="shared" si="23"/>
        <v>0</v>
      </c>
      <c r="AU4" s="87">
        <f t="shared" si="24"/>
        <v>0</v>
      </c>
      <c r="AV4" s="87">
        <f t="shared" si="25"/>
        <v>0</v>
      </c>
      <c r="AW4" s="87">
        <f t="shared" si="26"/>
        <v>0</v>
      </c>
      <c r="AX4" s="87">
        <f t="shared" si="27"/>
        <v>0</v>
      </c>
      <c r="AY4" s="87">
        <f t="shared" si="28"/>
        <v>0</v>
      </c>
      <c r="AZ4" s="87">
        <f t="shared" si="29"/>
        <v>0</v>
      </c>
      <c r="BA4" s="87">
        <f t="shared" si="30"/>
        <v>0</v>
      </c>
      <c r="BB4" s="87">
        <f t="shared" si="31"/>
        <v>0</v>
      </c>
      <c r="BC4" s="87">
        <f t="shared" si="32"/>
        <v>0</v>
      </c>
      <c r="BD4" s="87">
        <f t="shared" si="33"/>
        <v>0</v>
      </c>
      <c r="BE4" s="87">
        <f t="shared" si="34"/>
        <v>0</v>
      </c>
      <c r="BF4" s="87">
        <f t="shared" si="35"/>
        <v>0</v>
      </c>
      <c r="BG4" s="87">
        <f t="shared" si="36"/>
        <v>0</v>
      </c>
      <c r="BH4" s="87">
        <f t="shared" si="37"/>
        <v>0</v>
      </c>
    </row>
    <row r="5" spans="1:60" s="64" customFormat="1" ht="18.75" x14ac:dyDescent="0.3">
      <c r="A5" s="66"/>
      <c r="B5" s="88">
        <v>126</v>
      </c>
      <c r="C5" s="87">
        <f t="shared" si="38"/>
        <v>2</v>
      </c>
      <c r="D5" s="87">
        <f t="shared" si="38"/>
        <v>0</v>
      </c>
      <c r="E5" s="87">
        <f t="shared" si="38"/>
        <v>0</v>
      </c>
      <c r="F5" s="87">
        <f t="shared" si="38"/>
        <v>0</v>
      </c>
      <c r="G5" s="87">
        <f t="shared" si="38"/>
        <v>0</v>
      </c>
      <c r="H5" s="87">
        <f t="shared" si="38"/>
        <v>0</v>
      </c>
      <c r="I5" s="87">
        <f t="shared" si="38"/>
        <v>0</v>
      </c>
      <c r="J5" s="87">
        <f t="shared" si="38"/>
        <v>0</v>
      </c>
      <c r="K5" s="87">
        <f t="shared" si="38"/>
        <v>0</v>
      </c>
      <c r="L5" s="87">
        <f t="shared" si="38"/>
        <v>0</v>
      </c>
      <c r="M5" s="87">
        <f t="shared" si="38"/>
        <v>0</v>
      </c>
      <c r="N5" s="87">
        <f t="shared" si="1"/>
        <v>0</v>
      </c>
      <c r="O5" s="87">
        <f t="shared" si="1"/>
        <v>0</v>
      </c>
      <c r="P5" s="87">
        <f t="shared" si="1"/>
        <v>0</v>
      </c>
      <c r="Q5" s="87">
        <f t="shared" si="1"/>
        <v>0</v>
      </c>
      <c r="R5" s="87">
        <f t="shared" si="1"/>
        <v>0</v>
      </c>
      <c r="S5" s="87">
        <f t="shared" si="1"/>
        <v>0</v>
      </c>
      <c r="T5" s="87">
        <f t="shared" si="1"/>
        <v>0</v>
      </c>
      <c r="U5" s="65"/>
      <c r="V5" s="85">
        <v>167</v>
      </c>
      <c r="W5" s="87">
        <f t="shared" si="2"/>
        <v>2</v>
      </c>
      <c r="X5" s="87">
        <f t="shared" si="3"/>
        <v>0</v>
      </c>
      <c r="Y5" s="87">
        <f t="shared" si="4"/>
        <v>0</v>
      </c>
      <c r="Z5" s="87">
        <f t="shared" si="5"/>
        <v>0</v>
      </c>
      <c r="AA5" s="87">
        <f t="shared" si="6"/>
        <v>0</v>
      </c>
      <c r="AB5" s="87">
        <f t="shared" si="7"/>
        <v>0</v>
      </c>
      <c r="AC5" s="87">
        <f t="shared" si="8"/>
        <v>0</v>
      </c>
      <c r="AD5" s="87">
        <f t="shared" si="9"/>
        <v>0</v>
      </c>
      <c r="AE5" s="87">
        <f t="shared" si="10"/>
        <v>0</v>
      </c>
      <c r="AF5" s="87">
        <f t="shared" si="11"/>
        <v>0</v>
      </c>
      <c r="AG5" s="87">
        <f t="shared" si="12"/>
        <v>0</v>
      </c>
      <c r="AH5" s="87">
        <f t="shared" si="13"/>
        <v>0</v>
      </c>
      <c r="AI5" s="87">
        <f t="shared" si="14"/>
        <v>0</v>
      </c>
      <c r="AJ5" s="87">
        <f t="shared" si="15"/>
        <v>0</v>
      </c>
      <c r="AK5" s="87">
        <f t="shared" si="16"/>
        <v>0</v>
      </c>
      <c r="AL5" s="87">
        <f t="shared" si="17"/>
        <v>0</v>
      </c>
      <c r="AM5" s="87">
        <f t="shared" si="18"/>
        <v>0</v>
      </c>
      <c r="AN5" s="87">
        <f t="shared" si="19"/>
        <v>0</v>
      </c>
      <c r="AO5" s="65"/>
      <c r="AP5" s="88">
        <v>208</v>
      </c>
      <c r="AQ5" s="87">
        <f t="shared" si="20"/>
        <v>2</v>
      </c>
      <c r="AR5" s="87">
        <f t="shared" si="21"/>
        <v>38</v>
      </c>
      <c r="AS5" s="87">
        <f t="shared" si="22"/>
        <v>39</v>
      </c>
      <c r="AT5" s="87">
        <f t="shared" si="23"/>
        <v>8</v>
      </c>
      <c r="AU5" s="87">
        <f t="shared" si="24"/>
        <v>31</v>
      </c>
      <c r="AV5" s="87">
        <f t="shared" si="25"/>
        <v>0</v>
      </c>
      <c r="AW5" s="87">
        <f t="shared" si="26"/>
        <v>43</v>
      </c>
      <c r="AX5" s="87">
        <f t="shared" si="27"/>
        <v>28</v>
      </c>
      <c r="AY5" s="87">
        <f t="shared" si="28"/>
        <v>4</v>
      </c>
      <c r="AZ5" s="87">
        <f t="shared" si="29"/>
        <v>5</v>
      </c>
      <c r="BA5" s="87">
        <f t="shared" si="30"/>
        <v>0</v>
      </c>
      <c r="BB5" s="87">
        <f t="shared" si="31"/>
        <v>0</v>
      </c>
      <c r="BC5" s="87">
        <f t="shared" si="32"/>
        <v>0</v>
      </c>
      <c r="BD5" s="87">
        <f t="shared" si="33"/>
        <v>0</v>
      </c>
      <c r="BE5" s="87">
        <f t="shared" si="34"/>
        <v>0</v>
      </c>
      <c r="BF5" s="87">
        <f t="shared" si="35"/>
        <v>0</v>
      </c>
      <c r="BG5" s="87">
        <f t="shared" si="36"/>
        <v>0</v>
      </c>
      <c r="BH5" s="87">
        <f t="shared" si="37"/>
        <v>0</v>
      </c>
    </row>
    <row r="6" spans="1:60" s="64" customFormat="1" ht="18.75" x14ac:dyDescent="0.3">
      <c r="A6" s="66"/>
      <c r="B6" s="85">
        <v>127</v>
      </c>
      <c r="C6" s="87">
        <f t="shared" si="38"/>
        <v>2</v>
      </c>
      <c r="D6" s="87">
        <f t="shared" si="38"/>
        <v>45</v>
      </c>
      <c r="E6" s="87">
        <f t="shared" si="38"/>
        <v>107</v>
      </c>
      <c r="F6" s="87">
        <f t="shared" si="38"/>
        <v>117</v>
      </c>
      <c r="G6" s="87">
        <f t="shared" si="38"/>
        <v>93</v>
      </c>
      <c r="H6" s="87">
        <f t="shared" si="38"/>
        <v>0</v>
      </c>
      <c r="I6" s="87">
        <f t="shared" si="38"/>
        <v>44</v>
      </c>
      <c r="J6" s="87">
        <f t="shared" si="38"/>
        <v>63</v>
      </c>
      <c r="K6" s="87">
        <f t="shared" si="38"/>
        <v>0</v>
      </c>
      <c r="L6" s="87">
        <f t="shared" si="38"/>
        <v>58</v>
      </c>
      <c r="M6" s="87">
        <f t="shared" si="38"/>
        <v>0</v>
      </c>
      <c r="N6" s="87">
        <f t="shared" si="1"/>
        <v>0</v>
      </c>
      <c r="O6" s="87">
        <f t="shared" si="1"/>
        <v>0</v>
      </c>
      <c r="P6" s="87">
        <f t="shared" si="1"/>
        <v>0</v>
      </c>
      <c r="Q6" s="87">
        <f t="shared" si="1"/>
        <v>0</v>
      </c>
      <c r="R6" s="87">
        <f t="shared" si="1"/>
        <v>0</v>
      </c>
      <c r="S6" s="87">
        <f t="shared" si="1"/>
        <v>0</v>
      </c>
      <c r="T6" s="87">
        <f t="shared" si="1"/>
        <v>0</v>
      </c>
      <c r="U6" s="65"/>
      <c r="V6" s="88">
        <v>168</v>
      </c>
      <c r="W6" s="87">
        <f t="shared" si="2"/>
        <v>2</v>
      </c>
      <c r="X6" s="87">
        <f t="shared" si="3"/>
        <v>0</v>
      </c>
      <c r="Y6" s="87">
        <f t="shared" si="4"/>
        <v>0</v>
      </c>
      <c r="Z6" s="87">
        <f t="shared" si="5"/>
        <v>0</v>
      </c>
      <c r="AA6" s="87">
        <f t="shared" si="6"/>
        <v>0</v>
      </c>
      <c r="AB6" s="87">
        <f t="shared" si="7"/>
        <v>0</v>
      </c>
      <c r="AC6" s="87">
        <f t="shared" si="8"/>
        <v>0</v>
      </c>
      <c r="AD6" s="87">
        <f t="shared" si="9"/>
        <v>0</v>
      </c>
      <c r="AE6" s="87">
        <f t="shared" si="10"/>
        <v>0</v>
      </c>
      <c r="AF6" s="87">
        <f t="shared" si="11"/>
        <v>0</v>
      </c>
      <c r="AG6" s="87">
        <f t="shared" si="12"/>
        <v>0</v>
      </c>
      <c r="AH6" s="87">
        <f t="shared" si="13"/>
        <v>0</v>
      </c>
      <c r="AI6" s="87">
        <f t="shared" si="14"/>
        <v>0</v>
      </c>
      <c r="AJ6" s="87">
        <f t="shared" si="15"/>
        <v>0</v>
      </c>
      <c r="AK6" s="87">
        <f t="shared" si="16"/>
        <v>0</v>
      </c>
      <c r="AL6" s="87">
        <f t="shared" si="17"/>
        <v>0</v>
      </c>
      <c r="AM6" s="87">
        <f t="shared" si="18"/>
        <v>0</v>
      </c>
      <c r="AN6" s="87">
        <f t="shared" si="19"/>
        <v>0</v>
      </c>
      <c r="AO6" s="65"/>
      <c r="AP6" s="85">
        <v>209</v>
      </c>
      <c r="AQ6" s="87">
        <f t="shared" si="20"/>
        <v>2</v>
      </c>
      <c r="AR6" s="87">
        <f t="shared" si="21"/>
        <v>0</v>
      </c>
      <c r="AS6" s="87">
        <f t="shared" si="22"/>
        <v>0</v>
      </c>
      <c r="AT6" s="87">
        <f t="shared" si="23"/>
        <v>0</v>
      </c>
      <c r="AU6" s="87">
        <f t="shared" si="24"/>
        <v>0</v>
      </c>
      <c r="AV6" s="87">
        <f t="shared" si="25"/>
        <v>0</v>
      </c>
      <c r="AW6" s="87">
        <f t="shared" si="26"/>
        <v>0</v>
      </c>
      <c r="AX6" s="87">
        <f t="shared" si="27"/>
        <v>0</v>
      </c>
      <c r="AY6" s="87">
        <f t="shared" si="28"/>
        <v>0</v>
      </c>
      <c r="AZ6" s="87">
        <f t="shared" si="29"/>
        <v>0</v>
      </c>
      <c r="BA6" s="87">
        <f t="shared" si="30"/>
        <v>0</v>
      </c>
      <c r="BB6" s="87">
        <f t="shared" si="31"/>
        <v>0</v>
      </c>
      <c r="BC6" s="87">
        <f t="shared" si="32"/>
        <v>0</v>
      </c>
      <c r="BD6" s="87">
        <f t="shared" si="33"/>
        <v>0</v>
      </c>
      <c r="BE6" s="87">
        <f t="shared" si="34"/>
        <v>0</v>
      </c>
      <c r="BF6" s="87">
        <f t="shared" si="35"/>
        <v>0</v>
      </c>
      <c r="BG6" s="87">
        <f t="shared" si="36"/>
        <v>0</v>
      </c>
      <c r="BH6" s="87">
        <f t="shared" si="37"/>
        <v>0</v>
      </c>
    </row>
    <row r="7" spans="1:60" s="64" customFormat="1" ht="18.75" x14ac:dyDescent="0.3">
      <c r="A7" s="66"/>
      <c r="B7" s="88">
        <v>128</v>
      </c>
      <c r="C7" s="87">
        <f t="shared" si="38"/>
        <v>2</v>
      </c>
      <c r="D7" s="87">
        <f t="shared" si="38"/>
        <v>0</v>
      </c>
      <c r="E7" s="87">
        <f t="shared" si="38"/>
        <v>0</v>
      </c>
      <c r="F7" s="87">
        <f t="shared" si="38"/>
        <v>0</v>
      </c>
      <c r="G7" s="87">
        <f t="shared" si="38"/>
        <v>0</v>
      </c>
      <c r="H7" s="87">
        <f t="shared" si="38"/>
        <v>0</v>
      </c>
      <c r="I7" s="87">
        <f t="shared" si="38"/>
        <v>0</v>
      </c>
      <c r="J7" s="87">
        <f t="shared" si="38"/>
        <v>0</v>
      </c>
      <c r="K7" s="87">
        <f t="shared" si="38"/>
        <v>0</v>
      </c>
      <c r="L7" s="87">
        <f t="shared" si="38"/>
        <v>0</v>
      </c>
      <c r="M7" s="87">
        <f t="shared" si="38"/>
        <v>0</v>
      </c>
      <c r="N7" s="87">
        <f t="shared" si="1"/>
        <v>0</v>
      </c>
      <c r="O7" s="87">
        <f t="shared" si="1"/>
        <v>0</v>
      </c>
      <c r="P7" s="87">
        <f t="shared" si="1"/>
        <v>0</v>
      </c>
      <c r="Q7" s="87">
        <f t="shared" si="1"/>
        <v>0</v>
      </c>
      <c r="R7" s="87">
        <f t="shared" si="1"/>
        <v>0</v>
      </c>
      <c r="S7" s="87">
        <f t="shared" si="1"/>
        <v>0</v>
      </c>
      <c r="T7" s="87">
        <f t="shared" si="1"/>
        <v>0</v>
      </c>
      <c r="U7" s="65"/>
      <c r="V7" s="85">
        <v>169</v>
      </c>
      <c r="W7" s="87">
        <f t="shared" si="2"/>
        <v>2</v>
      </c>
      <c r="X7" s="87">
        <f t="shared" si="3"/>
        <v>212</v>
      </c>
      <c r="Y7" s="87">
        <f t="shared" si="4"/>
        <v>214</v>
      </c>
      <c r="Z7" s="87">
        <f t="shared" si="5"/>
        <v>212</v>
      </c>
      <c r="AA7" s="87">
        <f t="shared" si="6"/>
        <v>212</v>
      </c>
      <c r="AB7" s="87">
        <f t="shared" si="7"/>
        <v>212</v>
      </c>
      <c r="AC7" s="87">
        <f t="shared" si="8"/>
        <v>83</v>
      </c>
      <c r="AD7" s="87">
        <f t="shared" si="9"/>
        <v>13</v>
      </c>
      <c r="AE7" s="87">
        <f t="shared" si="10"/>
        <v>13</v>
      </c>
      <c r="AF7" s="87">
        <f t="shared" si="11"/>
        <v>20</v>
      </c>
      <c r="AG7" s="87">
        <f t="shared" si="12"/>
        <v>0</v>
      </c>
      <c r="AH7" s="87">
        <f t="shared" si="13"/>
        <v>0</v>
      </c>
      <c r="AI7" s="87">
        <f t="shared" si="14"/>
        <v>0</v>
      </c>
      <c r="AJ7" s="87">
        <f t="shared" si="15"/>
        <v>0</v>
      </c>
      <c r="AK7" s="87">
        <f t="shared" si="16"/>
        <v>0</v>
      </c>
      <c r="AL7" s="87">
        <f t="shared" si="17"/>
        <v>0</v>
      </c>
      <c r="AM7" s="87">
        <f t="shared" si="18"/>
        <v>0</v>
      </c>
      <c r="AN7" s="87">
        <f t="shared" si="19"/>
        <v>0</v>
      </c>
      <c r="AO7" s="65"/>
      <c r="AP7" s="88">
        <v>210</v>
      </c>
      <c r="AQ7" s="87">
        <f t="shared" si="20"/>
        <v>2</v>
      </c>
      <c r="AR7" s="87">
        <f t="shared" si="21"/>
        <v>0</v>
      </c>
      <c r="AS7" s="87">
        <f t="shared" si="22"/>
        <v>0</v>
      </c>
      <c r="AT7" s="87">
        <f t="shared" si="23"/>
        <v>0</v>
      </c>
      <c r="AU7" s="87">
        <f t="shared" si="24"/>
        <v>0</v>
      </c>
      <c r="AV7" s="87">
        <f t="shared" si="25"/>
        <v>0</v>
      </c>
      <c r="AW7" s="87">
        <f t="shared" si="26"/>
        <v>0</v>
      </c>
      <c r="AX7" s="87">
        <f t="shared" si="27"/>
        <v>0</v>
      </c>
      <c r="AY7" s="87">
        <f t="shared" si="28"/>
        <v>0</v>
      </c>
      <c r="AZ7" s="87">
        <f t="shared" si="29"/>
        <v>0</v>
      </c>
      <c r="BA7" s="87">
        <f t="shared" si="30"/>
        <v>0</v>
      </c>
      <c r="BB7" s="87">
        <f t="shared" si="31"/>
        <v>0</v>
      </c>
      <c r="BC7" s="87">
        <f t="shared" si="32"/>
        <v>0</v>
      </c>
      <c r="BD7" s="87">
        <f t="shared" si="33"/>
        <v>0</v>
      </c>
      <c r="BE7" s="87">
        <f t="shared" si="34"/>
        <v>0</v>
      </c>
      <c r="BF7" s="87">
        <f t="shared" si="35"/>
        <v>0</v>
      </c>
      <c r="BG7" s="87">
        <f t="shared" si="36"/>
        <v>0</v>
      </c>
      <c r="BH7" s="87">
        <f t="shared" si="37"/>
        <v>0</v>
      </c>
    </row>
    <row r="8" spans="1:60" s="64" customFormat="1" ht="18.75" x14ac:dyDescent="0.3">
      <c r="A8" s="66"/>
      <c r="B8" s="85">
        <v>129</v>
      </c>
      <c r="C8" s="87">
        <f t="shared" si="38"/>
        <v>2</v>
      </c>
      <c r="D8" s="87">
        <f t="shared" si="38"/>
        <v>0</v>
      </c>
      <c r="E8" s="87">
        <f t="shared" si="38"/>
        <v>0</v>
      </c>
      <c r="F8" s="87">
        <f t="shared" si="38"/>
        <v>0</v>
      </c>
      <c r="G8" s="87">
        <f t="shared" si="38"/>
        <v>0</v>
      </c>
      <c r="H8" s="87">
        <f t="shared" si="38"/>
        <v>0</v>
      </c>
      <c r="I8" s="87">
        <f t="shared" si="38"/>
        <v>0</v>
      </c>
      <c r="J8" s="87">
        <f t="shared" si="38"/>
        <v>0</v>
      </c>
      <c r="K8" s="87">
        <f t="shared" si="38"/>
        <v>0</v>
      </c>
      <c r="L8" s="87">
        <f t="shared" si="38"/>
        <v>0</v>
      </c>
      <c r="M8" s="87">
        <f t="shared" si="38"/>
        <v>0</v>
      </c>
      <c r="N8" s="87">
        <f t="shared" si="1"/>
        <v>0</v>
      </c>
      <c r="O8" s="87">
        <f t="shared" si="1"/>
        <v>0</v>
      </c>
      <c r="P8" s="87">
        <f t="shared" si="1"/>
        <v>0</v>
      </c>
      <c r="Q8" s="87">
        <f t="shared" si="1"/>
        <v>0</v>
      </c>
      <c r="R8" s="87">
        <f t="shared" si="1"/>
        <v>0</v>
      </c>
      <c r="S8" s="87">
        <f t="shared" si="1"/>
        <v>0</v>
      </c>
      <c r="T8" s="87">
        <f t="shared" si="1"/>
        <v>0</v>
      </c>
      <c r="U8" s="65"/>
      <c r="V8" s="88">
        <v>170</v>
      </c>
      <c r="W8" s="87">
        <f t="shared" si="2"/>
        <v>2</v>
      </c>
      <c r="X8" s="87">
        <f t="shared" si="3"/>
        <v>0</v>
      </c>
      <c r="Y8" s="87">
        <f t="shared" si="4"/>
        <v>0</v>
      </c>
      <c r="Z8" s="87">
        <f t="shared" si="5"/>
        <v>0</v>
      </c>
      <c r="AA8" s="87">
        <f t="shared" si="6"/>
        <v>0</v>
      </c>
      <c r="AB8" s="87">
        <f t="shared" si="7"/>
        <v>0</v>
      </c>
      <c r="AC8" s="87">
        <f t="shared" si="8"/>
        <v>0</v>
      </c>
      <c r="AD8" s="87">
        <f t="shared" si="9"/>
        <v>0</v>
      </c>
      <c r="AE8" s="87">
        <f t="shared" si="10"/>
        <v>0</v>
      </c>
      <c r="AF8" s="87">
        <f t="shared" si="11"/>
        <v>0</v>
      </c>
      <c r="AG8" s="87">
        <f t="shared" si="12"/>
        <v>0</v>
      </c>
      <c r="AH8" s="87">
        <f t="shared" si="13"/>
        <v>0</v>
      </c>
      <c r="AI8" s="87">
        <f t="shared" si="14"/>
        <v>0</v>
      </c>
      <c r="AJ8" s="87">
        <f t="shared" si="15"/>
        <v>0</v>
      </c>
      <c r="AK8" s="87">
        <f t="shared" si="16"/>
        <v>0</v>
      </c>
      <c r="AL8" s="87">
        <f t="shared" si="17"/>
        <v>0</v>
      </c>
      <c r="AM8" s="87">
        <f t="shared" si="18"/>
        <v>0</v>
      </c>
      <c r="AN8" s="87">
        <f t="shared" si="19"/>
        <v>0</v>
      </c>
      <c r="AO8" s="65"/>
      <c r="AP8" s="85">
        <v>211</v>
      </c>
      <c r="AQ8" s="87">
        <f t="shared" si="20"/>
        <v>2</v>
      </c>
      <c r="AR8" s="87">
        <f t="shared" si="21"/>
        <v>0</v>
      </c>
      <c r="AS8" s="87">
        <f t="shared" si="22"/>
        <v>0</v>
      </c>
      <c r="AT8" s="87">
        <f t="shared" si="23"/>
        <v>0</v>
      </c>
      <c r="AU8" s="87">
        <f t="shared" si="24"/>
        <v>0</v>
      </c>
      <c r="AV8" s="87">
        <f t="shared" si="25"/>
        <v>0</v>
      </c>
      <c r="AW8" s="87">
        <f t="shared" si="26"/>
        <v>0</v>
      </c>
      <c r="AX8" s="87">
        <f t="shared" si="27"/>
        <v>0</v>
      </c>
      <c r="AY8" s="87">
        <f t="shared" si="28"/>
        <v>0</v>
      </c>
      <c r="AZ8" s="87">
        <f t="shared" si="29"/>
        <v>0</v>
      </c>
      <c r="BA8" s="87">
        <f t="shared" si="30"/>
        <v>0</v>
      </c>
      <c r="BB8" s="87">
        <f t="shared" si="31"/>
        <v>0</v>
      </c>
      <c r="BC8" s="87">
        <f t="shared" si="32"/>
        <v>0</v>
      </c>
      <c r="BD8" s="87">
        <f t="shared" si="33"/>
        <v>0</v>
      </c>
      <c r="BE8" s="87">
        <f t="shared" si="34"/>
        <v>0</v>
      </c>
      <c r="BF8" s="87">
        <f t="shared" si="35"/>
        <v>0</v>
      </c>
      <c r="BG8" s="87">
        <f t="shared" si="36"/>
        <v>0</v>
      </c>
      <c r="BH8" s="87">
        <f t="shared" si="37"/>
        <v>0</v>
      </c>
    </row>
    <row r="9" spans="1:60" s="64" customFormat="1" ht="18.75" x14ac:dyDescent="0.3">
      <c r="A9" s="66"/>
      <c r="B9" s="88">
        <v>130</v>
      </c>
      <c r="C9" s="87">
        <f t="shared" si="38"/>
        <v>2</v>
      </c>
      <c r="D9" s="87">
        <f t="shared" si="38"/>
        <v>0</v>
      </c>
      <c r="E9" s="87">
        <f t="shared" si="38"/>
        <v>0</v>
      </c>
      <c r="F9" s="87">
        <f t="shared" si="38"/>
        <v>0</v>
      </c>
      <c r="G9" s="87">
        <f t="shared" si="38"/>
        <v>0</v>
      </c>
      <c r="H9" s="87">
        <f t="shared" si="38"/>
        <v>0</v>
      </c>
      <c r="I9" s="87">
        <f t="shared" si="38"/>
        <v>0</v>
      </c>
      <c r="J9" s="87">
        <f>SUMIFS(VOTOS1,CENTRO1,$B9,TURNO1,J$1)</f>
        <v>0</v>
      </c>
      <c r="K9" s="87">
        <f t="shared" si="38"/>
        <v>0</v>
      </c>
      <c r="L9" s="87">
        <f t="shared" si="38"/>
        <v>0</v>
      </c>
      <c r="M9" s="87">
        <f t="shared" si="38"/>
        <v>0</v>
      </c>
      <c r="N9" s="87">
        <f t="shared" si="1"/>
        <v>0</v>
      </c>
      <c r="O9" s="87">
        <f t="shared" si="1"/>
        <v>0</v>
      </c>
      <c r="P9" s="87">
        <f t="shared" si="1"/>
        <v>0</v>
      </c>
      <c r="Q9" s="87">
        <f t="shared" si="1"/>
        <v>0</v>
      </c>
      <c r="R9" s="87">
        <f t="shared" si="1"/>
        <v>0</v>
      </c>
      <c r="S9" s="87">
        <f t="shared" si="1"/>
        <v>0</v>
      </c>
      <c r="T9" s="87">
        <f t="shared" si="1"/>
        <v>0</v>
      </c>
      <c r="U9" s="65"/>
      <c r="V9" s="85">
        <v>171</v>
      </c>
      <c r="W9" s="87">
        <f t="shared" si="2"/>
        <v>2</v>
      </c>
      <c r="X9" s="87">
        <f t="shared" si="3"/>
        <v>0</v>
      </c>
      <c r="Y9" s="87">
        <f t="shared" si="4"/>
        <v>0</v>
      </c>
      <c r="Z9" s="87">
        <f t="shared" si="5"/>
        <v>0</v>
      </c>
      <c r="AA9" s="87">
        <f t="shared" si="6"/>
        <v>0</v>
      </c>
      <c r="AB9" s="87">
        <f t="shared" si="7"/>
        <v>0</v>
      </c>
      <c r="AC9" s="87">
        <f t="shared" si="8"/>
        <v>0</v>
      </c>
      <c r="AD9" s="87">
        <f t="shared" si="9"/>
        <v>0</v>
      </c>
      <c r="AE9" s="87">
        <f t="shared" si="10"/>
        <v>0</v>
      </c>
      <c r="AF9" s="87">
        <f t="shared" si="11"/>
        <v>0</v>
      </c>
      <c r="AG9" s="87">
        <f t="shared" si="12"/>
        <v>0</v>
      </c>
      <c r="AH9" s="87">
        <f t="shared" si="13"/>
        <v>0</v>
      </c>
      <c r="AI9" s="87">
        <f t="shared" si="14"/>
        <v>0</v>
      </c>
      <c r="AJ9" s="87">
        <f t="shared" si="15"/>
        <v>0</v>
      </c>
      <c r="AK9" s="87">
        <f t="shared" si="16"/>
        <v>0</v>
      </c>
      <c r="AL9" s="87">
        <f t="shared" si="17"/>
        <v>0</v>
      </c>
      <c r="AM9" s="87">
        <f t="shared" si="18"/>
        <v>0</v>
      </c>
      <c r="AN9" s="87">
        <f t="shared" si="19"/>
        <v>0</v>
      </c>
      <c r="AO9" s="65"/>
      <c r="AP9" s="88">
        <v>212</v>
      </c>
      <c r="AQ9" s="87">
        <f t="shared" si="20"/>
        <v>2</v>
      </c>
      <c r="AR9" s="87">
        <f t="shared" si="21"/>
        <v>0</v>
      </c>
      <c r="AS9" s="87">
        <f t="shared" si="22"/>
        <v>0</v>
      </c>
      <c r="AT9" s="87">
        <f t="shared" si="23"/>
        <v>0</v>
      </c>
      <c r="AU9" s="87">
        <f t="shared" si="24"/>
        <v>0</v>
      </c>
      <c r="AV9" s="87">
        <f t="shared" si="25"/>
        <v>0</v>
      </c>
      <c r="AW9" s="87">
        <f t="shared" si="26"/>
        <v>0</v>
      </c>
      <c r="AX9" s="87">
        <f t="shared" si="27"/>
        <v>0</v>
      </c>
      <c r="AY9" s="87">
        <f t="shared" si="28"/>
        <v>0</v>
      </c>
      <c r="AZ9" s="87">
        <f t="shared" si="29"/>
        <v>0</v>
      </c>
      <c r="BA9" s="87">
        <f t="shared" si="30"/>
        <v>0</v>
      </c>
      <c r="BB9" s="87">
        <f t="shared" si="31"/>
        <v>0</v>
      </c>
      <c r="BC9" s="87">
        <f t="shared" si="32"/>
        <v>0</v>
      </c>
      <c r="BD9" s="87">
        <f t="shared" si="33"/>
        <v>0</v>
      </c>
      <c r="BE9" s="87">
        <f t="shared" si="34"/>
        <v>0</v>
      </c>
      <c r="BF9" s="87">
        <f t="shared" si="35"/>
        <v>0</v>
      </c>
      <c r="BG9" s="87">
        <f t="shared" si="36"/>
        <v>0</v>
      </c>
      <c r="BH9" s="87">
        <f t="shared" si="37"/>
        <v>0</v>
      </c>
    </row>
    <row r="10" spans="1:60" s="64" customFormat="1" ht="18.75" x14ac:dyDescent="0.3">
      <c r="A10" s="66"/>
      <c r="B10" s="85">
        <v>131</v>
      </c>
      <c r="C10" s="87">
        <f t="shared" si="38"/>
        <v>2</v>
      </c>
      <c r="D10" s="87">
        <f t="shared" si="38"/>
        <v>74</v>
      </c>
      <c r="E10" s="87">
        <f t="shared" si="38"/>
        <v>188</v>
      </c>
      <c r="F10" s="87">
        <f t="shared" si="38"/>
        <v>50</v>
      </c>
      <c r="G10" s="87">
        <f t="shared" si="38"/>
        <v>50</v>
      </c>
      <c r="H10" s="87">
        <f t="shared" si="38"/>
        <v>21</v>
      </c>
      <c r="I10" s="87">
        <f t="shared" si="38"/>
        <v>37</v>
      </c>
      <c r="J10" s="87">
        <f t="shared" si="38"/>
        <v>25</v>
      </c>
      <c r="K10" s="87">
        <f t="shared" si="38"/>
        <v>30</v>
      </c>
      <c r="L10" s="87">
        <f t="shared" si="38"/>
        <v>26</v>
      </c>
      <c r="M10" s="87">
        <f t="shared" si="38"/>
        <v>0</v>
      </c>
      <c r="N10" s="87">
        <f t="shared" si="1"/>
        <v>0</v>
      </c>
      <c r="O10" s="87">
        <f t="shared" si="1"/>
        <v>0</v>
      </c>
      <c r="P10" s="87">
        <f t="shared" si="1"/>
        <v>0</v>
      </c>
      <c r="Q10" s="87">
        <f t="shared" si="1"/>
        <v>0</v>
      </c>
      <c r="R10" s="87">
        <f t="shared" si="1"/>
        <v>0</v>
      </c>
      <c r="S10" s="87">
        <f t="shared" si="1"/>
        <v>0</v>
      </c>
      <c r="T10" s="87">
        <f t="shared" si="1"/>
        <v>0</v>
      </c>
      <c r="U10" s="65"/>
      <c r="V10" s="88">
        <v>172</v>
      </c>
      <c r="W10" s="87">
        <f t="shared" si="2"/>
        <v>2</v>
      </c>
      <c r="X10" s="87">
        <f t="shared" si="3"/>
        <v>0</v>
      </c>
      <c r="Y10" s="87">
        <f t="shared" si="4"/>
        <v>0</v>
      </c>
      <c r="Z10" s="87">
        <f t="shared" si="5"/>
        <v>0</v>
      </c>
      <c r="AA10" s="87">
        <f t="shared" si="6"/>
        <v>0</v>
      </c>
      <c r="AB10" s="87">
        <f t="shared" si="7"/>
        <v>0</v>
      </c>
      <c r="AC10" s="87">
        <f t="shared" si="8"/>
        <v>0</v>
      </c>
      <c r="AD10" s="87">
        <f t="shared" si="9"/>
        <v>0</v>
      </c>
      <c r="AE10" s="87">
        <f t="shared" si="10"/>
        <v>0</v>
      </c>
      <c r="AF10" s="87">
        <f t="shared" si="11"/>
        <v>0</v>
      </c>
      <c r="AG10" s="87">
        <f t="shared" si="12"/>
        <v>0</v>
      </c>
      <c r="AH10" s="87">
        <f t="shared" si="13"/>
        <v>0</v>
      </c>
      <c r="AI10" s="87">
        <f t="shared" si="14"/>
        <v>0</v>
      </c>
      <c r="AJ10" s="87">
        <f t="shared" si="15"/>
        <v>0</v>
      </c>
      <c r="AK10" s="87">
        <f t="shared" si="16"/>
        <v>0</v>
      </c>
      <c r="AL10" s="87">
        <f t="shared" si="17"/>
        <v>0</v>
      </c>
      <c r="AM10" s="87">
        <f t="shared" si="18"/>
        <v>0</v>
      </c>
      <c r="AN10" s="87">
        <f t="shared" si="19"/>
        <v>0</v>
      </c>
      <c r="AO10" s="65"/>
      <c r="AP10" s="85">
        <v>213</v>
      </c>
      <c r="AQ10" s="87">
        <f t="shared" si="20"/>
        <v>2</v>
      </c>
      <c r="AR10" s="87">
        <f t="shared" si="21"/>
        <v>0</v>
      </c>
      <c r="AS10" s="87">
        <f t="shared" si="22"/>
        <v>0</v>
      </c>
      <c r="AT10" s="87">
        <f t="shared" si="23"/>
        <v>0</v>
      </c>
      <c r="AU10" s="87">
        <f t="shared" si="24"/>
        <v>0</v>
      </c>
      <c r="AV10" s="87">
        <f t="shared" si="25"/>
        <v>0</v>
      </c>
      <c r="AW10" s="87">
        <f t="shared" si="26"/>
        <v>0</v>
      </c>
      <c r="AX10" s="87">
        <f t="shared" si="27"/>
        <v>0</v>
      </c>
      <c r="AY10" s="87">
        <f t="shared" si="28"/>
        <v>0</v>
      </c>
      <c r="AZ10" s="87">
        <f t="shared" si="29"/>
        <v>0</v>
      </c>
      <c r="BA10" s="87">
        <f t="shared" si="30"/>
        <v>0</v>
      </c>
      <c r="BB10" s="87">
        <f t="shared" si="31"/>
        <v>0</v>
      </c>
      <c r="BC10" s="87">
        <f t="shared" si="32"/>
        <v>0</v>
      </c>
      <c r="BD10" s="87">
        <f t="shared" si="33"/>
        <v>0</v>
      </c>
      <c r="BE10" s="87">
        <f t="shared" si="34"/>
        <v>0</v>
      </c>
      <c r="BF10" s="87">
        <f t="shared" si="35"/>
        <v>0</v>
      </c>
      <c r="BG10" s="87">
        <f t="shared" si="36"/>
        <v>0</v>
      </c>
      <c r="BH10" s="87">
        <f t="shared" si="37"/>
        <v>0</v>
      </c>
    </row>
    <row r="11" spans="1:60" s="64" customFormat="1" ht="18.75" x14ac:dyDescent="0.3">
      <c r="A11" s="66"/>
      <c r="B11" s="88">
        <v>132</v>
      </c>
      <c r="C11" s="87">
        <f t="shared" si="38"/>
        <v>2</v>
      </c>
      <c r="D11" s="87">
        <f t="shared" si="38"/>
        <v>0</v>
      </c>
      <c r="E11" s="87">
        <f t="shared" si="38"/>
        <v>0</v>
      </c>
      <c r="F11" s="87">
        <f t="shared" si="38"/>
        <v>0</v>
      </c>
      <c r="G11" s="87">
        <f t="shared" si="38"/>
        <v>0</v>
      </c>
      <c r="H11" s="87">
        <f t="shared" si="38"/>
        <v>0</v>
      </c>
      <c r="I11" s="87">
        <f t="shared" si="38"/>
        <v>0</v>
      </c>
      <c r="J11" s="87">
        <f t="shared" si="38"/>
        <v>0</v>
      </c>
      <c r="K11" s="87">
        <f t="shared" si="38"/>
        <v>0</v>
      </c>
      <c r="L11" s="87">
        <f t="shared" si="38"/>
        <v>0</v>
      </c>
      <c r="M11" s="87">
        <f t="shared" si="38"/>
        <v>0</v>
      </c>
      <c r="N11" s="87">
        <f t="shared" si="1"/>
        <v>0</v>
      </c>
      <c r="O11" s="87">
        <f t="shared" si="1"/>
        <v>0</v>
      </c>
      <c r="P11" s="87">
        <f t="shared" si="1"/>
        <v>0</v>
      </c>
      <c r="Q11" s="87">
        <f t="shared" si="1"/>
        <v>0</v>
      </c>
      <c r="R11" s="87">
        <f t="shared" si="1"/>
        <v>0</v>
      </c>
      <c r="S11" s="87">
        <f t="shared" si="1"/>
        <v>0</v>
      </c>
      <c r="T11" s="87">
        <f t="shared" si="1"/>
        <v>0</v>
      </c>
      <c r="U11" s="65"/>
      <c r="V11" s="85">
        <v>173</v>
      </c>
      <c r="W11" s="87">
        <f t="shared" si="2"/>
        <v>2</v>
      </c>
      <c r="X11" s="87">
        <f t="shared" si="3"/>
        <v>0</v>
      </c>
      <c r="Y11" s="87">
        <f t="shared" si="4"/>
        <v>0</v>
      </c>
      <c r="Z11" s="87">
        <f t="shared" si="5"/>
        <v>0</v>
      </c>
      <c r="AA11" s="87">
        <f t="shared" si="6"/>
        <v>0</v>
      </c>
      <c r="AB11" s="87">
        <f t="shared" si="7"/>
        <v>0</v>
      </c>
      <c r="AC11" s="87">
        <f t="shared" si="8"/>
        <v>0</v>
      </c>
      <c r="AD11" s="87">
        <f t="shared" si="9"/>
        <v>0</v>
      </c>
      <c r="AE11" s="87">
        <f t="shared" si="10"/>
        <v>0</v>
      </c>
      <c r="AF11" s="87">
        <f t="shared" si="11"/>
        <v>0</v>
      </c>
      <c r="AG11" s="87">
        <f t="shared" si="12"/>
        <v>0</v>
      </c>
      <c r="AH11" s="87">
        <f t="shared" si="13"/>
        <v>0</v>
      </c>
      <c r="AI11" s="87">
        <f t="shared" si="14"/>
        <v>0</v>
      </c>
      <c r="AJ11" s="87">
        <f t="shared" si="15"/>
        <v>0</v>
      </c>
      <c r="AK11" s="87">
        <f t="shared" si="16"/>
        <v>0</v>
      </c>
      <c r="AL11" s="87">
        <f t="shared" si="17"/>
        <v>0</v>
      </c>
      <c r="AM11" s="87">
        <f t="shared" si="18"/>
        <v>0</v>
      </c>
      <c r="AN11" s="87">
        <f t="shared" si="19"/>
        <v>0</v>
      </c>
      <c r="AO11" s="65"/>
      <c r="AP11" s="88">
        <v>214</v>
      </c>
      <c r="AQ11" s="87">
        <f t="shared" si="20"/>
        <v>2</v>
      </c>
      <c r="AR11" s="87">
        <f t="shared" si="21"/>
        <v>0</v>
      </c>
      <c r="AS11" s="87">
        <f t="shared" si="22"/>
        <v>0</v>
      </c>
      <c r="AT11" s="87">
        <f t="shared" si="23"/>
        <v>0</v>
      </c>
      <c r="AU11" s="87">
        <f t="shared" si="24"/>
        <v>0</v>
      </c>
      <c r="AV11" s="87">
        <f t="shared" si="25"/>
        <v>0</v>
      </c>
      <c r="AW11" s="87">
        <f t="shared" si="26"/>
        <v>0</v>
      </c>
      <c r="AX11" s="87">
        <f t="shared" si="27"/>
        <v>0</v>
      </c>
      <c r="AY11" s="87">
        <f t="shared" si="28"/>
        <v>0</v>
      </c>
      <c r="AZ11" s="87">
        <f t="shared" si="29"/>
        <v>0</v>
      </c>
      <c r="BA11" s="87">
        <f t="shared" si="30"/>
        <v>0</v>
      </c>
      <c r="BB11" s="87">
        <f t="shared" si="31"/>
        <v>0</v>
      </c>
      <c r="BC11" s="87">
        <f t="shared" si="32"/>
        <v>0</v>
      </c>
      <c r="BD11" s="87">
        <f t="shared" si="33"/>
        <v>0</v>
      </c>
      <c r="BE11" s="87">
        <f t="shared" si="34"/>
        <v>0</v>
      </c>
      <c r="BF11" s="87">
        <f t="shared" si="35"/>
        <v>0</v>
      </c>
      <c r="BG11" s="87">
        <f t="shared" si="36"/>
        <v>0</v>
      </c>
      <c r="BH11" s="87">
        <f t="shared" si="37"/>
        <v>0</v>
      </c>
    </row>
    <row r="12" spans="1:60" s="64" customFormat="1" ht="18.75" x14ac:dyDescent="0.3">
      <c r="A12" s="66"/>
      <c r="B12" s="85">
        <v>133</v>
      </c>
      <c r="C12" s="87">
        <f t="shared" si="38"/>
        <v>2</v>
      </c>
      <c r="D12" s="87">
        <f t="shared" si="38"/>
        <v>0</v>
      </c>
      <c r="E12" s="87">
        <f t="shared" si="38"/>
        <v>0</v>
      </c>
      <c r="F12" s="87">
        <f t="shared" si="38"/>
        <v>0</v>
      </c>
      <c r="G12" s="87">
        <f t="shared" si="38"/>
        <v>0</v>
      </c>
      <c r="H12" s="87">
        <f t="shared" si="38"/>
        <v>0</v>
      </c>
      <c r="I12" s="87">
        <f t="shared" si="38"/>
        <v>0</v>
      </c>
      <c r="J12" s="87">
        <f t="shared" si="38"/>
        <v>0</v>
      </c>
      <c r="K12" s="87">
        <f t="shared" si="38"/>
        <v>0</v>
      </c>
      <c r="L12" s="87">
        <f t="shared" si="38"/>
        <v>0</v>
      </c>
      <c r="M12" s="87">
        <f t="shared" si="38"/>
        <v>0</v>
      </c>
      <c r="N12" s="87">
        <f t="shared" si="1"/>
        <v>0</v>
      </c>
      <c r="O12" s="87">
        <f t="shared" si="1"/>
        <v>0</v>
      </c>
      <c r="P12" s="87">
        <f t="shared" si="1"/>
        <v>0</v>
      </c>
      <c r="Q12" s="87">
        <f t="shared" si="1"/>
        <v>0</v>
      </c>
      <c r="R12" s="87">
        <f t="shared" si="1"/>
        <v>0</v>
      </c>
      <c r="S12" s="87">
        <f t="shared" si="1"/>
        <v>0</v>
      </c>
      <c r="T12" s="87">
        <f t="shared" si="1"/>
        <v>0</v>
      </c>
      <c r="U12" s="65"/>
      <c r="V12" s="88">
        <v>174</v>
      </c>
      <c r="W12" s="87">
        <f t="shared" si="2"/>
        <v>2</v>
      </c>
      <c r="X12" s="87">
        <f t="shared" si="3"/>
        <v>98</v>
      </c>
      <c r="Y12" s="87">
        <f t="shared" si="4"/>
        <v>100</v>
      </c>
      <c r="Z12" s="87">
        <f t="shared" si="5"/>
        <v>216</v>
      </c>
      <c r="AA12" s="87">
        <f t="shared" si="6"/>
        <v>215</v>
      </c>
      <c r="AB12" s="87">
        <f t="shared" si="7"/>
        <v>30</v>
      </c>
      <c r="AC12" s="87">
        <f t="shared" si="8"/>
        <v>0</v>
      </c>
      <c r="AD12" s="87">
        <f t="shared" si="9"/>
        <v>0</v>
      </c>
      <c r="AE12" s="87">
        <f t="shared" si="10"/>
        <v>0</v>
      </c>
      <c r="AF12" s="87">
        <f t="shared" si="11"/>
        <v>0</v>
      </c>
      <c r="AG12" s="87">
        <f t="shared" si="12"/>
        <v>0</v>
      </c>
      <c r="AH12" s="87">
        <f t="shared" si="13"/>
        <v>0</v>
      </c>
      <c r="AI12" s="87">
        <f t="shared" si="14"/>
        <v>0</v>
      </c>
      <c r="AJ12" s="87">
        <f t="shared" si="15"/>
        <v>0</v>
      </c>
      <c r="AK12" s="87">
        <f t="shared" si="16"/>
        <v>0</v>
      </c>
      <c r="AL12" s="87">
        <f t="shared" si="17"/>
        <v>0</v>
      </c>
      <c r="AM12" s="87">
        <f t="shared" si="18"/>
        <v>0</v>
      </c>
      <c r="AN12" s="87">
        <f t="shared" si="19"/>
        <v>0</v>
      </c>
      <c r="AO12" s="65"/>
      <c r="AP12" s="85">
        <v>215</v>
      </c>
      <c r="AQ12" s="87">
        <f t="shared" si="20"/>
        <v>2</v>
      </c>
      <c r="AR12" s="87">
        <f t="shared" si="21"/>
        <v>0</v>
      </c>
      <c r="AS12" s="87">
        <f t="shared" si="22"/>
        <v>0</v>
      </c>
      <c r="AT12" s="87">
        <f t="shared" si="23"/>
        <v>0</v>
      </c>
      <c r="AU12" s="87">
        <f t="shared" si="24"/>
        <v>0</v>
      </c>
      <c r="AV12" s="87">
        <f t="shared" si="25"/>
        <v>0</v>
      </c>
      <c r="AW12" s="87">
        <f t="shared" si="26"/>
        <v>0</v>
      </c>
      <c r="AX12" s="87">
        <f t="shared" si="27"/>
        <v>0</v>
      </c>
      <c r="AY12" s="87">
        <f t="shared" si="28"/>
        <v>0</v>
      </c>
      <c r="AZ12" s="87">
        <f t="shared" si="29"/>
        <v>0</v>
      </c>
      <c r="BA12" s="87">
        <f t="shared" si="30"/>
        <v>0</v>
      </c>
      <c r="BB12" s="87">
        <f t="shared" si="31"/>
        <v>0</v>
      </c>
      <c r="BC12" s="87">
        <f t="shared" si="32"/>
        <v>0</v>
      </c>
      <c r="BD12" s="87">
        <f t="shared" si="33"/>
        <v>0</v>
      </c>
      <c r="BE12" s="87">
        <f t="shared" si="34"/>
        <v>0</v>
      </c>
      <c r="BF12" s="87">
        <f t="shared" si="35"/>
        <v>0</v>
      </c>
      <c r="BG12" s="87">
        <f t="shared" si="36"/>
        <v>0</v>
      </c>
      <c r="BH12" s="87">
        <f t="shared" si="37"/>
        <v>0</v>
      </c>
    </row>
    <row r="13" spans="1:60" s="64" customFormat="1" ht="18.75" x14ac:dyDescent="0.3">
      <c r="A13" s="66"/>
      <c r="B13" s="88">
        <v>134</v>
      </c>
      <c r="C13" s="87">
        <f t="shared" si="38"/>
        <v>2</v>
      </c>
      <c r="D13" s="87">
        <f t="shared" si="38"/>
        <v>0</v>
      </c>
      <c r="E13" s="87">
        <f t="shared" si="38"/>
        <v>0</v>
      </c>
      <c r="F13" s="87">
        <f t="shared" si="38"/>
        <v>0</v>
      </c>
      <c r="G13" s="87">
        <f t="shared" si="38"/>
        <v>0</v>
      </c>
      <c r="H13" s="87">
        <f t="shared" si="38"/>
        <v>0</v>
      </c>
      <c r="I13" s="87">
        <f t="shared" si="38"/>
        <v>0</v>
      </c>
      <c r="J13" s="87">
        <f t="shared" si="38"/>
        <v>0</v>
      </c>
      <c r="K13" s="87">
        <f t="shared" si="38"/>
        <v>0</v>
      </c>
      <c r="L13" s="87">
        <f t="shared" si="38"/>
        <v>0</v>
      </c>
      <c r="M13" s="87">
        <f t="shared" si="38"/>
        <v>0</v>
      </c>
      <c r="N13" s="87">
        <f t="shared" si="1"/>
        <v>0</v>
      </c>
      <c r="O13" s="87">
        <f t="shared" si="1"/>
        <v>0</v>
      </c>
      <c r="P13" s="87">
        <f t="shared" si="1"/>
        <v>0</v>
      </c>
      <c r="Q13" s="87">
        <f t="shared" si="1"/>
        <v>0</v>
      </c>
      <c r="R13" s="87">
        <f t="shared" si="1"/>
        <v>0</v>
      </c>
      <c r="S13" s="87">
        <f t="shared" si="1"/>
        <v>0</v>
      </c>
      <c r="T13" s="87">
        <f t="shared" si="1"/>
        <v>0</v>
      </c>
      <c r="U13" s="65"/>
      <c r="V13" s="85">
        <v>175</v>
      </c>
      <c r="W13" s="87">
        <f t="shared" si="2"/>
        <v>2</v>
      </c>
      <c r="X13" s="87">
        <f t="shared" si="3"/>
        <v>0</v>
      </c>
      <c r="Y13" s="87">
        <f t="shared" si="4"/>
        <v>0</v>
      </c>
      <c r="Z13" s="87">
        <f t="shared" si="5"/>
        <v>0</v>
      </c>
      <c r="AA13" s="87">
        <f t="shared" si="6"/>
        <v>0</v>
      </c>
      <c r="AB13" s="87">
        <f t="shared" si="7"/>
        <v>0</v>
      </c>
      <c r="AC13" s="87">
        <f t="shared" si="8"/>
        <v>0</v>
      </c>
      <c r="AD13" s="87">
        <f t="shared" si="9"/>
        <v>0</v>
      </c>
      <c r="AE13" s="87">
        <f t="shared" si="10"/>
        <v>0</v>
      </c>
      <c r="AF13" s="87">
        <f t="shared" si="11"/>
        <v>0</v>
      </c>
      <c r="AG13" s="87">
        <f t="shared" si="12"/>
        <v>0</v>
      </c>
      <c r="AH13" s="87">
        <f t="shared" si="13"/>
        <v>0</v>
      </c>
      <c r="AI13" s="87">
        <f t="shared" si="14"/>
        <v>0</v>
      </c>
      <c r="AJ13" s="87">
        <f t="shared" si="15"/>
        <v>0</v>
      </c>
      <c r="AK13" s="87">
        <f t="shared" si="16"/>
        <v>0</v>
      </c>
      <c r="AL13" s="87">
        <f t="shared" si="17"/>
        <v>0</v>
      </c>
      <c r="AM13" s="87">
        <f t="shared" si="18"/>
        <v>0</v>
      </c>
      <c r="AN13" s="87">
        <f t="shared" si="19"/>
        <v>0</v>
      </c>
      <c r="AO13" s="65"/>
      <c r="AP13" s="88">
        <v>216</v>
      </c>
      <c r="AQ13" s="87">
        <f t="shared" si="20"/>
        <v>2</v>
      </c>
      <c r="AR13" s="87">
        <f t="shared" si="21"/>
        <v>0</v>
      </c>
      <c r="AS13" s="87">
        <f t="shared" si="22"/>
        <v>0</v>
      </c>
      <c r="AT13" s="87">
        <f t="shared" si="23"/>
        <v>0</v>
      </c>
      <c r="AU13" s="87">
        <f t="shared" si="24"/>
        <v>0</v>
      </c>
      <c r="AV13" s="87">
        <f t="shared" si="25"/>
        <v>0</v>
      </c>
      <c r="AW13" s="87">
        <f t="shared" si="26"/>
        <v>0</v>
      </c>
      <c r="AX13" s="87">
        <f t="shared" si="27"/>
        <v>0</v>
      </c>
      <c r="AY13" s="87">
        <f t="shared" si="28"/>
        <v>0</v>
      </c>
      <c r="AZ13" s="87">
        <f t="shared" si="29"/>
        <v>0</v>
      </c>
      <c r="BA13" s="87">
        <f t="shared" si="30"/>
        <v>0</v>
      </c>
      <c r="BB13" s="87">
        <f t="shared" si="31"/>
        <v>0</v>
      </c>
      <c r="BC13" s="87">
        <f t="shared" si="32"/>
        <v>0</v>
      </c>
      <c r="BD13" s="87">
        <f t="shared" si="33"/>
        <v>0</v>
      </c>
      <c r="BE13" s="87">
        <f t="shared" si="34"/>
        <v>0</v>
      </c>
      <c r="BF13" s="87">
        <f t="shared" si="35"/>
        <v>0</v>
      </c>
      <c r="BG13" s="87">
        <f t="shared" si="36"/>
        <v>0</v>
      </c>
      <c r="BH13" s="87">
        <f t="shared" si="37"/>
        <v>0</v>
      </c>
    </row>
    <row r="14" spans="1:60" s="64" customFormat="1" ht="18.75" x14ac:dyDescent="0.3">
      <c r="A14" s="65"/>
      <c r="B14" s="85">
        <v>135</v>
      </c>
      <c r="C14" s="87">
        <f t="shared" si="38"/>
        <v>2</v>
      </c>
      <c r="D14" s="87">
        <f t="shared" si="38"/>
        <v>0</v>
      </c>
      <c r="E14" s="87">
        <f t="shared" si="38"/>
        <v>0</v>
      </c>
      <c r="F14" s="87">
        <f t="shared" si="38"/>
        <v>0</v>
      </c>
      <c r="G14" s="87">
        <f t="shared" si="38"/>
        <v>0</v>
      </c>
      <c r="H14" s="87">
        <f t="shared" si="38"/>
        <v>0</v>
      </c>
      <c r="I14" s="87">
        <f t="shared" si="38"/>
        <v>0</v>
      </c>
      <c r="J14" s="87">
        <f t="shared" si="38"/>
        <v>0</v>
      </c>
      <c r="K14" s="87">
        <f t="shared" si="38"/>
        <v>0</v>
      </c>
      <c r="L14" s="87">
        <f t="shared" si="38"/>
        <v>0</v>
      </c>
      <c r="M14" s="87">
        <f t="shared" si="38"/>
        <v>0</v>
      </c>
      <c r="N14" s="87">
        <f t="shared" si="1"/>
        <v>0</v>
      </c>
      <c r="O14" s="87">
        <f t="shared" si="1"/>
        <v>0</v>
      </c>
      <c r="P14" s="87">
        <f t="shared" si="1"/>
        <v>0</v>
      </c>
      <c r="Q14" s="87">
        <f t="shared" si="1"/>
        <v>0</v>
      </c>
      <c r="R14" s="87">
        <f t="shared" si="1"/>
        <v>0</v>
      </c>
      <c r="S14" s="87">
        <f t="shared" si="1"/>
        <v>0</v>
      </c>
      <c r="T14" s="87">
        <f t="shared" si="1"/>
        <v>0</v>
      </c>
      <c r="U14" s="65"/>
      <c r="V14" s="88">
        <v>176</v>
      </c>
      <c r="W14" s="87">
        <f t="shared" si="2"/>
        <v>2</v>
      </c>
      <c r="X14" s="87">
        <f t="shared" si="3"/>
        <v>0</v>
      </c>
      <c r="Y14" s="87">
        <f t="shared" si="4"/>
        <v>0</v>
      </c>
      <c r="Z14" s="87">
        <f t="shared" si="5"/>
        <v>25</v>
      </c>
      <c r="AA14" s="87">
        <f t="shared" si="6"/>
        <v>0</v>
      </c>
      <c r="AB14" s="87">
        <f t="shared" si="7"/>
        <v>0</v>
      </c>
      <c r="AC14" s="87">
        <f t="shared" si="8"/>
        <v>62</v>
      </c>
      <c r="AD14" s="87">
        <f t="shared" si="9"/>
        <v>0</v>
      </c>
      <c r="AE14" s="87">
        <f t="shared" si="10"/>
        <v>0</v>
      </c>
      <c r="AF14" s="87">
        <f t="shared" si="11"/>
        <v>24</v>
      </c>
      <c r="AG14" s="87">
        <f t="shared" si="12"/>
        <v>0</v>
      </c>
      <c r="AH14" s="87">
        <f t="shared" si="13"/>
        <v>0</v>
      </c>
      <c r="AI14" s="87">
        <f t="shared" si="14"/>
        <v>0</v>
      </c>
      <c r="AJ14" s="87">
        <f t="shared" si="15"/>
        <v>0</v>
      </c>
      <c r="AK14" s="87">
        <f t="shared" si="16"/>
        <v>0</v>
      </c>
      <c r="AL14" s="87">
        <f t="shared" si="17"/>
        <v>0</v>
      </c>
      <c r="AM14" s="87">
        <f t="shared" si="18"/>
        <v>0</v>
      </c>
      <c r="AN14" s="87">
        <f t="shared" si="19"/>
        <v>0</v>
      </c>
      <c r="AO14" s="65"/>
      <c r="AP14" s="85">
        <v>217</v>
      </c>
      <c r="AQ14" s="87">
        <f t="shared" si="20"/>
        <v>2</v>
      </c>
      <c r="AR14" s="87">
        <f t="shared" si="21"/>
        <v>0</v>
      </c>
      <c r="AS14" s="87">
        <f t="shared" si="22"/>
        <v>0</v>
      </c>
      <c r="AT14" s="87">
        <f t="shared" si="23"/>
        <v>0</v>
      </c>
      <c r="AU14" s="87">
        <f t="shared" si="24"/>
        <v>0</v>
      </c>
      <c r="AV14" s="87">
        <f t="shared" si="25"/>
        <v>93</v>
      </c>
      <c r="AW14" s="87">
        <f t="shared" si="26"/>
        <v>0</v>
      </c>
      <c r="AX14" s="87">
        <f t="shared" si="27"/>
        <v>0</v>
      </c>
      <c r="AY14" s="87">
        <f t="shared" si="28"/>
        <v>0</v>
      </c>
      <c r="AZ14" s="87">
        <f t="shared" si="29"/>
        <v>0</v>
      </c>
      <c r="BA14" s="87">
        <f t="shared" si="30"/>
        <v>0</v>
      </c>
      <c r="BB14" s="87">
        <f t="shared" si="31"/>
        <v>0</v>
      </c>
      <c r="BC14" s="87">
        <f t="shared" si="32"/>
        <v>0</v>
      </c>
      <c r="BD14" s="87">
        <f t="shared" si="33"/>
        <v>0</v>
      </c>
      <c r="BE14" s="87">
        <f t="shared" si="34"/>
        <v>0</v>
      </c>
      <c r="BF14" s="87">
        <f t="shared" si="35"/>
        <v>0</v>
      </c>
      <c r="BG14" s="87">
        <f t="shared" si="36"/>
        <v>0</v>
      </c>
      <c r="BH14" s="87">
        <f t="shared" si="37"/>
        <v>0</v>
      </c>
    </row>
    <row r="15" spans="1:60" s="64" customFormat="1" ht="18.75" x14ac:dyDescent="0.3">
      <c r="A15" s="65"/>
      <c r="B15" s="88">
        <v>136</v>
      </c>
      <c r="C15" s="87">
        <f t="shared" si="38"/>
        <v>2</v>
      </c>
      <c r="D15" s="87">
        <f t="shared" si="38"/>
        <v>0</v>
      </c>
      <c r="E15" s="87">
        <f t="shared" si="38"/>
        <v>0</v>
      </c>
      <c r="F15" s="87">
        <f t="shared" si="38"/>
        <v>0</v>
      </c>
      <c r="G15" s="87">
        <f t="shared" si="38"/>
        <v>0</v>
      </c>
      <c r="H15" s="87">
        <f t="shared" si="38"/>
        <v>0</v>
      </c>
      <c r="I15" s="87">
        <f t="shared" si="38"/>
        <v>0</v>
      </c>
      <c r="J15" s="87">
        <f>SUMIFS(VOTOS1,CENTRO1,$B15,TURNO1,J$1)</f>
        <v>0</v>
      </c>
      <c r="K15" s="87">
        <f t="shared" si="38"/>
        <v>0</v>
      </c>
      <c r="L15" s="87">
        <f t="shared" si="38"/>
        <v>0</v>
      </c>
      <c r="M15" s="87">
        <f t="shared" si="38"/>
        <v>0</v>
      </c>
      <c r="N15" s="87">
        <f t="shared" si="1"/>
        <v>0</v>
      </c>
      <c r="O15" s="87">
        <f t="shared" si="1"/>
        <v>0</v>
      </c>
      <c r="P15" s="87">
        <f t="shared" si="1"/>
        <v>0</v>
      </c>
      <c r="Q15" s="87">
        <f t="shared" si="1"/>
        <v>0</v>
      </c>
      <c r="R15" s="87">
        <f t="shared" si="1"/>
        <v>0</v>
      </c>
      <c r="S15" s="87">
        <f t="shared" si="1"/>
        <v>0</v>
      </c>
      <c r="T15" s="87">
        <f t="shared" si="1"/>
        <v>0</v>
      </c>
      <c r="U15" s="65"/>
      <c r="V15" s="85">
        <v>177</v>
      </c>
      <c r="W15" s="87">
        <f t="shared" si="2"/>
        <v>2</v>
      </c>
      <c r="X15" s="87">
        <f t="shared" si="3"/>
        <v>0</v>
      </c>
      <c r="Y15" s="87">
        <f t="shared" si="4"/>
        <v>0</v>
      </c>
      <c r="Z15" s="87">
        <f t="shared" si="5"/>
        <v>0</v>
      </c>
      <c r="AA15" s="87">
        <f t="shared" si="6"/>
        <v>0</v>
      </c>
      <c r="AB15" s="87">
        <f t="shared" si="7"/>
        <v>0</v>
      </c>
      <c r="AC15" s="87">
        <f t="shared" si="8"/>
        <v>0</v>
      </c>
      <c r="AD15" s="87">
        <f t="shared" si="9"/>
        <v>0</v>
      </c>
      <c r="AE15" s="87">
        <f t="shared" si="10"/>
        <v>0</v>
      </c>
      <c r="AF15" s="87">
        <f t="shared" si="11"/>
        <v>0</v>
      </c>
      <c r="AG15" s="87">
        <f t="shared" si="12"/>
        <v>0</v>
      </c>
      <c r="AH15" s="87">
        <f t="shared" si="13"/>
        <v>0</v>
      </c>
      <c r="AI15" s="87">
        <f t="shared" si="14"/>
        <v>0</v>
      </c>
      <c r="AJ15" s="87">
        <f t="shared" si="15"/>
        <v>0</v>
      </c>
      <c r="AK15" s="87">
        <f t="shared" si="16"/>
        <v>0</v>
      </c>
      <c r="AL15" s="87">
        <f t="shared" si="17"/>
        <v>0</v>
      </c>
      <c r="AM15" s="87">
        <f t="shared" si="18"/>
        <v>0</v>
      </c>
      <c r="AN15" s="87">
        <f t="shared" si="19"/>
        <v>0</v>
      </c>
      <c r="AO15" s="65"/>
      <c r="AP15" s="88">
        <v>218</v>
      </c>
      <c r="AQ15" s="87">
        <f t="shared" si="20"/>
        <v>2</v>
      </c>
      <c r="AR15" s="87">
        <f t="shared" si="21"/>
        <v>0</v>
      </c>
      <c r="AS15" s="87">
        <f t="shared" si="22"/>
        <v>21</v>
      </c>
      <c r="AT15" s="87">
        <f t="shared" si="23"/>
        <v>0</v>
      </c>
      <c r="AU15" s="87">
        <f t="shared" si="24"/>
        <v>0</v>
      </c>
      <c r="AV15" s="87">
        <f t="shared" si="25"/>
        <v>0</v>
      </c>
      <c r="AW15" s="87">
        <f t="shared" si="26"/>
        <v>0</v>
      </c>
      <c r="AX15" s="87">
        <f t="shared" si="27"/>
        <v>0</v>
      </c>
      <c r="AY15" s="87">
        <f t="shared" si="28"/>
        <v>0</v>
      </c>
      <c r="AZ15" s="87">
        <f t="shared" si="29"/>
        <v>0</v>
      </c>
      <c r="BA15" s="87">
        <f t="shared" si="30"/>
        <v>0</v>
      </c>
      <c r="BB15" s="87">
        <f t="shared" si="31"/>
        <v>0</v>
      </c>
      <c r="BC15" s="87">
        <f t="shared" si="32"/>
        <v>0</v>
      </c>
      <c r="BD15" s="87">
        <f t="shared" si="33"/>
        <v>0</v>
      </c>
      <c r="BE15" s="87">
        <f t="shared" si="34"/>
        <v>0</v>
      </c>
      <c r="BF15" s="87">
        <f t="shared" si="35"/>
        <v>0</v>
      </c>
      <c r="BG15" s="87">
        <f t="shared" si="36"/>
        <v>0</v>
      </c>
      <c r="BH15" s="87">
        <f t="shared" si="37"/>
        <v>0</v>
      </c>
    </row>
    <row r="16" spans="1:60" s="64" customFormat="1" ht="18.75" x14ac:dyDescent="0.3">
      <c r="A16" s="65"/>
      <c r="B16" s="85">
        <v>137</v>
      </c>
      <c r="C16" s="87">
        <f t="shared" si="38"/>
        <v>2</v>
      </c>
      <c r="D16" s="87">
        <f t="shared" si="38"/>
        <v>0</v>
      </c>
      <c r="E16" s="87">
        <f t="shared" si="38"/>
        <v>0</v>
      </c>
      <c r="F16" s="87">
        <f t="shared" si="38"/>
        <v>0</v>
      </c>
      <c r="G16" s="87">
        <f t="shared" si="38"/>
        <v>0</v>
      </c>
      <c r="H16" s="87">
        <f t="shared" si="38"/>
        <v>0</v>
      </c>
      <c r="I16" s="87">
        <f t="shared" si="38"/>
        <v>0</v>
      </c>
      <c r="J16" s="87">
        <f t="shared" si="38"/>
        <v>0</v>
      </c>
      <c r="K16" s="87">
        <f t="shared" si="38"/>
        <v>0</v>
      </c>
      <c r="L16" s="87">
        <f t="shared" si="38"/>
        <v>0</v>
      </c>
      <c r="M16" s="87">
        <f t="shared" si="38"/>
        <v>0</v>
      </c>
      <c r="N16" s="87">
        <f t="shared" si="1"/>
        <v>0</v>
      </c>
      <c r="O16" s="87">
        <f t="shared" si="1"/>
        <v>0</v>
      </c>
      <c r="P16" s="87">
        <f t="shared" si="1"/>
        <v>0</v>
      </c>
      <c r="Q16" s="87">
        <f t="shared" si="1"/>
        <v>0</v>
      </c>
      <c r="R16" s="87">
        <f t="shared" si="1"/>
        <v>0</v>
      </c>
      <c r="S16" s="87">
        <f t="shared" si="1"/>
        <v>0</v>
      </c>
      <c r="T16" s="87">
        <f t="shared" si="1"/>
        <v>0</v>
      </c>
      <c r="U16" s="65"/>
      <c r="V16" s="88">
        <v>178</v>
      </c>
      <c r="W16" s="87">
        <f t="shared" si="2"/>
        <v>2</v>
      </c>
      <c r="X16" s="87">
        <f t="shared" si="3"/>
        <v>0</v>
      </c>
      <c r="Y16" s="87">
        <f t="shared" si="4"/>
        <v>0</v>
      </c>
      <c r="Z16" s="87">
        <f t="shared" si="5"/>
        <v>0</v>
      </c>
      <c r="AA16" s="87">
        <f t="shared" si="6"/>
        <v>0</v>
      </c>
      <c r="AB16" s="87">
        <f t="shared" si="7"/>
        <v>0</v>
      </c>
      <c r="AC16" s="87">
        <f t="shared" si="8"/>
        <v>0</v>
      </c>
      <c r="AD16" s="87">
        <f t="shared" si="9"/>
        <v>0</v>
      </c>
      <c r="AE16" s="87">
        <f t="shared" si="10"/>
        <v>0</v>
      </c>
      <c r="AF16" s="87">
        <f t="shared" si="11"/>
        <v>0</v>
      </c>
      <c r="AG16" s="87">
        <f t="shared" si="12"/>
        <v>0</v>
      </c>
      <c r="AH16" s="87">
        <f t="shared" si="13"/>
        <v>0</v>
      </c>
      <c r="AI16" s="87">
        <f t="shared" si="14"/>
        <v>0</v>
      </c>
      <c r="AJ16" s="87">
        <f t="shared" si="15"/>
        <v>0</v>
      </c>
      <c r="AK16" s="87">
        <f t="shared" si="16"/>
        <v>0</v>
      </c>
      <c r="AL16" s="87">
        <f t="shared" si="17"/>
        <v>0</v>
      </c>
      <c r="AM16" s="87">
        <f t="shared" si="18"/>
        <v>0</v>
      </c>
      <c r="AN16" s="87">
        <f t="shared" si="19"/>
        <v>0</v>
      </c>
      <c r="AO16" s="65"/>
      <c r="AP16" s="85">
        <v>219</v>
      </c>
      <c r="AQ16" s="87">
        <f t="shared" si="20"/>
        <v>2</v>
      </c>
      <c r="AR16" s="87">
        <f t="shared" si="21"/>
        <v>0</v>
      </c>
      <c r="AS16" s="87">
        <f t="shared" si="22"/>
        <v>0</v>
      </c>
      <c r="AT16" s="87">
        <f t="shared" si="23"/>
        <v>0</v>
      </c>
      <c r="AU16" s="87">
        <f t="shared" si="24"/>
        <v>0</v>
      </c>
      <c r="AV16" s="87">
        <f t="shared" si="25"/>
        <v>0</v>
      </c>
      <c r="AW16" s="87">
        <f t="shared" si="26"/>
        <v>0</v>
      </c>
      <c r="AX16" s="87">
        <f t="shared" si="27"/>
        <v>0</v>
      </c>
      <c r="AY16" s="87">
        <f t="shared" si="28"/>
        <v>0</v>
      </c>
      <c r="AZ16" s="87">
        <f t="shared" si="29"/>
        <v>0</v>
      </c>
      <c r="BA16" s="87">
        <f t="shared" si="30"/>
        <v>0</v>
      </c>
      <c r="BB16" s="87">
        <f t="shared" si="31"/>
        <v>0</v>
      </c>
      <c r="BC16" s="87">
        <f t="shared" si="32"/>
        <v>0</v>
      </c>
      <c r="BD16" s="87">
        <f t="shared" si="33"/>
        <v>0</v>
      </c>
      <c r="BE16" s="87">
        <f t="shared" si="34"/>
        <v>0</v>
      </c>
      <c r="BF16" s="87">
        <f t="shared" si="35"/>
        <v>0</v>
      </c>
      <c r="BG16" s="87">
        <f t="shared" si="36"/>
        <v>0</v>
      </c>
      <c r="BH16" s="87">
        <f t="shared" si="37"/>
        <v>0</v>
      </c>
    </row>
    <row r="17" spans="2:60" s="64" customFormat="1" ht="18.75" x14ac:dyDescent="0.3">
      <c r="B17" s="88">
        <v>138</v>
      </c>
      <c r="C17" s="87">
        <f t="shared" si="38"/>
        <v>2</v>
      </c>
      <c r="D17" s="87">
        <f t="shared" si="38"/>
        <v>0</v>
      </c>
      <c r="E17" s="87">
        <f t="shared" si="38"/>
        <v>0</v>
      </c>
      <c r="F17" s="87">
        <f t="shared" si="38"/>
        <v>0</v>
      </c>
      <c r="G17" s="87">
        <f t="shared" si="38"/>
        <v>0</v>
      </c>
      <c r="H17" s="87">
        <f t="shared" si="38"/>
        <v>0</v>
      </c>
      <c r="I17" s="87">
        <f t="shared" si="38"/>
        <v>0</v>
      </c>
      <c r="J17" s="87">
        <f t="shared" si="38"/>
        <v>0</v>
      </c>
      <c r="K17" s="87">
        <f t="shared" si="38"/>
        <v>0</v>
      </c>
      <c r="L17" s="87">
        <f t="shared" si="38"/>
        <v>0</v>
      </c>
      <c r="M17" s="87">
        <f t="shared" si="38"/>
        <v>0</v>
      </c>
      <c r="N17" s="87">
        <f t="shared" si="1"/>
        <v>0</v>
      </c>
      <c r="O17" s="87">
        <f t="shared" si="1"/>
        <v>0</v>
      </c>
      <c r="P17" s="87">
        <f t="shared" si="1"/>
        <v>0</v>
      </c>
      <c r="Q17" s="87">
        <f t="shared" si="1"/>
        <v>0</v>
      </c>
      <c r="R17" s="87">
        <f t="shared" si="1"/>
        <v>0</v>
      </c>
      <c r="S17" s="87">
        <f t="shared" si="1"/>
        <v>0</v>
      </c>
      <c r="T17" s="87">
        <f t="shared" si="1"/>
        <v>0</v>
      </c>
      <c r="U17" s="65"/>
      <c r="V17" s="85">
        <v>179</v>
      </c>
      <c r="W17" s="87">
        <f t="shared" si="2"/>
        <v>2</v>
      </c>
      <c r="X17" s="87">
        <f t="shared" si="3"/>
        <v>323</v>
      </c>
      <c r="Y17" s="87">
        <f t="shared" si="4"/>
        <v>50</v>
      </c>
      <c r="Z17" s="87">
        <f t="shared" si="5"/>
        <v>46</v>
      </c>
      <c r="AA17" s="87">
        <f t="shared" si="6"/>
        <v>0</v>
      </c>
      <c r="AB17" s="87">
        <f t="shared" si="7"/>
        <v>50</v>
      </c>
      <c r="AC17" s="87">
        <f t="shared" si="8"/>
        <v>50</v>
      </c>
      <c r="AD17" s="87">
        <f t="shared" si="9"/>
        <v>50</v>
      </c>
      <c r="AE17" s="87">
        <f t="shared" si="10"/>
        <v>85</v>
      </c>
      <c r="AF17" s="87">
        <f t="shared" si="11"/>
        <v>95</v>
      </c>
      <c r="AG17" s="87">
        <f t="shared" si="12"/>
        <v>0</v>
      </c>
      <c r="AH17" s="87">
        <f t="shared" si="13"/>
        <v>0</v>
      </c>
      <c r="AI17" s="87">
        <f t="shared" si="14"/>
        <v>0</v>
      </c>
      <c r="AJ17" s="87">
        <f t="shared" si="15"/>
        <v>0</v>
      </c>
      <c r="AK17" s="87">
        <f t="shared" si="16"/>
        <v>0</v>
      </c>
      <c r="AL17" s="87">
        <f t="shared" si="17"/>
        <v>0</v>
      </c>
      <c r="AM17" s="87">
        <f t="shared" si="18"/>
        <v>0</v>
      </c>
      <c r="AN17" s="87">
        <f t="shared" si="19"/>
        <v>0</v>
      </c>
      <c r="AO17" s="65"/>
      <c r="AP17" s="88">
        <v>220</v>
      </c>
      <c r="AQ17" s="87">
        <f t="shared" si="20"/>
        <v>2</v>
      </c>
      <c r="AR17" s="87">
        <f t="shared" si="21"/>
        <v>0</v>
      </c>
      <c r="AS17" s="87">
        <f t="shared" si="22"/>
        <v>0</v>
      </c>
      <c r="AT17" s="87">
        <f t="shared" si="23"/>
        <v>0</v>
      </c>
      <c r="AU17" s="87">
        <f t="shared" si="24"/>
        <v>0</v>
      </c>
      <c r="AV17" s="87">
        <f t="shared" si="25"/>
        <v>0</v>
      </c>
      <c r="AW17" s="87">
        <f t="shared" si="26"/>
        <v>0</v>
      </c>
      <c r="AX17" s="87">
        <f t="shared" si="27"/>
        <v>0</v>
      </c>
      <c r="AY17" s="87">
        <f t="shared" si="28"/>
        <v>0</v>
      </c>
      <c r="AZ17" s="87">
        <f t="shared" si="29"/>
        <v>0</v>
      </c>
      <c r="BA17" s="87">
        <f t="shared" si="30"/>
        <v>0</v>
      </c>
      <c r="BB17" s="87">
        <f t="shared" si="31"/>
        <v>0</v>
      </c>
      <c r="BC17" s="87">
        <f t="shared" si="32"/>
        <v>0</v>
      </c>
      <c r="BD17" s="87">
        <f t="shared" si="33"/>
        <v>0</v>
      </c>
      <c r="BE17" s="87">
        <f t="shared" si="34"/>
        <v>0</v>
      </c>
      <c r="BF17" s="87">
        <f t="shared" si="35"/>
        <v>0</v>
      </c>
      <c r="BG17" s="87">
        <f t="shared" si="36"/>
        <v>0</v>
      </c>
      <c r="BH17" s="87">
        <f t="shared" si="37"/>
        <v>0</v>
      </c>
    </row>
    <row r="18" spans="2:60" s="64" customFormat="1" ht="18.75" x14ac:dyDescent="0.3">
      <c r="B18" s="85">
        <v>139</v>
      </c>
      <c r="C18" s="87">
        <f t="shared" si="38"/>
        <v>2</v>
      </c>
      <c r="D18" s="87">
        <f t="shared" si="38"/>
        <v>0</v>
      </c>
      <c r="E18" s="87">
        <f t="shared" si="38"/>
        <v>0</v>
      </c>
      <c r="F18" s="87">
        <f t="shared" si="38"/>
        <v>0</v>
      </c>
      <c r="G18" s="87">
        <f t="shared" si="38"/>
        <v>0</v>
      </c>
      <c r="H18" s="87">
        <f t="shared" si="38"/>
        <v>0</v>
      </c>
      <c r="I18" s="87">
        <f t="shared" si="38"/>
        <v>0</v>
      </c>
      <c r="J18" s="87">
        <f t="shared" si="38"/>
        <v>0</v>
      </c>
      <c r="K18" s="87">
        <f t="shared" si="38"/>
        <v>0</v>
      </c>
      <c r="L18" s="87">
        <f t="shared" si="38"/>
        <v>0</v>
      </c>
      <c r="M18" s="87">
        <f t="shared" si="38"/>
        <v>0</v>
      </c>
      <c r="N18" s="87">
        <f t="shared" si="38"/>
        <v>0</v>
      </c>
      <c r="O18" s="87">
        <f t="shared" si="38"/>
        <v>0</v>
      </c>
      <c r="P18" s="87">
        <f t="shared" si="38"/>
        <v>0</v>
      </c>
      <c r="Q18" s="87">
        <f t="shared" si="38"/>
        <v>0</v>
      </c>
      <c r="R18" s="87">
        <f t="shared" si="38"/>
        <v>0</v>
      </c>
      <c r="S18" s="87">
        <f t="shared" ref="S18:T33" si="39">SUMIFS(VOTOS1,CENTRO1,$B18,TURNO1,S$1)</f>
        <v>0</v>
      </c>
      <c r="T18" s="87">
        <f t="shared" si="39"/>
        <v>0</v>
      </c>
      <c r="U18" s="65"/>
      <c r="V18" s="88">
        <v>180</v>
      </c>
      <c r="W18" s="87">
        <f t="shared" si="2"/>
        <v>2</v>
      </c>
      <c r="X18" s="87">
        <f t="shared" si="3"/>
        <v>0</v>
      </c>
      <c r="Y18" s="87">
        <f t="shared" si="4"/>
        <v>0</v>
      </c>
      <c r="Z18" s="87">
        <f t="shared" si="5"/>
        <v>0</v>
      </c>
      <c r="AA18" s="87">
        <f t="shared" si="6"/>
        <v>0</v>
      </c>
      <c r="AB18" s="87">
        <f t="shared" si="7"/>
        <v>0</v>
      </c>
      <c r="AC18" s="87">
        <f t="shared" si="8"/>
        <v>0</v>
      </c>
      <c r="AD18" s="87">
        <f t="shared" si="9"/>
        <v>0</v>
      </c>
      <c r="AE18" s="87">
        <f t="shared" si="10"/>
        <v>0</v>
      </c>
      <c r="AF18" s="87">
        <f t="shared" si="11"/>
        <v>0</v>
      </c>
      <c r="AG18" s="87">
        <f t="shared" si="12"/>
        <v>0</v>
      </c>
      <c r="AH18" s="87">
        <f t="shared" si="13"/>
        <v>0</v>
      </c>
      <c r="AI18" s="87">
        <f t="shared" si="14"/>
        <v>0</v>
      </c>
      <c r="AJ18" s="87">
        <f t="shared" si="15"/>
        <v>0</v>
      </c>
      <c r="AK18" s="87">
        <f t="shared" si="16"/>
        <v>0</v>
      </c>
      <c r="AL18" s="87">
        <f t="shared" si="17"/>
        <v>0</v>
      </c>
      <c r="AM18" s="87">
        <f t="shared" si="18"/>
        <v>0</v>
      </c>
      <c r="AN18" s="87">
        <f t="shared" si="19"/>
        <v>0</v>
      </c>
      <c r="AO18" s="65"/>
      <c r="AP18" s="85">
        <v>221</v>
      </c>
      <c r="AQ18" s="87">
        <f t="shared" si="20"/>
        <v>2</v>
      </c>
      <c r="AR18" s="87">
        <f t="shared" si="21"/>
        <v>0</v>
      </c>
      <c r="AS18" s="87">
        <f t="shared" si="22"/>
        <v>5</v>
      </c>
      <c r="AT18" s="87">
        <f t="shared" si="23"/>
        <v>0</v>
      </c>
      <c r="AU18" s="87">
        <f t="shared" si="24"/>
        <v>0</v>
      </c>
      <c r="AV18" s="87">
        <f t="shared" si="25"/>
        <v>0</v>
      </c>
      <c r="AW18" s="87">
        <f t="shared" si="26"/>
        <v>0</v>
      </c>
      <c r="AX18" s="87">
        <f t="shared" si="27"/>
        <v>0</v>
      </c>
      <c r="AY18" s="87">
        <f t="shared" si="28"/>
        <v>0</v>
      </c>
      <c r="AZ18" s="87">
        <f t="shared" si="29"/>
        <v>0</v>
      </c>
      <c r="BA18" s="87">
        <f t="shared" si="30"/>
        <v>0</v>
      </c>
      <c r="BB18" s="87">
        <f t="shared" si="31"/>
        <v>0</v>
      </c>
      <c r="BC18" s="87">
        <f t="shared" si="32"/>
        <v>0</v>
      </c>
      <c r="BD18" s="87">
        <f t="shared" si="33"/>
        <v>0</v>
      </c>
      <c r="BE18" s="87">
        <f t="shared" si="34"/>
        <v>0</v>
      </c>
      <c r="BF18" s="87">
        <f t="shared" si="35"/>
        <v>0</v>
      </c>
      <c r="BG18" s="87">
        <f t="shared" si="36"/>
        <v>0</v>
      </c>
      <c r="BH18" s="87">
        <f t="shared" si="37"/>
        <v>0</v>
      </c>
    </row>
    <row r="19" spans="2:60" s="64" customFormat="1" ht="18.75" x14ac:dyDescent="0.3">
      <c r="B19" s="88">
        <v>140</v>
      </c>
      <c r="C19" s="87">
        <f t="shared" ref="C19:R34" si="40">SUMIFS(VOTOS1,CENTRO1,$B19,TURNO1,C$1)</f>
        <v>2</v>
      </c>
      <c r="D19" s="87">
        <f t="shared" si="40"/>
        <v>0</v>
      </c>
      <c r="E19" s="87">
        <f t="shared" si="40"/>
        <v>0</v>
      </c>
      <c r="F19" s="87">
        <f t="shared" si="40"/>
        <v>0</v>
      </c>
      <c r="G19" s="87">
        <f t="shared" si="40"/>
        <v>0</v>
      </c>
      <c r="H19" s="87">
        <f t="shared" si="40"/>
        <v>0</v>
      </c>
      <c r="I19" s="87">
        <f t="shared" si="40"/>
        <v>0</v>
      </c>
      <c r="J19" s="87">
        <f t="shared" si="40"/>
        <v>0</v>
      </c>
      <c r="K19" s="87">
        <f t="shared" si="40"/>
        <v>0</v>
      </c>
      <c r="L19" s="87">
        <f t="shared" si="40"/>
        <v>0</v>
      </c>
      <c r="M19" s="87">
        <f t="shared" si="40"/>
        <v>0</v>
      </c>
      <c r="N19" s="87">
        <f t="shared" si="40"/>
        <v>0</v>
      </c>
      <c r="O19" s="87">
        <f t="shared" si="40"/>
        <v>0</v>
      </c>
      <c r="P19" s="87">
        <f t="shared" si="40"/>
        <v>0</v>
      </c>
      <c r="Q19" s="87">
        <f t="shared" si="40"/>
        <v>0</v>
      </c>
      <c r="R19" s="87">
        <f t="shared" si="40"/>
        <v>0</v>
      </c>
      <c r="S19" s="87">
        <f t="shared" si="39"/>
        <v>0</v>
      </c>
      <c r="T19" s="87">
        <f t="shared" si="39"/>
        <v>0</v>
      </c>
      <c r="U19" s="65"/>
      <c r="V19" s="85">
        <v>181</v>
      </c>
      <c r="W19" s="87">
        <f t="shared" si="2"/>
        <v>2</v>
      </c>
      <c r="X19" s="87">
        <f t="shared" si="3"/>
        <v>0</v>
      </c>
      <c r="Y19" s="87">
        <f t="shared" si="4"/>
        <v>0</v>
      </c>
      <c r="Z19" s="87">
        <f t="shared" si="5"/>
        <v>0</v>
      </c>
      <c r="AA19" s="87">
        <f t="shared" si="6"/>
        <v>0</v>
      </c>
      <c r="AB19" s="87">
        <f t="shared" si="7"/>
        <v>0</v>
      </c>
      <c r="AC19" s="87">
        <f t="shared" si="8"/>
        <v>0</v>
      </c>
      <c r="AD19" s="87">
        <f t="shared" si="9"/>
        <v>0</v>
      </c>
      <c r="AE19" s="87">
        <f t="shared" si="10"/>
        <v>0</v>
      </c>
      <c r="AF19" s="87">
        <f t="shared" si="11"/>
        <v>0</v>
      </c>
      <c r="AG19" s="87">
        <f t="shared" si="12"/>
        <v>0</v>
      </c>
      <c r="AH19" s="87">
        <f t="shared" si="13"/>
        <v>0</v>
      </c>
      <c r="AI19" s="87">
        <f t="shared" si="14"/>
        <v>0</v>
      </c>
      <c r="AJ19" s="87">
        <f t="shared" si="15"/>
        <v>0</v>
      </c>
      <c r="AK19" s="87">
        <f t="shared" si="16"/>
        <v>0</v>
      </c>
      <c r="AL19" s="87">
        <f t="shared" si="17"/>
        <v>0</v>
      </c>
      <c r="AM19" s="87">
        <f t="shared" si="18"/>
        <v>0</v>
      </c>
      <c r="AN19" s="87">
        <f t="shared" si="19"/>
        <v>0</v>
      </c>
      <c r="AO19" s="65"/>
      <c r="AP19" s="88">
        <v>222</v>
      </c>
      <c r="AQ19" s="87">
        <f t="shared" si="20"/>
        <v>2</v>
      </c>
      <c r="AR19" s="87">
        <f t="shared" si="21"/>
        <v>0</v>
      </c>
      <c r="AS19" s="87">
        <f t="shared" si="22"/>
        <v>0</v>
      </c>
      <c r="AT19" s="87">
        <f t="shared" si="23"/>
        <v>0</v>
      </c>
      <c r="AU19" s="87">
        <f t="shared" si="24"/>
        <v>0</v>
      </c>
      <c r="AV19" s="87">
        <f t="shared" si="25"/>
        <v>0</v>
      </c>
      <c r="AW19" s="87">
        <f t="shared" si="26"/>
        <v>0</v>
      </c>
      <c r="AX19" s="87">
        <f t="shared" si="27"/>
        <v>0</v>
      </c>
      <c r="AY19" s="87">
        <f t="shared" si="28"/>
        <v>0</v>
      </c>
      <c r="AZ19" s="87">
        <f t="shared" si="29"/>
        <v>0</v>
      </c>
      <c r="BA19" s="87">
        <f t="shared" si="30"/>
        <v>0</v>
      </c>
      <c r="BB19" s="87">
        <f t="shared" si="31"/>
        <v>0</v>
      </c>
      <c r="BC19" s="87">
        <f t="shared" si="32"/>
        <v>0</v>
      </c>
      <c r="BD19" s="87">
        <f t="shared" si="33"/>
        <v>0</v>
      </c>
      <c r="BE19" s="87">
        <f t="shared" si="34"/>
        <v>0</v>
      </c>
      <c r="BF19" s="87">
        <f t="shared" si="35"/>
        <v>0</v>
      </c>
      <c r="BG19" s="87">
        <f t="shared" si="36"/>
        <v>0</v>
      </c>
      <c r="BH19" s="87">
        <f t="shared" si="37"/>
        <v>0</v>
      </c>
    </row>
    <row r="20" spans="2:60" s="64" customFormat="1" ht="18.75" x14ac:dyDescent="0.3">
      <c r="B20" s="85">
        <v>141</v>
      </c>
      <c r="C20" s="87">
        <f t="shared" si="40"/>
        <v>2</v>
      </c>
      <c r="D20" s="87">
        <f t="shared" si="40"/>
        <v>0</v>
      </c>
      <c r="E20" s="87">
        <f t="shared" si="40"/>
        <v>0</v>
      </c>
      <c r="F20" s="87">
        <f t="shared" si="40"/>
        <v>0</v>
      </c>
      <c r="G20" s="87">
        <f t="shared" si="40"/>
        <v>0</v>
      </c>
      <c r="H20" s="87">
        <f t="shared" si="40"/>
        <v>0</v>
      </c>
      <c r="I20" s="87">
        <f t="shared" si="40"/>
        <v>0</v>
      </c>
      <c r="J20" s="87">
        <f t="shared" si="40"/>
        <v>0</v>
      </c>
      <c r="K20" s="87">
        <f t="shared" si="40"/>
        <v>0</v>
      </c>
      <c r="L20" s="87">
        <f t="shared" si="40"/>
        <v>0</v>
      </c>
      <c r="M20" s="87">
        <f t="shared" si="40"/>
        <v>0</v>
      </c>
      <c r="N20" s="87">
        <f t="shared" si="40"/>
        <v>0</v>
      </c>
      <c r="O20" s="87">
        <f t="shared" si="40"/>
        <v>0</v>
      </c>
      <c r="P20" s="87">
        <f t="shared" si="40"/>
        <v>0</v>
      </c>
      <c r="Q20" s="87">
        <f t="shared" si="40"/>
        <v>0</v>
      </c>
      <c r="R20" s="87">
        <f t="shared" si="40"/>
        <v>0</v>
      </c>
      <c r="S20" s="87">
        <f t="shared" si="39"/>
        <v>0</v>
      </c>
      <c r="T20" s="87">
        <f t="shared" si="39"/>
        <v>0</v>
      </c>
      <c r="U20" s="65"/>
      <c r="V20" s="88">
        <v>182</v>
      </c>
      <c r="W20" s="87">
        <f t="shared" si="2"/>
        <v>2</v>
      </c>
      <c r="X20" s="87">
        <f t="shared" si="3"/>
        <v>8</v>
      </c>
      <c r="Y20" s="87">
        <f t="shared" si="4"/>
        <v>6</v>
      </c>
      <c r="Z20" s="87">
        <f t="shared" si="5"/>
        <v>24</v>
      </c>
      <c r="AA20" s="87">
        <f t="shared" si="6"/>
        <v>0</v>
      </c>
      <c r="AB20" s="87">
        <f t="shared" si="7"/>
        <v>74</v>
      </c>
      <c r="AC20" s="87">
        <f t="shared" si="8"/>
        <v>60</v>
      </c>
      <c r="AD20" s="87">
        <f t="shared" si="9"/>
        <v>0</v>
      </c>
      <c r="AE20" s="87">
        <f t="shared" si="10"/>
        <v>0</v>
      </c>
      <c r="AF20" s="87">
        <f t="shared" si="11"/>
        <v>0</v>
      </c>
      <c r="AG20" s="87">
        <f t="shared" si="12"/>
        <v>0</v>
      </c>
      <c r="AH20" s="87">
        <f t="shared" si="13"/>
        <v>0</v>
      </c>
      <c r="AI20" s="87">
        <f t="shared" si="14"/>
        <v>0</v>
      </c>
      <c r="AJ20" s="87">
        <f t="shared" si="15"/>
        <v>0</v>
      </c>
      <c r="AK20" s="87">
        <f t="shared" si="16"/>
        <v>0</v>
      </c>
      <c r="AL20" s="87">
        <f t="shared" si="17"/>
        <v>0</v>
      </c>
      <c r="AM20" s="87">
        <f t="shared" si="18"/>
        <v>0</v>
      </c>
      <c r="AN20" s="87">
        <f t="shared" si="19"/>
        <v>0</v>
      </c>
      <c r="AO20" s="65"/>
      <c r="AP20" s="85">
        <v>223</v>
      </c>
      <c r="AQ20" s="87">
        <f t="shared" si="20"/>
        <v>2</v>
      </c>
      <c r="AR20" s="87">
        <f t="shared" si="21"/>
        <v>0</v>
      </c>
      <c r="AS20" s="87">
        <f t="shared" si="22"/>
        <v>0</v>
      </c>
      <c r="AT20" s="87">
        <f t="shared" si="23"/>
        <v>0</v>
      </c>
      <c r="AU20" s="87">
        <f t="shared" si="24"/>
        <v>0</v>
      </c>
      <c r="AV20" s="87">
        <f t="shared" si="25"/>
        <v>0</v>
      </c>
      <c r="AW20" s="87">
        <f t="shared" si="26"/>
        <v>0</v>
      </c>
      <c r="AX20" s="87">
        <f t="shared" si="27"/>
        <v>0</v>
      </c>
      <c r="AY20" s="87">
        <f t="shared" si="28"/>
        <v>0</v>
      </c>
      <c r="AZ20" s="87">
        <f t="shared" si="29"/>
        <v>0</v>
      </c>
      <c r="BA20" s="87">
        <f t="shared" si="30"/>
        <v>0</v>
      </c>
      <c r="BB20" s="87">
        <f t="shared" si="31"/>
        <v>0</v>
      </c>
      <c r="BC20" s="87">
        <f t="shared" si="32"/>
        <v>0</v>
      </c>
      <c r="BD20" s="87">
        <f t="shared" si="33"/>
        <v>0</v>
      </c>
      <c r="BE20" s="87">
        <f t="shared" si="34"/>
        <v>0</v>
      </c>
      <c r="BF20" s="87">
        <f t="shared" si="35"/>
        <v>0</v>
      </c>
      <c r="BG20" s="87">
        <f t="shared" si="36"/>
        <v>0</v>
      </c>
      <c r="BH20" s="87">
        <f t="shared" si="37"/>
        <v>0</v>
      </c>
    </row>
    <row r="21" spans="2:60" s="64" customFormat="1" ht="18.75" x14ac:dyDescent="0.3">
      <c r="B21" s="88">
        <v>142</v>
      </c>
      <c r="C21" s="87">
        <f t="shared" si="40"/>
        <v>2</v>
      </c>
      <c r="D21" s="87">
        <f t="shared" si="40"/>
        <v>0</v>
      </c>
      <c r="E21" s="87">
        <f t="shared" si="40"/>
        <v>0</v>
      </c>
      <c r="F21" s="87">
        <f t="shared" si="40"/>
        <v>0</v>
      </c>
      <c r="G21" s="87">
        <f t="shared" si="40"/>
        <v>0</v>
      </c>
      <c r="H21" s="87">
        <f t="shared" si="40"/>
        <v>0</v>
      </c>
      <c r="I21" s="87">
        <f t="shared" si="40"/>
        <v>0</v>
      </c>
      <c r="J21" s="87">
        <f t="shared" si="40"/>
        <v>0</v>
      </c>
      <c r="K21" s="87">
        <f t="shared" si="40"/>
        <v>0</v>
      </c>
      <c r="L21" s="87">
        <f t="shared" si="40"/>
        <v>0</v>
      </c>
      <c r="M21" s="87">
        <f t="shared" si="40"/>
        <v>0</v>
      </c>
      <c r="N21" s="87">
        <f t="shared" si="40"/>
        <v>0</v>
      </c>
      <c r="O21" s="87">
        <f t="shared" si="40"/>
        <v>0</v>
      </c>
      <c r="P21" s="87">
        <f t="shared" si="40"/>
        <v>0</v>
      </c>
      <c r="Q21" s="87">
        <f t="shared" si="40"/>
        <v>0</v>
      </c>
      <c r="R21" s="87">
        <f t="shared" si="40"/>
        <v>0</v>
      </c>
      <c r="S21" s="87">
        <f t="shared" si="39"/>
        <v>0</v>
      </c>
      <c r="T21" s="87">
        <f t="shared" si="39"/>
        <v>0</v>
      </c>
      <c r="U21" s="65"/>
      <c r="V21" s="85">
        <v>183</v>
      </c>
      <c r="W21" s="87">
        <f t="shared" si="2"/>
        <v>2</v>
      </c>
      <c r="X21" s="87">
        <f t="shared" si="3"/>
        <v>0</v>
      </c>
      <c r="Y21" s="87">
        <f t="shared" si="4"/>
        <v>0</v>
      </c>
      <c r="Z21" s="87">
        <f t="shared" si="5"/>
        <v>0</v>
      </c>
      <c r="AA21" s="87">
        <f t="shared" si="6"/>
        <v>0</v>
      </c>
      <c r="AB21" s="87">
        <f t="shared" si="7"/>
        <v>0</v>
      </c>
      <c r="AC21" s="87">
        <f t="shared" si="8"/>
        <v>0</v>
      </c>
      <c r="AD21" s="87">
        <f t="shared" si="9"/>
        <v>0</v>
      </c>
      <c r="AE21" s="87">
        <f t="shared" si="10"/>
        <v>0</v>
      </c>
      <c r="AF21" s="87">
        <f t="shared" si="11"/>
        <v>0</v>
      </c>
      <c r="AG21" s="87">
        <f t="shared" si="12"/>
        <v>0</v>
      </c>
      <c r="AH21" s="87">
        <f t="shared" si="13"/>
        <v>0</v>
      </c>
      <c r="AI21" s="87">
        <f t="shared" si="14"/>
        <v>0</v>
      </c>
      <c r="AJ21" s="87">
        <f t="shared" si="15"/>
        <v>0</v>
      </c>
      <c r="AK21" s="87">
        <f t="shared" si="16"/>
        <v>0</v>
      </c>
      <c r="AL21" s="87">
        <f t="shared" si="17"/>
        <v>0</v>
      </c>
      <c r="AM21" s="87">
        <f t="shared" si="18"/>
        <v>0</v>
      </c>
      <c r="AN21" s="87">
        <f t="shared" si="19"/>
        <v>0</v>
      </c>
      <c r="AO21" s="65"/>
      <c r="AP21" s="88">
        <v>224</v>
      </c>
      <c r="AQ21" s="87">
        <f t="shared" si="20"/>
        <v>2</v>
      </c>
      <c r="AR21" s="87">
        <f t="shared" si="21"/>
        <v>0</v>
      </c>
      <c r="AS21" s="87">
        <f t="shared" si="22"/>
        <v>0</v>
      </c>
      <c r="AT21" s="87">
        <f t="shared" si="23"/>
        <v>0</v>
      </c>
      <c r="AU21" s="87">
        <f t="shared" si="24"/>
        <v>0</v>
      </c>
      <c r="AV21" s="87">
        <f t="shared" si="25"/>
        <v>0</v>
      </c>
      <c r="AW21" s="87">
        <f t="shared" si="26"/>
        <v>0</v>
      </c>
      <c r="AX21" s="87">
        <f t="shared" si="27"/>
        <v>0</v>
      </c>
      <c r="AY21" s="87">
        <f t="shared" si="28"/>
        <v>0</v>
      </c>
      <c r="AZ21" s="87">
        <f t="shared" si="29"/>
        <v>0</v>
      </c>
      <c r="BA21" s="87">
        <f t="shared" si="30"/>
        <v>0</v>
      </c>
      <c r="BB21" s="87">
        <f t="shared" si="31"/>
        <v>0</v>
      </c>
      <c r="BC21" s="87">
        <f t="shared" si="32"/>
        <v>0</v>
      </c>
      <c r="BD21" s="87">
        <f t="shared" si="33"/>
        <v>0</v>
      </c>
      <c r="BE21" s="87">
        <f t="shared" si="34"/>
        <v>0</v>
      </c>
      <c r="BF21" s="87">
        <f t="shared" si="35"/>
        <v>0</v>
      </c>
      <c r="BG21" s="87">
        <f t="shared" si="36"/>
        <v>0</v>
      </c>
      <c r="BH21" s="87">
        <f t="shared" si="37"/>
        <v>0</v>
      </c>
    </row>
    <row r="22" spans="2:60" s="64" customFormat="1" ht="18.75" x14ac:dyDescent="0.3">
      <c r="B22" s="85">
        <v>143</v>
      </c>
      <c r="C22" s="87">
        <f t="shared" si="40"/>
        <v>2</v>
      </c>
      <c r="D22" s="87">
        <f t="shared" si="40"/>
        <v>0</v>
      </c>
      <c r="E22" s="87">
        <f t="shared" si="40"/>
        <v>0</v>
      </c>
      <c r="F22" s="87">
        <f t="shared" si="40"/>
        <v>0</v>
      </c>
      <c r="G22" s="87">
        <f t="shared" si="40"/>
        <v>0</v>
      </c>
      <c r="H22" s="87">
        <f t="shared" si="40"/>
        <v>0</v>
      </c>
      <c r="I22" s="87">
        <f t="shared" si="40"/>
        <v>0</v>
      </c>
      <c r="J22" s="87">
        <f t="shared" si="40"/>
        <v>0</v>
      </c>
      <c r="K22" s="87">
        <f t="shared" si="40"/>
        <v>0</v>
      </c>
      <c r="L22" s="87">
        <f t="shared" si="40"/>
        <v>0</v>
      </c>
      <c r="M22" s="87">
        <f t="shared" si="40"/>
        <v>0</v>
      </c>
      <c r="N22" s="87">
        <f t="shared" si="40"/>
        <v>0</v>
      </c>
      <c r="O22" s="87">
        <f t="shared" si="40"/>
        <v>0</v>
      </c>
      <c r="P22" s="87">
        <f t="shared" si="40"/>
        <v>0</v>
      </c>
      <c r="Q22" s="87">
        <f t="shared" si="40"/>
        <v>0</v>
      </c>
      <c r="R22" s="87">
        <f t="shared" si="40"/>
        <v>0</v>
      </c>
      <c r="S22" s="87">
        <f t="shared" si="39"/>
        <v>0</v>
      </c>
      <c r="T22" s="87">
        <f t="shared" si="39"/>
        <v>0</v>
      </c>
      <c r="U22" s="65"/>
      <c r="V22" s="88">
        <v>184</v>
      </c>
      <c r="W22" s="87">
        <f t="shared" si="2"/>
        <v>2</v>
      </c>
      <c r="X22" s="87">
        <f t="shared" si="3"/>
        <v>0</v>
      </c>
      <c r="Y22" s="87">
        <f t="shared" si="4"/>
        <v>0</v>
      </c>
      <c r="Z22" s="87">
        <f t="shared" si="5"/>
        <v>0</v>
      </c>
      <c r="AA22" s="87">
        <f t="shared" si="6"/>
        <v>0</v>
      </c>
      <c r="AB22" s="87">
        <f t="shared" si="7"/>
        <v>0</v>
      </c>
      <c r="AC22" s="87">
        <f t="shared" si="8"/>
        <v>0</v>
      </c>
      <c r="AD22" s="87">
        <f t="shared" si="9"/>
        <v>0</v>
      </c>
      <c r="AE22" s="87">
        <f t="shared" si="10"/>
        <v>0</v>
      </c>
      <c r="AF22" s="87">
        <f t="shared" si="11"/>
        <v>0</v>
      </c>
      <c r="AG22" s="87">
        <f t="shared" si="12"/>
        <v>0</v>
      </c>
      <c r="AH22" s="87">
        <f t="shared" si="13"/>
        <v>0</v>
      </c>
      <c r="AI22" s="87">
        <f t="shared" si="14"/>
        <v>0</v>
      </c>
      <c r="AJ22" s="87">
        <f t="shared" si="15"/>
        <v>0</v>
      </c>
      <c r="AK22" s="87">
        <f t="shared" si="16"/>
        <v>0</v>
      </c>
      <c r="AL22" s="87">
        <f t="shared" si="17"/>
        <v>0</v>
      </c>
      <c r="AM22" s="87">
        <f t="shared" si="18"/>
        <v>0</v>
      </c>
      <c r="AN22" s="87">
        <f t="shared" si="19"/>
        <v>0</v>
      </c>
      <c r="AO22" s="65"/>
      <c r="AP22" s="85">
        <v>225</v>
      </c>
      <c r="AQ22" s="87">
        <f t="shared" si="20"/>
        <v>2</v>
      </c>
      <c r="AR22" s="87">
        <f t="shared" si="21"/>
        <v>0</v>
      </c>
      <c r="AS22" s="87">
        <f t="shared" si="22"/>
        <v>0</v>
      </c>
      <c r="AT22" s="87">
        <f t="shared" si="23"/>
        <v>0</v>
      </c>
      <c r="AU22" s="87">
        <f t="shared" si="24"/>
        <v>0</v>
      </c>
      <c r="AV22" s="87">
        <f t="shared" si="25"/>
        <v>0</v>
      </c>
      <c r="AW22" s="87">
        <f t="shared" si="26"/>
        <v>0</v>
      </c>
      <c r="AX22" s="87">
        <f t="shared" si="27"/>
        <v>0</v>
      </c>
      <c r="AY22" s="87">
        <f t="shared" si="28"/>
        <v>0</v>
      </c>
      <c r="AZ22" s="87">
        <f t="shared" si="29"/>
        <v>0</v>
      </c>
      <c r="BA22" s="87">
        <f t="shared" si="30"/>
        <v>0</v>
      </c>
      <c r="BB22" s="87">
        <f t="shared" si="31"/>
        <v>0</v>
      </c>
      <c r="BC22" s="87">
        <f t="shared" si="32"/>
        <v>0</v>
      </c>
      <c r="BD22" s="87">
        <f t="shared" si="33"/>
        <v>0</v>
      </c>
      <c r="BE22" s="87">
        <f t="shared" si="34"/>
        <v>0</v>
      </c>
      <c r="BF22" s="87">
        <f t="shared" si="35"/>
        <v>0</v>
      </c>
      <c r="BG22" s="87">
        <f t="shared" si="36"/>
        <v>0</v>
      </c>
      <c r="BH22" s="87">
        <f t="shared" si="37"/>
        <v>0</v>
      </c>
    </row>
    <row r="23" spans="2:60" s="64" customFormat="1" ht="18.75" x14ac:dyDescent="0.3">
      <c r="B23" s="88">
        <v>144</v>
      </c>
      <c r="C23" s="87">
        <f t="shared" si="40"/>
        <v>2</v>
      </c>
      <c r="D23" s="87">
        <f t="shared" si="40"/>
        <v>0</v>
      </c>
      <c r="E23" s="87">
        <f t="shared" si="40"/>
        <v>0</v>
      </c>
      <c r="F23" s="87">
        <f t="shared" si="40"/>
        <v>0</v>
      </c>
      <c r="G23" s="87">
        <f t="shared" si="40"/>
        <v>0</v>
      </c>
      <c r="H23" s="87">
        <f t="shared" si="40"/>
        <v>0</v>
      </c>
      <c r="I23" s="87">
        <f t="shared" si="40"/>
        <v>0</v>
      </c>
      <c r="J23" s="87">
        <f t="shared" si="40"/>
        <v>0</v>
      </c>
      <c r="K23" s="87">
        <f t="shared" si="40"/>
        <v>0</v>
      </c>
      <c r="L23" s="87">
        <f t="shared" si="40"/>
        <v>0</v>
      </c>
      <c r="M23" s="87">
        <f t="shared" si="40"/>
        <v>0</v>
      </c>
      <c r="N23" s="87">
        <f t="shared" si="40"/>
        <v>0</v>
      </c>
      <c r="O23" s="87">
        <f t="shared" si="40"/>
        <v>0</v>
      </c>
      <c r="P23" s="87">
        <f t="shared" si="40"/>
        <v>0</v>
      </c>
      <c r="Q23" s="87">
        <f t="shared" si="40"/>
        <v>0</v>
      </c>
      <c r="R23" s="87">
        <f t="shared" si="40"/>
        <v>0</v>
      </c>
      <c r="S23" s="87">
        <f t="shared" si="39"/>
        <v>0</v>
      </c>
      <c r="T23" s="87">
        <f t="shared" si="39"/>
        <v>0</v>
      </c>
      <c r="U23" s="65"/>
      <c r="V23" s="85">
        <v>185</v>
      </c>
      <c r="W23" s="87">
        <f t="shared" si="2"/>
        <v>2</v>
      </c>
      <c r="X23" s="87">
        <f t="shared" si="3"/>
        <v>0</v>
      </c>
      <c r="Y23" s="87">
        <f t="shared" si="4"/>
        <v>0</v>
      </c>
      <c r="Z23" s="87">
        <f t="shared" si="5"/>
        <v>0</v>
      </c>
      <c r="AA23" s="87">
        <f t="shared" si="6"/>
        <v>0</v>
      </c>
      <c r="AB23" s="87">
        <f t="shared" si="7"/>
        <v>0</v>
      </c>
      <c r="AC23" s="87">
        <f t="shared" si="8"/>
        <v>0</v>
      </c>
      <c r="AD23" s="87">
        <f t="shared" si="9"/>
        <v>0</v>
      </c>
      <c r="AE23" s="87">
        <f t="shared" si="10"/>
        <v>0</v>
      </c>
      <c r="AF23" s="87">
        <f t="shared" si="11"/>
        <v>0</v>
      </c>
      <c r="AG23" s="87">
        <f t="shared" si="12"/>
        <v>0</v>
      </c>
      <c r="AH23" s="87">
        <f t="shared" si="13"/>
        <v>0</v>
      </c>
      <c r="AI23" s="87">
        <f t="shared" si="14"/>
        <v>0</v>
      </c>
      <c r="AJ23" s="87">
        <f t="shared" si="15"/>
        <v>0</v>
      </c>
      <c r="AK23" s="87">
        <f t="shared" si="16"/>
        <v>0</v>
      </c>
      <c r="AL23" s="87">
        <f t="shared" si="17"/>
        <v>0</v>
      </c>
      <c r="AM23" s="87">
        <f t="shared" si="18"/>
        <v>0</v>
      </c>
      <c r="AN23" s="87">
        <f t="shared" si="19"/>
        <v>0</v>
      </c>
      <c r="AO23" s="65"/>
      <c r="AP23" s="88">
        <v>226</v>
      </c>
      <c r="AQ23" s="87">
        <f t="shared" si="20"/>
        <v>2</v>
      </c>
      <c r="AR23" s="87">
        <f t="shared" si="21"/>
        <v>0</v>
      </c>
      <c r="AS23" s="87">
        <f t="shared" si="22"/>
        <v>0</v>
      </c>
      <c r="AT23" s="87">
        <f t="shared" si="23"/>
        <v>0</v>
      </c>
      <c r="AU23" s="87">
        <f t="shared" si="24"/>
        <v>0</v>
      </c>
      <c r="AV23" s="87">
        <f t="shared" si="25"/>
        <v>0</v>
      </c>
      <c r="AW23" s="87">
        <f t="shared" si="26"/>
        <v>0</v>
      </c>
      <c r="AX23" s="87">
        <f t="shared" si="27"/>
        <v>0</v>
      </c>
      <c r="AY23" s="87">
        <f t="shared" si="28"/>
        <v>0</v>
      </c>
      <c r="AZ23" s="87">
        <f t="shared" si="29"/>
        <v>0</v>
      </c>
      <c r="BA23" s="87">
        <f t="shared" si="30"/>
        <v>0</v>
      </c>
      <c r="BB23" s="87">
        <f t="shared" si="31"/>
        <v>0</v>
      </c>
      <c r="BC23" s="87">
        <f t="shared" si="32"/>
        <v>0</v>
      </c>
      <c r="BD23" s="87">
        <f t="shared" si="33"/>
        <v>0</v>
      </c>
      <c r="BE23" s="87">
        <f t="shared" si="34"/>
        <v>0</v>
      </c>
      <c r="BF23" s="87">
        <f t="shared" si="35"/>
        <v>0</v>
      </c>
      <c r="BG23" s="87">
        <f t="shared" si="36"/>
        <v>0</v>
      </c>
      <c r="BH23" s="87">
        <f t="shared" si="37"/>
        <v>0</v>
      </c>
    </row>
    <row r="24" spans="2:60" s="64" customFormat="1" ht="18.75" x14ac:dyDescent="0.3">
      <c r="B24" s="85">
        <v>145</v>
      </c>
      <c r="C24" s="87">
        <f t="shared" si="40"/>
        <v>2</v>
      </c>
      <c r="D24" s="87">
        <f t="shared" si="40"/>
        <v>0</v>
      </c>
      <c r="E24" s="87">
        <f t="shared" si="40"/>
        <v>0</v>
      </c>
      <c r="F24" s="87">
        <f t="shared" si="40"/>
        <v>0</v>
      </c>
      <c r="G24" s="87">
        <f t="shared" si="40"/>
        <v>0</v>
      </c>
      <c r="H24" s="87">
        <f t="shared" si="40"/>
        <v>0</v>
      </c>
      <c r="I24" s="87">
        <f t="shared" si="40"/>
        <v>0</v>
      </c>
      <c r="J24" s="87">
        <f t="shared" si="40"/>
        <v>0</v>
      </c>
      <c r="K24" s="87">
        <f t="shared" si="40"/>
        <v>0</v>
      </c>
      <c r="L24" s="87">
        <f t="shared" si="40"/>
        <v>0</v>
      </c>
      <c r="M24" s="87">
        <f t="shared" si="40"/>
        <v>0</v>
      </c>
      <c r="N24" s="87">
        <f t="shared" si="40"/>
        <v>0</v>
      </c>
      <c r="O24" s="87">
        <f t="shared" si="40"/>
        <v>0</v>
      </c>
      <c r="P24" s="87">
        <f t="shared" si="40"/>
        <v>0</v>
      </c>
      <c r="Q24" s="87">
        <f t="shared" si="40"/>
        <v>0</v>
      </c>
      <c r="R24" s="87">
        <f t="shared" si="40"/>
        <v>0</v>
      </c>
      <c r="S24" s="87">
        <f t="shared" si="39"/>
        <v>0</v>
      </c>
      <c r="T24" s="87">
        <f t="shared" si="39"/>
        <v>0</v>
      </c>
      <c r="U24" s="65"/>
      <c r="V24" s="88">
        <v>186</v>
      </c>
      <c r="W24" s="87">
        <f t="shared" si="2"/>
        <v>2</v>
      </c>
      <c r="X24" s="87">
        <f t="shared" si="3"/>
        <v>0</v>
      </c>
      <c r="Y24" s="87">
        <f t="shared" si="4"/>
        <v>0</v>
      </c>
      <c r="Z24" s="87">
        <f t="shared" si="5"/>
        <v>0</v>
      </c>
      <c r="AA24" s="87">
        <f t="shared" si="6"/>
        <v>0</v>
      </c>
      <c r="AB24" s="87">
        <f t="shared" si="7"/>
        <v>0</v>
      </c>
      <c r="AC24" s="87">
        <f t="shared" si="8"/>
        <v>0</v>
      </c>
      <c r="AD24" s="87">
        <f t="shared" si="9"/>
        <v>0</v>
      </c>
      <c r="AE24" s="87">
        <f t="shared" si="10"/>
        <v>0</v>
      </c>
      <c r="AF24" s="87">
        <f t="shared" si="11"/>
        <v>0</v>
      </c>
      <c r="AG24" s="87">
        <f t="shared" si="12"/>
        <v>0</v>
      </c>
      <c r="AH24" s="87">
        <f t="shared" si="13"/>
        <v>0</v>
      </c>
      <c r="AI24" s="87">
        <f t="shared" si="14"/>
        <v>0</v>
      </c>
      <c r="AJ24" s="87">
        <f t="shared" si="15"/>
        <v>0</v>
      </c>
      <c r="AK24" s="87">
        <f t="shared" si="16"/>
        <v>0</v>
      </c>
      <c r="AL24" s="87">
        <f t="shared" si="17"/>
        <v>0</v>
      </c>
      <c r="AM24" s="87">
        <f t="shared" si="18"/>
        <v>0</v>
      </c>
      <c r="AN24" s="87">
        <f t="shared" si="19"/>
        <v>0</v>
      </c>
      <c r="AO24" s="65"/>
      <c r="AP24" s="85">
        <v>227</v>
      </c>
      <c r="AQ24" s="87">
        <f t="shared" si="20"/>
        <v>2</v>
      </c>
      <c r="AR24" s="87">
        <f t="shared" si="21"/>
        <v>0</v>
      </c>
      <c r="AS24" s="87">
        <f t="shared" si="22"/>
        <v>0</v>
      </c>
      <c r="AT24" s="87">
        <f t="shared" si="23"/>
        <v>0</v>
      </c>
      <c r="AU24" s="87">
        <f t="shared" si="24"/>
        <v>0</v>
      </c>
      <c r="AV24" s="87">
        <f t="shared" si="25"/>
        <v>0</v>
      </c>
      <c r="AW24" s="87">
        <f t="shared" si="26"/>
        <v>0</v>
      </c>
      <c r="AX24" s="87">
        <f t="shared" si="27"/>
        <v>0</v>
      </c>
      <c r="AY24" s="87">
        <f t="shared" si="28"/>
        <v>0</v>
      </c>
      <c r="AZ24" s="87">
        <f t="shared" si="29"/>
        <v>0</v>
      </c>
      <c r="BA24" s="87">
        <f t="shared" si="30"/>
        <v>0</v>
      </c>
      <c r="BB24" s="87">
        <f t="shared" si="31"/>
        <v>0</v>
      </c>
      <c r="BC24" s="87">
        <f t="shared" si="32"/>
        <v>0</v>
      </c>
      <c r="BD24" s="87">
        <f t="shared" si="33"/>
        <v>0</v>
      </c>
      <c r="BE24" s="87">
        <f t="shared" si="34"/>
        <v>0</v>
      </c>
      <c r="BF24" s="87">
        <f t="shared" si="35"/>
        <v>0</v>
      </c>
      <c r="BG24" s="87">
        <f t="shared" si="36"/>
        <v>0</v>
      </c>
      <c r="BH24" s="87">
        <f t="shared" si="37"/>
        <v>0</v>
      </c>
    </row>
    <row r="25" spans="2:60" s="64" customFormat="1" ht="18.75" x14ac:dyDescent="0.3">
      <c r="B25" s="88">
        <v>146</v>
      </c>
      <c r="C25" s="87">
        <f t="shared" si="40"/>
        <v>2</v>
      </c>
      <c r="D25" s="87">
        <f t="shared" si="40"/>
        <v>0</v>
      </c>
      <c r="E25" s="87">
        <f t="shared" si="40"/>
        <v>0</v>
      </c>
      <c r="F25" s="87">
        <f t="shared" si="40"/>
        <v>0</v>
      </c>
      <c r="G25" s="87">
        <f t="shared" si="40"/>
        <v>0</v>
      </c>
      <c r="H25" s="87">
        <f t="shared" si="40"/>
        <v>0</v>
      </c>
      <c r="I25" s="87">
        <f t="shared" si="40"/>
        <v>0</v>
      </c>
      <c r="J25" s="87">
        <f t="shared" si="40"/>
        <v>0</v>
      </c>
      <c r="K25" s="87">
        <f t="shared" si="40"/>
        <v>0</v>
      </c>
      <c r="L25" s="87">
        <f t="shared" si="40"/>
        <v>0</v>
      </c>
      <c r="M25" s="87">
        <f t="shared" si="40"/>
        <v>0</v>
      </c>
      <c r="N25" s="87">
        <f t="shared" si="40"/>
        <v>0</v>
      </c>
      <c r="O25" s="87">
        <f t="shared" si="40"/>
        <v>0</v>
      </c>
      <c r="P25" s="87">
        <f t="shared" si="40"/>
        <v>0</v>
      </c>
      <c r="Q25" s="87">
        <f t="shared" si="40"/>
        <v>0</v>
      </c>
      <c r="R25" s="87">
        <f t="shared" si="40"/>
        <v>0</v>
      </c>
      <c r="S25" s="87">
        <f t="shared" si="39"/>
        <v>0</v>
      </c>
      <c r="T25" s="87">
        <f t="shared" si="39"/>
        <v>0</v>
      </c>
      <c r="U25" s="65"/>
      <c r="V25" s="85">
        <v>187</v>
      </c>
      <c r="W25" s="87">
        <f t="shared" si="2"/>
        <v>2</v>
      </c>
      <c r="X25" s="87">
        <f t="shared" si="3"/>
        <v>0</v>
      </c>
      <c r="Y25" s="87">
        <f t="shared" si="4"/>
        <v>0</v>
      </c>
      <c r="Z25" s="87">
        <f t="shared" si="5"/>
        <v>0</v>
      </c>
      <c r="AA25" s="87">
        <f t="shared" si="6"/>
        <v>0</v>
      </c>
      <c r="AB25" s="87">
        <f t="shared" si="7"/>
        <v>0</v>
      </c>
      <c r="AC25" s="87">
        <f t="shared" si="8"/>
        <v>0</v>
      </c>
      <c r="AD25" s="87">
        <f t="shared" si="9"/>
        <v>0</v>
      </c>
      <c r="AE25" s="87">
        <f t="shared" si="10"/>
        <v>0</v>
      </c>
      <c r="AF25" s="87">
        <f t="shared" si="11"/>
        <v>0</v>
      </c>
      <c r="AG25" s="87">
        <f t="shared" si="12"/>
        <v>0</v>
      </c>
      <c r="AH25" s="87">
        <f t="shared" si="13"/>
        <v>0</v>
      </c>
      <c r="AI25" s="87">
        <f t="shared" si="14"/>
        <v>0</v>
      </c>
      <c r="AJ25" s="87">
        <f t="shared" si="15"/>
        <v>0</v>
      </c>
      <c r="AK25" s="87">
        <f t="shared" si="16"/>
        <v>0</v>
      </c>
      <c r="AL25" s="87">
        <f t="shared" si="17"/>
        <v>0</v>
      </c>
      <c r="AM25" s="87">
        <f t="shared" si="18"/>
        <v>0</v>
      </c>
      <c r="AN25" s="87">
        <f t="shared" si="19"/>
        <v>0</v>
      </c>
      <c r="AO25" s="65"/>
      <c r="AP25" s="88">
        <v>228</v>
      </c>
      <c r="AQ25" s="87">
        <f t="shared" si="20"/>
        <v>2</v>
      </c>
      <c r="AR25" s="87">
        <f t="shared" si="21"/>
        <v>0</v>
      </c>
      <c r="AS25" s="87">
        <f t="shared" si="22"/>
        <v>0</v>
      </c>
      <c r="AT25" s="87">
        <f t="shared" si="23"/>
        <v>0</v>
      </c>
      <c r="AU25" s="87">
        <f t="shared" si="24"/>
        <v>0</v>
      </c>
      <c r="AV25" s="87">
        <f t="shared" si="25"/>
        <v>0</v>
      </c>
      <c r="AW25" s="87">
        <f t="shared" si="26"/>
        <v>0</v>
      </c>
      <c r="AX25" s="87">
        <f t="shared" si="27"/>
        <v>0</v>
      </c>
      <c r="AY25" s="87">
        <f t="shared" si="28"/>
        <v>0</v>
      </c>
      <c r="AZ25" s="87">
        <f t="shared" si="29"/>
        <v>0</v>
      </c>
      <c r="BA25" s="87">
        <f t="shared" si="30"/>
        <v>0</v>
      </c>
      <c r="BB25" s="87">
        <f t="shared" si="31"/>
        <v>0</v>
      </c>
      <c r="BC25" s="87">
        <f t="shared" si="32"/>
        <v>0</v>
      </c>
      <c r="BD25" s="87">
        <f t="shared" si="33"/>
        <v>0</v>
      </c>
      <c r="BE25" s="87">
        <f t="shared" si="34"/>
        <v>0</v>
      </c>
      <c r="BF25" s="87">
        <f t="shared" si="35"/>
        <v>0</v>
      </c>
      <c r="BG25" s="87">
        <f t="shared" si="36"/>
        <v>0</v>
      </c>
      <c r="BH25" s="87">
        <f t="shared" si="37"/>
        <v>0</v>
      </c>
    </row>
    <row r="26" spans="2:60" s="64" customFormat="1" ht="18.75" x14ac:dyDescent="0.3">
      <c r="B26" s="85">
        <v>147</v>
      </c>
      <c r="C26" s="87">
        <f t="shared" si="40"/>
        <v>2</v>
      </c>
      <c r="D26" s="87">
        <f t="shared" si="40"/>
        <v>0</v>
      </c>
      <c r="E26" s="87">
        <f t="shared" si="40"/>
        <v>0</v>
      </c>
      <c r="F26" s="87">
        <f t="shared" si="40"/>
        <v>0</v>
      </c>
      <c r="G26" s="87">
        <f t="shared" si="40"/>
        <v>0</v>
      </c>
      <c r="H26" s="87">
        <f t="shared" si="40"/>
        <v>0</v>
      </c>
      <c r="I26" s="87">
        <f t="shared" si="40"/>
        <v>0</v>
      </c>
      <c r="J26" s="87">
        <f t="shared" si="40"/>
        <v>0</v>
      </c>
      <c r="K26" s="87">
        <f t="shared" si="40"/>
        <v>0</v>
      </c>
      <c r="L26" s="87">
        <f t="shared" si="40"/>
        <v>0</v>
      </c>
      <c r="M26" s="87">
        <f t="shared" si="40"/>
        <v>0</v>
      </c>
      <c r="N26" s="87">
        <f t="shared" si="40"/>
        <v>0</v>
      </c>
      <c r="O26" s="87">
        <f t="shared" si="40"/>
        <v>0</v>
      </c>
      <c r="P26" s="87">
        <f t="shared" si="40"/>
        <v>0</v>
      </c>
      <c r="Q26" s="87">
        <f t="shared" si="40"/>
        <v>0</v>
      </c>
      <c r="R26" s="87">
        <f t="shared" si="40"/>
        <v>0</v>
      </c>
      <c r="S26" s="87">
        <f t="shared" si="39"/>
        <v>0</v>
      </c>
      <c r="T26" s="87">
        <f t="shared" si="39"/>
        <v>0</v>
      </c>
      <c r="U26" s="65"/>
      <c r="V26" s="88">
        <v>188</v>
      </c>
      <c r="W26" s="87">
        <f t="shared" si="2"/>
        <v>2</v>
      </c>
      <c r="X26" s="87">
        <f t="shared" si="3"/>
        <v>7</v>
      </c>
      <c r="Y26" s="87">
        <f t="shared" si="4"/>
        <v>11</v>
      </c>
      <c r="Z26" s="87">
        <f t="shared" si="5"/>
        <v>20</v>
      </c>
      <c r="AA26" s="87">
        <f t="shared" si="6"/>
        <v>6</v>
      </c>
      <c r="AB26" s="87">
        <f t="shared" si="7"/>
        <v>0</v>
      </c>
      <c r="AC26" s="87">
        <f t="shared" si="8"/>
        <v>0</v>
      </c>
      <c r="AD26" s="87">
        <f t="shared" si="9"/>
        <v>0</v>
      </c>
      <c r="AE26" s="87">
        <f t="shared" si="10"/>
        <v>0</v>
      </c>
      <c r="AF26" s="87">
        <f t="shared" si="11"/>
        <v>0</v>
      </c>
      <c r="AG26" s="87">
        <f t="shared" si="12"/>
        <v>0</v>
      </c>
      <c r="AH26" s="87">
        <f t="shared" si="13"/>
        <v>0</v>
      </c>
      <c r="AI26" s="87">
        <f t="shared" si="14"/>
        <v>0</v>
      </c>
      <c r="AJ26" s="87">
        <f t="shared" si="15"/>
        <v>0</v>
      </c>
      <c r="AK26" s="87">
        <f t="shared" si="16"/>
        <v>0</v>
      </c>
      <c r="AL26" s="87">
        <f t="shared" si="17"/>
        <v>0</v>
      </c>
      <c r="AM26" s="87">
        <f t="shared" si="18"/>
        <v>0</v>
      </c>
      <c r="AN26" s="87">
        <f t="shared" si="19"/>
        <v>0</v>
      </c>
      <c r="AO26" s="65"/>
      <c r="AP26" s="85">
        <v>229</v>
      </c>
      <c r="AQ26" s="87">
        <f t="shared" si="20"/>
        <v>2</v>
      </c>
      <c r="AR26" s="87">
        <f t="shared" si="21"/>
        <v>0</v>
      </c>
      <c r="AS26" s="87">
        <f t="shared" si="22"/>
        <v>0</v>
      </c>
      <c r="AT26" s="87">
        <f t="shared" si="23"/>
        <v>0</v>
      </c>
      <c r="AU26" s="87">
        <f t="shared" si="24"/>
        <v>0</v>
      </c>
      <c r="AV26" s="87">
        <f t="shared" si="25"/>
        <v>0</v>
      </c>
      <c r="AW26" s="87">
        <f t="shared" si="26"/>
        <v>0</v>
      </c>
      <c r="AX26" s="87">
        <f t="shared" si="27"/>
        <v>0</v>
      </c>
      <c r="AY26" s="87">
        <f t="shared" si="28"/>
        <v>0</v>
      </c>
      <c r="AZ26" s="87">
        <f t="shared" si="29"/>
        <v>0</v>
      </c>
      <c r="BA26" s="87">
        <f t="shared" si="30"/>
        <v>0</v>
      </c>
      <c r="BB26" s="87">
        <f t="shared" si="31"/>
        <v>0</v>
      </c>
      <c r="BC26" s="87">
        <f t="shared" si="32"/>
        <v>0</v>
      </c>
      <c r="BD26" s="87">
        <f t="shared" si="33"/>
        <v>0</v>
      </c>
      <c r="BE26" s="87">
        <f t="shared" si="34"/>
        <v>0</v>
      </c>
      <c r="BF26" s="87">
        <f t="shared" si="35"/>
        <v>0</v>
      </c>
      <c r="BG26" s="87">
        <f t="shared" si="36"/>
        <v>0</v>
      </c>
      <c r="BH26" s="87">
        <f t="shared" si="37"/>
        <v>0</v>
      </c>
    </row>
    <row r="27" spans="2:60" s="64" customFormat="1" ht="18.75" x14ac:dyDescent="0.3">
      <c r="B27" s="88">
        <v>148</v>
      </c>
      <c r="C27" s="87">
        <f t="shared" si="40"/>
        <v>2</v>
      </c>
      <c r="D27" s="87">
        <f t="shared" si="40"/>
        <v>0</v>
      </c>
      <c r="E27" s="87">
        <f t="shared" si="40"/>
        <v>0</v>
      </c>
      <c r="F27" s="87">
        <f t="shared" si="40"/>
        <v>0</v>
      </c>
      <c r="G27" s="87">
        <f t="shared" si="40"/>
        <v>0</v>
      </c>
      <c r="H27" s="87">
        <f t="shared" si="40"/>
        <v>0</v>
      </c>
      <c r="I27" s="87">
        <f t="shared" si="40"/>
        <v>0</v>
      </c>
      <c r="J27" s="87">
        <f t="shared" si="40"/>
        <v>0</v>
      </c>
      <c r="K27" s="87">
        <f t="shared" si="40"/>
        <v>0</v>
      </c>
      <c r="L27" s="87">
        <f t="shared" si="40"/>
        <v>0</v>
      </c>
      <c r="M27" s="87">
        <f t="shared" si="40"/>
        <v>0</v>
      </c>
      <c r="N27" s="87">
        <f t="shared" si="40"/>
        <v>0</v>
      </c>
      <c r="O27" s="87">
        <f t="shared" si="40"/>
        <v>0</v>
      </c>
      <c r="P27" s="87">
        <f t="shared" si="40"/>
        <v>0</v>
      </c>
      <c r="Q27" s="87">
        <f t="shared" si="40"/>
        <v>0</v>
      </c>
      <c r="R27" s="87">
        <f t="shared" si="40"/>
        <v>0</v>
      </c>
      <c r="S27" s="87">
        <f t="shared" si="39"/>
        <v>0</v>
      </c>
      <c r="T27" s="87">
        <f t="shared" si="39"/>
        <v>0</v>
      </c>
      <c r="U27" s="65"/>
      <c r="V27" s="85">
        <v>189</v>
      </c>
      <c r="W27" s="87">
        <f t="shared" si="2"/>
        <v>2</v>
      </c>
      <c r="X27" s="87">
        <f t="shared" si="3"/>
        <v>0</v>
      </c>
      <c r="Y27" s="87">
        <f t="shared" si="4"/>
        <v>0</v>
      </c>
      <c r="Z27" s="87">
        <f t="shared" si="5"/>
        <v>0</v>
      </c>
      <c r="AA27" s="87">
        <f t="shared" si="6"/>
        <v>0</v>
      </c>
      <c r="AB27" s="87">
        <f t="shared" si="7"/>
        <v>0</v>
      </c>
      <c r="AC27" s="87">
        <f t="shared" si="8"/>
        <v>0</v>
      </c>
      <c r="AD27" s="87">
        <f t="shared" si="9"/>
        <v>0</v>
      </c>
      <c r="AE27" s="87">
        <f t="shared" si="10"/>
        <v>0</v>
      </c>
      <c r="AF27" s="87">
        <f t="shared" si="11"/>
        <v>0</v>
      </c>
      <c r="AG27" s="87">
        <f t="shared" si="12"/>
        <v>0</v>
      </c>
      <c r="AH27" s="87">
        <f t="shared" si="13"/>
        <v>0</v>
      </c>
      <c r="AI27" s="87">
        <f t="shared" si="14"/>
        <v>0</v>
      </c>
      <c r="AJ27" s="87">
        <f t="shared" si="15"/>
        <v>0</v>
      </c>
      <c r="AK27" s="87">
        <f t="shared" si="16"/>
        <v>0</v>
      </c>
      <c r="AL27" s="87">
        <f t="shared" si="17"/>
        <v>0</v>
      </c>
      <c r="AM27" s="87">
        <f t="shared" si="18"/>
        <v>0</v>
      </c>
      <c r="AN27" s="87">
        <f t="shared" si="19"/>
        <v>0</v>
      </c>
      <c r="AO27" s="65"/>
      <c r="AP27" s="88">
        <v>230</v>
      </c>
      <c r="AQ27" s="87">
        <f t="shared" si="20"/>
        <v>2</v>
      </c>
      <c r="AR27" s="87">
        <f t="shared" si="21"/>
        <v>0</v>
      </c>
      <c r="AS27" s="87">
        <f t="shared" si="22"/>
        <v>0</v>
      </c>
      <c r="AT27" s="87">
        <f t="shared" si="23"/>
        <v>0</v>
      </c>
      <c r="AU27" s="87">
        <f t="shared" si="24"/>
        <v>0</v>
      </c>
      <c r="AV27" s="87">
        <f t="shared" si="25"/>
        <v>0</v>
      </c>
      <c r="AW27" s="87">
        <f t="shared" si="26"/>
        <v>0</v>
      </c>
      <c r="AX27" s="87">
        <f t="shared" si="27"/>
        <v>0</v>
      </c>
      <c r="AY27" s="87">
        <f t="shared" si="28"/>
        <v>0</v>
      </c>
      <c r="AZ27" s="87">
        <f t="shared" si="29"/>
        <v>0</v>
      </c>
      <c r="BA27" s="87">
        <f t="shared" si="30"/>
        <v>0</v>
      </c>
      <c r="BB27" s="87">
        <f t="shared" si="31"/>
        <v>0</v>
      </c>
      <c r="BC27" s="87">
        <f t="shared" si="32"/>
        <v>0</v>
      </c>
      <c r="BD27" s="87">
        <f t="shared" si="33"/>
        <v>0</v>
      </c>
      <c r="BE27" s="87">
        <f t="shared" si="34"/>
        <v>0</v>
      </c>
      <c r="BF27" s="87">
        <f t="shared" si="35"/>
        <v>0</v>
      </c>
      <c r="BG27" s="87">
        <f t="shared" si="36"/>
        <v>0</v>
      </c>
      <c r="BH27" s="87">
        <f t="shared" si="37"/>
        <v>0</v>
      </c>
    </row>
    <row r="28" spans="2:60" s="64" customFormat="1" ht="18.75" x14ac:dyDescent="0.3">
      <c r="B28" s="85">
        <v>149</v>
      </c>
      <c r="C28" s="87">
        <f t="shared" si="40"/>
        <v>2</v>
      </c>
      <c r="D28" s="87">
        <f t="shared" si="40"/>
        <v>0</v>
      </c>
      <c r="E28" s="87">
        <f t="shared" si="40"/>
        <v>0</v>
      </c>
      <c r="F28" s="87">
        <f t="shared" si="40"/>
        <v>0</v>
      </c>
      <c r="G28" s="87">
        <f t="shared" si="40"/>
        <v>0</v>
      </c>
      <c r="H28" s="87">
        <f t="shared" si="40"/>
        <v>0</v>
      </c>
      <c r="I28" s="87">
        <f t="shared" si="40"/>
        <v>0</v>
      </c>
      <c r="J28" s="87">
        <f t="shared" si="40"/>
        <v>0</v>
      </c>
      <c r="K28" s="87">
        <f t="shared" si="40"/>
        <v>0</v>
      </c>
      <c r="L28" s="87">
        <f t="shared" si="40"/>
        <v>0</v>
      </c>
      <c r="M28" s="87">
        <f t="shared" si="40"/>
        <v>0</v>
      </c>
      <c r="N28" s="87">
        <f t="shared" si="40"/>
        <v>0</v>
      </c>
      <c r="O28" s="87">
        <f t="shared" si="40"/>
        <v>0</v>
      </c>
      <c r="P28" s="87">
        <f t="shared" si="40"/>
        <v>0</v>
      </c>
      <c r="Q28" s="87">
        <f t="shared" si="40"/>
        <v>0</v>
      </c>
      <c r="R28" s="87">
        <f t="shared" si="40"/>
        <v>0</v>
      </c>
      <c r="S28" s="87">
        <f t="shared" si="39"/>
        <v>0</v>
      </c>
      <c r="T28" s="87">
        <f t="shared" si="39"/>
        <v>0</v>
      </c>
      <c r="U28" s="65"/>
      <c r="V28" s="88">
        <v>190</v>
      </c>
      <c r="W28" s="87">
        <f t="shared" si="2"/>
        <v>2</v>
      </c>
      <c r="X28" s="87">
        <f t="shared" si="3"/>
        <v>0</v>
      </c>
      <c r="Y28" s="87">
        <f t="shared" si="4"/>
        <v>0</v>
      </c>
      <c r="Z28" s="87">
        <f t="shared" si="5"/>
        <v>0</v>
      </c>
      <c r="AA28" s="87">
        <f t="shared" si="6"/>
        <v>0</v>
      </c>
      <c r="AB28" s="87">
        <f t="shared" si="7"/>
        <v>0</v>
      </c>
      <c r="AC28" s="87">
        <f t="shared" si="8"/>
        <v>0</v>
      </c>
      <c r="AD28" s="87">
        <f t="shared" si="9"/>
        <v>0</v>
      </c>
      <c r="AE28" s="87">
        <f t="shared" si="10"/>
        <v>0</v>
      </c>
      <c r="AF28" s="87">
        <f t="shared" si="11"/>
        <v>0</v>
      </c>
      <c r="AG28" s="87">
        <f t="shared" si="12"/>
        <v>0</v>
      </c>
      <c r="AH28" s="87">
        <f t="shared" si="13"/>
        <v>0</v>
      </c>
      <c r="AI28" s="87">
        <f t="shared" si="14"/>
        <v>0</v>
      </c>
      <c r="AJ28" s="87">
        <f t="shared" si="15"/>
        <v>0</v>
      </c>
      <c r="AK28" s="87">
        <f t="shared" si="16"/>
        <v>0</v>
      </c>
      <c r="AL28" s="87">
        <f t="shared" si="17"/>
        <v>0</v>
      </c>
      <c r="AM28" s="87">
        <f t="shared" si="18"/>
        <v>0</v>
      </c>
      <c r="AN28" s="87">
        <f t="shared" si="19"/>
        <v>0</v>
      </c>
      <c r="AO28" s="65"/>
      <c r="AP28" s="85">
        <v>231</v>
      </c>
      <c r="AQ28" s="87">
        <f t="shared" si="20"/>
        <v>2</v>
      </c>
      <c r="AR28" s="87">
        <f t="shared" si="21"/>
        <v>0</v>
      </c>
      <c r="AS28" s="87">
        <f t="shared" si="22"/>
        <v>0</v>
      </c>
      <c r="AT28" s="87">
        <f t="shared" si="23"/>
        <v>0</v>
      </c>
      <c r="AU28" s="87">
        <f t="shared" si="24"/>
        <v>0</v>
      </c>
      <c r="AV28" s="87">
        <f t="shared" si="25"/>
        <v>0</v>
      </c>
      <c r="AW28" s="87">
        <f t="shared" si="26"/>
        <v>0</v>
      </c>
      <c r="AX28" s="87">
        <f t="shared" si="27"/>
        <v>0</v>
      </c>
      <c r="AY28" s="87">
        <f t="shared" si="28"/>
        <v>0</v>
      </c>
      <c r="AZ28" s="87">
        <f t="shared" si="29"/>
        <v>0</v>
      </c>
      <c r="BA28" s="87">
        <f t="shared" si="30"/>
        <v>0</v>
      </c>
      <c r="BB28" s="87">
        <f t="shared" si="31"/>
        <v>0</v>
      </c>
      <c r="BC28" s="87">
        <f t="shared" si="32"/>
        <v>0</v>
      </c>
      <c r="BD28" s="87">
        <f t="shared" si="33"/>
        <v>0</v>
      </c>
      <c r="BE28" s="87">
        <f t="shared" si="34"/>
        <v>0</v>
      </c>
      <c r="BF28" s="87">
        <f t="shared" si="35"/>
        <v>0</v>
      </c>
      <c r="BG28" s="87">
        <f t="shared" si="36"/>
        <v>0</v>
      </c>
      <c r="BH28" s="87">
        <f t="shared" si="37"/>
        <v>0</v>
      </c>
    </row>
    <row r="29" spans="2:60" s="64" customFormat="1" ht="18.75" x14ac:dyDescent="0.3">
      <c r="B29" s="88">
        <v>150</v>
      </c>
      <c r="C29" s="87">
        <f t="shared" si="40"/>
        <v>2</v>
      </c>
      <c r="D29" s="87">
        <f t="shared" si="40"/>
        <v>0</v>
      </c>
      <c r="E29" s="87">
        <f t="shared" si="40"/>
        <v>0</v>
      </c>
      <c r="F29" s="87">
        <f t="shared" si="40"/>
        <v>0</v>
      </c>
      <c r="G29" s="87">
        <f t="shared" si="40"/>
        <v>0</v>
      </c>
      <c r="H29" s="87">
        <f t="shared" si="40"/>
        <v>0</v>
      </c>
      <c r="I29" s="87">
        <f t="shared" si="40"/>
        <v>0</v>
      </c>
      <c r="J29" s="87">
        <f t="shared" si="40"/>
        <v>0</v>
      </c>
      <c r="K29" s="87">
        <f t="shared" si="40"/>
        <v>0</v>
      </c>
      <c r="L29" s="87">
        <f t="shared" si="40"/>
        <v>0</v>
      </c>
      <c r="M29" s="87">
        <f t="shared" si="40"/>
        <v>0</v>
      </c>
      <c r="N29" s="87">
        <f t="shared" si="40"/>
        <v>0</v>
      </c>
      <c r="O29" s="87">
        <f t="shared" si="40"/>
        <v>0</v>
      </c>
      <c r="P29" s="87">
        <f t="shared" si="40"/>
        <v>0</v>
      </c>
      <c r="Q29" s="87">
        <f t="shared" si="40"/>
        <v>0</v>
      </c>
      <c r="R29" s="87">
        <f t="shared" si="40"/>
        <v>0</v>
      </c>
      <c r="S29" s="87">
        <f t="shared" si="39"/>
        <v>0</v>
      </c>
      <c r="T29" s="87">
        <f t="shared" si="39"/>
        <v>0</v>
      </c>
      <c r="U29" s="65"/>
      <c r="V29" s="85">
        <v>191</v>
      </c>
      <c r="W29" s="87">
        <f t="shared" si="2"/>
        <v>2</v>
      </c>
      <c r="X29" s="87">
        <f t="shared" si="3"/>
        <v>0</v>
      </c>
      <c r="Y29" s="87">
        <f t="shared" si="4"/>
        <v>0</v>
      </c>
      <c r="Z29" s="87">
        <f t="shared" si="5"/>
        <v>0</v>
      </c>
      <c r="AA29" s="87">
        <f t="shared" si="6"/>
        <v>0</v>
      </c>
      <c r="AB29" s="87">
        <f t="shared" si="7"/>
        <v>0</v>
      </c>
      <c r="AC29" s="87">
        <f t="shared" si="8"/>
        <v>0</v>
      </c>
      <c r="AD29" s="87">
        <f t="shared" si="9"/>
        <v>0</v>
      </c>
      <c r="AE29" s="87">
        <f t="shared" si="10"/>
        <v>0</v>
      </c>
      <c r="AF29" s="87">
        <f t="shared" si="11"/>
        <v>0</v>
      </c>
      <c r="AG29" s="87">
        <f t="shared" si="12"/>
        <v>0</v>
      </c>
      <c r="AH29" s="87">
        <f t="shared" si="13"/>
        <v>0</v>
      </c>
      <c r="AI29" s="87">
        <f t="shared" si="14"/>
        <v>0</v>
      </c>
      <c r="AJ29" s="87">
        <f t="shared" si="15"/>
        <v>0</v>
      </c>
      <c r="AK29" s="87">
        <f t="shared" si="16"/>
        <v>0</v>
      </c>
      <c r="AL29" s="87">
        <f t="shared" si="17"/>
        <v>0</v>
      </c>
      <c r="AM29" s="87">
        <f t="shared" si="18"/>
        <v>0</v>
      </c>
      <c r="AN29" s="87">
        <f t="shared" si="19"/>
        <v>0</v>
      </c>
      <c r="AO29" s="65"/>
      <c r="AP29" s="88">
        <v>232</v>
      </c>
      <c r="AQ29" s="87">
        <f t="shared" si="20"/>
        <v>2</v>
      </c>
      <c r="AR29" s="87">
        <f t="shared" si="21"/>
        <v>0</v>
      </c>
      <c r="AS29" s="87">
        <f t="shared" si="22"/>
        <v>0</v>
      </c>
      <c r="AT29" s="87">
        <f t="shared" si="23"/>
        <v>0</v>
      </c>
      <c r="AU29" s="87">
        <f t="shared" si="24"/>
        <v>0</v>
      </c>
      <c r="AV29" s="87">
        <f t="shared" si="25"/>
        <v>0</v>
      </c>
      <c r="AW29" s="87">
        <f t="shared" si="26"/>
        <v>0</v>
      </c>
      <c r="AX29" s="87">
        <f t="shared" si="27"/>
        <v>0</v>
      </c>
      <c r="AY29" s="87">
        <f t="shared" si="28"/>
        <v>0</v>
      </c>
      <c r="AZ29" s="87">
        <f t="shared" si="29"/>
        <v>0</v>
      </c>
      <c r="BA29" s="87">
        <f t="shared" si="30"/>
        <v>0</v>
      </c>
      <c r="BB29" s="87">
        <f t="shared" si="31"/>
        <v>0</v>
      </c>
      <c r="BC29" s="87">
        <f t="shared" si="32"/>
        <v>0</v>
      </c>
      <c r="BD29" s="87">
        <f t="shared" si="33"/>
        <v>0</v>
      </c>
      <c r="BE29" s="87">
        <f t="shared" si="34"/>
        <v>0</v>
      </c>
      <c r="BF29" s="87">
        <f t="shared" si="35"/>
        <v>0</v>
      </c>
      <c r="BG29" s="87">
        <f t="shared" si="36"/>
        <v>0</v>
      </c>
      <c r="BH29" s="87">
        <f t="shared" si="37"/>
        <v>0</v>
      </c>
    </row>
    <row r="30" spans="2:60" s="64" customFormat="1" ht="18.75" x14ac:dyDescent="0.3">
      <c r="B30" s="85">
        <v>151</v>
      </c>
      <c r="C30" s="87">
        <f t="shared" si="40"/>
        <v>2</v>
      </c>
      <c r="D30" s="87">
        <f t="shared" si="40"/>
        <v>50</v>
      </c>
      <c r="E30" s="87">
        <f t="shared" si="40"/>
        <v>0</v>
      </c>
      <c r="F30" s="87">
        <f t="shared" si="40"/>
        <v>16</v>
      </c>
      <c r="G30" s="87">
        <f t="shared" si="40"/>
        <v>4</v>
      </c>
      <c r="H30" s="87">
        <f t="shared" si="40"/>
        <v>7</v>
      </c>
      <c r="I30" s="87">
        <f t="shared" si="40"/>
        <v>9</v>
      </c>
      <c r="J30" s="87">
        <f t="shared" si="40"/>
        <v>14</v>
      </c>
      <c r="K30" s="87">
        <f t="shared" si="40"/>
        <v>0</v>
      </c>
      <c r="L30" s="87">
        <f t="shared" si="40"/>
        <v>6</v>
      </c>
      <c r="M30" s="87">
        <f t="shared" si="40"/>
        <v>0</v>
      </c>
      <c r="N30" s="87">
        <f t="shared" si="40"/>
        <v>0</v>
      </c>
      <c r="O30" s="87">
        <f t="shared" si="40"/>
        <v>0</v>
      </c>
      <c r="P30" s="87">
        <f t="shared" si="40"/>
        <v>0</v>
      </c>
      <c r="Q30" s="87">
        <f t="shared" si="40"/>
        <v>0</v>
      </c>
      <c r="R30" s="87">
        <f t="shared" si="40"/>
        <v>0</v>
      </c>
      <c r="S30" s="87">
        <f t="shared" si="39"/>
        <v>0</v>
      </c>
      <c r="T30" s="87">
        <f t="shared" si="39"/>
        <v>0</v>
      </c>
      <c r="U30" s="65"/>
      <c r="V30" s="88">
        <v>192</v>
      </c>
      <c r="W30" s="87">
        <f t="shared" si="2"/>
        <v>2</v>
      </c>
      <c r="X30" s="87">
        <f t="shared" si="3"/>
        <v>0</v>
      </c>
      <c r="Y30" s="87">
        <f t="shared" si="4"/>
        <v>0</v>
      </c>
      <c r="Z30" s="87">
        <f t="shared" si="5"/>
        <v>0</v>
      </c>
      <c r="AA30" s="87">
        <f t="shared" si="6"/>
        <v>0</v>
      </c>
      <c r="AB30" s="87">
        <f t="shared" si="7"/>
        <v>0</v>
      </c>
      <c r="AC30" s="87">
        <f t="shared" si="8"/>
        <v>0</v>
      </c>
      <c r="AD30" s="87">
        <f t="shared" si="9"/>
        <v>0</v>
      </c>
      <c r="AE30" s="87">
        <f t="shared" si="10"/>
        <v>0</v>
      </c>
      <c r="AF30" s="87">
        <f t="shared" si="11"/>
        <v>0</v>
      </c>
      <c r="AG30" s="87">
        <f t="shared" si="12"/>
        <v>0</v>
      </c>
      <c r="AH30" s="87">
        <f t="shared" si="13"/>
        <v>0</v>
      </c>
      <c r="AI30" s="87">
        <f t="shared" si="14"/>
        <v>0</v>
      </c>
      <c r="AJ30" s="87">
        <f t="shared" si="15"/>
        <v>0</v>
      </c>
      <c r="AK30" s="87">
        <f t="shared" si="16"/>
        <v>0</v>
      </c>
      <c r="AL30" s="87">
        <f t="shared" si="17"/>
        <v>0</v>
      </c>
      <c r="AM30" s="87">
        <f t="shared" si="18"/>
        <v>0</v>
      </c>
      <c r="AN30" s="87">
        <f t="shared" si="19"/>
        <v>0</v>
      </c>
      <c r="AO30" s="65"/>
      <c r="AP30" s="85">
        <v>233</v>
      </c>
      <c r="AQ30" s="87">
        <f t="shared" si="20"/>
        <v>2</v>
      </c>
      <c r="AR30" s="87">
        <f t="shared" si="21"/>
        <v>0</v>
      </c>
      <c r="AS30" s="87">
        <f t="shared" si="22"/>
        <v>0</v>
      </c>
      <c r="AT30" s="87">
        <f t="shared" si="23"/>
        <v>0</v>
      </c>
      <c r="AU30" s="87">
        <f t="shared" si="24"/>
        <v>0</v>
      </c>
      <c r="AV30" s="87">
        <f t="shared" si="25"/>
        <v>0</v>
      </c>
      <c r="AW30" s="87">
        <f t="shared" si="26"/>
        <v>0</v>
      </c>
      <c r="AX30" s="87">
        <f t="shared" si="27"/>
        <v>0</v>
      </c>
      <c r="AY30" s="87">
        <f t="shared" si="28"/>
        <v>0</v>
      </c>
      <c r="AZ30" s="87">
        <f t="shared" si="29"/>
        <v>0</v>
      </c>
      <c r="BA30" s="87">
        <f t="shared" si="30"/>
        <v>0</v>
      </c>
      <c r="BB30" s="87">
        <f t="shared" si="31"/>
        <v>0</v>
      </c>
      <c r="BC30" s="87">
        <f t="shared" si="32"/>
        <v>0</v>
      </c>
      <c r="BD30" s="87">
        <f t="shared" si="33"/>
        <v>0</v>
      </c>
      <c r="BE30" s="87">
        <f t="shared" si="34"/>
        <v>0</v>
      </c>
      <c r="BF30" s="87">
        <f t="shared" si="35"/>
        <v>0</v>
      </c>
      <c r="BG30" s="87">
        <f t="shared" si="36"/>
        <v>0</v>
      </c>
      <c r="BH30" s="87">
        <f t="shared" si="37"/>
        <v>0</v>
      </c>
    </row>
    <row r="31" spans="2:60" s="64" customFormat="1" ht="18.75" x14ac:dyDescent="0.3">
      <c r="B31" s="88">
        <v>152</v>
      </c>
      <c r="C31" s="87">
        <f t="shared" si="40"/>
        <v>2</v>
      </c>
      <c r="D31" s="87">
        <f t="shared" si="40"/>
        <v>0</v>
      </c>
      <c r="E31" s="87">
        <f t="shared" si="40"/>
        <v>0</v>
      </c>
      <c r="F31" s="87">
        <f t="shared" si="40"/>
        <v>0</v>
      </c>
      <c r="G31" s="87">
        <f t="shared" si="40"/>
        <v>0</v>
      </c>
      <c r="H31" s="87">
        <f t="shared" si="40"/>
        <v>0</v>
      </c>
      <c r="I31" s="87">
        <f t="shared" si="40"/>
        <v>0</v>
      </c>
      <c r="J31" s="87">
        <f t="shared" si="40"/>
        <v>0</v>
      </c>
      <c r="K31" s="87">
        <f t="shared" si="40"/>
        <v>0</v>
      </c>
      <c r="L31" s="87">
        <f t="shared" si="40"/>
        <v>0</v>
      </c>
      <c r="M31" s="87">
        <f t="shared" si="40"/>
        <v>0</v>
      </c>
      <c r="N31" s="87">
        <f t="shared" si="40"/>
        <v>0</v>
      </c>
      <c r="O31" s="87">
        <f t="shared" si="40"/>
        <v>0</v>
      </c>
      <c r="P31" s="87">
        <f t="shared" si="40"/>
        <v>0</v>
      </c>
      <c r="Q31" s="87">
        <f t="shared" si="40"/>
        <v>0</v>
      </c>
      <c r="R31" s="87">
        <f t="shared" si="40"/>
        <v>0</v>
      </c>
      <c r="S31" s="87">
        <f t="shared" si="39"/>
        <v>0</v>
      </c>
      <c r="T31" s="87">
        <f t="shared" si="39"/>
        <v>0</v>
      </c>
      <c r="U31" s="65"/>
      <c r="V31" s="85">
        <v>193</v>
      </c>
      <c r="W31" s="87">
        <f t="shared" si="2"/>
        <v>2</v>
      </c>
      <c r="X31" s="87">
        <f t="shared" si="3"/>
        <v>0</v>
      </c>
      <c r="Y31" s="87">
        <f t="shared" si="4"/>
        <v>0</v>
      </c>
      <c r="Z31" s="87">
        <f t="shared" si="5"/>
        <v>0</v>
      </c>
      <c r="AA31" s="87">
        <f t="shared" si="6"/>
        <v>0</v>
      </c>
      <c r="AB31" s="87">
        <f t="shared" si="7"/>
        <v>0</v>
      </c>
      <c r="AC31" s="87">
        <f t="shared" si="8"/>
        <v>0</v>
      </c>
      <c r="AD31" s="87">
        <f t="shared" si="9"/>
        <v>0</v>
      </c>
      <c r="AE31" s="87">
        <f t="shared" si="10"/>
        <v>0</v>
      </c>
      <c r="AF31" s="87">
        <f t="shared" si="11"/>
        <v>0</v>
      </c>
      <c r="AG31" s="87">
        <f t="shared" si="12"/>
        <v>0</v>
      </c>
      <c r="AH31" s="87">
        <f t="shared" si="13"/>
        <v>0</v>
      </c>
      <c r="AI31" s="87">
        <f t="shared" si="14"/>
        <v>0</v>
      </c>
      <c r="AJ31" s="87">
        <f t="shared" si="15"/>
        <v>0</v>
      </c>
      <c r="AK31" s="87">
        <f t="shared" si="16"/>
        <v>0</v>
      </c>
      <c r="AL31" s="87">
        <f t="shared" si="17"/>
        <v>0</v>
      </c>
      <c r="AM31" s="87">
        <f t="shared" si="18"/>
        <v>0</v>
      </c>
      <c r="AN31" s="87">
        <f t="shared" si="19"/>
        <v>0</v>
      </c>
      <c r="AO31" s="65"/>
      <c r="AP31" s="88">
        <v>234</v>
      </c>
      <c r="AQ31" s="87">
        <f t="shared" si="20"/>
        <v>2</v>
      </c>
      <c r="AR31" s="87">
        <f t="shared" si="21"/>
        <v>0</v>
      </c>
      <c r="AS31" s="87">
        <f t="shared" si="22"/>
        <v>0</v>
      </c>
      <c r="AT31" s="87">
        <f t="shared" si="23"/>
        <v>0</v>
      </c>
      <c r="AU31" s="87">
        <f t="shared" si="24"/>
        <v>0</v>
      </c>
      <c r="AV31" s="87">
        <f t="shared" si="25"/>
        <v>0</v>
      </c>
      <c r="AW31" s="87">
        <f t="shared" si="26"/>
        <v>0</v>
      </c>
      <c r="AX31" s="87">
        <f t="shared" si="27"/>
        <v>0</v>
      </c>
      <c r="AY31" s="87">
        <f t="shared" si="28"/>
        <v>0</v>
      </c>
      <c r="AZ31" s="87">
        <f t="shared" si="29"/>
        <v>0</v>
      </c>
      <c r="BA31" s="87">
        <f t="shared" si="30"/>
        <v>0</v>
      </c>
      <c r="BB31" s="87">
        <f t="shared" si="31"/>
        <v>0</v>
      </c>
      <c r="BC31" s="87">
        <f t="shared" si="32"/>
        <v>0</v>
      </c>
      <c r="BD31" s="87">
        <f t="shared" si="33"/>
        <v>0</v>
      </c>
      <c r="BE31" s="87">
        <f t="shared" si="34"/>
        <v>0</v>
      </c>
      <c r="BF31" s="87">
        <f t="shared" si="35"/>
        <v>0</v>
      </c>
      <c r="BG31" s="87">
        <f t="shared" si="36"/>
        <v>0</v>
      </c>
      <c r="BH31" s="87">
        <f t="shared" si="37"/>
        <v>0</v>
      </c>
    </row>
    <row r="32" spans="2:60" s="64" customFormat="1" ht="18.75" x14ac:dyDescent="0.3">
      <c r="B32" s="85">
        <v>153</v>
      </c>
      <c r="C32" s="87">
        <f t="shared" si="40"/>
        <v>2</v>
      </c>
      <c r="D32" s="87">
        <f t="shared" si="40"/>
        <v>151</v>
      </c>
      <c r="E32" s="87">
        <f t="shared" si="40"/>
        <v>40</v>
      </c>
      <c r="F32" s="87">
        <f t="shared" si="40"/>
        <v>149</v>
      </c>
      <c r="G32" s="87">
        <f t="shared" si="40"/>
        <v>36</v>
      </c>
      <c r="H32" s="87">
        <f t="shared" si="40"/>
        <v>46</v>
      </c>
      <c r="I32" s="87">
        <f t="shared" si="40"/>
        <v>52</v>
      </c>
      <c r="J32" s="87">
        <f t="shared" si="40"/>
        <v>43</v>
      </c>
      <c r="K32" s="87">
        <f t="shared" si="40"/>
        <v>50</v>
      </c>
      <c r="L32" s="87">
        <f t="shared" si="40"/>
        <v>21</v>
      </c>
      <c r="M32" s="87">
        <f t="shared" si="40"/>
        <v>0</v>
      </c>
      <c r="N32" s="87">
        <f t="shared" si="40"/>
        <v>0</v>
      </c>
      <c r="O32" s="87">
        <f t="shared" si="40"/>
        <v>0</v>
      </c>
      <c r="P32" s="87">
        <f t="shared" si="40"/>
        <v>0</v>
      </c>
      <c r="Q32" s="87">
        <f t="shared" si="40"/>
        <v>0</v>
      </c>
      <c r="R32" s="87">
        <f t="shared" si="40"/>
        <v>0</v>
      </c>
      <c r="S32" s="87">
        <f t="shared" si="39"/>
        <v>0</v>
      </c>
      <c r="T32" s="87">
        <f t="shared" si="39"/>
        <v>0</v>
      </c>
      <c r="U32" s="65"/>
      <c r="V32" s="88">
        <v>194</v>
      </c>
      <c r="W32" s="87">
        <f t="shared" si="2"/>
        <v>2</v>
      </c>
      <c r="X32" s="87">
        <f t="shared" si="3"/>
        <v>0</v>
      </c>
      <c r="Y32" s="87">
        <f t="shared" si="4"/>
        <v>0</v>
      </c>
      <c r="Z32" s="87">
        <f t="shared" si="5"/>
        <v>0</v>
      </c>
      <c r="AA32" s="87">
        <f t="shared" si="6"/>
        <v>0</v>
      </c>
      <c r="AB32" s="87">
        <f t="shared" si="7"/>
        <v>0</v>
      </c>
      <c r="AC32" s="87">
        <f t="shared" si="8"/>
        <v>0</v>
      </c>
      <c r="AD32" s="87">
        <f t="shared" si="9"/>
        <v>0</v>
      </c>
      <c r="AE32" s="87">
        <f t="shared" si="10"/>
        <v>0</v>
      </c>
      <c r="AF32" s="87">
        <f t="shared" si="11"/>
        <v>0</v>
      </c>
      <c r="AG32" s="87">
        <f t="shared" si="12"/>
        <v>0</v>
      </c>
      <c r="AH32" s="87">
        <f t="shared" si="13"/>
        <v>0</v>
      </c>
      <c r="AI32" s="87">
        <f t="shared" si="14"/>
        <v>0</v>
      </c>
      <c r="AJ32" s="87">
        <f t="shared" si="15"/>
        <v>0</v>
      </c>
      <c r="AK32" s="87">
        <f t="shared" si="16"/>
        <v>0</v>
      </c>
      <c r="AL32" s="87">
        <f t="shared" si="17"/>
        <v>0</v>
      </c>
      <c r="AM32" s="87">
        <f t="shared" si="18"/>
        <v>0</v>
      </c>
      <c r="AN32" s="87">
        <f t="shared" si="19"/>
        <v>0</v>
      </c>
      <c r="AO32" s="65"/>
      <c r="AP32" s="85">
        <v>235</v>
      </c>
      <c r="AQ32" s="87">
        <f t="shared" si="20"/>
        <v>2</v>
      </c>
      <c r="AR32" s="87">
        <f t="shared" si="21"/>
        <v>0</v>
      </c>
      <c r="AS32" s="87">
        <f t="shared" si="22"/>
        <v>0</v>
      </c>
      <c r="AT32" s="87">
        <f t="shared" si="23"/>
        <v>0</v>
      </c>
      <c r="AU32" s="87">
        <f t="shared" si="24"/>
        <v>0</v>
      </c>
      <c r="AV32" s="87">
        <f t="shared" si="25"/>
        <v>0</v>
      </c>
      <c r="AW32" s="87">
        <f t="shared" si="26"/>
        <v>0</v>
      </c>
      <c r="AX32" s="87">
        <f t="shared" si="27"/>
        <v>0</v>
      </c>
      <c r="AY32" s="87">
        <f t="shared" si="28"/>
        <v>0</v>
      </c>
      <c r="AZ32" s="87">
        <f t="shared" si="29"/>
        <v>0</v>
      </c>
      <c r="BA32" s="87">
        <f t="shared" si="30"/>
        <v>0</v>
      </c>
      <c r="BB32" s="87">
        <f t="shared" si="31"/>
        <v>0</v>
      </c>
      <c r="BC32" s="87">
        <f t="shared" si="32"/>
        <v>0</v>
      </c>
      <c r="BD32" s="87">
        <f t="shared" si="33"/>
        <v>0</v>
      </c>
      <c r="BE32" s="87">
        <f t="shared" si="34"/>
        <v>0</v>
      </c>
      <c r="BF32" s="87">
        <f t="shared" si="35"/>
        <v>0</v>
      </c>
      <c r="BG32" s="87">
        <f t="shared" si="36"/>
        <v>0</v>
      </c>
      <c r="BH32" s="87">
        <f t="shared" si="37"/>
        <v>0</v>
      </c>
    </row>
    <row r="33" spans="2:60" s="64" customFormat="1" ht="18.75" x14ac:dyDescent="0.3">
      <c r="B33" s="88">
        <v>154</v>
      </c>
      <c r="C33" s="87">
        <f t="shared" si="40"/>
        <v>2</v>
      </c>
      <c r="D33" s="87">
        <f t="shared" si="40"/>
        <v>0</v>
      </c>
      <c r="E33" s="87">
        <f t="shared" si="40"/>
        <v>0</v>
      </c>
      <c r="F33" s="87">
        <f t="shared" si="40"/>
        <v>0</v>
      </c>
      <c r="G33" s="87">
        <f t="shared" si="40"/>
        <v>0</v>
      </c>
      <c r="H33" s="87">
        <f t="shared" si="40"/>
        <v>0</v>
      </c>
      <c r="I33" s="87">
        <f t="shared" si="40"/>
        <v>0</v>
      </c>
      <c r="J33" s="87">
        <f t="shared" si="40"/>
        <v>0</v>
      </c>
      <c r="K33" s="87">
        <f t="shared" si="40"/>
        <v>0</v>
      </c>
      <c r="L33" s="87">
        <f t="shared" si="40"/>
        <v>0</v>
      </c>
      <c r="M33" s="87">
        <f t="shared" si="40"/>
        <v>0</v>
      </c>
      <c r="N33" s="87">
        <f t="shared" si="40"/>
        <v>0</v>
      </c>
      <c r="O33" s="87">
        <f t="shared" si="40"/>
        <v>0</v>
      </c>
      <c r="P33" s="87">
        <f t="shared" si="40"/>
        <v>0</v>
      </c>
      <c r="Q33" s="87">
        <f t="shared" si="40"/>
        <v>0</v>
      </c>
      <c r="R33" s="87">
        <f t="shared" si="40"/>
        <v>0</v>
      </c>
      <c r="S33" s="87">
        <f t="shared" si="39"/>
        <v>0</v>
      </c>
      <c r="T33" s="87">
        <f t="shared" si="39"/>
        <v>0</v>
      </c>
      <c r="U33" s="65"/>
      <c r="V33" s="85">
        <v>195</v>
      </c>
      <c r="W33" s="87">
        <f t="shared" si="2"/>
        <v>2</v>
      </c>
      <c r="X33" s="87">
        <f t="shared" si="3"/>
        <v>0</v>
      </c>
      <c r="Y33" s="87">
        <f t="shared" si="4"/>
        <v>0</v>
      </c>
      <c r="Z33" s="87">
        <f t="shared" si="5"/>
        <v>0</v>
      </c>
      <c r="AA33" s="87">
        <f t="shared" si="6"/>
        <v>0</v>
      </c>
      <c r="AB33" s="87">
        <f t="shared" si="7"/>
        <v>0</v>
      </c>
      <c r="AC33" s="87">
        <f t="shared" si="8"/>
        <v>0</v>
      </c>
      <c r="AD33" s="87">
        <f t="shared" si="9"/>
        <v>0</v>
      </c>
      <c r="AE33" s="87">
        <f t="shared" si="10"/>
        <v>0</v>
      </c>
      <c r="AF33" s="87">
        <f t="shared" si="11"/>
        <v>0</v>
      </c>
      <c r="AG33" s="87">
        <f t="shared" si="12"/>
        <v>0</v>
      </c>
      <c r="AH33" s="87">
        <f t="shared" si="13"/>
        <v>0</v>
      </c>
      <c r="AI33" s="87">
        <f t="shared" si="14"/>
        <v>0</v>
      </c>
      <c r="AJ33" s="87">
        <f t="shared" si="15"/>
        <v>0</v>
      </c>
      <c r="AK33" s="87">
        <f t="shared" si="16"/>
        <v>0</v>
      </c>
      <c r="AL33" s="87">
        <f t="shared" si="17"/>
        <v>0</v>
      </c>
      <c r="AM33" s="87">
        <f t="shared" si="18"/>
        <v>0</v>
      </c>
      <c r="AN33" s="87">
        <f t="shared" si="19"/>
        <v>0</v>
      </c>
      <c r="AO33" s="65"/>
      <c r="AP33" s="88">
        <v>236</v>
      </c>
      <c r="AQ33" s="87">
        <f t="shared" si="20"/>
        <v>2</v>
      </c>
      <c r="AR33" s="87">
        <f t="shared" si="21"/>
        <v>0</v>
      </c>
      <c r="AS33" s="87">
        <f t="shared" si="22"/>
        <v>0</v>
      </c>
      <c r="AT33" s="87">
        <f t="shared" si="23"/>
        <v>0</v>
      </c>
      <c r="AU33" s="87">
        <f t="shared" si="24"/>
        <v>0</v>
      </c>
      <c r="AV33" s="87">
        <f t="shared" si="25"/>
        <v>0</v>
      </c>
      <c r="AW33" s="87">
        <f t="shared" si="26"/>
        <v>0</v>
      </c>
      <c r="AX33" s="87">
        <f t="shared" si="27"/>
        <v>0</v>
      </c>
      <c r="AY33" s="87">
        <f t="shared" si="28"/>
        <v>0</v>
      </c>
      <c r="AZ33" s="87">
        <f t="shared" si="29"/>
        <v>0</v>
      </c>
      <c r="BA33" s="87">
        <f t="shared" si="30"/>
        <v>0</v>
      </c>
      <c r="BB33" s="87">
        <f t="shared" si="31"/>
        <v>0</v>
      </c>
      <c r="BC33" s="87">
        <f t="shared" si="32"/>
        <v>0</v>
      </c>
      <c r="BD33" s="87">
        <f t="shared" si="33"/>
        <v>0</v>
      </c>
      <c r="BE33" s="87">
        <f t="shared" si="34"/>
        <v>0</v>
      </c>
      <c r="BF33" s="87">
        <f t="shared" si="35"/>
        <v>0</v>
      </c>
      <c r="BG33" s="87">
        <f t="shared" si="36"/>
        <v>0</v>
      </c>
      <c r="BH33" s="87">
        <f t="shared" si="37"/>
        <v>0</v>
      </c>
    </row>
    <row r="34" spans="2:60" s="64" customFormat="1" ht="18.75" x14ac:dyDescent="0.3">
      <c r="B34" s="85">
        <v>155</v>
      </c>
      <c r="C34" s="87">
        <f t="shared" si="40"/>
        <v>2</v>
      </c>
      <c r="D34" s="87">
        <f t="shared" si="40"/>
        <v>0</v>
      </c>
      <c r="E34" s="87">
        <f t="shared" si="40"/>
        <v>0</v>
      </c>
      <c r="F34" s="87">
        <f t="shared" si="40"/>
        <v>0</v>
      </c>
      <c r="G34" s="87">
        <f t="shared" si="40"/>
        <v>0</v>
      </c>
      <c r="H34" s="87">
        <f t="shared" si="40"/>
        <v>0</v>
      </c>
      <c r="I34" s="87">
        <f t="shared" si="40"/>
        <v>0</v>
      </c>
      <c r="J34" s="87">
        <f t="shared" si="40"/>
        <v>0</v>
      </c>
      <c r="K34" s="87">
        <f t="shared" si="40"/>
        <v>0</v>
      </c>
      <c r="L34" s="87">
        <f t="shared" si="40"/>
        <v>0</v>
      </c>
      <c r="M34" s="87">
        <f t="shared" si="40"/>
        <v>0</v>
      </c>
      <c r="N34" s="87">
        <f t="shared" si="40"/>
        <v>0</v>
      </c>
      <c r="O34" s="87">
        <f t="shared" si="40"/>
        <v>0</v>
      </c>
      <c r="P34" s="87">
        <f t="shared" si="40"/>
        <v>0</v>
      </c>
      <c r="Q34" s="87">
        <f t="shared" si="40"/>
        <v>0</v>
      </c>
      <c r="R34" s="87">
        <f t="shared" ref="N34:T42" si="41">SUMIFS(VOTOS1,CENTRO1,$B34,TURNO1,R$1)</f>
        <v>0</v>
      </c>
      <c r="S34" s="87">
        <f t="shared" si="41"/>
        <v>0</v>
      </c>
      <c r="T34" s="87">
        <f t="shared" si="41"/>
        <v>0</v>
      </c>
      <c r="U34" s="65"/>
      <c r="V34" s="88">
        <v>196</v>
      </c>
      <c r="W34" s="87">
        <f t="shared" si="2"/>
        <v>2</v>
      </c>
      <c r="X34" s="87">
        <f t="shared" si="3"/>
        <v>0</v>
      </c>
      <c r="Y34" s="87">
        <f t="shared" si="4"/>
        <v>0</v>
      </c>
      <c r="Z34" s="87">
        <f t="shared" si="5"/>
        <v>0</v>
      </c>
      <c r="AA34" s="87">
        <f t="shared" si="6"/>
        <v>0</v>
      </c>
      <c r="AB34" s="87">
        <f t="shared" si="7"/>
        <v>0</v>
      </c>
      <c r="AC34" s="87">
        <f t="shared" si="8"/>
        <v>0</v>
      </c>
      <c r="AD34" s="87">
        <f t="shared" si="9"/>
        <v>0</v>
      </c>
      <c r="AE34" s="87">
        <f t="shared" si="10"/>
        <v>0</v>
      </c>
      <c r="AF34" s="87">
        <f t="shared" si="11"/>
        <v>0</v>
      </c>
      <c r="AG34" s="87">
        <f t="shared" si="12"/>
        <v>0</v>
      </c>
      <c r="AH34" s="87">
        <f t="shared" si="13"/>
        <v>0</v>
      </c>
      <c r="AI34" s="87">
        <f t="shared" si="14"/>
        <v>0</v>
      </c>
      <c r="AJ34" s="87">
        <f t="shared" si="15"/>
        <v>0</v>
      </c>
      <c r="AK34" s="87">
        <f t="shared" si="16"/>
        <v>0</v>
      </c>
      <c r="AL34" s="87">
        <f t="shared" si="17"/>
        <v>0</v>
      </c>
      <c r="AM34" s="87">
        <f t="shared" si="18"/>
        <v>0</v>
      </c>
      <c r="AN34" s="87">
        <f t="shared" si="19"/>
        <v>0</v>
      </c>
      <c r="AO34" s="65"/>
      <c r="AP34" s="85">
        <v>237</v>
      </c>
      <c r="AQ34" s="87">
        <f t="shared" si="20"/>
        <v>2</v>
      </c>
      <c r="AR34" s="87">
        <f t="shared" si="21"/>
        <v>0</v>
      </c>
      <c r="AS34" s="87">
        <f t="shared" si="22"/>
        <v>0</v>
      </c>
      <c r="AT34" s="87">
        <f t="shared" si="23"/>
        <v>0</v>
      </c>
      <c r="AU34" s="87">
        <f t="shared" si="24"/>
        <v>0</v>
      </c>
      <c r="AV34" s="87">
        <f t="shared" si="25"/>
        <v>0</v>
      </c>
      <c r="AW34" s="87">
        <f t="shared" si="26"/>
        <v>0</v>
      </c>
      <c r="AX34" s="87">
        <f t="shared" si="27"/>
        <v>0</v>
      </c>
      <c r="AY34" s="87">
        <f t="shared" si="28"/>
        <v>0</v>
      </c>
      <c r="AZ34" s="87">
        <f t="shared" si="29"/>
        <v>0</v>
      </c>
      <c r="BA34" s="87">
        <f t="shared" si="30"/>
        <v>0</v>
      </c>
      <c r="BB34" s="87">
        <f t="shared" si="31"/>
        <v>0</v>
      </c>
      <c r="BC34" s="87">
        <f t="shared" si="32"/>
        <v>0</v>
      </c>
      <c r="BD34" s="87">
        <f t="shared" si="33"/>
        <v>0</v>
      </c>
      <c r="BE34" s="87">
        <f t="shared" si="34"/>
        <v>0</v>
      </c>
      <c r="BF34" s="87">
        <f t="shared" si="35"/>
        <v>0</v>
      </c>
      <c r="BG34" s="87">
        <f t="shared" si="36"/>
        <v>0</v>
      </c>
      <c r="BH34" s="87">
        <f t="shared" si="37"/>
        <v>0</v>
      </c>
    </row>
    <row r="35" spans="2:60" s="64" customFormat="1" ht="18.75" x14ac:dyDescent="0.3">
      <c r="B35" s="88">
        <v>156</v>
      </c>
      <c r="C35" s="87">
        <f t="shared" ref="C35:M42" si="42">SUMIFS(VOTOS1,CENTRO1,$B35,TURNO1,C$1)</f>
        <v>1</v>
      </c>
      <c r="D35" s="87">
        <f t="shared" si="42"/>
        <v>62</v>
      </c>
      <c r="E35" s="87">
        <f t="shared" si="42"/>
        <v>39</v>
      </c>
      <c r="F35" s="87">
        <f t="shared" si="42"/>
        <v>39</v>
      </c>
      <c r="G35" s="87">
        <f t="shared" si="42"/>
        <v>42</v>
      </c>
      <c r="H35" s="87">
        <f t="shared" si="42"/>
        <v>87</v>
      </c>
      <c r="I35" s="87">
        <f t="shared" si="42"/>
        <v>61</v>
      </c>
      <c r="J35" s="87">
        <f t="shared" si="42"/>
        <v>0</v>
      </c>
      <c r="K35" s="87">
        <f t="shared" si="42"/>
        <v>41</v>
      </c>
      <c r="L35" s="87">
        <f t="shared" si="42"/>
        <v>55</v>
      </c>
      <c r="M35" s="87">
        <f t="shared" si="42"/>
        <v>0</v>
      </c>
      <c r="N35" s="87">
        <f t="shared" si="41"/>
        <v>0</v>
      </c>
      <c r="O35" s="87">
        <f t="shared" si="41"/>
        <v>0</v>
      </c>
      <c r="P35" s="87">
        <f t="shared" si="41"/>
        <v>0</v>
      </c>
      <c r="Q35" s="87">
        <f t="shared" si="41"/>
        <v>0</v>
      </c>
      <c r="R35" s="87">
        <f t="shared" si="41"/>
        <v>0</v>
      </c>
      <c r="S35" s="87">
        <f t="shared" si="41"/>
        <v>0</v>
      </c>
      <c r="T35" s="87">
        <f t="shared" si="41"/>
        <v>0</v>
      </c>
      <c r="U35" s="65"/>
      <c r="V35" s="85">
        <v>197</v>
      </c>
      <c r="W35" s="87">
        <f t="shared" si="2"/>
        <v>2</v>
      </c>
      <c r="X35" s="87">
        <f t="shared" si="3"/>
        <v>0</v>
      </c>
      <c r="Y35" s="87">
        <f t="shared" si="4"/>
        <v>0</v>
      </c>
      <c r="Z35" s="87">
        <f t="shared" si="5"/>
        <v>0</v>
      </c>
      <c r="AA35" s="87">
        <f t="shared" si="6"/>
        <v>0</v>
      </c>
      <c r="AB35" s="87">
        <f t="shared" si="7"/>
        <v>0</v>
      </c>
      <c r="AC35" s="87">
        <f t="shared" si="8"/>
        <v>0</v>
      </c>
      <c r="AD35" s="87">
        <f t="shared" si="9"/>
        <v>0</v>
      </c>
      <c r="AE35" s="87">
        <f t="shared" si="10"/>
        <v>0</v>
      </c>
      <c r="AF35" s="87">
        <f t="shared" si="11"/>
        <v>0</v>
      </c>
      <c r="AG35" s="87">
        <f t="shared" si="12"/>
        <v>0</v>
      </c>
      <c r="AH35" s="87">
        <f t="shared" si="13"/>
        <v>0</v>
      </c>
      <c r="AI35" s="87">
        <f t="shared" si="14"/>
        <v>0</v>
      </c>
      <c r="AJ35" s="87">
        <f t="shared" si="15"/>
        <v>0</v>
      </c>
      <c r="AK35" s="87">
        <f t="shared" si="16"/>
        <v>0</v>
      </c>
      <c r="AL35" s="87">
        <f t="shared" si="17"/>
        <v>0</v>
      </c>
      <c r="AM35" s="87">
        <f t="shared" si="18"/>
        <v>0</v>
      </c>
      <c r="AN35" s="87">
        <f t="shared" si="19"/>
        <v>0</v>
      </c>
      <c r="AO35" s="65"/>
      <c r="AP35" s="88">
        <v>238</v>
      </c>
      <c r="AQ35" s="87">
        <f t="shared" si="20"/>
        <v>2</v>
      </c>
      <c r="AR35" s="87">
        <f t="shared" si="21"/>
        <v>0</v>
      </c>
      <c r="AS35" s="87">
        <f t="shared" si="22"/>
        <v>0</v>
      </c>
      <c r="AT35" s="87">
        <f t="shared" si="23"/>
        <v>0</v>
      </c>
      <c r="AU35" s="87">
        <f t="shared" si="24"/>
        <v>0</v>
      </c>
      <c r="AV35" s="87">
        <f t="shared" si="25"/>
        <v>0</v>
      </c>
      <c r="AW35" s="87">
        <f t="shared" si="26"/>
        <v>0</v>
      </c>
      <c r="AX35" s="87">
        <f t="shared" si="27"/>
        <v>0</v>
      </c>
      <c r="AY35" s="87">
        <f t="shared" si="28"/>
        <v>0</v>
      </c>
      <c r="AZ35" s="87">
        <f t="shared" si="29"/>
        <v>0</v>
      </c>
      <c r="BA35" s="87">
        <f t="shared" si="30"/>
        <v>0</v>
      </c>
      <c r="BB35" s="87">
        <f t="shared" si="31"/>
        <v>0</v>
      </c>
      <c r="BC35" s="87">
        <f t="shared" si="32"/>
        <v>0</v>
      </c>
      <c r="BD35" s="87">
        <f t="shared" si="33"/>
        <v>0</v>
      </c>
      <c r="BE35" s="87">
        <f t="shared" si="34"/>
        <v>0</v>
      </c>
      <c r="BF35" s="87">
        <f t="shared" si="35"/>
        <v>0</v>
      </c>
      <c r="BG35" s="87">
        <f t="shared" si="36"/>
        <v>0</v>
      </c>
      <c r="BH35" s="87">
        <f t="shared" si="37"/>
        <v>0</v>
      </c>
    </row>
    <row r="36" spans="2:60" s="64" customFormat="1" ht="18.75" x14ac:dyDescent="0.3">
      <c r="B36" s="85">
        <v>157</v>
      </c>
      <c r="C36" s="87">
        <f t="shared" si="42"/>
        <v>1</v>
      </c>
      <c r="D36" s="87">
        <f t="shared" si="42"/>
        <v>0</v>
      </c>
      <c r="E36" s="87">
        <f t="shared" si="42"/>
        <v>0</v>
      </c>
      <c r="F36" s="87">
        <f t="shared" si="42"/>
        <v>0</v>
      </c>
      <c r="G36" s="87">
        <f t="shared" si="42"/>
        <v>0</v>
      </c>
      <c r="H36" s="87">
        <f t="shared" si="42"/>
        <v>0</v>
      </c>
      <c r="I36" s="87">
        <f t="shared" si="42"/>
        <v>0</v>
      </c>
      <c r="J36" s="87">
        <f t="shared" si="42"/>
        <v>0</v>
      </c>
      <c r="K36" s="87">
        <f t="shared" si="42"/>
        <v>0</v>
      </c>
      <c r="L36" s="87">
        <f t="shared" si="42"/>
        <v>0</v>
      </c>
      <c r="M36" s="87">
        <f t="shared" si="42"/>
        <v>0</v>
      </c>
      <c r="N36" s="87">
        <f t="shared" si="41"/>
        <v>0</v>
      </c>
      <c r="O36" s="87">
        <f t="shared" si="41"/>
        <v>0</v>
      </c>
      <c r="P36" s="87">
        <f t="shared" si="41"/>
        <v>0</v>
      </c>
      <c r="Q36" s="87">
        <f t="shared" si="41"/>
        <v>0</v>
      </c>
      <c r="R36" s="87">
        <f t="shared" si="41"/>
        <v>0</v>
      </c>
      <c r="S36" s="87">
        <f t="shared" si="41"/>
        <v>0</v>
      </c>
      <c r="T36" s="87">
        <f t="shared" si="41"/>
        <v>0</v>
      </c>
      <c r="U36" s="65"/>
      <c r="V36" s="88">
        <v>198</v>
      </c>
      <c r="W36" s="87">
        <f t="shared" si="2"/>
        <v>2</v>
      </c>
      <c r="X36" s="87">
        <f t="shared" si="3"/>
        <v>0</v>
      </c>
      <c r="Y36" s="87">
        <f t="shared" si="4"/>
        <v>0</v>
      </c>
      <c r="Z36" s="87">
        <f t="shared" si="5"/>
        <v>0</v>
      </c>
      <c r="AA36" s="87">
        <f t="shared" si="6"/>
        <v>0</v>
      </c>
      <c r="AB36" s="87">
        <f t="shared" si="7"/>
        <v>0</v>
      </c>
      <c r="AC36" s="87">
        <f t="shared" si="8"/>
        <v>0</v>
      </c>
      <c r="AD36" s="87">
        <f t="shared" si="9"/>
        <v>0</v>
      </c>
      <c r="AE36" s="87">
        <f t="shared" si="10"/>
        <v>0</v>
      </c>
      <c r="AF36" s="87">
        <f t="shared" si="11"/>
        <v>0</v>
      </c>
      <c r="AG36" s="87">
        <f t="shared" si="12"/>
        <v>0</v>
      </c>
      <c r="AH36" s="87">
        <f t="shared" si="13"/>
        <v>0</v>
      </c>
      <c r="AI36" s="87">
        <f t="shared" si="14"/>
        <v>0</v>
      </c>
      <c r="AJ36" s="87">
        <f t="shared" si="15"/>
        <v>0</v>
      </c>
      <c r="AK36" s="87">
        <f t="shared" si="16"/>
        <v>0</v>
      </c>
      <c r="AL36" s="87">
        <f t="shared" si="17"/>
        <v>0</v>
      </c>
      <c r="AM36" s="87">
        <f t="shared" si="18"/>
        <v>0</v>
      </c>
      <c r="AN36" s="87">
        <f t="shared" si="19"/>
        <v>0</v>
      </c>
      <c r="AO36" s="65"/>
      <c r="AP36" s="85">
        <v>239</v>
      </c>
      <c r="AQ36" s="87">
        <f t="shared" si="20"/>
        <v>2</v>
      </c>
      <c r="AR36" s="87">
        <f t="shared" si="21"/>
        <v>0</v>
      </c>
      <c r="AS36" s="87">
        <f t="shared" si="22"/>
        <v>0</v>
      </c>
      <c r="AT36" s="87">
        <f t="shared" si="23"/>
        <v>0</v>
      </c>
      <c r="AU36" s="87">
        <f t="shared" si="24"/>
        <v>0</v>
      </c>
      <c r="AV36" s="87">
        <f t="shared" si="25"/>
        <v>0</v>
      </c>
      <c r="AW36" s="87">
        <f t="shared" si="26"/>
        <v>0</v>
      </c>
      <c r="AX36" s="87">
        <f t="shared" si="27"/>
        <v>0</v>
      </c>
      <c r="AY36" s="87">
        <f t="shared" si="28"/>
        <v>0</v>
      </c>
      <c r="AZ36" s="87">
        <f t="shared" si="29"/>
        <v>0</v>
      </c>
      <c r="BA36" s="87">
        <f t="shared" si="30"/>
        <v>0</v>
      </c>
      <c r="BB36" s="87">
        <f t="shared" si="31"/>
        <v>0</v>
      </c>
      <c r="BC36" s="87">
        <f t="shared" si="32"/>
        <v>0</v>
      </c>
      <c r="BD36" s="87">
        <f t="shared" si="33"/>
        <v>0</v>
      </c>
      <c r="BE36" s="87">
        <f t="shared" si="34"/>
        <v>0</v>
      </c>
      <c r="BF36" s="87">
        <f t="shared" si="35"/>
        <v>0</v>
      </c>
      <c r="BG36" s="87">
        <f t="shared" si="36"/>
        <v>0</v>
      </c>
      <c r="BH36" s="87">
        <f t="shared" si="37"/>
        <v>0</v>
      </c>
    </row>
    <row r="37" spans="2:60" s="64" customFormat="1" ht="18.75" x14ac:dyDescent="0.3">
      <c r="B37" s="88">
        <v>158</v>
      </c>
      <c r="C37" s="87">
        <f t="shared" si="42"/>
        <v>2</v>
      </c>
      <c r="D37" s="87">
        <f t="shared" si="42"/>
        <v>0</v>
      </c>
      <c r="E37" s="87">
        <f t="shared" si="42"/>
        <v>0</v>
      </c>
      <c r="F37" s="87">
        <f t="shared" si="42"/>
        <v>0</v>
      </c>
      <c r="G37" s="87">
        <f t="shared" si="42"/>
        <v>0</v>
      </c>
      <c r="H37" s="87">
        <f t="shared" si="42"/>
        <v>0</v>
      </c>
      <c r="I37" s="87">
        <f t="shared" si="42"/>
        <v>0</v>
      </c>
      <c r="J37" s="87">
        <f t="shared" si="42"/>
        <v>0</v>
      </c>
      <c r="K37" s="87">
        <f t="shared" si="42"/>
        <v>0</v>
      </c>
      <c r="L37" s="87">
        <f t="shared" si="42"/>
        <v>0</v>
      </c>
      <c r="M37" s="87">
        <f t="shared" si="42"/>
        <v>0</v>
      </c>
      <c r="N37" s="87">
        <f t="shared" si="41"/>
        <v>0</v>
      </c>
      <c r="O37" s="87">
        <f t="shared" si="41"/>
        <v>0</v>
      </c>
      <c r="P37" s="87">
        <f t="shared" si="41"/>
        <v>0</v>
      </c>
      <c r="Q37" s="87">
        <f t="shared" si="41"/>
        <v>0</v>
      </c>
      <c r="R37" s="87">
        <f t="shared" si="41"/>
        <v>0</v>
      </c>
      <c r="S37" s="87">
        <f t="shared" si="41"/>
        <v>0</v>
      </c>
      <c r="T37" s="87">
        <f t="shared" si="41"/>
        <v>0</v>
      </c>
      <c r="U37" s="65"/>
      <c r="V37" s="85">
        <v>199</v>
      </c>
      <c r="W37" s="87">
        <f t="shared" si="2"/>
        <v>2</v>
      </c>
      <c r="X37" s="87">
        <f t="shared" si="3"/>
        <v>6</v>
      </c>
      <c r="Y37" s="87">
        <f t="shared" si="4"/>
        <v>8</v>
      </c>
      <c r="Z37" s="87">
        <f t="shared" si="5"/>
        <v>8</v>
      </c>
      <c r="AA37" s="87">
        <f t="shared" si="6"/>
        <v>11</v>
      </c>
      <c r="AB37" s="87">
        <f t="shared" si="7"/>
        <v>7</v>
      </c>
      <c r="AC37" s="87">
        <f t="shared" si="8"/>
        <v>3</v>
      </c>
      <c r="AD37" s="87">
        <f t="shared" si="9"/>
        <v>29</v>
      </c>
      <c r="AE37" s="87">
        <f t="shared" si="10"/>
        <v>0</v>
      </c>
      <c r="AF37" s="87">
        <f t="shared" si="11"/>
        <v>4</v>
      </c>
      <c r="AG37" s="87">
        <f t="shared" si="12"/>
        <v>0</v>
      </c>
      <c r="AH37" s="87">
        <f t="shared" si="13"/>
        <v>0</v>
      </c>
      <c r="AI37" s="87">
        <f t="shared" si="14"/>
        <v>0</v>
      </c>
      <c r="AJ37" s="87">
        <f t="shared" si="15"/>
        <v>0</v>
      </c>
      <c r="AK37" s="87">
        <f t="shared" si="16"/>
        <v>0</v>
      </c>
      <c r="AL37" s="87">
        <f t="shared" si="17"/>
        <v>0</v>
      </c>
      <c r="AM37" s="87">
        <f t="shared" si="18"/>
        <v>0</v>
      </c>
      <c r="AN37" s="87">
        <f t="shared" si="19"/>
        <v>0</v>
      </c>
      <c r="AO37" s="65"/>
      <c r="AP37" s="88">
        <v>240</v>
      </c>
      <c r="AQ37" s="87">
        <f t="shared" si="20"/>
        <v>2</v>
      </c>
      <c r="AR37" s="87">
        <f t="shared" si="21"/>
        <v>0</v>
      </c>
      <c r="AS37" s="87">
        <f t="shared" si="22"/>
        <v>0</v>
      </c>
      <c r="AT37" s="87">
        <f t="shared" si="23"/>
        <v>0</v>
      </c>
      <c r="AU37" s="87">
        <f t="shared" si="24"/>
        <v>0</v>
      </c>
      <c r="AV37" s="87">
        <f t="shared" si="25"/>
        <v>0</v>
      </c>
      <c r="AW37" s="87">
        <f t="shared" si="26"/>
        <v>0</v>
      </c>
      <c r="AX37" s="87">
        <f t="shared" si="27"/>
        <v>0</v>
      </c>
      <c r="AY37" s="87">
        <f t="shared" si="28"/>
        <v>0</v>
      </c>
      <c r="AZ37" s="87">
        <f t="shared" si="29"/>
        <v>0</v>
      </c>
      <c r="BA37" s="87">
        <f t="shared" si="30"/>
        <v>0</v>
      </c>
      <c r="BB37" s="87">
        <f t="shared" si="31"/>
        <v>0</v>
      </c>
      <c r="BC37" s="87">
        <f t="shared" si="32"/>
        <v>0</v>
      </c>
      <c r="BD37" s="87">
        <f t="shared" si="33"/>
        <v>0</v>
      </c>
      <c r="BE37" s="87">
        <f t="shared" si="34"/>
        <v>0</v>
      </c>
      <c r="BF37" s="87">
        <f t="shared" si="35"/>
        <v>0</v>
      </c>
      <c r="BG37" s="87">
        <f t="shared" si="36"/>
        <v>0</v>
      </c>
      <c r="BH37" s="87">
        <f t="shared" si="37"/>
        <v>0</v>
      </c>
    </row>
    <row r="38" spans="2:60" s="64" customFormat="1" ht="18.75" x14ac:dyDescent="0.3">
      <c r="B38" s="85">
        <v>159</v>
      </c>
      <c r="C38" s="87">
        <f t="shared" si="42"/>
        <v>2</v>
      </c>
      <c r="D38" s="87">
        <f t="shared" si="42"/>
        <v>0</v>
      </c>
      <c r="E38" s="87">
        <f t="shared" si="42"/>
        <v>0</v>
      </c>
      <c r="F38" s="87">
        <f t="shared" si="42"/>
        <v>0</v>
      </c>
      <c r="G38" s="87">
        <f t="shared" si="42"/>
        <v>0</v>
      </c>
      <c r="H38" s="87">
        <f t="shared" si="42"/>
        <v>0</v>
      </c>
      <c r="I38" s="87">
        <f t="shared" si="42"/>
        <v>0</v>
      </c>
      <c r="J38" s="87">
        <f t="shared" si="42"/>
        <v>0</v>
      </c>
      <c r="K38" s="87">
        <f t="shared" si="42"/>
        <v>0</v>
      </c>
      <c r="L38" s="87">
        <f t="shared" si="42"/>
        <v>0</v>
      </c>
      <c r="M38" s="87">
        <f t="shared" si="42"/>
        <v>0</v>
      </c>
      <c r="N38" s="87">
        <f t="shared" si="41"/>
        <v>0</v>
      </c>
      <c r="O38" s="87">
        <f t="shared" si="41"/>
        <v>0</v>
      </c>
      <c r="P38" s="87">
        <f t="shared" si="41"/>
        <v>0</v>
      </c>
      <c r="Q38" s="87">
        <f t="shared" si="41"/>
        <v>0</v>
      </c>
      <c r="R38" s="87">
        <f t="shared" si="41"/>
        <v>0</v>
      </c>
      <c r="S38" s="87">
        <f t="shared" si="41"/>
        <v>0</v>
      </c>
      <c r="T38" s="87">
        <f t="shared" si="41"/>
        <v>0</v>
      </c>
      <c r="U38" s="65"/>
      <c r="V38" s="88">
        <v>200</v>
      </c>
      <c r="W38" s="87">
        <f t="shared" si="2"/>
        <v>2</v>
      </c>
      <c r="X38" s="87">
        <f t="shared" si="3"/>
        <v>0</v>
      </c>
      <c r="Y38" s="87">
        <f t="shared" si="4"/>
        <v>0</v>
      </c>
      <c r="Z38" s="87">
        <f t="shared" si="5"/>
        <v>0</v>
      </c>
      <c r="AA38" s="87">
        <f t="shared" si="6"/>
        <v>0</v>
      </c>
      <c r="AB38" s="87">
        <f t="shared" si="7"/>
        <v>0</v>
      </c>
      <c r="AC38" s="87">
        <f t="shared" si="8"/>
        <v>0</v>
      </c>
      <c r="AD38" s="87">
        <f t="shared" si="9"/>
        <v>0</v>
      </c>
      <c r="AE38" s="87">
        <f t="shared" si="10"/>
        <v>0</v>
      </c>
      <c r="AF38" s="87">
        <f t="shared" si="11"/>
        <v>0</v>
      </c>
      <c r="AG38" s="87">
        <f t="shared" si="12"/>
        <v>0</v>
      </c>
      <c r="AH38" s="87">
        <f t="shared" si="13"/>
        <v>0</v>
      </c>
      <c r="AI38" s="87">
        <f t="shared" si="14"/>
        <v>0</v>
      </c>
      <c r="AJ38" s="87">
        <f t="shared" si="15"/>
        <v>0</v>
      </c>
      <c r="AK38" s="87">
        <f t="shared" si="16"/>
        <v>0</v>
      </c>
      <c r="AL38" s="87">
        <f t="shared" si="17"/>
        <v>0</v>
      </c>
      <c r="AM38" s="87">
        <f t="shared" si="18"/>
        <v>0</v>
      </c>
      <c r="AN38" s="87">
        <f t="shared" si="19"/>
        <v>0</v>
      </c>
      <c r="AO38" s="65"/>
      <c r="AP38" s="85">
        <v>241</v>
      </c>
      <c r="AQ38" s="87">
        <f t="shared" si="20"/>
        <v>2</v>
      </c>
      <c r="AR38" s="87">
        <f t="shared" si="21"/>
        <v>0</v>
      </c>
      <c r="AS38" s="87">
        <f t="shared" si="22"/>
        <v>0</v>
      </c>
      <c r="AT38" s="87">
        <f t="shared" si="23"/>
        <v>0</v>
      </c>
      <c r="AU38" s="87">
        <f t="shared" si="24"/>
        <v>0</v>
      </c>
      <c r="AV38" s="87">
        <f t="shared" si="25"/>
        <v>0</v>
      </c>
      <c r="AW38" s="87">
        <f t="shared" si="26"/>
        <v>0</v>
      </c>
      <c r="AX38" s="87">
        <f t="shared" si="27"/>
        <v>0</v>
      </c>
      <c r="AY38" s="87">
        <f t="shared" si="28"/>
        <v>0</v>
      </c>
      <c r="AZ38" s="87">
        <f t="shared" si="29"/>
        <v>0</v>
      </c>
      <c r="BA38" s="87">
        <f t="shared" si="30"/>
        <v>0</v>
      </c>
      <c r="BB38" s="87">
        <f t="shared" si="31"/>
        <v>0</v>
      </c>
      <c r="BC38" s="87">
        <f t="shared" si="32"/>
        <v>0</v>
      </c>
      <c r="BD38" s="87">
        <f t="shared" si="33"/>
        <v>0</v>
      </c>
      <c r="BE38" s="87">
        <f t="shared" si="34"/>
        <v>0</v>
      </c>
      <c r="BF38" s="87">
        <f t="shared" si="35"/>
        <v>0</v>
      </c>
      <c r="BG38" s="87">
        <f t="shared" si="36"/>
        <v>0</v>
      </c>
      <c r="BH38" s="87">
        <f t="shared" si="37"/>
        <v>0</v>
      </c>
    </row>
    <row r="39" spans="2:60" s="64" customFormat="1" ht="18.75" x14ac:dyDescent="0.3">
      <c r="B39" s="88">
        <v>160</v>
      </c>
      <c r="C39" s="87">
        <f t="shared" si="42"/>
        <v>2</v>
      </c>
      <c r="D39" s="87">
        <f t="shared" si="42"/>
        <v>0</v>
      </c>
      <c r="E39" s="87">
        <f t="shared" si="42"/>
        <v>0</v>
      </c>
      <c r="F39" s="87">
        <f t="shared" si="42"/>
        <v>0</v>
      </c>
      <c r="G39" s="87">
        <f t="shared" si="42"/>
        <v>0</v>
      </c>
      <c r="H39" s="87">
        <f t="shared" si="42"/>
        <v>0</v>
      </c>
      <c r="I39" s="87">
        <f t="shared" si="42"/>
        <v>0</v>
      </c>
      <c r="J39" s="87">
        <f t="shared" si="42"/>
        <v>0</v>
      </c>
      <c r="K39" s="87">
        <f t="shared" si="42"/>
        <v>0</v>
      </c>
      <c r="L39" s="87">
        <f t="shared" si="42"/>
        <v>0</v>
      </c>
      <c r="M39" s="87">
        <f t="shared" si="42"/>
        <v>0</v>
      </c>
      <c r="N39" s="87">
        <f t="shared" si="41"/>
        <v>0</v>
      </c>
      <c r="O39" s="87">
        <f t="shared" si="41"/>
        <v>0</v>
      </c>
      <c r="P39" s="87">
        <f t="shared" si="41"/>
        <v>0</v>
      </c>
      <c r="Q39" s="87">
        <f t="shared" si="41"/>
        <v>0</v>
      </c>
      <c r="R39" s="87">
        <f t="shared" si="41"/>
        <v>0</v>
      </c>
      <c r="S39" s="87">
        <f t="shared" si="41"/>
        <v>0</v>
      </c>
      <c r="T39" s="87">
        <f t="shared" si="41"/>
        <v>0</v>
      </c>
      <c r="U39" s="65"/>
      <c r="V39" s="85">
        <v>201</v>
      </c>
      <c r="W39" s="87">
        <f t="shared" si="2"/>
        <v>2</v>
      </c>
      <c r="X39" s="87">
        <f t="shared" si="3"/>
        <v>5</v>
      </c>
      <c r="Y39" s="87">
        <f t="shared" si="4"/>
        <v>9</v>
      </c>
      <c r="Z39" s="87">
        <f t="shared" si="5"/>
        <v>7</v>
      </c>
      <c r="AA39" s="87">
        <f t="shared" si="6"/>
        <v>9</v>
      </c>
      <c r="AB39" s="87">
        <f t="shared" si="7"/>
        <v>15</v>
      </c>
      <c r="AC39" s="87">
        <f t="shared" si="8"/>
        <v>18</v>
      </c>
      <c r="AD39" s="87">
        <f t="shared" si="9"/>
        <v>38</v>
      </c>
      <c r="AE39" s="87">
        <f t="shared" si="10"/>
        <v>0</v>
      </c>
      <c r="AF39" s="87">
        <f t="shared" si="11"/>
        <v>1</v>
      </c>
      <c r="AG39" s="87">
        <f t="shared" si="12"/>
        <v>0</v>
      </c>
      <c r="AH39" s="87">
        <f t="shared" si="13"/>
        <v>0</v>
      </c>
      <c r="AI39" s="87">
        <f t="shared" si="14"/>
        <v>0</v>
      </c>
      <c r="AJ39" s="87">
        <f t="shared" si="15"/>
        <v>0</v>
      </c>
      <c r="AK39" s="87">
        <f t="shared" si="16"/>
        <v>0</v>
      </c>
      <c r="AL39" s="87">
        <f t="shared" si="17"/>
        <v>0</v>
      </c>
      <c r="AM39" s="87">
        <f t="shared" si="18"/>
        <v>0</v>
      </c>
      <c r="AN39" s="87">
        <f t="shared" si="19"/>
        <v>0</v>
      </c>
      <c r="AO39" s="65"/>
      <c r="AP39" s="88">
        <v>242</v>
      </c>
      <c r="AQ39" s="87">
        <f t="shared" si="20"/>
        <v>2</v>
      </c>
      <c r="AR39" s="87">
        <f t="shared" si="21"/>
        <v>25</v>
      </c>
      <c r="AS39" s="87">
        <f t="shared" si="22"/>
        <v>13</v>
      </c>
      <c r="AT39" s="87">
        <f t="shared" si="23"/>
        <v>24</v>
      </c>
      <c r="AU39" s="87">
        <f t="shared" si="24"/>
        <v>15</v>
      </c>
      <c r="AV39" s="87">
        <f t="shared" si="25"/>
        <v>11</v>
      </c>
      <c r="AW39" s="87">
        <f t="shared" si="26"/>
        <v>11</v>
      </c>
      <c r="AX39" s="87">
        <f t="shared" si="27"/>
        <v>15</v>
      </c>
      <c r="AY39" s="87">
        <f t="shared" si="28"/>
        <v>18</v>
      </c>
      <c r="AZ39" s="87">
        <f t="shared" si="29"/>
        <v>3</v>
      </c>
      <c r="BA39" s="87">
        <f t="shared" si="30"/>
        <v>0</v>
      </c>
      <c r="BB39" s="87">
        <f t="shared" si="31"/>
        <v>0</v>
      </c>
      <c r="BC39" s="87">
        <f t="shared" si="32"/>
        <v>0</v>
      </c>
      <c r="BD39" s="87">
        <f t="shared" si="33"/>
        <v>0</v>
      </c>
      <c r="BE39" s="87">
        <f t="shared" si="34"/>
        <v>0</v>
      </c>
      <c r="BF39" s="87">
        <f t="shared" si="35"/>
        <v>0</v>
      </c>
      <c r="BG39" s="87">
        <f t="shared" si="36"/>
        <v>0</v>
      </c>
      <c r="BH39" s="87">
        <f t="shared" si="37"/>
        <v>0</v>
      </c>
    </row>
    <row r="40" spans="2:60" s="64" customFormat="1" ht="18.75" x14ac:dyDescent="0.3">
      <c r="B40" s="85">
        <v>161</v>
      </c>
      <c r="C40" s="87">
        <f t="shared" si="42"/>
        <v>2</v>
      </c>
      <c r="D40" s="87">
        <f t="shared" si="42"/>
        <v>0</v>
      </c>
      <c r="E40" s="87">
        <f t="shared" si="42"/>
        <v>0</v>
      </c>
      <c r="F40" s="87">
        <f t="shared" si="42"/>
        <v>0</v>
      </c>
      <c r="G40" s="87">
        <f t="shared" si="42"/>
        <v>0</v>
      </c>
      <c r="H40" s="87">
        <f t="shared" si="42"/>
        <v>0</v>
      </c>
      <c r="I40" s="87">
        <f t="shared" si="42"/>
        <v>0</v>
      </c>
      <c r="J40" s="87">
        <f t="shared" si="42"/>
        <v>0</v>
      </c>
      <c r="K40" s="87">
        <f t="shared" si="42"/>
        <v>0</v>
      </c>
      <c r="L40" s="87">
        <f t="shared" si="42"/>
        <v>0</v>
      </c>
      <c r="M40" s="87">
        <f t="shared" si="42"/>
        <v>0</v>
      </c>
      <c r="N40" s="87">
        <f t="shared" si="41"/>
        <v>0</v>
      </c>
      <c r="O40" s="87">
        <f t="shared" si="41"/>
        <v>0</v>
      </c>
      <c r="P40" s="87">
        <f t="shared" si="41"/>
        <v>0</v>
      </c>
      <c r="Q40" s="87">
        <f t="shared" si="41"/>
        <v>0</v>
      </c>
      <c r="R40" s="87">
        <f t="shared" si="41"/>
        <v>0</v>
      </c>
      <c r="S40" s="87">
        <f t="shared" si="41"/>
        <v>0</v>
      </c>
      <c r="T40" s="87">
        <f t="shared" si="41"/>
        <v>0</v>
      </c>
      <c r="U40" s="65"/>
      <c r="V40" s="88">
        <v>202</v>
      </c>
      <c r="W40" s="87">
        <f t="shared" si="2"/>
        <v>2</v>
      </c>
      <c r="X40" s="87">
        <f t="shared" si="3"/>
        <v>25</v>
      </c>
      <c r="Y40" s="87">
        <f t="shared" si="4"/>
        <v>65</v>
      </c>
      <c r="Z40" s="87">
        <f t="shared" si="5"/>
        <v>0</v>
      </c>
      <c r="AA40" s="87">
        <f t="shared" si="6"/>
        <v>36</v>
      </c>
      <c r="AB40" s="87">
        <f t="shared" si="7"/>
        <v>16</v>
      </c>
      <c r="AC40" s="87">
        <f t="shared" si="8"/>
        <v>14</v>
      </c>
      <c r="AD40" s="87">
        <f t="shared" si="9"/>
        <v>0</v>
      </c>
      <c r="AE40" s="87">
        <f t="shared" si="10"/>
        <v>5</v>
      </c>
      <c r="AF40" s="87">
        <f t="shared" si="11"/>
        <v>1</v>
      </c>
      <c r="AG40" s="87">
        <f t="shared" si="12"/>
        <v>0</v>
      </c>
      <c r="AH40" s="87">
        <f t="shared" si="13"/>
        <v>0</v>
      </c>
      <c r="AI40" s="87">
        <f t="shared" si="14"/>
        <v>0</v>
      </c>
      <c r="AJ40" s="87">
        <f t="shared" si="15"/>
        <v>0</v>
      </c>
      <c r="AK40" s="87">
        <f t="shared" si="16"/>
        <v>0</v>
      </c>
      <c r="AL40" s="87">
        <f t="shared" si="17"/>
        <v>0</v>
      </c>
      <c r="AM40" s="87">
        <f t="shared" si="18"/>
        <v>0</v>
      </c>
      <c r="AN40" s="87">
        <f t="shared" si="19"/>
        <v>0</v>
      </c>
      <c r="AO40" s="65"/>
      <c r="AP40" s="85">
        <v>243</v>
      </c>
      <c r="AQ40" s="87">
        <f t="shared" si="20"/>
        <v>2</v>
      </c>
      <c r="AR40" s="87">
        <f t="shared" si="21"/>
        <v>0</v>
      </c>
      <c r="AS40" s="87">
        <f t="shared" si="22"/>
        <v>0</v>
      </c>
      <c r="AT40" s="87">
        <f t="shared" si="23"/>
        <v>0</v>
      </c>
      <c r="AU40" s="87">
        <f t="shared" si="24"/>
        <v>0</v>
      </c>
      <c r="AV40" s="87">
        <f t="shared" si="25"/>
        <v>0</v>
      </c>
      <c r="AW40" s="87">
        <f t="shared" si="26"/>
        <v>0</v>
      </c>
      <c r="AX40" s="87">
        <f t="shared" si="27"/>
        <v>0</v>
      </c>
      <c r="AY40" s="87">
        <f t="shared" si="28"/>
        <v>0</v>
      </c>
      <c r="AZ40" s="87">
        <f t="shared" si="29"/>
        <v>0</v>
      </c>
      <c r="BA40" s="87">
        <f t="shared" si="30"/>
        <v>0</v>
      </c>
      <c r="BB40" s="87">
        <f t="shared" si="31"/>
        <v>0</v>
      </c>
      <c r="BC40" s="87">
        <f t="shared" si="32"/>
        <v>0</v>
      </c>
      <c r="BD40" s="87">
        <f t="shared" si="33"/>
        <v>0</v>
      </c>
      <c r="BE40" s="87">
        <f t="shared" si="34"/>
        <v>0</v>
      </c>
      <c r="BF40" s="87">
        <f t="shared" si="35"/>
        <v>0</v>
      </c>
      <c r="BG40" s="87">
        <f t="shared" si="36"/>
        <v>0</v>
      </c>
      <c r="BH40" s="87">
        <f t="shared" si="37"/>
        <v>0</v>
      </c>
    </row>
    <row r="41" spans="2:60" s="64" customFormat="1" ht="18.75" x14ac:dyDescent="0.3">
      <c r="B41" s="88">
        <v>162</v>
      </c>
      <c r="C41" s="87">
        <f t="shared" si="42"/>
        <v>2</v>
      </c>
      <c r="D41" s="87">
        <f t="shared" si="42"/>
        <v>0</v>
      </c>
      <c r="E41" s="87">
        <f t="shared" si="42"/>
        <v>0</v>
      </c>
      <c r="F41" s="87">
        <f t="shared" si="42"/>
        <v>0</v>
      </c>
      <c r="G41" s="87">
        <f t="shared" si="42"/>
        <v>0</v>
      </c>
      <c r="H41" s="87">
        <f t="shared" si="42"/>
        <v>0</v>
      </c>
      <c r="I41" s="87">
        <f t="shared" si="42"/>
        <v>0</v>
      </c>
      <c r="J41" s="87">
        <f t="shared" si="42"/>
        <v>0</v>
      </c>
      <c r="K41" s="87">
        <f t="shared" si="42"/>
        <v>0</v>
      </c>
      <c r="L41" s="87">
        <f t="shared" si="42"/>
        <v>0</v>
      </c>
      <c r="M41" s="87">
        <f t="shared" si="42"/>
        <v>0</v>
      </c>
      <c r="N41" s="87">
        <f t="shared" si="41"/>
        <v>0</v>
      </c>
      <c r="O41" s="87">
        <f t="shared" si="41"/>
        <v>0</v>
      </c>
      <c r="P41" s="87">
        <f t="shared" si="41"/>
        <v>0</v>
      </c>
      <c r="Q41" s="87">
        <f t="shared" si="41"/>
        <v>0</v>
      </c>
      <c r="R41" s="87">
        <f t="shared" si="41"/>
        <v>0</v>
      </c>
      <c r="S41" s="87">
        <f t="shared" si="41"/>
        <v>0</v>
      </c>
      <c r="T41" s="87">
        <f t="shared" si="41"/>
        <v>0</v>
      </c>
      <c r="U41" s="65"/>
      <c r="V41" s="85">
        <v>203</v>
      </c>
      <c r="W41" s="87">
        <f t="shared" si="2"/>
        <v>2</v>
      </c>
      <c r="X41" s="87">
        <f t="shared" si="3"/>
        <v>0</v>
      </c>
      <c r="Y41" s="87">
        <f t="shared" si="4"/>
        <v>0</v>
      </c>
      <c r="Z41" s="87">
        <f t="shared" si="5"/>
        <v>0</v>
      </c>
      <c r="AA41" s="87">
        <f t="shared" si="6"/>
        <v>0</v>
      </c>
      <c r="AB41" s="87">
        <f t="shared" si="7"/>
        <v>0</v>
      </c>
      <c r="AC41" s="87">
        <f t="shared" si="8"/>
        <v>0</v>
      </c>
      <c r="AD41" s="87">
        <f t="shared" si="9"/>
        <v>0</v>
      </c>
      <c r="AE41" s="87">
        <f t="shared" si="10"/>
        <v>0</v>
      </c>
      <c r="AF41" s="87">
        <f t="shared" si="11"/>
        <v>0</v>
      </c>
      <c r="AG41" s="87">
        <f t="shared" si="12"/>
        <v>0</v>
      </c>
      <c r="AH41" s="87">
        <f t="shared" si="13"/>
        <v>0</v>
      </c>
      <c r="AI41" s="87">
        <f t="shared" si="14"/>
        <v>0</v>
      </c>
      <c r="AJ41" s="87">
        <f t="shared" si="15"/>
        <v>0</v>
      </c>
      <c r="AK41" s="87">
        <f t="shared" si="16"/>
        <v>0</v>
      </c>
      <c r="AL41" s="87">
        <f t="shared" si="17"/>
        <v>0</v>
      </c>
      <c r="AM41" s="87">
        <f t="shared" si="18"/>
        <v>0</v>
      </c>
      <c r="AN41" s="87">
        <f t="shared" si="19"/>
        <v>0</v>
      </c>
      <c r="AO41" s="65"/>
      <c r="AP41" s="88">
        <v>244</v>
      </c>
      <c r="AQ41" s="87">
        <f t="shared" si="20"/>
        <v>2</v>
      </c>
      <c r="AR41" s="87">
        <f t="shared" si="21"/>
        <v>0</v>
      </c>
      <c r="AS41" s="87">
        <f t="shared" si="22"/>
        <v>0</v>
      </c>
      <c r="AT41" s="87">
        <f t="shared" si="23"/>
        <v>0</v>
      </c>
      <c r="AU41" s="87">
        <f t="shared" si="24"/>
        <v>0</v>
      </c>
      <c r="AV41" s="87">
        <f t="shared" si="25"/>
        <v>0</v>
      </c>
      <c r="AW41" s="87">
        <f t="shared" si="26"/>
        <v>0</v>
      </c>
      <c r="AX41" s="87">
        <f t="shared" si="27"/>
        <v>0</v>
      </c>
      <c r="AY41" s="87">
        <f t="shared" si="28"/>
        <v>0</v>
      </c>
      <c r="AZ41" s="87">
        <f t="shared" si="29"/>
        <v>0</v>
      </c>
      <c r="BA41" s="87">
        <f t="shared" si="30"/>
        <v>0</v>
      </c>
      <c r="BB41" s="87">
        <f t="shared" si="31"/>
        <v>0</v>
      </c>
      <c r="BC41" s="87">
        <f t="shared" si="32"/>
        <v>0</v>
      </c>
      <c r="BD41" s="87">
        <f t="shared" si="33"/>
        <v>0</v>
      </c>
      <c r="BE41" s="87">
        <f t="shared" si="34"/>
        <v>0</v>
      </c>
      <c r="BF41" s="87">
        <f t="shared" si="35"/>
        <v>0</v>
      </c>
      <c r="BG41" s="87">
        <f t="shared" si="36"/>
        <v>0</v>
      </c>
      <c r="BH41" s="87">
        <f t="shared" si="37"/>
        <v>0</v>
      </c>
    </row>
    <row r="42" spans="2:60" s="64" customFormat="1" ht="18.75" x14ac:dyDescent="0.3">
      <c r="B42" s="85">
        <v>163</v>
      </c>
      <c r="C42" s="87">
        <f t="shared" si="42"/>
        <v>2</v>
      </c>
      <c r="D42" s="87">
        <f t="shared" si="42"/>
        <v>0</v>
      </c>
      <c r="E42" s="87">
        <f t="shared" si="42"/>
        <v>0</v>
      </c>
      <c r="F42" s="87">
        <f t="shared" si="42"/>
        <v>0</v>
      </c>
      <c r="G42" s="87">
        <f t="shared" si="42"/>
        <v>0</v>
      </c>
      <c r="H42" s="87">
        <f t="shared" si="42"/>
        <v>0</v>
      </c>
      <c r="I42" s="87">
        <f t="shared" si="42"/>
        <v>0</v>
      </c>
      <c r="J42" s="87">
        <f t="shared" si="42"/>
        <v>0</v>
      </c>
      <c r="K42" s="87">
        <f t="shared" si="42"/>
        <v>0</v>
      </c>
      <c r="L42" s="87">
        <f t="shared" si="42"/>
        <v>0</v>
      </c>
      <c r="M42" s="87">
        <f t="shared" si="42"/>
        <v>0</v>
      </c>
      <c r="N42" s="87">
        <f t="shared" si="41"/>
        <v>0</v>
      </c>
      <c r="O42" s="87">
        <f t="shared" si="41"/>
        <v>0</v>
      </c>
      <c r="P42" s="87">
        <f t="shared" si="41"/>
        <v>0</v>
      </c>
      <c r="Q42" s="87">
        <f t="shared" si="41"/>
        <v>0</v>
      </c>
      <c r="R42" s="87">
        <f t="shared" si="41"/>
        <v>0</v>
      </c>
      <c r="S42" s="87">
        <f t="shared" si="41"/>
        <v>0</v>
      </c>
      <c r="T42" s="87">
        <f t="shared" si="41"/>
        <v>0</v>
      </c>
      <c r="U42" s="65"/>
      <c r="V42" s="88">
        <v>204</v>
      </c>
      <c r="W42" s="87">
        <f t="shared" si="2"/>
        <v>2</v>
      </c>
      <c r="X42" s="87">
        <f t="shared" si="3"/>
        <v>0</v>
      </c>
      <c r="Y42" s="87">
        <f t="shared" si="4"/>
        <v>0</v>
      </c>
      <c r="Z42" s="87">
        <f t="shared" si="5"/>
        <v>0</v>
      </c>
      <c r="AA42" s="87">
        <f t="shared" si="6"/>
        <v>0</v>
      </c>
      <c r="AB42" s="87">
        <f t="shared" si="7"/>
        <v>0</v>
      </c>
      <c r="AC42" s="87">
        <f t="shared" si="8"/>
        <v>0</v>
      </c>
      <c r="AD42" s="87">
        <f t="shared" si="9"/>
        <v>0</v>
      </c>
      <c r="AE42" s="87">
        <f t="shared" si="10"/>
        <v>0</v>
      </c>
      <c r="AF42" s="87">
        <f t="shared" si="11"/>
        <v>0</v>
      </c>
      <c r="AG42" s="87">
        <f t="shared" si="12"/>
        <v>0</v>
      </c>
      <c r="AH42" s="87">
        <f t="shared" si="13"/>
        <v>0</v>
      </c>
      <c r="AI42" s="87">
        <f t="shared" si="14"/>
        <v>0</v>
      </c>
      <c r="AJ42" s="87">
        <f t="shared" si="15"/>
        <v>0</v>
      </c>
      <c r="AK42" s="87">
        <f t="shared" si="16"/>
        <v>0</v>
      </c>
      <c r="AL42" s="87">
        <f t="shared" si="17"/>
        <v>0</v>
      </c>
      <c r="AM42" s="87">
        <f t="shared" si="18"/>
        <v>0</v>
      </c>
      <c r="AN42" s="87">
        <f t="shared" si="19"/>
        <v>0</v>
      </c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</row>
    <row r="43" spans="2:60" s="64" customFormat="1" x14ac:dyDescent="0.2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</row>
    <row r="63" spans="21:21" s="64" customFormat="1" x14ac:dyDescent="0.2">
      <c r="U63" s="65"/>
    </row>
    <row r="64" spans="21:21" s="64" customFormat="1" x14ac:dyDescent="0.2">
      <c r="U64" s="65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34355CC-4107-4C80-AC88-F2C85E92F078}">
            <x14:iconSet iconSet="4TrafficLights" custom="1">
              <x14:cfvo type="percent">
                <xm:f>0</xm:f>
              </x14:cfvo>
              <x14:cfvo type="percent">
                <xm:f>1</xm:f>
              </x14:cfvo>
              <x14:cfvo type="percent">
                <xm:f>30</xm:f>
              </x14:cfvo>
              <x14:cfvo type="percent">
                <xm:f>99</xm:f>
              </x14:cfvo>
              <x14:cfIcon iconSet="4RedToBlack" iconId="1"/>
              <x14:cfIcon iconSet="3Symbols" iconId="1"/>
              <x14:cfIcon iconSet="3Symbols" iconId="2"/>
              <x14:cfIcon iconSet="3Symbols" iconId="0"/>
            </x14:iconSet>
          </x14:cfRule>
          <xm:sqref>C2:T42 W2:AN42 AQ2:BH41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4"/>
  <sheetViews>
    <sheetView zoomScale="68" zoomScaleNormal="68" workbookViewId="0"/>
  </sheetViews>
  <sheetFormatPr baseColWidth="10" defaultColWidth="3" defaultRowHeight="12.75" x14ac:dyDescent="0.2"/>
  <cols>
    <col min="1" max="1" width="3" style="65"/>
    <col min="2" max="2" width="7.7109375" style="65" bestFit="1" customWidth="1"/>
    <col min="3" max="21" width="4.28515625" style="65" customWidth="1"/>
    <col min="22" max="22" width="7.7109375" style="65" bestFit="1" customWidth="1"/>
    <col min="23" max="41" width="4.28515625" style="65" customWidth="1"/>
    <col min="42" max="42" width="7.7109375" style="65" bestFit="1" customWidth="1"/>
    <col min="43" max="61" width="4.28515625" style="65" customWidth="1"/>
    <col min="62" max="63" width="3" style="65"/>
    <col min="64" max="16384" width="3" style="64"/>
  </cols>
  <sheetData>
    <row r="1" spans="1:60" s="64" customFormat="1" x14ac:dyDescent="0.2">
      <c r="A1" s="66"/>
      <c r="B1" s="84" t="s">
        <v>492</v>
      </c>
      <c r="C1" s="84">
        <v>0</v>
      </c>
      <c r="D1" s="84">
        <v>1</v>
      </c>
      <c r="E1" s="84">
        <v>2</v>
      </c>
      <c r="F1" s="84">
        <v>3</v>
      </c>
      <c r="G1" s="84">
        <v>4</v>
      </c>
      <c r="H1" s="84">
        <v>5</v>
      </c>
      <c r="I1" s="84">
        <v>6</v>
      </c>
      <c r="J1" s="84">
        <v>7</v>
      </c>
      <c r="K1" s="84">
        <v>8</v>
      </c>
      <c r="L1" s="84">
        <v>9</v>
      </c>
      <c r="M1" s="84">
        <v>10</v>
      </c>
      <c r="N1" s="84">
        <v>11</v>
      </c>
      <c r="O1" s="84">
        <v>12</v>
      </c>
      <c r="P1" s="84">
        <v>13</v>
      </c>
      <c r="Q1" s="84">
        <v>14</v>
      </c>
      <c r="R1" s="84">
        <v>15</v>
      </c>
      <c r="S1" s="84">
        <v>16</v>
      </c>
      <c r="T1" s="84">
        <v>17</v>
      </c>
      <c r="U1" s="65"/>
      <c r="V1" s="84" t="s">
        <v>492</v>
      </c>
      <c r="W1" s="84">
        <v>0</v>
      </c>
      <c r="X1" s="84">
        <v>1</v>
      </c>
      <c r="Y1" s="84">
        <v>2</v>
      </c>
      <c r="Z1" s="84">
        <v>3</v>
      </c>
      <c r="AA1" s="84">
        <v>4</v>
      </c>
      <c r="AB1" s="84">
        <v>5</v>
      </c>
      <c r="AC1" s="84">
        <v>6</v>
      </c>
      <c r="AD1" s="84">
        <v>7</v>
      </c>
      <c r="AE1" s="84">
        <v>8</v>
      </c>
      <c r="AF1" s="84">
        <v>9</v>
      </c>
      <c r="AG1" s="84">
        <v>10</v>
      </c>
      <c r="AH1" s="84">
        <v>11</v>
      </c>
      <c r="AI1" s="84">
        <v>12</v>
      </c>
      <c r="AJ1" s="84">
        <v>13</v>
      </c>
      <c r="AK1" s="84">
        <v>14</v>
      </c>
      <c r="AL1" s="84">
        <v>15</v>
      </c>
      <c r="AM1" s="84">
        <v>16</v>
      </c>
      <c r="AN1" s="84">
        <v>17</v>
      </c>
      <c r="AO1" s="65"/>
      <c r="AP1" s="84" t="s">
        <v>492</v>
      </c>
      <c r="AQ1" s="84">
        <v>0</v>
      </c>
      <c r="AR1" s="84">
        <v>1</v>
      </c>
      <c r="AS1" s="84">
        <v>2</v>
      </c>
      <c r="AT1" s="84">
        <v>3</v>
      </c>
      <c r="AU1" s="84">
        <v>4</v>
      </c>
      <c r="AV1" s="84">
        <v>5</v>
      </c>
      <c r="AW1" s="84">
        <v>6</v>
      </c>
      <c r="AX1" s="84">
        <v>7</v>
      </c>
      <c r="AY1" s="84">
        <v>8</v>
      </c>
      <c r="AZ1" s="84">
        <v>9</v>
      </c>
      <c r="BA1" s="84">
        <v>10</v>
      </c>
      <c r="BB1" s="84">
        <v>11</v>
      </c>
      <c r="BC1" s="84">
        <v>12</v>
      </c>
      <c r="BD1" s="84">
        <v>13</v>
      </c>
      <c r="BE1" s="84">
        <v>14</v>
      </c>
      <c r="BF1" s="84">
        <v>15</v>
      </c>
      <c r="BG1" s="84">
        <v>16</v>
      </c>
      <c r="BH1" s="84">
        <v>17</v>
      </c>
    </row>
    <row r="2" spans="1:60" s="64" customFormat="1" ht="18.75" x14ac:dyDescent="0.3">
      <c r="A2" s="66"/>
      <c r="B2" s="85">
        <v>245</v>
      </c>
      <c r="C2" s="86">
        <f>SUMIFS(VOTOS1,CENTRO1,$B2,TURNO1,C$1)</f>
        <v>2</v>
      </c>
      <c r="D2" s="86">
        <f t="shared" ref="D2:S2" si="0">SUMIFS(VOTOS1,CENTRO1,$B2,TURNO1,D$1)</f>
        <v>0</v>
      </c>
      <c r="E2" s="87">
        <f t="shared" si="0"/>
        <v>0</v>
      </c>
      <c r="F2" s="87">
        <f t="shared" si="0"/>
        <v>0</v>
      </c>
      <c r="G2" s="87">
        <f t="shared" si="0"/>
        <v>0</v>
      </c>
      <c r="H2" s="87">
        <f t="shared" si="0"/>
        <v>0</v>
      </c>
      <c r="I2" s="87">
        <f t="shared" si="0"/>
        <v>0</v>
      </c>
      <c r="J2" s="87">
        <f t="shared" si="0"/>
        <v>0</v>
      </c>
      <c r="K2" s="87">
        <f t="shared" si="0"/>
        <v>0</v>
      </c>
      <c r="L2" s="87">
        <f t="shared" si="0"/>
        <v>0</v>
      </c>
      <c r="M2" s="87">
        <f t="shared" si="0"/>
        <v>0</v>
      </c>
      <c r="N2" s="87">
        <f t="shared" si="0"/>
        <v>0</v>
      </c>
      <c r="O2" s="87">
        <f t="shared" si="0"/>
        <v>0</v>
      </c>
      <c r="P2" s="87">
        <f t="shared" si="0"/>
        <v>0</v>
      </c>
      <c r="Q2" s="87">
        <f t="shared" si="0"/>
        <v>0</v>
      </c>
      <c r="R2" s="87">
        <f t="shared" si="0"/>
        <v>0</v>
      </c>
      <c r="S2" s="87">
        <f t="shared" si="0"/>
        <v>0</v>
      </c>
      <c r="T2" s="87">
        <f t="shared" ref="N2:T17" si="1">SUMIFS(VOTOS1,CENTRO1,$B2,TURNO1,T$1)</f>
        <v>0</v>
      </c>
      <c r="U2" s="65"/>
      <c r="V2" s="88">
        <v>286</v>
      </c>
      <c r="W2" s="86">
        <f t="shared" ref="W2:W42" si="2">SUMIFS(VOTOS1,CENTRO1,$V2,TURNO1,C$1)</f>
        <v>2</v>
      </c>
      <c r="X2" s="86">
        <f t="shared" ref="X2:X42" si="3">SUMIFS(VOTOS1,CENTRO1,$V2,TURNO1,D$1)</f>
        <v>0</v>
      </c>
      <c r="Y2" s="87">
        <f t="shared" ref="Y2:Y42" si="4">SUMIFS(VOTOS1,CENTRO1,$V2,TURNO1,E$1)</f>
        <v>0</v>
      </c>
      <c r="Z2" s="87">
        <f t="shared" ref="Z2:Z42" si="5">SUMIFS(VOTOS1,CENTRO1,$V2,TURNO1,F$1)</f>
        <v>0</v>
      </c>
      <c r="AA2" s="87">
        <f t="shared" ref="AA2:AA42" si="6">SUMIFS(VOTOS1,CENTRO1,$V2,TURNO1,G$1)</f>
        <v>0</v>
      </c>
      <c r="AB2" s="87">
        <f t="shared" ref="AB2:AB42" si="7">SUMIFS(VOTOS1,CENTRO1,$V2,TURNO1,H$1)</f>
        <v>0</v>
      </c>
      <c r="AC2" s="87">
        <f t="shared" ref="AC2:AC42" si="8">SUMIFS(VOTOS1,CENTRO1,$V2,TURNO1,I$1)</f>
        <v>0</v>
      </c>
      <c r="AD2" s="87">
        <f t="shared" ref="AD2:AD42" si="9">SUMIFS(VOTOS1,CENTRO1,$V2,TURNO1,J$1)</f>
        <v>0</v>
      </c>
      <c r="AE2" s="87">
        <f t="shared" ref="AE2:AE42" si="10">SUMIFS(VOTOS1,CENTRO1,$V2,TURNO1,K$1)</f>
        <v>0</v>
      </c>
      <c r="AF2" s="87">
        <f t="shared" ref="AF2:AF42" si="11">SUMIFS(VOTOS1,CENTRO1,$V2,TURNO1,L$1)</f>
        <v>0</v>
      </c>
      <c r="AG2" s="87">
        <f t="shared" ref="AG2:AG42" si="12">SUMIFS(VOTOS1,CENTRO1,$V2,TURNO1,M$1)</f>
        <v>0</v>
      </c>
      <c r="AH2" s="87">
        <f t="shared" ref="AH2:AH42" si="13">SUMIFS(VOTOS1,CENTRO1,$V2,TURNO1,N$1)</f>
        <v>0</v>
      </c>
      <c r="AI2" s="87">
        <f t="shared" ref="AI2:AI42" si="14">SUMIFS(VOTOS1,CENTRO1,$V2,TURNO1,O$1)</f>
        <v>0</v>
      </c>
      <c r="AJ2" s="87">
        <f t="shared" ref="AJ2:AJ42" si="15">SUMIFS(VOTOS1,CENTRO1,$V2,TURNO1,P$1)</f>
        <v>0</v>
      </c>
      <c r="AK2" s="87">
        <f t="shared" ref="AK2:AK42" si="16">SUMIFS(VOTOS1,CENTRO1,$V2,TURNO1,Q$1)</f>
        <v>0</v>
      </c>
      <c r="AL2" s="87">
        <f t="shared" ref="AL2:AL42" si="17">SUMIFS(VOTOS1,CENTRO1,$V2,TURNO1,R$1)</f>
        <v>0</v>
      </c>
      <c r="AM2" s="87">
        <f t="shared" ref="AM2:AM42" si="18">SUMIFS(VOTOS1,CENTRO1,$V2,TURNO1,S$1)</f>
        <v>0</v>
      </c>
      <c r="AN2" s="87">
        <f t="shared" ref="AN2:AN42" si="19">SUMIFS(VOTOS1,CENTRO1,$V2,TURNO1,T$1)</f>
        <v>0</v>
      </c>
      <c r="AO2" s="65"/>
      <c r="AP2" s="85">
        <v>327</v>
      </c>
      <c r="AQ2" s="86">
        <f t="shared" ref="AQ2:AQ41" si="20">SUMIFS(VOTOS1,CENTRO1,$AP2,TURNO1,C$1)</f>
        <v>2</v>
      </c>
      <c r="AR2" s="86">
        <f t="shared" ref="AR2:AR41" si="21">SUMIFS(VOTOS1,CENTRO1,$AP2,TURNO1,D$1)</f>
        <v>0</v>
      </c>
      <c r="AS2" s="87">
        <f t="shared" ref="AS2:AS41" si="22">SUMIFS(VOTOS1,CENTRO1,$AP2,TURNO1,E$1)</f>
        <v>0</v>
      </c>
      <c r="AT2" s="87">
        <f t="shared" ref="AT2:AT41" si="23">SUMIFS(VOTOS1,CENTRO1,$AP2,TURNO1,F$1)</f>
        <v>0</v>
      </c>
      <c r="AU2" s="87">
        <f t="shared" ref="AU2:AU41" si="24">SUMIFS(VOTOS1,CENTRO1,$AP2,TURNO1,G$1)</f>
        <v>0</v>
      </c>
      <c r="AV2" s="87">
        <f t="shared" ref="AV2:AV41" si="25">SUMIFS(VOTOS1,CENTRO1,$AP2,TURNO1,H$1)</f>
        <v>0</v>
      </c>
      <c r="AW2" s="87">
        <f t="shared" ref="AW2:AW41" si="26">SUMIFS(VOTOS1,CENTRO1,$AP2,TURNO1,I$1)</f>
        <v>0</v>
      </c>
      <c r="AX2" s="87">
        <f t="shared" ref="AX2:AX41" si="27">SUMIFS(VOTOS1,CENTRO1,$AP2,TURNO1,J$1)</f>
        <v>0</v>
      </c>
      <c r="AY2" s="87">
        <f t="shared" ref="AY2:AY41" si="28">SUMIFS(VOTOS1,CENTRO1,$AP2,TURNO1,K$1)</f>
        <v>0</v>
      </c>
      <c r="AZ2" s="87">
        <f t="shared" ref="AZ2:AZ41" si="29">SUMIFS(VOTOS1,CENTRO1,$AP2,TURNO1,L$1)</f>
        <v>0</v>
      </c>
      <c r="BA2" s="87">
        <f t="shared" ref="BA2:BA41" si="30">SUMIFS(VOTOS1,CENTRO1,$AP2,TURNO1,M$1)</f>
        <v>0</v>
      </c>
      <c r="BB2" s="87">
        <f t="shared" ref="BB2:BB41" si="31">SUMIFS(VOTOS1,CENTRO1,$AP2,TURNO1,N$1)</f>
        <v>0</v>
      </c>
      <c r="BC2" s="87">
        <f t="shared" ref="BC2:BC41" si="32">SUMIFS(VOTOS1,CENTRO1,$AP2,TURNO1,O$1)</f>
        <v>0</v>
      </c>
      <c r="BD2" s="87">
        <f t="shared" ref="BD2:BD41" si="33">SUMIFS(VOTOS1,CENTRO1,$AP2,TURNO1,P$1)</f>
        <v>0</v>
      </c>
      <c r="BE2" s="87">
        <f t="shared" ref="BE2:BE41" si="34">SUMIFS(VOTOS1,CENTRO1,$AP2,TURNO1,Q$1)</f>
        <v>0</v>
      </c>
      <c r="BF2" s="87">
        <f t="shared" ref="BF2:BF41" si="35">SUMIFS(VOTOS1,CENTRO1,$AP2,TURNO1,R$1)</f>
        <v>0</v>
      </c>
      <c r="BG2" s="87">
        <f t="shared" ref="BG2:BG41" si="36">SUMIFS(VOTOS1,CENTRO1,$AP2,TURNO1,S$1)</f>
        <v>0</v>
      </c>
      <c r="BH2" s="87">
        <f t="shared" ref="BH2:BH41" si="37">SUMIFS(VOTOS1,CENTRO1,$AP2,TURNO1,T$1)</f>
        <v>0</v>
      </c>
    </row>
    <row r="3" spans="1:60" s="64" customFormat="1" ht="18.75" x14ac:dyDescent="0.3">
      <c r="A3" s="66"/>
      <c r="B3" s="88">
        <v>246</v>
      </c>
      <c r="C3" s="87">
        <f t="shared" ref="C3:R18" si="38">SUMIFS(VOTOS1,CENTRO1,$B3,TURNO1,C$1)</f>
        <v>2</v>
      </c>
      <c r="D3" s="87">
        <f t="shared" si="38"/>
        <v>0</v>
      </c>
      <c r="E3" s="87">
        <f t="shared" si="38"/>
        <v>0</v>
      </c>
      <c r="F3" s="87">
        <f t="shared" si="38"/>
        <v>0</v>
      </c>
      <c r="G3" s="87">
        <f t="shared" si="38"/>
        <v>0</v>
      </c>
      <c r="H3" s="87">
        <f t="shared" si="38"/>
        <v>0</v>
      </c>
      <c r="I3" s="87">
        <f t="shared" si="38"/>
        <v>0</v>
      </c>
      <c r="J3" s="87">
        <f t="shared" si="38"/>
        <v>0</v>
      </c>
      <c r="K3" s="87">
        <f t="shared" si="38"/>
        <v>0</v>
      </c>
      <c r="L3" s="87">
        <f t="shared" si="38"/>
        <v>0</v>
      </c>
      <c r="M3" s="87">
        <f t="shared" si="38"/>
        <v>0</v>
      </c>
      <c r="N3" s="87">
        <f t="shared" si="1"/>
        <v>0</v>
      </c>
      <c r="O3" s="87">
        <f t="shared" si="1"/>
        <v>0</v>
      </c>
      <c r="P3" s="87">
        <f t="shared" si="1"/>
        <v>0</v>
      </c>
      <c r="Q3" s="87">
        <f t="shared" si="1"/>
        <v>0</v>
      </c>
      <c r="R3" s="87">
        <f t="shared" si="1"/>
        <v>0</v>
      </c>
      <c r="S3" s="87">
        <f t="shared" si="1"/>
        <v>0</v>
      </c>
      <c r="T3" s="87">
        <f t="shared" si="1"/>
        <v>0</v>
      </c>
      <c r="U3" s="65"/>
      <c r="V3" s="85">
        <v>287</v>
      </c>
      <c r="W3" s="87">
        <f t="shared" si="2"/>
        <v>2</v>
      </c>
      <c r="X3" s="87">
        <f t="shared" si="3"/>
        <v>0</v>
      </c>
      <c r="Y3" s="87">
        <f t="shared" si="4"/>
        <v>0</v>
      </c>
      <c r="Z3" s="87">
        <f t="shared" si="5"/>
        <v>0</v>
      </c>
      <c r="AA3" s="87">
        <f t="shared" si="6"/>
        <v>0</v>
      </c>
      <c r="AB3" s="87">
        <f t="shared" si="7"/>
        <v>0</v>
      </c>
      <c r="AC3" s="87">
        <f t="shared" si="8"/>
        <v>0</v>
      </c>
      <c r="AD3" s="87">
        <f t="shared" si="9"/>
        <v>0</v>
      </c>
      <c r="AE3" s="87">
        <f t="shared" si="10"/>
        <v>0</v>
      </c>
      <c r="AF3" s="87">
        <f t="shared" si="11"/>
        <v>0</v>
      </c>
      <c r="AG3" s="87">
        <f t="shared" si="12"/>
        <v>0</v>
      </c>
      <c r="AH3" s="87">
        <f t="shared" si="13"/>
        <v>0</v>
      </c>
      <c r="AI3" s="87">
        <f t="shared" si="14"/>
        <v>0</v>
      </c>
      <c r="AJ3" s="87">
        <f t="shared" si="15"/>
        <v>0</v>
      </c>
      <c r="AK3" s="87">
        <f t="shared" si="16"/>
        <v>0</v>
      </c>
      <c r="AL3" s="87">
        <f t="shared" si="17"/>
        <v>0</v>
      </c>
      <c r="AM3" s="87">
        <f t="shared" si="18"/>
        <v>0</v>
      </c>
      <c r="AN3" s="87">
        <f t="shared" si="19"/>
        <v>0</v>
      </c>
      <c r="AO3" s="65"/>
      <c r="AP3" s="88">
        <v>328</v>
      </c>
      <c r="AQ3" s="87">
        <f t="shared" si="20"/>
        <v>2</v>
      </c>
      <c r="AR3" s="87">
        <f t="shared" si="21"/>
        <v>0</v>
      </c>
      <c r="AS3" s="87">
        <f t="shared" si="22"/>
        <v>0</v>
      </c>
      <c r="AT3" s="87">
        <f t="shared" si="23"/>
        <v>0</v>
      </c>
      <c r="AU3" s="87">
        <f t="shared" si="24"/>
        <v>0</v>
      </c>
      <c r="AV3" s="87">
        <f t="shared" si="25"/>
        <v>0</v>
      </c>
      <c r="AW3" s="87">
        <f t="shared" si="26"/>
        <v>0</v>
      </c>
      <c r="AX3" s="87">
        <f t="shared" si="27"/>
        <v>0</v>
      </c>
      <c r="AY3" s="87">
        <f t="shared" si="28"/>
        <v>0</v>
      </c>
      <c r="AZ3" s="87">
        <f t="shared" si="29"/>
        <v>0</v>
      </c>
      <c r="BA3" s="87">
        <f t="shared" si="30"/>
        <v>0</v>
      </c>
      <c r="BB3" s="87">
        <f t="shared" si="31"/>
        <v>0</v>
      </c>
      <c r="BC3" s="87">
        <f t="shared" si="32"/>
        <v>0</v>
      </c>
      <c r="BD3" s="87">
        <f t="shared" si="33"/>
        <v>0</v>
      </c>
      <c r="BE3" s="87">
        <f t="shared" si="34"/>
        <v>0</v>
      </c>
      <c r="BF3" s="87">
        <f t="shared" si="35"/>
        <v>0</v>
      </c>
      <c r="BG3" s="87">
        <f t="shared" si="36"/>
        <v>0</v>
      </c>
      <c r="BH3" s="87">
        <f t="shared" si="37"/>
        <v>0</v>
      </c>
    </row>
    <row r="4" spans="1:60" s="64" customFormat="1" ht="18.75" x14ac:dyDescent="0.3">
      <c r="A4" s="66"/>
      <c r="B4" s="85">
        <v>247</v>
      </c>
      <c r="C4" s="87">
        <f t="shared" si="38"/>
        <v>2</v>
      </c>
      <c r="D4" s="87">
        <f t="shared" si="38"/>
        <v>0</v>
      </c>
      <c r="E4" s="87">
        <f t="shared" si="38"/>
        <v>62</v>
      </c>
      <c r="F4" s="87">
        <f t="shared" si="38"/>
        <v>10</v>
      </c>
      <c r="G4" s="87">
        <f t="shared" si="38"/>
        <v>26</v>
      </c>
      <c r="H4" s="87">
        <f t="shared" si="38"/>
        <v>45</v>
      </c>
      <c r="I4" s="87">
        <f t="shared" si="38"/>
        <v>10</v>
      </c>
      <c r="J4" s="87">
        <f t="shared" si="38"/>
        <v>11</v>
      </c>
      <c r="K4" s="87">
        <f t="shared" si="38"/>
        <v>6</v>
      </c>
      <c r="L4" s="87">
        <f t="shared" si="38"/>
        <v>5</v>
      </c>
      <c r="M4" s="87">
        <f t="shared" si="38"/>
        <v>0</v>
      </c>
      <c r="N4" s="87">
        <f t="shared" si="1"/>
        <v>0</v>
      </c>
      <c r="O4" s="87">
        <f t="shared" si="1"/>
        <v>0</v>
      </c>
      <c r="P4" s="87">
        <f t="shared" si="1"/>
        <v>0</v>
      </c>
      <c r="Q4" s="87">
        <f t="shared" si="1"/>
        <v>0</v>
      </c>
      <c r="R4" s="87">
        <f t="shared" si="1"/>
        <v>0</v>
      </c>
      <c r="S4" s="87">
        <f t="shared" si="1"/>
        <v>0</v>
      </c>
      <c r="T4" s="87">
        <f t="shared" si="1"/>
        <v>0</v>
      </c>
      <c r="U4" s="65"/>
      <c r="V4" s="88">
        <v>288</v>
      </c>
      <c r="W4" s="87">
        <f t="shared" si="2"/>
        <v>2</v>
      </c>
      <c r="X4" s="87">
        <f t="shared" si="3"/>
        <v>0</v>
      </c>
      <c r="Y4" s="87">
        <f t="shared" si="4"/>
        <v>0</v>
      </c>
      <c r="Z4" s="87">
        <f t="shared" si="5"/>
        <v>0</v>
      </c>
      <c r="AA4" s="87">
        <f t="shared" si="6"/>
        <v>0</v>
      </c>
      <c r="AB4" s="87">
        <f t="shared" si="7"/>
        <v>0</v>
      </c>
      <c r="AC4" s="87">
        <f t="shared" si="8"/>
        <v>0</v>
      </c>
      <c r="AD4" s="87">
        <f t="shared" si="9"/>
        <v>0</v>
      </c>
      <c r="AE4" s="87">
        <f t="shared" si="10"/>
        <v>0</v>
      </c>
      <c r="AF4" s="87">
        <f t="shared" si="11"/>
        <v>0</v>
      </c>
      <c r="AG4" s="87">
        <f t="shared" si="12"/>
        <v>0</v>
      </c>
      <c r="AH4" s="87">
        <f t="shared" si="13"/>
        <v>0</v>
      </c>
      <c r="AI4" s="87">
        <f t="shared" si="14"/>
        <v>0</v>
      </c>
      <c r="AJ4" s="87">
        <f t="shared" si="15"/>
        <v>0</v>
      </c>
      <c r="AK4" s="87">
        <f t="shared" si="16"/>
        <v>0</v>
      </c>
      <c r="AL4" s="87">
        <f t="shared" si="17"/>
        <v>0</v>
      </c>
      <c r="AM4" s="87">
        <f t="shared" si="18"/>
        <v>0</v>
      </c>
      <c r="AN4" s="87">
        <f t="shared" si="19"/>
        <v>0</v>
      </c>
      <c r="AO4" s="65"/>
      <c r="AP4" s="85">
        <v>329</v>
      </c>
      <c r="AQ4" s="87">
        <f t="shared" si="20"/>
        <v>2</v>
      </c>
      <c r="AR4" s="87">
        <f t="shared" si="21"/>
        <v>0</v>
      </c>
      <c r="AS4" s="87">
        <f t="shared" si="22"/>
        <v>0</v>
      </c>
      <c r="AT4" s="87">
        <f t="shared" si="23"/>
        <v>0</v>
      </c>
      <c r="AU4" s="87">
        <f t="shared" si="24"/>
        <v>0</v>
      </c>
      <c r="AV4" s="87">
        <f t="shared" si="25"/>
        <v>0</v>
      </c>
      <c r="AW4" s="87">
        <f t="shared" si="26"/>
        <v>0</v>
      </c>
      <c r="AX4" s="87">
        <f t="shared" si="27"/>
        <v>0</v>
      </c>
      <c r="AY4" s="87">
        <f t="shared" si="28"/>
        <v>0</v>
      </c>
      <c r="AZ4" s="87">
        <f t="shared" si="29"/>
        <v>0</v>
      </c>
      <c r="BA4" s="87">
        <f t="shared" si="30"/>
        <v>0</v>
      </c>
      <c r="BB4" s="87">
        <f t="shared" si="31"/>
        <v>0</v>
      </c>
      <c r="BC4" s="87">
        <f t="shared" si="32"/>
        <v>0</v>
      </c>
      <c r="BD4" s="87">
        <f t="shared" si="33"/>
        <v>0</v>
      </c>
      <c r="BE4" s="87">
        <f t="shared" si="34"/>
        <v>0</v>
      </c>
      <c r="BF4" s="87">
        <f t="shared" si="35"/>
        <v>0</v>
      </c>
      <c r="BG4" s="87">
        <f t="shared" si="36"/>
        <v>0</v>
      </c>
      <c r="BH4" s="87">
        <f t="shared" si="37"/>
        <v>0</v>
      </c>
    </row>
    <row r="5" spans="1:60" s="64" customFormat="1" ht="18.75" x14ac:dyDescent="0.3">
      <c r="A5" s="66"/>
      <c r="B5" s="88">
        <v>248</v>
      </c>
      <c r="C5" s="87">
        <f t="shared" si="38"/>
        <v>2</v>
      </c>
      <c r="D5" s="87">
        <f t="shared" si="38"/>
        <v>52</v>
      </c>
      <c r="E5" s="87">
        <f t="shared" si="38"/>
        <v>0</v>
      </c>
      <c r="F5" s="87">
        <f t="shared" si="38"/>
        <v>21</v>
      </c>
      <c r="G5" s="87">
        <f t="shared" si="38"/>
        <v>1</v>
      </c>
      <c r="H5" s="87">
        <f t="shared" si="38"/>
        <v>9</v>
      </c>
      <c r="I5" s="87">
        <f t="shared" si="38"/>
        <v>0</v>
      </c>
      <c r="J5" s="87">
        <f t="shared" si="38"/>
        <v>1</v>
      </c>
      <c r="K5" s="87">
        <f t="shared" si="38"/>
        <v>0</v>
      </c>
      <c r="L5" s="87">
        <f t="shared" si="38"/>
        <v>18</v>
      </c>
      <c r="M5" s="87">
        <f t="shared" si="38"/>
        <v>0</v>
      </c>
      <c r="N5" s="87">
        <f t="shared" si="1"/>
        <v>0</v>
      </c>
      <c r="O5" s="87">
        <f t="shared" si="1"/>
        <v>0</v>
      </c>
      <c r="P5" s="87">
        <f t="shared" si="1"/>
        <v>0</v>
      </c>
      <c r="Q5" s="87">
        <f t="shared" si="1"/>
        <v>0</v>
      </c>
      <c r="R5" s="87">
        <f t="shared" si="1"/>
        <v>0</v>
      </c>
      <c r="S5" s="87">
        <f t="shared" si="1"/>
        <v>0</v>
      </c>
      <c r="T5" s="87">
        <f t="shared" si="1"/>
        <v>0</v>
      </c>
      <c r="U5" s="65"/>
      <c r="V5" s="85">
        <v>289</v>
      </c>
      <c r="W5" s="87">
        <f t="shared" si="2"/>
        <v>2</v>
      </c>
      <c r="X5" s="87">
        <f t="shared" si="3"/>
        <v>0</v>
      </c>
      <c r="Y5" s="87">
        <f t="shared" si="4"/>
        <v>0</v>
      </c>
      <c r="Z5" s="87">
        <f t="shared" si="5"/>
        <v>0</v>
      </c>
      <c r="AA5" s="87">
        <f t="shared" si="6"/>
        <v>0</v>
      </c>
      <c r="AB5" s="87">
        <f t="shared" si="7"/>
        <v>0</v>
      </c>
      <c r="AC5" s="87">
        <f t="shared" si="8"/>
        <v>0</v>
      </c>
      <c r="AD5" s="87">
        <f t="shared" si="9"/>
        <v>0</v>
      </c>
      <c r="AE5" s="87">
        <f t="shared" si="10"/>
        <v>0</v>
      </c>
      <c r="AF5" s="87">
        <f t="shared" si="11"/>
        <v>0</v>
      </c>
      <c r="AG5" s="87">
        <f t="shared" si="12"/>
        <v>0</v>
      </c>
      <c r="AH5" s="87">
        <f t="shared" si="13"/>
        <v>0</v>
      </c>
      <c r="AI5" s="87">
        <f t="shared" si="14"/>
        <v>0</v>
      </c>
      <c r="AJ5" s="87">
        <f t="shared" si="15"/>
        <v>0</v>
      </c>
      <c r="AK5" s="87">
        <f t="shared" si="16"/>
        <v>0</v>
      </c>
      <c r="AL5" s="87">
        <f t="shared" si="17"/>
        <v>0</v>
      </c>
      <c r="AM5" s="87">
        <f t="shared" si="18"/>
        <v>0</v>
      </c>
      <c r="AN5" s="87">
        <f t="shared" si="19"/>
        <v>0</v>
      </c>
      <c r="AO5" s="65"/>
      <c r="AP5" s="88">
        <v>330</v>
      </c>
      <c r="AQ5" s="87">
        <f t="shared" si="20"/>
        <v>2</v>
      </c>
      <c r="AR5" s="87">
        <f t="shared" si="21"/>
        <v>0</v>
      </c>
      <c r="AS5" s="87">
        <f t="shared" si="22"/>
        <v>0</v>
      </c>
      <c r="AT5" s="87">
        <f t="shared" si="23"/>
        <v>0</v>
      </c>
      <c r="AU5" s="87">
        <f t="shared" si="24"/>
        <v>0</v>
      </c>
      <c r="AV5" s="87">
        <f t="shared" si="25"/>
        <v>0</v>
      </c>
      <c r="AW5" s="87">
        <f t="shared" si="26"/>
        <v>0</v>
      </c>
      <c r="AX5" s="87">
        <f t="shared" si="27"/>
        <v>0</v>
      </c>
      <c r="AY5" s="87">
        <f t="shared" si="28"/>
        <v>0</v>
      </c>
      <c r="AZ5" s="87">
        <f t="shared" si="29"/>
        <v>0</v>
      </c>
      <c r="BA5" s="87">
        <f t="shared" si="30"/>
        <v>0</v>
      </c>
      <c r="BB5" s="87">
        <f t="shared" si="31"/>
        <v>0</v>
      </c>
      <c r="BC5" s="87">
        <f t="shared" si="32"/>
        <v>0</v>
      </c>
      <c r="BD5" s="87">
        <f t="shared" si="33"/>
        <v>0</v>
      </c>
      <c r="BE5" s="87">
        <f t="shared" si="34"/>
        <v>0</v>
      </c>
      <c r="BF5" s="87">
        <f t="shared" si="35"/>
        <v>0</v>
      </c>
      <c r="BG5" s="87">
        <f t="shared" si="36"/>
        <v>0</v>
      </c>
      <c r="BH5" s="87">
        <f t="shared" si="37"/>
        <v>0</v>
      </c>
    </row>
    <row r="6" spans="1:60" s="64" customFormat="1" ht="18.75" x14ac:dyDescent="0.3">
      <c r="A6" s="66"/>
      <c r="B6" s="85">
        <v>249</v>
      </c>
      <c r="C6" s="87">
        <f t="shared" si="38"/>
        <v>2</v>
      </c>
      <c r="D6" s="87">
        <f t="shared" si="38"/>
        <v>29</v>
      </c>
      <c r="E6" s="87">
        <f t="shared" si="38"/>
        <v>17</v>
      </c>
      <c r="F6" s="87">
        <f t="shared" si="38"/>
        <v>30</v>
      </c>
      <c r="G6" s="87">
        <f t="shared" si="38"/>
        <v>32</v>
      </c>
      <c r="H6" s="87">
        <f t="shared" si="38"/>
        <v>18</v>
      </c>
      <c r="I6" s="87">
        <f t="shared" si="38"/>
        <v>34</v>
      </c>
      <c r="J6" s="87">
        <f t="shared" si="38"/>
        <v>14</v>
      </c>
      <c r="K6" s="87">
        <f t="shared" si="38"/>
        <v>14</v>
      </c>
      <c r="L6" s="87">
        <f t="shared" si="38"/>
        <v>21</v>
      </c>
      <c r="M6" s="87">
        <f t="shared" si="38"/>
        <v>0</v>
      </c>
      <c r="N6" s="87">
        <f t="shared" si="1"/>
        <v>0</v>
      </c>
      <c r="O6" s="87">
        <f t="shared" si="1"/>
        <v>0</v>
      </c>
      <c r="P6" s="87">
        <f t="shared" si="1"/>
        <v>0</v>
      </c>
      <c r="Q6" s="87">
        <f t="shared" si="1"/>
        <v>0</v>
      </c>
      <c r="R6" s="87">
        <f t="shared" si="1"/>
        <v>0</v>
      </c>
      <c r="S6" s="87">
        <f t="shared" si="1"/>
        <v>0</v>
      </c>
      <c r="T6" s="87">
        <f t="shared" si="1"/>
        <v>0</v>
      </c>
      <c r="U6" s="65"/>
      <c r="V6" s="88">
        <v>290</v>
      </c>
      <c r="W6" s="87">
        <f t="shared" si="2"/>
        <v>2</v>
      </c>
      <c r="X6" s="87">
        <f t="shared" si="3"/>
        <v>0</v>
      </c>
      <c r="Y6" s="87">
        <f t="shared" si="4"/>
        <v>0</v>
      </c>
      <c r="Z6" s="87">
        <f t="shared" si="5"/>
        <v>0</v>
      </c>
      <c r="AA6" s="87">
        <f t="shared" si="6"/>
        <v>0</v>
      </c>
      <c r="AB6" s="87">
        <f t="shared" si="7"/>
        <v>0</v>
      </c>
      <c r="AC6" s="87">
        <f t="shared" si="8"/>
        <v>0</v>
      </c>
      <c r="AD6" s="87">
        <f t="shared" si="9"/>
        <v>0</v>
      </c>
      <c r="AE6" s="87">
        <f t="shared" si="10"/>
        <v>0</v>
      </c>
      <c r="AF6" s="87">
        <f t="shared" si="11"/>
        <v>0</v>
      </c>
      <c r="AG6" s="87">
        <f t="shared" si="12"/>
        <v>0</v>
      </c>
      <c r="AH6" s="87">
        <f t="shared" si="13"/>
        <v>0</v>
      </c>
      <c r="AI6" s="87">
        <f t="shared" si="14"/>
        <v>0</v>
      </c>
      <c r="AJ6" s="87">
        <f t="shared" si="15"/>
        <v>0</v>
      </c>
      <c r="AK6" s="87">
        <f t="shared" si="16"/>
        <v>0</v>
      </c>
      <c r="AL6" s="87">
        <f t="shared" si="17"/>
        <v>0</v>
      </c>
      <c r="AM6" s="87">
        <f t="shared" si="18"/>
        <v>0</v>
      </c>
      <c r="AN6" s="87">
        <f t="shared" si="19"/>
        <v>0</v>
      </c>
      <c r="AO6" s="65"/>
      <c r="AP6" s="85">
        <v>331</v>
      </c>
      <c r="AQ6" s="87">
        <f t="shared" si="20"/>
        <v>2</v>
      </c>
      <c r="AR6" s="87">
        <f t="shared" si="21"/>
        <v>1</v>
      </c>
      <c r="AS6" s="87">
        <f t="shared" si="22"/>
        <v>0</v>
      </c>
      <c r="AT6" s="87">
        <f t="shared" si="23"/>
        <v>12</v>
      </c>
      <c r="AU6" s="87">
        <f t="shared" si="24"/>
        <v>0</v>
      </c>
      <c r="AV6" s="87">
        <f t="shared" si="25"/>
        <v>0</v>
      </c>
      <c r="AW6" s="87">
        <f t="shared" si="26"/>
        <v>0</v>
      </c>
      <c r="AX6" s="87">
        <f t="shared" si="27"/>
        <v>0</v>
      </c>
      <c r="AY6" s="87">
        <f t="shared" si="28"/>
        <v>0</v>
      </c>
      <c r="AZ6" s="87">
        <f t="shared" si="29"/>
        <v>0</v>
      </c>
      <c r="BA6" s="87">
        <f t="shared" si="30"/>
        <v>0</v>
      </c>
      <c r="BB6" s="87">
        <f t="shared" si="31"/>
        <v>0</v>
      </c>
      <c r="BC6" s="87">
        <f t="shared" si="32"/>
        <v>0</v>
      </c>
      <c r="BD6" s="87">
        <f t="shared" si="33"/>
        <v>0</v>
      </c>
      <c r="BE6" s="87">
        <f t="shared" si="34"/>
        <v>0</v>
      </c>
      <c r="BF6" s="87">
        <f t="shared" si="35"/>
        <v>0</v>
      </c>
      <c r="BG6" s="87">
        <f t="shared" si="36"/>
        <v>0</v>
      </c>
      <c r="BH6" s="87">
        <f t="shared" si="37"/>
        <v>0</v>
      </c>
    </row>
    <row r="7" spans="1:60" s="64" customFormat="1" ht="18.75" x14ac:dyDescent="0.3">
      <c r="A7" s="66"/>
      <c r="B7" s="88">
        <v>250</v>
      </c>
      <c r="C7" s="87">
        <f t="shared" si="38"/>
        <v>2</v>
      </c>
      <c r="D7" s="87">
        <f t="shared" si="38"/>
        <v>0</v>
      </c>
      <c r="E7" s="87">
        <f t="shared" si="38"/>
        <v>0</v>
      </c>
      <c r="F7" s="87">
        <f t="shared" si="38"/>
        <v>0</v>
      </c>
      <c r="G7" s="87">
        <f t="shared" si="38"/>
        <v>0</v>
      </c>
      <c r="H7" s="87">
        <f t="shared" si="38"/>
        <v>0</v>
      </c>
      <c r="I7" s="87">
        <f t="shared" si="38"/>
        <v>0</v>
      </c>
      <c r="J7" s="87">
        <f t="shared" si="38"/>
        <v>0</v>
      </c>
      <c r="K7" s="87">
        <f t="shared" si="38"/>
        <v>0</v>
      </c>
      <c r="L7" s="87">
        <f t="shared" si="38"/>
        <v>0</v>
      </c>
      <c r="M7" s="87">
        <f t="shared" si="38"/>
        <v>0</v>
      </c>
      <c r="N7" s="87">
        <f t="shared" si="1"/>
        <v>0</v>
      </c>
      <c r="O7" s="87">
        <f t="shared" si="1"/>
        <v>0</v>
      </c>
      <c r="P7" s="87">
        <f t="shared" si="1"/>
        <v>0</v>
      </c>
      <c r="Q7" s="87">
        <f t="shared" si="1"/>
        <v>0</v>
      </c>
      <c r="R7" s="87">
        <f t="shared" si="1"/>
        <v>0</v>
      </c>
      <c r="S7" s="87">
        <f t="shared" si="1"/>
        <v>0</v>
      </c>
      <c r="T7" s="87">
        <f t="shared" si="1"/>
        <v>0</v>
      </c>
      <c r="U7" s="65"/>
      <c r="V7" s="85">
        <v>291</v>
      </c>
      <c r="W7" s="87">
        <f t="shared" si="2"/>
        <v>2</v>
      </c>
      <c r="X7" s="87">
        <f t="shared" si="3"/>
        <v>0</v>
      </c>
      <c r="Y7" s="87">
        <f t="shared" si="4"/>
        <v>0</v>
      </c>
      <c r="Z7" s="87">
        <f t="shared" si="5"/>
        <v>0</v>
      </c>
      <c r="AA7" s="87">
        <f t="shared" si="6"/>
        <v>0</v>
      </c>
      <c r="AB7" s="87">
        <f t="shared" si="7"/>
        <v>0</v>
      </c>
      <c r="AC7" s="87">
        <f t="shared" si="8"/>
        <v>0</v>
      </c>
      <c r="AD7" s="87">
        <f t="shared" si="9"/>
        <v>0</v>
      </c>
      <c r="AE7" s="87">
        <f t="shared" si="10"/>
        <v>0</v>
      </c>
      <c r="AF7" s="87">
        <f t="shared" si="11"/>
        <v>0</v>
      </c>
      <c r="AG7" s="87">
        <f t="shared" si="12"/>
        <v>0</v>
      </c>
      <c r="AH7" s="87">
        <f t="shared" si="13"/>
        <v>0</v>
      </c>
      <c r="AI7" s="87">
        <f t="shared" si="14"/>
        <v>0</v>
      </c>
      <c r="AJ7" s="87">
        <f t="shared" si="15"/>
        <v>0</v>
      </c>
      <c r="AK7" s="87">
        <f t="shared" si="16"/>
        <v>0</v>
      </c>
      <c r="AL7" s="87">
        <f t="shared" si="17"/>
        <v>0</v>
      </c>
      <c r="AM7" s="87">
        <f t="shared" si="18"/>
        <v>0</v>
      </c>
      <c r="AN7" s="87">
        <f t="shared" si="19"/>
        <v>0</v>
      </c>
      <c r="AO7" s="65"/>
      <c r="AP7" s="88">
        <v>332</v>
      </c>
      <c r="AQ7" s="87">
        <f t="shared" si="20"/>
        <v>2</v>
      </c>
      <c r="AR7" s="87">
        <f t="shared" si="21"/>
        <v>0</v>
      </c>
      <c r="AS7" s="87">
        <f t="shared" si="22"/>
        <v>9</v>
      </c>
      <c r="AT7" s="87">
        <f t="shared" si="23"/>
        <v>9</v>
      </c>
      <c r="AU7" s="87">
        <f t="shared" si="24"/>
        <v>3</v>
      </c>
      <c r="AV7" s="87">
        <f t="shared" si="25"/>
        <v>3</v>
      </c>
      <c r="AW7" s="87">
        <f t="shared" si="26"/>
        <v>0</v>
      </c>
      <c r="AX7" s="87">
        <f t="shared" si="27"/>
        <v>0</v>
      </c>
      <c r="AY7" s="87">
        <f t="shared" si="28"/>
        <v>0</v>
      </c>
      <c r="AZ7" s="87">
        <f t="shared" si="29"/>
        <v>0</v>
      </c>
      <c r="BA7" s="87">
        <f t="shared" si="30"/>
        <v>0</v>
      </c>
      <c r="BB7" s="87">
        <f t="shared" si="31"/>
        <v>0</v>
      </c>
      <c r="BC7" s="87">
        <f t="shared" si="32"/>
        <v>0</v>
      </c>
      <c r="BD7" s="87">
        <f t="shared" si="33"/>
        <v>0</v>
      </c>
      <c r="BE7" s="87">
        <f t="shared" si="34"/>
        <v>0</v>
      </c>
      <c r="BF7" s="87">
        <f t="shared" si="35"/>
        <v>0</v>
      </c>
      <c r="BG7" s="87">
        <f t="shared" si="36"/>
        <v>0</v>
      </c>
      <c r="BH7" s="87">
        <f t="shared" si="37"/>
        <v>0</v>
      </c>
    </row>
    <row r="8" spans="1:60" s="64" customFormat="1" ht="18.75" x14ac:dyDescent="0.3">
      <c r="A8" s="66"/>
      <c r="B8" s="85">
        <v>251</v>
      </c>
      <c r="C8" s="87">
        <f t="shared" si="38"/>
        <v>2</v>
      </c>
      <c r="D8" s="87">
        <f t="shared" si="38"/>
        <v>6</v>
      </c>
      <c r="E8" s="87">
        <f t="shared" si="38"/>
        <v>0</v>
      </c>
      <c r="F8" s="87">
        <f t="shared" si="38"/>
        <v>3</v>
      </c>
      <c r="G8" s="87">
        <f t="shared" si="38"/>
        <v>3</v>
      </c>
      <c r="H8" s="87">
        <f t="shared" si="38"/>
        <v>14</v>
      </c>
      <c r="I8" s="87">
        <f t="shared" si="38"/>
        <v>11</v>
      </c>
      <c r="J8" s="87">
        <f t="shared" si="38"/>
        <v>4</v>
      </c>
      <c r="K8" s="87">
        <f t="shared" si="38"/>
        <v>9</v>
      </c>
      <c r="L8" s="87">
        <f t="shared" si="38"/>
        <v>0</v>
      </c>
      <c r="M8" s="87">
        <f t="shared" si="38"/>
        <v>0</v>
      </c>
      <c r="N8" s="87">
        <f t="shared" si="1"/>
        <v>0</v>
      </c>
      <c r="O8" s="87">
        <f t="shared" si="1"/>
        <v>0</v>
      </c>
      <c r="P8" s="87">
        <f t="shared" si="1"/>
        <v>0</v>
      </c>
      <c r="Q8" s="87">
        <f t="shared" si="1"/>
        <v>0</v>
      </c>
      <c r="R8" s="87">
        <f t="shared" si="1"/>
        <v>0</v>
      </c>
      <c r="S8" s="87">
        <f t="shared" si="1"/>
        <v>0</v>
      </c>
      <c r="T8" s="87">
        <f t="shared" si="1"/>
        <v>0</v>
      </c>
      <c r="U8" s="65"/>
      <c r="V8" s="88">
        <v>292</v>
      </c>
      <c r="W8" s="87">
        <f t="shared" si="2"/>
        <v>2</v>
      </c>
      <c r="X8" s="87">
        <f t="shared" si="3"/>
        <v>0</v>
      </c>
      <c r="Y8" s="87">
        <f t="shared" si="4"/>
        <v>0</v>
      </c>
      <c r="Z8" s="87">
        <f t="shared" si="5"/>
        <v>0</v>
      </c>
      <c r="AA8" s="87">
        <f t="shared" si="6"/>
        <v>0</v>
      </c>
      <c r="AB8" s="87">
        <f t="shared" si="7"/>
        <v>0</v>
      </c>
      <c r="AC8" s="87">
        <f t="shared" si="8"/>
        <v>0</v>
      </c>
      <c r="AD8" s="87">
        <f t="shared" si="9"/>
        <v>0</v>
      </c>
      <c r="AE8" s="87">
        <f t="shared" si="10"/>
        <v>0</v>
      </c>
      <c r="AF8" s="87">
        <f t="shared" si="11"/>
        <v>0</v>
      </c>
      <c r="AG8" s="87">
        <f t="shared" si="12"/>
        <v>0</v>
      </c>
      <c r="AH8" s="87">
        <f t="shared" si="13"/>
        <v>0</v>
      </c>
      <c r="AI8" s="87">
        <f t="shared" si="14"/>
        <v>0</v>
      </c>
      <c r="AJ8" s="87">
        <f t="shared" si="15"/>
        <v>0</v>
      </c>
      <c r="AK8" s="87">
        <f t="shared" si="16"/>
        <v>0</v>
      </c>
      <c r="AL8" s="87">
        <f t="shared" si="17"/>
        <v>0</v>
      </c>
      <c r="AM8" s="87">
        <f t="shared" si="18"/>
        <v>0</v>
      </c>
      <c r="AN8" s="87">
        <f t="shared" si="19"/>
        <v>0</v>
      </c>
      <c r="AO8" s="65"/>
      <c r="AP8" s="85">
        <v>333</v>
      </c>
      <c r="AQ8" s="87">
        <f t="shared" si="20"/>
        <v>2</v>
      </c>
      <c r="AR8" s="87">
        <f t="shared" si="21"/>
        <v>0</v>
      </c>
      <c r="AS8" s="87">
        <f t="shared" si="22"/>
        <v>0</v>
      </c>
      <c r="AT8" s="87">
        <f t="shared" si="23"/>
        <v>0</v>
      </c>
      <c r="AU8" s="87">
        <f t="shared" si="24"/>
        <v>0</v>
      </c>
      <c r="AV8" s="87">
        <f t="shared" si="25"/>
        <v>0</v>
      </c>
      <c r="AW8" s="87">
        <f t="shared" si="26"/>
        <v>0</v>
      </c>
      <c r="AX8" s="87">
        <f t="shared" si="27"/>
        <v>0</v>
      </c>
      <c r="AY8" s="87">
        <f t="shared" si="28"/>
        <v>0</v>
      </c>
      <c r="AZ8" s="87">
        <f t="shared" si="29"/>
        <v>17</v>
      </c>
      <c r="BA8" s="87">
        <f t="shared" si="30"/>
        <v>0</v>
      </c>
      <c r="BB8" s="87">
        <f t="shared" si="31"/>
        <v>0</v>
      </c>
      <c r="BC8" s="87">
        <f t="shared" si="32"/>
        <v>0</v>
      </c>
      <c r="BD8" s="87">
        <f t="shared" si="33"/>
        <v>0</v>
      </c>
      <c r="BE8" s="87">
        <f t="shared" si="34"/>
        <v>0</v>
      </c>
      <c r="BF8" s="87">
        <f t="shared" si="35"/>
        <v>0</v>
      </c>
      <c r="BG8" s="87">
        <f t="shared" si="36"/>
        <v>0</v>
      </c>
      <c r="BH8" s="87">
        <f t="shared" si="37"/>
        <v>0</v>
      </c>
    </row>
    <row r="9" spans="1:60" s="64" customFormat="1" ht="18.75" x14ac:dyDescent="0.3">
      <c r="A9" s="66"/>
      <c r="B9" s="88">
        <v>252</v>
      </c>
      <c r="C9" s="87">
        <f t="shared" si="38"/>
        <v>2</v>
      </c>
      <c r="D9" s="87">
        <f t="shared" si="38"/>
        <v>19</v>
      </c>
      <c r="E9" s="87">
        <f t="shared" si="38"/>
        <v>0</v>
      </c>
      <c r="F9" s="87">
        <f t="shared" si="38"/>
        <v>34</v>
      </c>
      <c r="G9" s="87">
        <f t="shared" si="38"/>
        <v>0</v>
      </c>
      <c r="H9" s="87">
        <f t="shared" si="38"/>
        <v>31</v>
      </c>
      <c r="I9" s="87">
        <f t="shared" si="38"/>
        <v>0</v>
      </c>
      <c r="J9" s="87">
        <f>SUMIFS(VOTOS1,CENTRO1,$B9,TURNO1,J$1)</f>
        <v>36</v>
      </c>
      <c r="K9" s="87">
        <f t="shared" si="38"/>
        <v>25</v>
      </c>
      <c r="L9" s="87">
        <f t="shared" si="38"/>
        <v>56</v>
      </c>
      <c r="M9" s="87">
        <f t="shared" si="38"/>
        <v>0</v>
      </c>
      <c r="N9" s="87">
        <f t="shared" si="1"/>
        <v>0</v>
      </c>
      <c r="O9" s="87">
        <f t="shared" si="1"/>
        <v>0</v>
      </c>
      <c r="P9" s="87">
        <f t="shared" si="1"/>
        <v>0</v>
      </c>
      <c r="Q9" s="87">
        <f t="shared" si="1"/>
        <v>0</v>
      </c>
      <c r="R9" s="87">
        <f t="shared" si="1"/>
        <v>0</v>
      </c>
      <c r="S9" s="87">
        <f t="shared" si="1"/>
        <v>0</v>
      </c>
      <c r="T9" s="87">
        <f t="shared" si="1"/>
        <v>0</v>
      </c>
      <c r="U9" s="65"/>
      <c r="V9" s="85">
        <v>293</v>
      </c>
      <c r="W9" s="87">
        <f t="shared" si="2"/>
        <v>2</v>
      </c>
      <c r="X9" s="87">
        <f t="shared" si="3"/>
        <v>0</v>
      </c>
      <c r="Y9" s="87">
        <f t="shared" si="4"/>
        <v>0</v>
      </c>
      <c r="Z9" s="87">
        <f t="shared" si="5"/>
        <v>0</v>
      </c>
      <c r="AA9" s="87">
        <f t="shared" si="6"/>
        <v>0</v>
      </c>
      <c r="AB9" s="87">
        <f t="shared" si="7"/>
        <v>0</v>
      </c>
      <c r="AC9" s="87">
        <f t="shared" si="8"/>
        <v>0</v>
      </c>
      <c r="AD9" s="87">
        <f t="shared" si="9"/>
        <v>0</v>
      </c>
      <c r="AE9" s="87">
        <f t="shared" si="10"/>
        <v>0</v>
      </c>
      <c r="AF9" s="87">
        <f t="shared" si="11"/>
        <v>0</v>
      </c>
      <c r="AG9" s="87">
        <f t="shared" si="12"/>
        <v>0</v>
      </c>
      <c r="AH9" s="87">
        <f t="shared" si="13"/>
        <v>0</v>
      </c>
      <c r="AI9" s="87">
        <f t="shared" si="14"/>
        <v>0</v>
      </c>
      <c r="AJ9" s="87">
        <f t="shared" si="15"/>
        <v>0</v>
      </c>
      <c r="AK9" s="87">
        <f t="shared" si="16"/>
        <v>0</v>
      </c>
      <c r="AL9" s="87">
        <f t="shared" si="17"/>
        <v>0</v>
      </c>
      <c r="AM9" s="87">
        <f t="shared" si="18"/>
        <v>0</v>
      </c>
      <c r="AN9" s="87">
        <f t="shared" si="19"/>
        <v>0</v>
      </c>
      <c r="AO9" s="65"/>
      <c r="AP9" s="88">
        <v>334</v>
      </c>
      <c r="AQ9" s="87">
        <f t="shared" si="20"/>
        <v>2</v>
      </c>
      <c r="AR9" s="87">
        <f t="shared" si="21"/>
        <v>0</v>
      </c>
      <c r="AS9" s="87">
        <f t="shared" si="22"/>
        <v>13</v>
      </c>
      <c r="AT9" s="87">
        <f t="shared" si="23"/>
        <v>8</v>
      </c>
      <c r="AU9" s="87">
        <f t="shared" si="24"/>
        <v>0</v>
      </c>
      <c r="AV9" s="87">
        <f t="shared" si="25"/>
        <v>17</v>
      </c>
      <c r="AW9" s="87">
        <f t="shared" si="26"/>
        <v>13</v>
      </c>
      <c r="AX9" s="87">
        <f t="shared" si="27"/>
        <v>15</v>
      </c>
      <c r="AY9" s="87">
        <f t="shared" si="28"/>
        <v>6</v>
      </c>
      <c r="AZ9" s="87">
        <f t="shared" si="29"/>
        <v>6</v>
      </c>
      <c r="BA9" s="87">
        <f t="shared" si="30"/>
        <v>0</v>
      </c>
      <c r="BB9" s="87">
        <f t="shared" si="31"/>
        <v>0</v>
      </c>
      <c r="BC9" s="87">
        <f t="shared" si="32"/>
        <v>0</v>
      </c>
      <c r="BD9" s="87">
        <f t="shared" si="33"/>
        <v>0</v>
      </c>
      <c r="BE9" s="87">
        <f t="shared" si="34"/>
        <v>0</v>
      </c>
      <c r="BF9" s="87">
        <f t="shared" si="35"/>
        <v>0</v>
      </c>
      <c r="BG9" s="87">
        <f t="shared" si="36"/>
        <v>0</v>
      </c>
      <c r="BH9" s="87">
        <f t="shared" si="37"/>
        <v>0</v>
      </c>
    </row>
    <row r="10" spans="1:60" s="64" customFormat="1" ht="18.75" x14ac:dyDescent="0.3">
      <c r="A10" s="66"/>
      <c r="B10" s="85">
        <v>253</v>
      </c>
      <c r="C10" s="87">
        <f t="shared" si="38"/>
        <v>2</v>
      </c>
      <c r="D10" s="87">
        <f t="shared" si="38"/>
        <v>0</v>
      </c>
      <c r="E10" s="87">
        <f t="shared" si="38"/>
        <v>0</v>
      </c>
      <c r="F10" s="87">
        <f t="shared" si="38"/>
        <v>0</v>
      </c>
      <c r="G10" s="87">
        <f t="shared" si="38"/>
        <v>0</v>
      </c>
      <c r="H10" s="87">
        <f t="shared" si="38"/>
        <v>0</v>
      </c>
      <c r="I10" s="87">
        <f t="shared" si="38"/>
        <v>0</v>
      </c>
      <c r="J10" s="87">
        <f t="shared" si="38"/>
        <v>0</v>
      </c>
      <c r="K10" s="87">
        <f t="shared" si="38"/>
        <v>0</v>
      </c>
      <c r="L10" s="87">
        <f t="shared" si="38"/>
        <v>0</v>
      </c>
      <c r="M10" s="87">
        <f t="shared" si="38"/>
        <v>0</v>
      </c>
      <c r="N10" s="87">
        <f t="shared" si="1"/>
        <v>0</v>
      </c>
      <c r="O10" s="87">
        <f t="shared" si="1"/>
        <v>0</v>
      </c>
      <c r="P10" s="87">
        <f t="shared" si="1"/>
        <v>0</v>
      </c>
      <c r="Q10" s="87">
        <f t="shared" si="1"/>
        <v>0</v>
      </c>
      <c r="R10" s="87">
        <f t="shared" si="1"/>
        <v>0</v>
      </c>
      <c r="S10" s="87">
        <f t="shared" si="1"/>
        <v>0</v>
      </c>
      <c r="T10" s="87">
        <f t="shared" si="1"/>
        <v>0</v>
      </c>
      <c r="U10" s="65"/>
      <c r="V10" s="88">
        <v>294</v>
      </c>
      <c r="W10" s="87">
        <f t="shared" si="2"/>
        <v>2</v>
      </c>
      <c r="X10" s="87">
        <f t="shared" si="3"/>
        <v>0</v>
      </c>
      <c r="Y10" s="87">
        <f t="shared" si="4"/>
        <v>0</v>
      </c>
      <c r="Z10" s="87">
        <f t="shared" si="5"/>
        <v>0</v>
      </c>
      <c r="AA10" s="87">
        <f t="shared" si="6"/>
        <v>0</v>
      </c>
      <c r="AB10" s="87">
        <f t="shared" si="7"/>
        <v>0</v>
      </c>
      <c r="AC10" s="87">
        <f t="shared" si="8"/>
        <v>0</v>
      </c>
      <c r="AD10" s="87">
        <f t="shared" si="9"/>
        <v>0</v>
      </c>
      <c r="AE10" s="87">
        <f t="shared" si="10"/>
        <v>0</v>
      </c>
      <c r="AF10" s="87">
        <f t="shared" si="11"/>
        <v>0</v>
      </c>
      <c r="AG10" s="87">
        <f t="shared" si="12"/>
        <v>0</v>
      </c>
      <c r="AH10" s="87">
        <f t="shared" si="13"/>
        <v>0</v>
      </c>
      <c r="AI10" s="87">
        <f t="shared" si="14"/>
        <v>0</v>
      </c>
      <c r="AJ10" s="87">
        <f t="shared" si="15"/>
        <v>0</v>
      </c>
      <c r="AK10" s="87">
        <f t="shared" si="16"/>
        <v>0</v>
      </c>
      <c r="AL10" s="87">
        <f t="shared" si="17"/>
        <v>0</v>
      </c>
      <c r="AM10" s="87">
        <f t="shared" si="18"/>
        <v>0</v>
      </c>
      <c r="AN10" s="87">
        <f t="shared" si="19"/>
        <v>0</v>
      </c>
      <c r="AO10" s="65"/>
      <c r="AP10" s="85">
        <v>335</v>
      </c>
      <c r="AQ10" s="87">
        <f t="shared" si="20"/>
        <v>2</v>
      </c>
      <c r="AR10" s="87">
        <f t="shared" si="21"/>
        <v>0</v>
      </c>
      <c r="AS10" s="87">
        <f t="shared" si="22"/>
        <v>40</v>
      </c>
      <c r="AT10" s="87">
        <f t="shared" si="23"/>
        <v>42</v>
      </c>
      <c r="AU10" s="87">
        <f t="shared" si="24"/>
        <v>35</v>
      </c>
      <c r="AV10" s="87">
        <f t="shared" si="25"/>
        <v>23</v>
      </c>
      <c r="AW10" s="87">
        <f t="shared" si="26"/>
        <v>32</v>
      </c>
      <c r="AX10" s="87">
        <f t="shared" si="27"/>
        <v>25</v>
      </c>
      <c r="AY10" s="87">
        <f t="shared" si="28"/>
        <v>0</v>
      </c>
      <c r="AZ10" s="87">
        <f t="shared" si="29"/>
        <v>0</v>
      </c>
      <c r="BA10" s="87">
        <f t="shared" si="30"/>
        <v>0</v>
      </c>
      <c r="BB10" s="87">
        <f t="shared" si="31"/>
        <v>0</v>
      </c>
      <c r="BC10" s="87">
        <f t="shared" si="32"/>
        <v>0</v>
      </c>
      <c r="BD10" s="87">
        <f t="shared" si="33"/>
        <v>0</v>
      </c>
      <c r="BE10" s="87">
        <f t="shared" si="34"/>
        <v>0</v>
      </c>
      <c r="BF10" s="87">
        <f t="shared" si="35"/>
        <v>0</v>
      </c>
      <c r="BG10" s="87">
        <f t="shared" si="36"/>
        <v>0</v>
      </c>
      <c r="BH10" s="87">
        <f t="shared" si="37"/>
        <v>0</v>
      </c>
    </row>
    <row r="11" spans="1:60" s="64" customFormat="1" ht="18.75" x14ac:dyDescent="0.3">
      <c r="A11" s="66"/>
      <c r="B11" s="88">
        <v>254</v>
      </c>
      <c r="C11" s="87">
        <f t="shared" si="38"/>
        <v>2</v>
      </c>
      <c r="D11" s="87">
        <f t="shared" si="38"/>
        <v>0</v>
      </c>
      <c r="E11" s="87">
        <f t="shared" si="38"/>
        <v>0</v>
      </c>
      <c r="F11" s="87">
        <f t="shared" si="38"/>
        <v>0</v>
      </c>
      <c r="G11" s="87">
        <f t="shared" si="38"/>
        <v>0</v>
      </c>
      <c r="H11" s="87">
        <f t="shared" si="38"/>
        <v>0</v>
      </c>
      <c r="I11" s="87">
        <f t="shared" si="38"/>
        <v>0</v>
      </c>
      <c r="J11" s="87">
        <f t="shared" si="38"/>
        <v>0</v>
      </c>
      <c r="K11" s="87">
        <f t="shared" si="38"/>
        <v>0</v>
      </c>
      <c r="L11" s="87">
        <f t="shared" si="38"/>
        <v>0</v>
      </c>
      <c r="M11" s="87">
        <f t="shared" si="38"/>
        <v>0</v>
      </c>
      <c r="N11" s="87">
        <f t="shared" si="1"/>
        <v>0</v>
      </c>
      <c r="O11" s="87">
        <f t="shared" si="1"/>
        <v>0</v>
      </c>
      <c r="P11" s="87">
        <f t="shared" si="1"/>
        <v>0</v>
      </c>
      <c r="Q11" s="87">
        <f t="shared" si="1"/>
        <v>0</v>
      </c>
      <c r="R11" s="87">
        <f t="shared" si="1"/>
        <v>0</v>
      </c>
      <c r="S11" s="87">
        <f t="shared" si="1"/>
        <v>0</v>
      </c>
      <c r="T11" s="87">
        <f t="shared" si="1"/>
        <v>0</v>
      </c>
      <c r="U11" s="65"/>
      <c r="V11" s="85">
        <v>295</v>
      </c>
      <c r="W11" s="87">
        <f t="shared" si="2"/>
        <v>2</v>
      </c>
      <c r="X11" s="87">
        <f t="shared" si="3"/>
        <v>0</v>
      </c>
      <c r="Y11" s="87">
        <f t="shared" si="4"/>
        <v>0</v>
      </c>
      <c r="Z11" s="87">
        <f t="shared" si="5"/>
        <v>0</v>
      </c>
      <c r="AA11" s="87">
        <f t="shared" si="6"/>
        <v>0</v>
      </c>
      <c r="AB11" s="87">
        <f t="shared" si="7"/>
        <v>0</v>
      </c>
      <c r="AC11" s="87">
        <f t="shared" si="8"/>
        <v>0</v>
      </c>
      <c r="AD11" s="87">
        <f t="shared" si="9"/>
        <v>0</v>
      </c>
      <c r="AE11" s="87">
        <f t="shared" si="10"/>
        <v>0</v>
      </c>
      <c r="AF11" s="87">
        <f t="shared" si="11"/>
        <v>0</v>
      </c>
      <c r="AG11" s="87">
        <f t="shared" si="12"/>
        <v>0</v>
      </c>
      <c r="AH11" s="87">
        <f t="shared" si="13"/>
        <v>0</v>
      </c>
      <c r="AI11" s="87">
        <f t="shared" si="14"/>
        <v>0</v>
      </c>
      <c r="AJ11" s="87">
        <f t="shared" si="15"/>
        <v>0</v>
      </c>
      <c r="AK11" s="87">
        <f t="shared" si="16"/>
        <v>0</v>
      </c>
      <c r="AL11" s="87">
        <f t="shared" si="17"/>
        <v>0</v>
      </c>
      <c r="AM11" s="87">
        <f t="shared" si="18"/>
        <v>0</v>
      </c>
      <c r="AN11" s="87">
        <f t="shared" si="19"/>
        <v>0</v>
      </c>
      <c r="AO11" s="65"/>
      <c r="AP11" s="88">
        <v>336</v>
      </c>
      <c r="AQ11" s="87">
        <f t="shared" si="20"/>
        <v>2</v>
      </c>
      <c r="AR11" s="87">
        <f t="shared" si="21"/>
        <v>0</v>
      </c>
      <c r="AS11" s="87">
        <f t="shared" si="22"/>
        <v>49</v>
      </c>
      <c r="AT11" s="87">
        <f t="shared" si="23"/>
        <v>7</v>
      </c>
      <c r="AU11" s="87">
        <f t="shared" si="24"/>
        <v>22</v>
      </c>
      <c r="AV11" s="87">
        <f t="shared" si="25"/>
        <v>6</v>
      </c>
      <c r="AW11" s="87">
        <f t="shared" si="26"/>
        <v>7</v>
      </c>
      <c r="AX11" s="87">
        <f t="shared" si="27"/>
        <v>14</v>
      </c>
      <c r="AY11" s="87">
        <f t="shared" si="28"/>
        <v>6</v>
      </c>
      <c r="AZ11" s="87">
        <f t="shared" si="29"/>
        <v>3</v>
      </c>
      <c r="BA11" s="87">
        <f t="shared" si="30"/>
        <v>0</v>
      </c>
      <c r="BB11" s="87">
        <f t="shared" si="31"/>
        <v>0</v>
      </c>
      <c r="BC11" s="87">
        <f t="shared" si="32"/>
        <v>0</v>
      </c>
      <c r="BD11" s="87">
        <f t="shared" si="33"/>
        <v>0</v>
      </c>
      <c r="BE11" s="87">
        <f t="shared" si="34"/>
        <v>0</v>
      </c>
      <c r="BF11" s="87">
        <f t="shared" si="35"/>
        <v>0</v>
      </c>
      <c r="BG11" s="87">
        <f t="shared" si="36"/>
        <v>0</v>
      </c>
      <c r="BH11" s="87">
        <f t="shared" si="37"/>
        <v>0</v>
      </c>
    </row>
    <row r="12" spans="1:60" s="64" customFormat="1" ht="18.75" x14ac:dyDescent="0.3">
      <c r="A12" s="66"/>
      <c r="B12" s="85">
        <v>255</v>
      </c>
      <c r="C12" s="87">
        <f t="shared" si="38"/>
        <v>2</v>
      </c>
      <c r="D12" s="87">
        <f t="shared" si="38"/>
        <v>0</v>
      </c>
      <c r="E12" s="87">
        <f t="shared" si="38"/>
        <v>0</v>
      </c>
      <c r="F12" s="87">
        <f t="shared" si="38"/>
        <v>0</v>
      </c>
      <c r="G12" s="87">
        <f t="shared" si="38"/>
        <v>0</v>
      </c>
      <c r="H12" s="87">
        <f t="shared" si="38"/>
        <v>0</v>
      </c>
      <c r="I12" s="87">
        <f t="shared" si="38"/>
        <v>0</v>
      </c>
      <c r="J12" s="87">
        <f t="shared" si="38"/>
        <v>0</v>
      </c>
      <c r="K12" s="87">
        <f t="shared" si="38"/>
        <v>0</v>
      </c>
      <c r="L12" s="87">
        <f t="shared" si="38"/>
        <v>0</v>
      </c>
      <c r="M12" s="87">
        <f t="shared" si="38"/>
        <v>0</v>
      </c>
      <c r="N12" s="87">
        <f t="shared" si="1"/>
        <v>0</v>
      </c>
      <c r="O12" s="87">
        <f t="shared" si="1"/>
        <v>0</v>
      </c>
      <c r="P12" s="87">
        <f t="shared" si="1"/>
        <v>0</v>
      </c>
      <c r="Q12" s="87">
        <f t="shared" si="1"/>
        <v>0</v>
      </c>
      <c r="R12" s="87">
        <f t="shared" si="1"/>
        <v>0</v>
      </c>
      <c r="S12" s="87">
        <f t="shared" si="1"/>
        <v>0</v>
      </c>
      <c r="T12" s="87">
        <f t="shared" si="1"/>
        <v>0</v>
      </c>
      <c r="U12" s="65"/>
      <c r="V12" s="88">
        <v>296</v>
      </c>
      <c r="W12" s="87">
        <f t="shared" si="2"/>
        <v>2</v>
      </c>
      <c r="X12" s="87">
        <f t="shared" si="3"/>
        <v>0</v>
      </c>
      <c r="Y12" s="87">
        <f t="shared" si="4"/>
        <v>0</v>
      </c>
      <c r="Z12" s="87">
        <f t="shared" si="5"/>
        <v>0</v>
      </c>
      <c r="AA12" s="87">
        <f t="shared" si="6"/>
        <v>0</v>
      </c>
      <c r="AB12" s="87">
        <f t="shared" si="7"/>
        <v>0</v>
      </c>
      <c r="AC12" s="87">
        <f t="shared" si="8"/>
        <v>0</v>
      </c>
      <c r="AD12" s="87">
        <f t="shared" si="9"/>
        <v>0</v>
      </c>
      <c r="AE12" s="87">
        <f t="shared" si="10"/>
        <v>0</v>
      </c>
      <c r="AF12" s="87">
        <f t="shared" si="11"/>
        <v>0</v>
      </c>
      <c r="AG12" s="87">
        <f t="shared" si="12"/>
        <v>0</v>
      </c>
      <c r="AH12" s="87">
        <f t="shared" si="13"/>
        <v>0</v>
      </c>
      <c r="AI12" s="87">
        <f t="shared" si="14"/>
        <v>0</v>
      </c>
      <c r="AJ12" s="87">
        <f t="shared" si="15"/>
        <v>0</v>
      </c>
      <c r="AK12" s="87">
        <f t="shared" si="16"/>
        <v>0</v>
      </c>
      <c r="AL12" s="87">
        <f t="shared" si="17"/>
        <v>0</v>
      </c>
      <c r="AM12" s="87">
        <f t="shared" si="18"/>
        <v>0</v>
      </c>
      <c r="AN12" s="87">
        <f t="shared" si="19"/>
        <v>0</v>
      </c>
      <c r="AO12" s="65"/>
      <c r="AP12" s="85">
        <v>337</v>
      </c>
      <c r="AQ12" s="87">
        <f t="shared" si="20"/>
        <v>2</v>
      </c>
      <c r="AR12" s="87">
        <f t="shared" si="21"/>
        <v>0</v>
      </c>
      <c r="AS12" s="87">
        <f t="shared" si="22"/>
        <v>0</v>
      </c>
      <c r="AT12" s="87">
        <f t="shared" si="23"/>
        <v>0</v>
      </c>
      <c r="AU12" s="87">
        <f t="shared" si="24"/>
        <v>22</v>
      </c>
      <c r="AV12" s="87">
        <f t="shared" si="25"/>
        <v>17</v>
      </c>
      <c r="AW12" s="87">
        <f t="shared" si="26"/>
        <v>3</v>
      </c>
      <c r="AX12" s="87">
        <f t="shared" si="27"/>
        <v>4</v>
      </c>
      <c r="AY12" s="87">
        <f t="shared" si="28"/>
        <v>7</v>
      </c>
      <c r="AZ12" s="87">
        <f t="shared" si="29"/>
        <v>3</v>
      </c>
      <c r="BA12" s="87">
        <f t="shared" si="30"/>
        <v>0</v>
      </c>
      <c r="BB12" s="87">
        <f t="shared" si="31"/>
        <v>0</v>
      </c>
      <c r="BC12" s="87">
        <f t="shared" si="32"/>
        <v>0</v>
      </c>
      <c r="BD12" s="87">
        <f t="shared" si="33"/>
        <v>0</v>
      </c>
      <c r="BE12" s="87">
        <f t="shared" si="34"/>
        <v>0</v>
      </c>
      <c r="BF12" s="87">
        <f t="shared" si="35"/>
        <v>0</v>
      </c>
      <c r="BG12" s="87">
        <f t="shared" si="36"/>
        <v>0</v>
      </c>
      <c r="BH12" s="87">
        <f t="shared" si="37"/>
        <v>0</v>
      </c>
    </row>
    <row r="13" spans="1:60" s="64" customFormat="1" ht="18.75" x14ac:dyDescent="0.3">
      <c r="A13" s="66"/>
      <c r="B13" s="88">
        <v>256</v>
      </c>
      <c r="C13" s="87">
        <f t="shared" si="38"/>
        <v>2</v>
      </c>
      <c r="D13" s="87">
        <f t="shared" si="38"/>
        <v>0</v>
      </c>
      <c r="E13" s="87">
        <f t="shared" si="38"/>
        <v>0</v>
      </c>
      <c r="F13" s="87">
        <f t="shared" si="38"/>
        <v>0</v>
      </c>
      <c r="G13" s="87">
        <f t="shared" si="38"/>
        <v>0</v>
      </c>
      <c r="H13" s="87">
        <f t="shared" si="38"/>
        <v>0</v>
      </c>
      <c r="I13" s="87">
        <f t="shared" si="38"/>
        <v>0</v>
      </c>
      <c r="J13" s="87">
        <f t="shared" si="38"/>
        <v>0</v>
      </c>
      <c r="K13" s="87">
        <f t="shared" si="38"/>
        <v>0</v>
      </c>
      <c r="L13" s="87">
        <f t="shared" si="38"/>
        <v>0</v>
      </c>
      <c r="M13" s="87">
        <f t="shared" si="38"/>
        <v>0</v>
      </c>
      <c r="N13" s="87">
        <f t="shared" si="1"/>
        <v>0</v>
      </c>
      <c r="O13" s="87">
        <f t="shared" si="1"/>
        <v>0</v>
      </c>
      <c r="P13" s="87">
        <f t="shared" si="1"/>
        <v>0</v>
      </c>
      <c r="Q13" s="87">
        <f t="shared" si="1"/>
        <v>0</v>
      </c>
      <c r="R13" s="87">
        <f t="shared" si="1"/>
        <v>0</v>
      </c>
      <c r="S13" s="87">
        <f t="shared" si="1"/>
        <v>0</v>
      </c>
      <c r="T13" s="87">
        <f t="shared" si="1"/>
        <v>0</v>
      </c>
      <c r="U13" s="65"/>
      <c r="V13" s="85">
        <v>297</v>
      </c>
      <c r="W13" s="87">
        <f t="shared" si="2"/>
        <v>2</v>
      </c>
      <c r="X13" s="87">
        <f t="shared" si="3"/>
        <v>0</v>
      </c>
      <c r="Y13" s="87">
        <f t="shared" si="4"/>
        <v>0</v>
      </c>
      <c r="Z13" s="87">
        <f t="shared" si="5"/>
        <v>0</v>
      </c>
      <c r="AA13" s="87">
        <f t="shared" si="6"/>
        <v>0</v>
      </c>
      <c r="AB13" s="87">
        <f t="shared" si="7"/>
        <v>0</v>
      </c>
      <c r="AC13" s="87">
        <f t="shared" si="8"/>
        <v>0</v>
      </c>
      <c r="AD13" s="87">
        <f t="shared" si="9"/>
        <v>0</v>
      </c>
      <c r="AE13" s="87">
        <f t="shared" si="10"/>
        <v>0</v>
      </c>
      <c r="AF13" s="87">
        <f t="shared" si="11"/>
        <v>0</v>
      </c>
      <c r="AG13" s="87">
        <f t="shared" si="12"/>
        <v>0</v>
      </c>
      <c r="AH13" s="87">
        <f t="shared" si="13"/>
        <v>0</v>
      </c>
      <c r="AI13" s="87">
        <f t="shared" si="14"/>
        <v>0</v>
      </c>
      <c r="AJ13" s="87">
        <f t="shared" si="15"/>
        <v>0</v>
      </c>
      <c r="AK13" s="87">
        <f t="shared" si="16"/>
        <v>0</v>
      </c>
      <c r="AL13" s="87">
        <f t="shared" si="17"/>
        <v>0</v>
      </c>
      <c r="AM13" s="87">
        <f t="shared" si="18"/>
        <v>0</v>
      </c>
      <c r="AN13" s="87">
        <f t="shared" si="19"/>
        <v>0</v>
      </c>
      <c r="AO13" s="65"/>
      <c r="AP13" s="88">
        <v>338</v>
      </c>
      <c r="AQ13" s="87">
        <f t="shared" si="20"/>
        <v>2</v>
      </c>
      <c r="AR13" s="87">
        <f t="shared" si="21"/>
        <v>0</v>
      </c>
      <c r="AS13" s="87">
        <f t="shared" si="22"/>
        <v>31</v>
      </c>
      <c r="AT13" s="87">
        <f t="shared" si="23"/>
        <v>24</v>
      </c>
      <c r="AU13" s="87">
        <f t="shared" si="24"/>
        <v>14</v>
      </c>
      <c r="AV13" s="87">
        <f t="shared" si="25"/>
        <v>20</v>
      </c>
      <c r="AW13" s="87">
        <f t="shared" si="26"/>
        <v>28</v>
      </c>
      <c r="AX13" s="87">
        <f t="shared" si="27"/>
        <v>0</v>
      </c>
      <c r="AY13" s="87">
        <f t="shared" si="28"/>
        <v>16</v>
      </c>
      <c r="AZ13" s="87">
        <f t="shared" si="29"/>
        <v>26</v>
      </c>
      <c r="BA13" s="87">
        <f t="shared" si="30"/>
        <v>0</v>
      </c>
      <c r="BB13" s="87">
        <f t="shared" si="31"/>
        <v>0</v>
      </c>
      <c r="BC13" s="87">
        <f t="shared" si="32"/>
        <v>0</v>
      </c>
      <c r="BD13" s="87">
        <f t="shared" si="33"/>
        <v>0</v>
      </c>
      <c r="BE13" s="87">
        <f t="shared" si="34"/>
        <v>0</v>
      </c>
      <c r="BF13" s="87">
        <f t="shared" si="35"/>
        <v>0</v>
      </c>
      <c r="BG13" s="87">
        <f t="shared" si="36"/>
        <v>0</v>
      </c>
      <c r="BH13" s="87">
        <f t="shared" si="37"/>
        <v>0</v>
      </c>
    </row>
    <row r="14" spans="1:60" s="64" customFormat="1" ht="18.75" x14ac:dyDescent="0.3">
      <c r="A14" s="65"/>
      <c r="B14" s="85">
        <v>257</v>
      </c>
      <c r="C14" s="87">
        <f t="shared" si="38"/>
        <v>2</v>
      </c>
      <c r="D14" s="87">
        <f t="shared" si="38"/>
        <v>0</v>
      </c>
      <c r="E14" s="87">
        <f t="shared" si="38"/>
        <v>0</v>
      </c>
      <c r="F14" s="87">
        <f t="shared" si="38"/>
        <v>0</v>
      </c>
      <c r="G14" s="87">
        <f t="shared" si="38"/>
        <v>0</v>
      </c>
      <c r="H14" s="87">
        <f t="shared" si="38"/>
        <v>0</v>
      </c>
      <c r="I14" s="87">
        <f t="shared" si="38"/>
        <v>0</v>
      </c>
      <c r="J14" s="87">
        <f t="shared" si="38"/>
        <v>0</v>
      </c>
      <c r="K14" s="87">
        <f t="shared" si="38"/>
        <v>0</v>
      </c>
      <c r="L14" s="87">
        <f t="shared" si="38"/>
        <v>0</v>
      </c>
      <c r="M14" s="87">
        <f t="shared" si="38"/>
        <v>0</v>
      </c>
      <c r="N14" s="87">
        <f t="shared" si="1"/>
        <v>0</v>
      </c>
      <c r="O14" s="87">
        <f t="shared" si="1"/>
        <v>0</v>
      </c>
      <c r="P14" s="87">
        <f t="shared" si="1"/>
        <v>0</v>
      </c>
      <c r="Q14" s="87">
        <f t="shared" si="1"/>
        <v>0</v>
      </c>
      <c r="R14" s="87">
        <f t="shared" si="1"/>
        <v>0</v>
      </c>
      <c r="S14" s="87">
        <f t="shared" si="1"/>
        <v>0</v>
      </c>
      <c r="T14" s="87">
        <f t="shared" si="1"/>
        <v>0</v>
      </c>
      <c r="U14" s="65"/>
      <c r="V14" s="88">
        <v>298</v>
      </c>
      <c r="W14" s="87">
        <f t="shared" si="2"/>
        <v>2</v>
      </c>
      <c r="X14" s="87">
        <f t="shared" si="3"/>
        <v>0</v>
      </c>
      <c r="Y14" s="87">
        <f t="shared" si="4"/>
        <v>0</v>
      </c>
      <c r="Z14" s="87">
        <f t="shared" si="5"/>
        <v>0</v>
      </c>
      <c r="AA14" s="87">
        <f t="shared" si="6"/>
        <v>0</v>
      </c>
      <c r="AB14" s="87">
        <f t="shared" si="7"/>
        <v>0</v>
      </c>
      <c r="AC14" s="87">
        <f t="shared" si="8"/>
        <v>0</v>
      </c>
      <c r="AD14" s="87">
        <f t="shared" si="9"/>
        <v>0</v>
      </c>
      <c r="AE14" s="87">
        <f t="shared" si="10"/>
        <v>0</v>
      </c>
      <c r="AF14" s="87">
        <f t="shared" si="11"/>
        <v>0</v>
      </c>
      <c r="AG14" s="87">
        <f t="shared" si="12"/>
        <v>0</v>
      </c>
      <c r="AH14" s="87">
        <f t="shared" si="13"/>
        <v>0</v>
      </c>
      <c r="AI14" s="87">
        <f t="shared" si="14"/>
        <v>0</v>
      </c>
      <c r="AJ14" s="87">
        <f t="shared" si="15"/>
        <v>0</v>
      </c>
      <c r="AK14" s="87">
        <f t="shared" si="16"/>
        <v>0</v>
      </c>
      <c r="AL14" s="87">
        <f t="shared" si="17"/>
        <v>0</v>
      </c>
      <c r="AM14" s="87">
        <f t="shared" si="18"/>
        <v>0</v>
      </c>
      <c r="AN14" s="87">
        <f t="shared" si="19"/>
        <v>0</v>
      </c>
      <c r="AO14" s="65"/>
      <c r="AP14" s="85">
        <v>339</v>
      </c>
      <c r="AQ14" s="87">
        <f t="shared" si="20"/>
        <v>2</v>
      </c>
      <c r="AR14" s="87">
        <f t="shared" si="21"/>
        <v>0</v>
      </c>
      <c r="AS14" s="87">
        <f t="shared" si="22"/>
        <v>0</v>
      </c>
      <c r="AT14" s="87">
        <f t="shared" si="23"/>
        <v>0</v>
      </c>
      <c r="AU14" s="87">
        <f t="shared" si="24"/>
        <v>0</v>
      </c>
      <c r="AV14" s="87">
        <f t="shared" si="25"/>
        <v>0</v>
      </c>
      <c r="AW14" s="87">
        <f t="shared" si="26"/>
        <v>0</v>
      </c>
      <c r="AX14" s="87">
        <f t="shared" si="27"/>
        <v>0</v>
      </c>
      <c r="AY14" s="87">
        <f t="shared" si="28"/>
        <v>0</v>
      </c>
      <c r="AZ14" s="87">
        <f t="shared" si="29"/>
        <v>0</v>
      </c>
      <c r="BA14" s="87">
        <f t="shared" si="30"/>
        <v>0</v>
      </c>
      <c r="BB14" s="87">
        <f t="shared" si="31"/>
        <v>0</v>
      </c>
      <c r="BC14" s="87">
        <f t="shared" si="32"/>
        <v>0</v>
      </c>
      <c r="BD14" s="87">
        <f t="shared" si="33"/>
        <v>0</v>
      </c>
      <c r="BE14" s="87">
        <f t="shared" si="34"/>
        <v>0</v>
      </c>
      <c r="BF14" s="87">
        <f t="shared" si="35"/>
        <v>0</v>
      </c>
      <c r="BG14" s="87">
        <f t="shared" si="36"/>
        <v>0</v>
      </c>
      <c r="BH14" s="87">
        <f t="shared" si="37"/>
        <v>0</v>
      </c>
    </row>
    <row r="15" spans="1:60" s="64" customFormat="1" ht="18.75" x14ac:dyDescent="0.3">
      <c r="A15" s="65"/>
      <c r="B15" s="88">
        <v>258</v>
      </c>
      <c r="C15" s="87">
        <f t="shared" si="38"/>
        <v>2</v>
      </c>
      <c r="D15" s="87">
        <f t="shared" si="38"/>
        <v>0</v>
      </c>
      <c r="E15" s="87">
        <f t="shared" si="38"/>
        <v>0</v>
      </c>
      <c r="F15" s="87">
        <f t="shared" si="38"/>
        <v>0</v>
      </c>
      <c r="G15" s="87">
        <f t="shared" si="38"/>
        <v>0</v>
      </c>
      <c r="H15" s="87">
        <f t="shared" si="38"/>
        <v>0</v>
      </c>
      <c r="I15" s="87">
        <f t="shared" si="38"/>
        <v>0</v>
      </c>
      <c r="J15" s="87">
        <f>SUMIFS(VOTOS1,CENTRO1,$B15,TURNO1,J$1)</f>
        <v>0</v>
      </c>
      <c r="K15" s="87">
        <f t="shared" si="38"/>
        <v>0</v>
      </c>
      <c r="L15" s="87">
        <f t="shared" si="38"/>
        <v>0</v>
      </c>
      <c r="M15" s="87">
        <f t="shared" si="38"/>
        <v>0</v>
      </c>
      <c r="N15" s="87">
        <f t="shared" si="1"/>
        <v>0</v>
      </c>
      <c r="O15" s="87">
        <f t="shared" si="1"/>
        <v>0</v>
      </c>
      <c r="P15" s="87">
        <f t="shared" si="1"/>
        <v>0</v>
      </c>
      <c r="Q15" s="87">
        <f t="shared" si="1"/>
        <v>0</v>
      </c>
      <c r="R15" s="87">
        <f t="shared" si="1"/>
        <v>0</v>
      </c>
      <c r="S15" s="87">
        <f t="shared" si="1"/>
        <v>0</v>
      </c>
      <c r="T15" s="87">
        <f t="shared" si="1"/>
        <v>0</v>
      </c>
      <c r="U15" s="65"/>
      <c r="V15" s="85">
        <v>299</v>
      </c>
      <c r="W15" s="87">
        <f t="shared" si="2"/>
        <v>2</v>
      </c>
      <c r="X15" s="87">
        <f t="shared" si="3"/>
        <v>0</v>
      </c>
      <c r="Y15" s="87">
        <f t="shared" si="4"/>
        <v>0</v>
      </c>
      <c r="Z15" s="87">
        <f t="shared" si="5"/>
        <v>0</v>
      </c>
      <c r="AA15" s="87">
        <f t="shared" si="6"/>
        <v>0</v>
      </c>
      <c r="AB15" s="87">
        <f t="shared" si="7"/>
        <v>0</v>
      </c>
      <c r="AC15" s="87">
        <f t="shared" si="8"/>
        <v>0</v>
      </c>
      <c r="AD15" s="87">
        <f t="shared" si="9"/>
        <v>0</v>
      </c>
      <c r="AE15" s="87">
        <f t="shared" si="10"/>
        <v>0</v>
      </c>
      <c r="AF15" s="87">
        <f t="shared" si="11"/>
        <v>0</v>
      </c>
      <c r="AG15" s="87">
        <f t="shared" si="12"/>
        <v>0</v>
      </c>
      <c r="AH15" s="87">
        <f t="shared" si="13"/>
        <v>0</v>
      </c>
      <c r="AI15" s="87">
        <f t="shared" si="14"/>
        <v>0</v>
      </c>
      <c r="AJ15" s="87">
        <f t="shared" si="15"/>
        <v>0</v>
      </c>
      <c r="AK15" s="87">
        <f t="shared" si="16"/>
        <v>0</v>
      </c>
      <c r="AL15" s="87">
        <f t="shared" si="17"/>
        <v>0</v>
      </c>
      <c r="AM15" s="87">
        <f t="shared" si="18"/>
        <v>0</v>
      </c>
      <c r="AN15" s="87">
        <f t="shared" si="19"/>
        <v>0</v>
      </c>
      <c r="AO15" s="65"/>
      <c r="AP15" s="88">
        <v>340</v>
      </c>
      <c r="AQ15" s="87">
        <f t="shared" si="20"/>
        <v>2</v>
      </c>
      <c r="AR15" s="87">
        <f t="shared" si="21"/>
        <v>0</v>
      </c>
      <c r="AS15" s="87">
        <f t="shared" si="22"/>
        <v>0</v>
      </c>
      <c r="AT15" s="87">
        <f t="shared" si="23"/>
        <v>0</v>
      </c>
      <c r="AU15" s="87">
        <f t="shared" si="24"/>
        <v>0</v>
      </c>
      <c r="AV15" s="87">
        <f t="shared" si="25"/>
        <v>0</v>
      </c>
      <c r="AW15" s="87">
        <f t="shared" si="26"/>
        <v>0</v>
      </c>
      <c r="AX15" s="87">
        <f t="shared" si="27"/>
        <v>0</v>
      </c>
      <c r="AY15" s="87">
        <f t="shared" si="28"/>
        <v>0</v>
      </c>
      <c r="AZ15" s="87">
        <f t="shared" si="29"/>
        <v>0</v>
      </c>
      <c r="BA15" s="87">
        <f t="shared" si="30"/>
        <v>0</v>
      </c>
      <c r="BB15" s="87">
        <f t="shared" si="31"/>
        <v>0</v>
      </c>
      <c r="BC15" s="87">
        <f t="shared" si="32"/>
        <v>0</v>
      </c>
      <c r="BD15" s="87">
        <f t="shared" si="33"/>
        <v>0</v>
      </c>
      <c r="BE15" s="87">
        <f t="shared" si="34"/>
        <v>0</v>
      </c>
      <c r="BF15" s="87">
        <f t="shared" si="35"/>
        <v>0</v>
      </c>
      <c r="BG15" s="87">
        <f t="shared" si="36"/>
        <v>0</v>
      </c>
      <c r="BH15" s="87">
        <f t="shared" si="37"/>
        <v>0</v>
      </c>
    </row>
    <row r="16" spans="1:60" s="64" customFormat="1" ht="18.75" x14ac:dyDescent="0.3">
      <c r="A16" s="65"/>
      <c r="B16" s="85">
        <v>259</v>
      </c>
      <c r="C16" s="87">
        <f t="shared" si="38"/>
        <v>2</v>
      </c>
      <c r="D16" s="87">
        <f t="shared" si="38"/>
        <v>0</v>
      </c>
      <c r="E16" s="87">
        <f t="shared" si="38"/>
        <v>0</v>
      </c>
      <c r="F16" s="87">
        <f t="shared" si="38"/>
        <v>0</v>
      </c>
      <c r="G16" s="87">
        <f t="shared" si="38"/>
        <v>0</v>
      </c>
      <c r="H16" s="87">
        <f t="shared" si="38"/>
        <v>0</v>
      </c>
      <c r="I16" s="87">
        <f t="shared" si="38"/>
        <v>0</v>
      </c>
      <c r="J16" s="87">
        <f t="shared" si="38"/>
        <v>0</v>
      </c>
      <c r="K16" s="87">
        <f t="shared" si="38"/>
        <v>0</v>
      </c>
      <c r="L16" s="87">
        <f t="shared" si="38"/>
        <v>0</v>
      </c>
      <c r="M16" s="87">
        <f t="shared" si="38"/>
        <v>0</v>
      </c>
      <c r="N16" s="87">
        <f t="shared" si="1"/>
        <v>0</v>
      </c>
      <c r="O16" s="87">
        <f t="shared" si="1"/>
        <v>0</v>
      </c>
      <c r="P16" s="87">
        <f t="shared" si="1"/>
        <v>0</v>
      </c>
      <c r="Q16" s="87">
        <f t="shared" si="1"/>
        <v>0</v>
      </c>
      <c r="R16" s="87">
        <f t="shared" si="1"/>
        <v>0</v>
      </c>
      <c r="S16" s="87">
        <f t="shared" si="1"/>
        <v>0</v>
      </c>
      <c r="T16" s="87">
        <f t="shared" si="1"/>
        <v>0</v>
      </c>
      <c r="U16" s="65"/>
      <c r="V16" s="88">
        <v>300</v>
      </c>
      <c r="W16" s="87">
        <f t="shared" si="2"/>
        <v>2</v>
      </c>
      <c r="X16" s="87">
        <f t="shared" si="3"/>
        <v>0</v>
      </c>
      <c r="Y16" s="87">
        <f t="shared" si="4"/>
        <v>0</v>
      </c>
      <c r="Z16" s="87">
        <f t="shared" si="5"/>
        <v>0</v>
      </c>
      <c r="AA16" s="87">
        <f t="shared" si="6"/>
        <v>0</v>
      </c>
      <c r="AB16" s="87">
        <f t="shared" si="7"/>
        <v>0</v>
      </c>
      <c r="AC16" s="87">
        <f t="shared" si="8"/>
        <v>0</v>
      </c>
      <c r="AD16" s="87">
        <f t="shared" si="9"/>
        <v>0</v>
      </c>
      <c r="AE16" s="87">
        <f t="shared" si="10"/>
        <v>0</v>
      </c>
      <c r="AF16" s="87">
        <f t="shared" si="11"/>
        <v>0</v>
      </c>
      <c r="AG16" s="87">
        <f t="shared" si="12"/>
        <v>0</v>
      </c>
      <c r="AH16" s="87">
        <f t="shared" si="13"/>
        <v>0</v>
      </c>
      <c r="AI16" s="87">
        <f t="shared" si="14"/>
        <v>0</v>
      </c>
      <c r="AJ16" s="87">
        <f t="shared" si="15"/>
        <v>0</v>
      </c>
      <c r="AK16" s="87">
        <f t="shared" si="16"/>
        <v>0</v>
      </c>
      <c r="AL16" s="87">
        <f t="shared" si="17"/>
        <v>0</v>
      </c>
      <c r="AM16" s="87">
        <f t="shared" si="18"/>
        <v>0</v>
      </c>
      <c r="AN16" s="87">
        <f t="shared" si="19"/>
        <v>0</v>
      </c>
      <c r="AO16" s="65"/>
      <c r="AP16" s="85">
        <v>341</v>
      </c>
      <c r="AQ16" s="87">
        <f t="shared" si="20"/>
        <v>2</v>
      </c>
      <c r="AR16" s="87">
        <f t="shared" si="21"/>
        <v>7</v>
      </c>
      <c r="AS16" s="87">
        <f t="shared" si="22"/>
        <v>18</v>
      </c>
      <c r="AT16" s="87">
        <f t="shared" si="23"/>
        <v>16</v>
      </c>
      <c r="AU16" s="87">
        <f t="shared" si="24"/>
        <v>6</v>
      </c>
      <c r="AV16" s="87">
        <f t="shared" si="25"/>
        <v>7</v>
      </c>
      <c r="AW16" s="87">
        <f t="shared" si="26"/>
        <v>17</v>
      </c>
      <c r="AX16" s="87">
        <f t="shared" si="27"/>
        <v>0</v>
      </c>
      <c r="AY16" s="87">
        <f t="shared" si="28"/>
        <v>21</v>
      </c>
      <c r="AZ16" s="87">
        <f t="shared" si="29"/>
        <v>17</v>
      </c>
      <c r="BA16" s="87">
        <f t="shared" si="30"/>
        <v>0</v>
      </c>
      <c r="BB16" s="87">
        <f t="shared" si="31"/>
        <v>0</v>
      </c>
      <c r="BC16" s="87">
        <f t="shared" si="32"/>
        <v>0</v>
      </c>
      <c r="BD16" s="87">
        <f t="shared" si="33"/>
        <v>0</v>
      </c>
      <c r="BE16" s="87">
        <f t="shared" si="34"/>
        <v>0</v>
      </c>
      <c r="BF16" s="87">
        <f t="shared" si="35"/>
        <v>0</v>
      </c>
      <c r="BG16" s="87">
        <f t="shared" si="36"/>
        <v>0</v>
      </c>
      <c r="BH16" s="87">
        <f t="shared" si="37"/>
        <v>0</v>
      </c>
    </row>
    <row r="17" spans="2:60" s="64" customFormat="1" ht="18.75" x14ac:dyDescent="0.3">
      <c r="B17" s="88">
        <v>260</v>
      </c>
      <c r="C17" s="87">
        <f t="shared" si="38"/>
        <v>2</v>
      </c>
      <c r="D17" s="87">
        <f t="shared" si="38"/>
        <v>0</v>
      </c>
      <c r="E17" s="87">
        <f t="shared" si="38"/>
        <v>0</v>
      </c>
      <c r="F17" s="87">
        <f t="shared" si="38"/>
        <v>0</v>
      </c>
      <c r="G17" s="87">
        <f t="shared" si="38"/>
        <v>0</v>
      </c>
      <c r="H17" s="87">
        <f t="shared" si="38"/>
        <v>0</v>
      </c>
      <c r="I17" s="87">
        <f t="shared" si="38"/>
        <v>0</v>
      </c>
      <c r="J17" s="87">
        <f t="shared" si="38"/>
        <v>0</v>
      </c>
      <c r="K17" s="87">
        <f t="shared" si="38"/>
        <v>0</v>
      </c>
      <c r="L17" s="87">
        <f t="shared" si="38"/>
        <v>0</v>
      </c>
      <c r="M17" s="87">
        <f t="shared" si="38"/>
        <v>0</v>
      </c>
      <c r="N17" s="87">
        <f t="shared" si="1"/>
        <v>0</v>
      </c>
      <c r="O17" s="87">
        <f t="shared" si="1"/>
        <v>0</v>
      </c>
      <c r="P17" s="87">
        <f t="shared" si="1"/>
        <v>0</v>
      </c>
      <c r="Q17" s="87">
        <f t="shared" si="1"/>
        <v>0</v>
      </c>
      <c r="R17" s="87">
        <f t="shared" si="1"/>
        <v>0</v>
      </c>
      <c r="S17" s="87">
        <f t="shared" si="1"/>
        <v>0</v>
      </c>
      <c r="T17" s="87">
        <f t="shared" si="1"/>
        <v>0</v>
      </c>
      <c r="U17" s="65"/>
      <c r="V17" s="85">
        <v>301</v>
      </c>
      <c r="W17" s="87">
        <f t="shared" si="2"/>
        <v>2</v>
      </c>
      <c r="X17" s="87">
        <f t="shared" si="3"/>
        <v>0</v>
      </c>
      <c r="Y17" s="87">
        <f t="shared" si="4"/>
        <v>0</v>
      </c>
      <c r="Z17" s="87">
        <f t="shared" si="5"/>
        <v>0</v>
      </c>
      <c r="AA17" s="87">
        <f t="shared" si="6"/>
        <v>0</v>
      </c>
      <c r="AB17" s="87">
        <f t="shared" si="7"/>
        <v>0</v>
      </c>
      <c r="AC17" s="87">
        <f t="shared" si="8"/>
        <v>0</v>
      </c>
      <c r="AD17" s="87">
        <f t="shared" si="9"/>
        <v>0</v>
      </c>
      <c r="AE17" s="87">
        <f t="shared" si="10"/>
        <v>0</v>
      </c>
      <c r="AF17" s="87">
        <f t="shared" si="11"/>
        <v>0</v>
      </c>
      <c r="AG17" s="87">
        <f t="shared" si="12"/>
        <v>0</v>
      </c>
      <c r="AH17" s="87">
        <f t="shared" si="13"/>
        <v>0</v>
      </c>
      <c r="AI17" s="87">
        <f t="shared" si="14"/>
        <v>0</v>
      </c>
      <c r="AJ17" s="87">
        <f t="shared" si="15"/>
        <v>0</v>
      </c>
      <c r="AK17" s="87">
        <f t="shared" si="16"/>
        <v>0</v>
      </c>
      <c r="AL17" s="87">
        <f t="shared" si="17"/>
        <v>0</v>
      </c>
      <c r="AM17" s="87">
        <f t="shared" si="18"/>
        <v>0</v>
      </c>
      <c r="AN17" s="87">
        <f t="shared" si="19"/>
        <v>0</v>
      </c>
      <c r="AO17" s="65"/>
      <c r="AP17" s="88">
        <v>342</v>
      </c>
      <c r="AQ17" s="87">
        <f t="shared" si="20"/>
        <v>2</v>
      </c>
      <c r="AR17" s="87">
        <f t="shared" si="21"/>
        <v>34</v>
      </c>
      <c r="AS17" s="87">
        <f t="shared" si="22"/>
        <v>48</v>
      </c>
      <c r="AT17" s="87">
        <f t="shared" si="23"/>
        <v>6</v>
      </c>
      <c r="AU17" s="87">
        <f t="shared" si="24"/>
        <v>9</v>
      </c>
      <c r="AV17" s="87">
        <f t="shared" si="25"/>
        <v>25</v>
      </c>
      <c r="AW17" s="87">
        <f t="shared" si="26"/>
        <v>0</v>
      </c>
      <c r="AX17" s="87">
        <f t="shared" si="27"/>
        <v>11</v>
      </c>
      <c r="AY17" s="87">
        <f t="shared" si="28"/>
        <v>3</v>
      </c>
      <c r="AZ17" s="87">
        <f t="shared" si="29"/>
        <v>0</v>
      </c>
      <c r="BA17" s="87">
        <f t="shared" si="30"/>
        <v>0</v>
      </c>
      <c r="BB17" s="87">
        <f t="shared" si="31"/>
        <v>0</v>
      </c>
      <c r="BC17" s="87">
        <f t="shared" si="32"/>
        <v>0</v>
      </c>
      <c r="BD17" s="87">
        <f t="shared" si="33"/>
        <v>0</v>
      </c>
      <c r="BE17" s="87">
        <f t="shared" si="34"/>
        <v>0</v>
      </c>
      <c r="BF17" s="87">
        <f t="shared" si="35"/>
        <v>0</v>
      </c>
      <c r="BG17" s="87">
        <f t="shared" si="36"/>
        <v>0</v>
      </c>
      <c r="BH17" s="87">
        <f t="shared" si="37"/>
        <v>0</v>
      </c>
    </row>
    <row r="18" spans="2:60" s="64" customFormat="1" ht="18.75" x14ac:dyDescent="0.3">
      <c r="B18" s="85">
        <v>261</v>
      </c>
      <c r="C18" s="87">
        <f t="shared" si="38"/>
        <v>2</v>
      </c>
      <c r="D18" s="87">
        <f t="shared" si="38"/>
        <v>0</v>
      </c>
      <c r="E18" s="87">
        <f t="shared" si="38"/>
        <v>0</v>
      </c>
      <c r="F18" s="87">
        <f t="shared" si="38"/>
        <v>0</v>
      </c>
      <c r="G18" s="87">
        <f t="shared" si="38"/>
        <v>0</v>
      </c>
      <c r="H18" s="87">
        <f t="shared" si="38"/>
        <v>0</v>
      </c>
      <c r="I18" s="87">
        <f t="shared" si="38"/>
        <v>0</v>
      </c>
      <c r="J18" s="87">
        <f t="shared" si="38"/>
        <v>0</v>
      </c>
      <c r="K18" s="87">
        <f t="shared" si="38"/>
        <v>0</v>
      </c>
      <c r="L18" s="87">
        <f t="shared" si="38"/>
        <v>0</v>
      </c>
      <c r="M18" s="87">
        <f t="shared" si="38"/>
        <v>0</v>
      </c>
      <c r="N18" s="87">
        <f t="shared" si="38"/>
        <v>0</v>
      </c>
      <c r="O18" s="87">
        <f t="shared" si="38"/>
        <v>0</v>
      </c>
      <c r="P18" s="87">
        <f t="shared" si="38"/>
        <v>0</v>
      </c>
      <c r="Q18" s="87">
        <f t="shared" si="38"/>
        <v>0</v>
      </c>
      <c r="R18" s="87">
        <f t="shared" si="38"/>
        <v>0</v>
      </c>
      <c r="S18" s="87">
        <f t="shared" ref="S18:T33" si="39">SUMIFS(VOTOS1,CENTRO1,$B18,TURNO1,S$1)</f>
        <v>0</v>
      </c>
      <c r="T18" s="87">
        <f t="shared" si="39"/>
        <v>0</v>
      </c>
      <c r="U18" s="65"/>
      <c r="V18" s="88">
        <v>302</v>
      </c>
      <c r="W18" s="87">
        <f t="shared" si="2"/>
        <v>2</v>
      </c>
      <c r="X18" s="87">
        <f t="shared" si="3"/>
        <v>0</v>
      </c>
      <c r="Y18" s="87">
        <f t="shared" si="4"/>
        <v>0</v>
      </c>
      <c r="Z18" s="87">
        <f t="shared" si="5"/>
        <v>0</v>
      </c>
      <c r="AA18" s="87">
        <f t="shared" si="6"/>
        <v>0</v>
      </c>
      <c r="AB18" s="87">
        <f t="shared" si="7"/>
        <v>0</v>
      </c>
      <c r="AC18" s="87">
        <f t="shared" si="8"/>
        <v>0</v>
      </c>
      <c r="AD18" s="87">
        <f t="shared" si="9"/>
        <v>0</v>
      </c>
      <c r="AE18" s="87">
        <f t="shared" si="10"/>
        <v>0</v>
      </c>
      <c r="AF18" s="87">
        <f t="shared" si="11"/>
        <v>0</v>
      </c>
      <c r="AG18" s="87">
        <f t="shared" si="12"/>
        <v>0</v>
      </c>
      <c r="AH18" s="87">
        <f t="shared" si="13"/>
        <v>0</v>
      </c>
      <c r="AI18" s="87">
        <f t="shared" si="14"/>
        <v>0</v>
      </c>
      <c r="AJ18" s="87">
        <f t="shared" si="15"/>
        <v>0</v>
      </c>
      <c r="AK18" s="87">
        <f t="shared" si="16"/>
        <v>0</v>
      </c>
      <c r="AL18" s="87">
        <f t="shared" si="17"/>
        <v>0</v>
      </c>
      <c r="AM18" s="87">
        <f t="shared" si="18"/>
        <v>0</v>
      </c>
      <c r="AN18" s="87">
        <f t="shared" si="19"/>
        <v>0</v>
      </c>
      <c r="AO18" s="65"/>
      <c r="AP18" s="85">
        <v>343</v>
      </c>
      <c r="AQ18" s="87">
        <f t="shared" si="20"/>
        <v>2</v>
      </c>
      <c r="AR18" s="87">
        <f t="shared" si="21"/>
        <v>8</v>
      </c>
      <c r="AS18" s="87">
        <f t="shared" si="22"/>
        <v>15</v>
      </c>
      <c r="AT18" s="87">
        <f t="shared" si="23"/>
        <v>14</v>
      </c>
      <c r="AU18" s="87">
        <f t="shared" si="24"/>
        <v>17</v>
      </c>
      <c r="AV18" s="87">
        <f t="shared" si="25"/>
        <v>20</v>
      </c>
      <c r="AW18" s="87">
        <f t="shared" si="26"/>
        <v>15</v>
      </c>
      <c r="AX18" s="87">
        <f t="shared" si="27"/>
        <v>9</v>
      </c>
      <c r="AY18" s="87">
        <f t="shared" si="28"/>
        <v>20</v>
      </c>
      <c r="AZ18" s="87">
        <f t="shared" si="29"/>
        <v>0</v>
      </c>
      <c r="BA18" s="87">
        <f t="shared" si="30"/>
        <v>0</v>
      </c>
      <c r="BB18" s="87">
        <f t="shared" si="31"/>
        <v>0</v>
      </c>
      <c r="BC18" s="87">
        <f t="shared" si="32"/>
        <v>0</v>
      </c>
      <c r="BD18" s="87">
        <f t="shared" si="33"/>
        <v>0</v>
      </c>
      <c r="BE18" s="87">
        <f t="shared" si="34"/>
        <v>0</v>
      </c>
      <c r="BF18" s="87">
        <f t="shared" si="35"/>
        <v>0</v>
      </c>
      <c r="BG18" s="87">
        <f t="shared" si="36"/>
        <v>0</v>
      </c>
      <c r="BH18" s="87">
        <f t="shared" si="37"/>
        <v>0</v>
      </c>
    </row>
    <row r="19" spans="2:60" s="64" customFormat="1" ht="18.75" x14ac:dyDescent="0.3">
      <c r="B19" s="88">
        <v>262</v>
      </c>
      <c r="C19" s="87">
        <f t="shared" ref="C19:R34" si="40">SUMIFS(VOTOS1,CENTRO1,$B19,TURNO1,C$1)</f>
        <v>2</v>
      </c>
      <c r="D19" s="87">
        <f t="shared" si="40"/>
        <v>0</v>
      </c>
      <c r="E19" s="87">
        <f t="shared" si="40"/>
        <v>0</v>
      </c>
      <c r="F19" s="87">
        <f t="shared" si="40"/>
        <v>0</v>
      </c>
      <c r="G19" s="87">
        <f t="shared" si="40"/>
        <v>0</v>
      </c>
      <c r="H19" s="87">
        <f t="shared" si="40"/>
        <v>0</v>
      </c>
      <c r="I19" s="87">
        <f t="shared" si="40"/>
        <v>0</v>
      </c>
      <c r="J19" s="87">
        <f t="shared" si="40"/>
        <v>0</v>
      </c>
      <c r="K19" s="87">
        <f t="shared" si="40"/>
        <v>0</v>
      </c>
      <c r="L19" s="87">
        <f t="shared" si="40"/>
        <v>0</v>
      </c>
      <c r="M19" s="87">
        <f t="shared" si="40"/>
        <v>0</v>
      </c>
      <c r="N19" s="87">
        <f t="shared" si="40"/>
        <v>0</v>
      </c>
      <c r="O19" s="87">
        <f t="shared" si="40"/>
        <v>0</v>
      </c>
      <c r="P19" s="87">
        <f t="shared" si="40"/>
        <v>0</v>
      </c>
      <c r="Q19" s="87">
        <f t="shared" si="40"/>
        <v>0</v>
      </c>
      <c r="R19" s="87">
        <f t="shared" si="40"/>
        <v>0</v>
      </c>
      <c r="S19" s="87">
        <f t="shared" si="39"/>
        <v>0</v>
      </c>
      <c r="T19" s="87">
        <f t="shared" si="39"/>
        <v>0</v>
      </c>
      <c r="U19" s="65"/>
      <c r="V19" s="85">
        <v>303</v>
      </c>
      <c r="W19" s="87">
        <f t="shared" si="2"/>
        <v>2</v>
      </c>
      <c r="X19" s="87">
        <f t="shared" si="3"/>
        <v>0</v>
      </c>
      <c r="Y19" s="87">
        <f t="shared" si="4"/>
        <v>0</v>
      </c>
      <c r="Z19" s="87">
        <f t="shared" si="5"/>
        <v>0</v>
      </c>
      <c r="AA19" s="87">
        <f t="shared" si="6"/>
        <v>0</v>
      </c>
      <c r="AB19" s="87">
        <f t="shared" si="7"/>
        <v>0</v>
      </c>
      <c r="AC19" s="87">
        <f t="shared" si="8"/>
        <v>0</v>
      </c>
      <c r="AD19" s="87">
        <f t="shared" si="9"/>
        <v>0</v>
      </c>
      <c r="AE19" s="87">
        <f t="shared" si="10"/>
        <v>0</v>
      </c>
      <c r="AF19" s="87">
        <f t="shared" si="11"/>
        <v>0</v>
      </c>
      <c r="AG19" s="87">
        <f t="shared" si="12"/>
        <v>0</v>
      </c>
      <c r="AH19" s="87">
        <f t="shared" si="13"/>
        <v>0</v>
      </c>
      <c r="AI19" s="87">
        <f t="shared" si="14"/>
        <v>0</v>
      </c>
      <c r="AJ19" s="87">
        <f t="shared" si="15"/>
        <v>0</v>
      </c>
      <c r="AK19" s="87">
        <f t="shared" si="16"/>
        <v>0</v>
      </c>
      <c r="AL19" s="87">
        <f t="shared" si="17"/>
        <v>0</v>
      </c>
      <c r="AM19" s="87">
        <f t="shared" si="18"/>
        <v>0</v>
      </c>
      <c r="AN19" s="87">
        <f t="shared" si="19"/>
        <v>0</v>
      </c>
      <c r="AO19" s="65"/>
      <c r="AP19" s="88">
        <v>344</v>
      </c>
      <c r="AQ19" s="87">
        <f t="shared" si="20"/>
        <v>2</v>
      </c>
      <c r="AR19" s="87">
        <f t="shared" si="21"/>
        <v>0</v>
      </c>
      <c r="AS19" s="87">
        <f t="shared" si="22"/>
        <v>0</v>
      </c>
      <c r="AT19" s="87">
        <f t="shared" si="23"/>
        <v>0</v>
      </c>
      <c r="AU19" s="87">
        <f t="shared" si="24"/>
        <v>0</v>
      </c>
      <c r="AV19" s="87">
        <f t="shared" si="25"/>
        <v>0</v>
      </c>
      <c r="AW19" s="87">
        <f t="shared" si="26"/>
        <v>0</v>
      </c>
      <c r="AX19" s="87">
        <f t="shared" si="27"/>
        <v>0</v>
      </c>
      <c r="AY19" s="87">
        <f t="shared" si="28"/>
        <v>0</v>
      </c>
      <c r="AZ19" s="87">
        <f t="shared" si="29"/>
        <v>0</v>
      </c>
      <c r="BA19" s="87">
        <f t="shared" si="30"/>
        <v>0</v>
      </c>
      <c r="BB19" s="87">
        <f t="shared" si="31"/>
        <v>0</v>
      </c>
      <c r="BC19" s="87">
        <f t="shared" si="32"/>
        <v>0</v>
      </c>
      <c r="BD19" s="87">
        <f t="shared" si="33"/>
        <v>0</v>
      </c>
      <c r="BE19" s="87">
        <f t="shared" si="34"/>
        <v>0</v>
      </c>
      <c r="BF19" s="87">
        <f t="shared" si="35"/>
        <v>0</v>
      </c>
      <c r="BG19" s="87">
        <f t="shared" si="36"/>
        <v>0</v>
      </c>
      <c r="BH19" s="87">
        <f t="shared" si="37"/>
        <v>0</v>
      </c>
    </row>
    <row r="20" spans="2:60" s="64" customFormat="1" ht="18.75" x14ac:dyDescent="0.3">
      <c r="B20" s="85">
        <v>263</v>
      </c>
      <c r="C20" s="87">
        <f t="shared" si="40"/>
        <v>2</v>
      </c>
      <c r="D20" s="87">
        <f t="shared" si="40"/>
        <v>0</v>
      </c>
      <c r="E20" s="87">
        <f t="shared" si="40"/>
        <v>0</v>
      </c>
      <c r="F20" s="87">
        <f t="shared" si="40"/>
        <v>0</v>
      </c>
      <c r="G20" s="87">
        <f t="shared" si="40"/>
        <v>0</v>
      </c>
      <c r="H20" s="87">
        <f t="shared" si="40"/>
        <v>0</v>
      </c>
      <c r="I20" s="87">
        <f t="shared" si="40"/>
        <v>0</v>
      </c>
      <c r="J20" s="87">
        <f t="shared" si="40"/>
        <v>0</v>
      </c>
      <c r="K20" s="87">
        <f t="shared" si="40"/>
        <v>0</v>
      </c>
      <c r="L20" s="87">
        <f t="shared" si="40"/>
        <v>0</v>
      </c>
      <c r="M20" s="87">
        <f t="shared" si="40"/>
        <v>0</v>
      </c>
      <c r="N20" s="87">
        <f t="shared" si="40"/>
        <v>0</v>
      </c>
      <c r="O20" s="87">
        <f t="shared" si="40"/>
        <v>0</v>
      </c>
      <c r="P20" s="87">
        <f t="shared" si="40"/>
        <v>0</v>
      </c>
      <c r="Q20" s="87">
        <f t="shared" si="40"/>
        <v>0</v>
      </c>
      <c r="R20" s="87">
        <f t="shared" si="40"/>
        <v>0</v>
      </c>
      <c r="S20" s="87">
        <f t="shared" si="39"/>
        <v>0</v>
      </c>
      <c r="T20" s="87">
        <f t="shared" si="39"/>
        <v>0</v>
      </c>
      <c r="U20" s="65"/>
      <c r="V20" s="88">
        <v>304</v>
      </c>
      <c r="W20" s="87">
        <f t="shared" si="2"/>
        <v>2</v>
      </c>
      <c r="X20" s="87">
        <f t="shared" si="3"/>
        <v>0</v>
      </c>
      <c r="Y20" s="87">
        <f t="shared" si="4"/>
        <v>0</v>
      </c>
      <c r="Z20" s="87">
        <f t="shared" si="5"/>
        <v>0</v>
      </c>
      <c r="AA20" s="87">
        <f t="shared" si="6"/>
        <v>0</v>
      </c>
      <c r="AB20" s="87">
        <f t="shared" si="7"/>
        <v>0</v>
      </c>
      <c r="AC20" s="87">
        <f t="shared" si="8"/>
        <v>0</v>
      </c>
      <c r="AD20" s="87">
        <f t="shared" si="9"/>
        <v>0</v>
      </c>
      <c r="AE20" s="87">
        <f t="shared" si="10"/>
        <v>0</v>
      </c>
      <c r="AF20" s="87">
        <f t="shared" si="11"/>
        <v>0</v>
      </c>
      <c r="AG20" s="87">
        <f t="shared" si="12"/>
        <v>0</v>
      </c>
      <c r="AH20" s="87">
        <f t="shared" si="13"/>
        <v>0</v>
      </c>
      <c r="AI20" s="87">
        <f t="shared" si="14"/>
        <v>0</v>
      </c>
      <c r="AJ20" s="87">
        <f t="shared" si="15"/>
        <v>0</v>
      </c>
      <c r="AK20" s="87">
        <f t="shared" si="16"/>
        <v>0</v>
      </c>
      <c r="AL20" s="87">
        <f t="shared" si="17"/>
        <v>0</v>
      </c>
      <c r="AM20" s="87">
        <f t="shared" si="18"/>
        <v>0</v>
      </c>
      <c r="AN20" s="87">
        <f t="shared" si="19"/>
        <v>0</v>
      </c>
      <c r="AO20" s="65"/>
      <c r="AP20" s="85">
        <v>345</v>
      </c>
      <c r="AQ20" s="87">
        <f t="shared" si="20"/>
        <v>2</v>
      </c>
      <c r="AR20" s="87">
        <f t="shared" si="21"/>
        <v>0</v>
      </c>
      <c r="AS20" s="87">
        <f t="shared" si="22"/>
        <v>0</v>
      </c>
      <c r="AT20" s="87">
        <f t="shared" si="23"/>
        <v>0</v>
      </c>
      <c r="AU20" s="87">
        <f t="shared" si="24"/>
        <v>0</v>
      </c>
      <c r="AV20" s="87">
        <f t="shared" si="25"/>
        <v>0</v>
      </c>
      <c r="AW20" s="87">
        <f t="shared" si="26"/>
        <v>0</v>
      </c>
      <c r="AX20" s="87">
        <f t="shared" si="27"/>
        <v>0</v>
      </c>
      <c r="AY20" s="87">
        <f t="shared" si="28"/>
        <v>0</v>
      </c>
      <c r="AZ20" s="87">
        <f t="shared" si="29"/>
        <v>0</v>
      </c>
      <c r="BA20" s="87">
        <f t="shared" si="30"/>
        <v>0</v>
      </c>
      <c r="BB20" s="87">
        <f t="shared" si="31"/>
        <v>0</v>
      </c>
      <c r="BC20" s="87">
        <f t="shared" si="32"/>
        <v>0</v>
      </c>
      <c r="BD20" s="87">
        <f t="shared" si="33"/>
        <v>0</v>
      </c>
      <c r="BE20" s="87">
        <f t="shared" si="34"/>
        <v>0</v>
      </c>
      <c r="BF20" s="87">
        <f t="shared" si="35"/>
        <v>0</v>
      </c>
      <c r="BG20" s="87">
        <f t="shared" si="36"/>
        <v>0</v>
      </c>
      <c r="BH20" s="87">
        <f t="shared" si="37"/>
        <v>0</v>
      </c>
    </row>
    <row r="21" spans="2:60" s="64" customFormat="1" ht="18.75" x14ac:dyDescent="0.3">
      <c r="B21" s="88">
        <v>264</v>
      </c>
      <c r="C21" s="87">
        <f t="shared" si="40"/>
        <v>2</v>
      </c>
      <c r="D21" s="87">
        <f t="shared" si="40"/>
        <v>12</v>
      </c>
      <c r="E21" s="87">
        <f t="shared" si="40"/>
        <v>6</v>
      </c>
      <c r="F21" s="87">
        <f t="shared" si="40"/>
        <v>16</v>
      </c>
      <c r="G21" s="87">
        <f t="shared" si="40"/>
        <v>15</v>
      </c>
      <c r="H21" s="87">
        <f t="shared" si="40"/>
        <v>9</v>
      </c>
      <c r="I21" s="87">
        <f t="shared" si="40"/>
        <v>23</v>
      </c>
      <c r="J21" s="87">
        <f t="shared" si="40"/>
        <v>12</v>
      </c>
      <c r="K21" s="87">
        <f t="shared" si="40"/>
        <v>6</v>
      </c>
      <c r="L21" s="87">
        <f t="shared" si="40"/>
        <v>16</v>
      </c>
      <c r="M21" s="87">
        <f t="shared" si="40"/>
        <v>0</v>
      </c>
      <c r="N21" s="87">
        <f t="shared" si="40"/>
        <v>0</v>
      </c>
      <c r="O21" s="87">
        <f t="shared" si="40"/>
        <v>0</v>
      </c>
      <c r="P21" s="87">
        <f t="shared" si="40"/>
        <v>0</v>
      </c>
      <c r="Q21" s="87">
        <f t="shared" si="40"/>
        <v>0</v>
      </c>
      <c r="R21" s="87">
        <f t="shared" si="40"/>
        <v>0</v>
      </c>
      <c r="S21" s="87">
        <f t="shared" si="39"/>
        <v>0</v>
      </c>
      <c r="T21" s="87">
        <f t="shared" si="39"/>
        <v>0</v>
      </c>
      <c r="U21" s="65"/>
      <c r="V21" s="85">
        <v>305</v>
      </c>
      <c r="W21" s="87">
        <f t="shared" si="2"/>
        <v>2</v>
      </c>
      <c r="X21" s="87">
        <f t="shared" si="3"/>
        <v>0</v>
      </c>
      <c r="Y21" s="87">
        <f t="shared" si="4"/>
        <v>0</v>
      </c>
      <c r="Z21" s="87">
        <f t="shared" si="5"/>
        <v>0</v>
      </c>
      <c r="AA21" s="87">
        <f t="shared" si="6"/>
        <v>0</v>
      </c>
      <c r="AB21" s="87">
        <f t="shared" si="7"/>
        <v>0</v>
      </c>
      <c r="AC21" s="87">
        <f t="shared" si="8"/>
        <v>0</v>
      </c>
      <c r="AD21" s="87">
        <f t="shared" si="9"/>
        <v>0</v>
      </c>
      <c r="AE21" s="87">
        <f t="shared" si="10"/>
        <v>0</v>
      </c>
      <c r="AF21" s="87">
        <f t="shared" si="11"/>
        <v>0</v>
      </c>
      <c r="AG21" s="87">
        <f t="shared" si="12"/>
        <v>0</v>
      </c>
      <c r="AH21" s="87">
        <f t="shared" si="13"/>
        <v>0</v>
      </c>
      <c r="AI21" s="87">
        <f t="shared" si="14"/>
        <v>0</v>
      </c>
      <c r="AJ21" s="87">
        <f t="shared" si="15"/>
        <v>0</v>
      </c>
      <c r="AK21" s="87">
        <f t="shared" si="16"/>
        <v>0</v>
      </c>
      <c r="AL21" s="87">
        <f t="shared" si="17"/>
        <v>0</v>
      </c>
      <c r="AM21" s="87">
        <f t="shared" si="18"/>
        <v>0</v>
      </c>
      <c r="AN21" s="87">
        <f t="shared" si="19"/>
        <v>0</v>
      </c>
      <c r="AO21" s="65"/>
      <c r="AP21" s="88">
        <v>346</v>
      </c>
      <c r="AQ21" s="87">
        <f t="shared" si="20"/>
        <v>2</v>
      </c>
      <c r="AR21" s="87">
        <f t="shared" si="21"/>
        <v>0</v>
      </c>
      <c r="AS21" s="87">
        <f t="shared" si="22"/>
        <v>0</v>
      </c>
      <c r="AT21" s="87">
        <f t="shared" si="23"/>
        <v>0</v>
      </c>
      <c r="AU21" s="87">
        <f t="shared" si="24"/>
        <v>0</v>
      </c>
      <c r="AV21" s="87">
        <f t="shared" si="25"/>
        <v>0</v>
      </c>
      <c r="AW21" s="87">
        <f t="shared" si="26"/>
        <v>0</v>
      </c>
      <c r="AX21" s="87">
        <f t="shared" si="27"/>
        <v>0</v>
      </c>
      <c r="AY21" s="87">
        <f t="shared" si="28"/>
        <v>0</v>
      </c>
      <c r="AZ21" s="87">
        <f t="shared" si="29"/>
        <v>0</v>
      </c>
      <c r="BA21" s="87">
        <f t="shared" si="30"/>
        <v>0</v>
      </c>
      <c r="BB21" s="87">
        <f t="shared" si="31"/>
        <v>0</v>
      </c>
      <c r="BC21" s="87">
        <f t="shared" si="32"/>
        <v>0</v>
      </c>
      <c r="BD21" s="87">
        <f t="shared" si="33"/>
        <v>0</v>
      </c>
      <c r="BE21" s="87">
        <f t="shared" si="34"/>
        <v>0</v>
      </c>
      <c r="BF21" s="87">
        <f t="shared" si="35"/>
        <v>0</v>
      </c>
      <c r="BG21" s="87">
        <f t="shared" si="36"/>
        <v>0</v>
      </c>
      <c r="BH21" s="87">
        <f t="shared" si="37"/>
        <v>0</v>
      </c>
    </row>
    <row r="22" spans="2:60" s="64" customFormat="1" ht="18.75" x14ac:dyDescent="0.3">
      <c r="B22" s="85">
        <v>265</v>
      </c>
      <c r="C22" s="87">
        <f t="shared" si="40"/>
        <v>2</v>
      </c>
      <c r="D22" s="87">
        <f t="shared" si="40"/>
        <v>0</v>
      </c>
      <c r="E22" s="87">
        <f t="shared" si="40"/>
        <v>4</v>
      </c>
      <c r="F22" s="87">
        <f t="shared" si="40"/>
        <v>4</v>
      </c>
      <c r="G22" s="87">
        <f t="shared" si="40"/>
        <v>32</v>
      </c>
      <c r="H22" s="87">
        <f t="shared" si="40"/>
        <v>1</v>
      </c>
      <c r="I22" s="87">
        <f t="shared" si="40"/>
        <v>5</v>
      </c>
      <c r="J22" s="87">
        <f t="shared" si="40"/>
        <v>2</v>
      </c>
      <c r="K22" s="87">
        <f t="shared" si="40"/>
        <v>0</v>
      </c>
      <c r="L22" s="87">
        <f t="shared" si="40"/>
        <v>0</v>
      </c>
      <c r="M22" s="87">
        <f t="shared" si="40"/>
        <v>0</v>
      </c>
      <c r="N22" s="87">
        <f t="shared" si="40"/>
        <v>0</v>
      </c>
      <c r="O22" s="87">
        <f t="shared" si="40"/>
        <v>0</v>
      </c>
      <c r="P22" s="87">
        <f t="shared" si="40"/>
        <v>0</v>
      </c>
      <c r="Q22" s="87">
        <f t="shared" si="40"/>
        <v>0</v>
      </c>
      <c r="R22" s="87">
        <f t="shared" si="40"/>
        <v>0</v>
      </c>
      <c r="S22" s="87">
        <f t="shared" si="39"/>
        <v>0</v>
      </c>
      <c r="T22" s="87">
        <f t="shared" si="39"/>
        <v>0</v>
      </c>
      <c r="U22" s="65"/>
      <c r="V22" s="88">
        <v>306</v>
      </c>
      <c r="W22" s="87">
        <f t="shared" si="2"/>
        <v>2</v>
      </c>
      <c r="X22" s="87">
        <f t="shared" si="3"/>
        <v>0</v>
      </c>
      <c r="Y22" s="87">
        <f t="shared" si="4"/>
        <v>27</v>
      </c>
      <c r="Z22" s="87">
        <f t="shared" si="5"/>
        <v>0</v>
      </c>
      <c r="AA22" s="87">
        <f t="shared" si="6"/>
        <v>12</v>
      </c>
      <c r="AB22" s="87">
        <f t="shared" si="7"/>
        <v>0</v>
      </c>
      <c r="AC22" s="87">
        <f t="shared" si="8"/>
        <v>0</v>
      </c>
      <c r="AD22" s="87">
        <f t="shared" si="9"/>
        <v>0</v>
      </c>
      <c r="AE22" s="87">
        <f t="shared" si="10"/>
        <v>0</v>
      </c>
      <c r="AF22" s="87">
        <f t="shared" si="11"/>
        <v>0</v>
      </c>
      <c r="AG22" s="87">
        <f t="shared" si="12"/>
        <v>0</v>
      </c>
      <c r="AH22" s="87">
        <f t="shared" si="13"/>
        <v>0</v>
      </c>
      <c r="AI22" s="87">
        <f t="shared" si="14"/>
        <v>0</v>
      </c>
      <c r="AJ22" s="87">
        <f t="shared" si="15"/>
        <v>0</v>
      </c>
      <c r="AK22" s="87">
        <f t="shared" si="16"/>
        <v>0</v>
      </c>
      <c r="AL22" s="87">
        <f t="shared" si="17"/>
        <v>0</v>
      </c>
      <c r="AM22" s="87">
        <f t="shared" si="18"/>
        <v>0</v>
      </c>
      <c r="AN22" s="87">
        <f t="shared" si="19"/>
        <v>0</v>
      </c>
      <c r="AO22" s="65"/>
      <c r="AP22" s="85">
        <v>347</v>
      </c>
      <c r="AQ22" s="87">
        <f t="shared" si="20"/>
        <v>2</v>
      </c>
      <c r="AR22" s="87">
        <f t="shared" si="21"/>
        <v>0</v>
      </c>
      <c r="AS22" s="87">
        <f t="shared" si="22"/>
        <v>0</v>
      </c>
      <c r="AT22" s="87">
        <f t="shared" si="23"/>
        <v>0</v>
      </c>
      <c r="AU22" s="87">
        <f t="shared" si="24"/>
        <v>0</v>
      </c>
      <c r="AV22" s="87">
        <f t="shared" si="25"/>
        <v>0</v>
      </c>
      <c r="AW22" s="87">
        <f t="shared" si="26"/>
        <v>0</v>
      </c>
      <c r="AX22" s="87">
        <f t="shared" si="27"/>
        <v>0</v>
      </c>
      <c r="AY22" s="87">
        <f t="shared" si="28"/>
        <v>0</v>
      </c>
      <c r="AZ22" s="87">
        <f t="shared" si="29"/>
        <v>0</v>
      </c>
      <c r="BA22" s="87">
        <f t="shared" si="30"/>
        <v>0</v>
      </c>
      <c r="BB22" s="87">
        <f t="shared" si="31"/>
        <v>0</v>
      </c>
      <c r="BC22" s="87">
        <f t="shared" si="32"/>
        <v>0</v>
      </c>
      <c r="BD22" s="87">
        <f t="shared" si="33"/>
        <v>0</v>
      </c>
      <c r="BE22" s="87">
        <f t="shared" si="34"/>
        <v>0</v>
      </c>
      <c r="BF22" s="87">
        <f t="shared" si="35"/>
        <v>0</v>
      </c>
      <c r="BG22" s="87">
        <f t="shared" si="36"/>
        <v>0</v>
      </c>
      <c r="BH22" s="87">
        <f t="shared" si="37"/>
        <v>0</v>
      </c>
    </row>
    <row r="23" spans="2:60" s="64" customFormat="1" ht="18.75" x14ac:dyDescent="0.3">
      <c r="B23" s="88">
        <v>266</v>
      </c>
      <c r="C23" s="87">
        <f t="shared" si="40"/>
        <v>2</v>
      </c>
      <c r="D23" s="87">
        <f t="shared" si="40"/>
        <v>54</v>
      </c>
      <c r="E23" s="87">
        <f t="shared" si="40"/>
        <v>97</v>
      </c>
      <c r="F23" s="87">
        <f t="shared" si="40"/>
        <v>99</v>
      </c>
      <c r="G23" s="87">
        <f t="shared" si="40"/>
        <v>110</v>
      </c>
      <c r="H23" s="87">
        <f t="shared" si="40"/>
        <v>24</v>
      </c>
      <c r="I23" s="87">
        <f t="shared" si="40"/>
        <v>35</v>
      </c>
      <c r="J23" s="87">
        <f t="shared" si="40"/>
        <v>22</v>
      </c>
      <c r="K23" s="87">
        <f t="shared" si="40"/>
        <v>30</v>
      </c>
      <c r="L23" s="87">
        <f t="shared" si="40"/>
        <v>27</v>
      </c>
      <c r="M23" s="87">
        <f t="shared" si="40"/>
        <v>0</v>
      </c>
      <c r="N23" s="87">
        <f t="shared" si="40"/>
        <v>0</v>
      </c>
      <c r="O23" s="87">
        <f t="shared" si="40"/>
        <v>0</v>
      </c>
      <c r="P23" s="87">
        <f t="shared" si="40"/>
        <v>0</v>
      </c>
      <c r="Q23" s="87">
        <f t="shared" si="40"/>
        <v>0</v>
      </c>
      <c r="R23" s="87">
        <f t="shared" si="40"/>
        <v>0</v>
      </c>
      <c r="S23" s="87">
        <f t="shared" si="39"/>
        <v>0</v>
      </c>
      <c r="T23" s="87">
        <f t="shared" si="39"/>
        <v>0</v>
      </c>
      <c r="U23" s="65"/>
      <c r="V23" s="85">
        <v>307</v>
      </c>
      <c r="W23" s="87">
        <f t="shared" si="2"/>
        <v>2</v>
      </c>
      <c r="X23" s="87">
        <f t="shared" si="3"/>
        <v>0</v>
      </c>
      <c r="Y23" s="87">
        <f t="shared" si="4"/>
        <v>0</v>
      </c>
      <c r="Z23" s="87">
        <f t="shared" si="5"/>
        <v>0</v>
      </c>
      <c r="AA23" s="87">
        <f t="shared" si="6"/>
        <v>0</v>
      </c>
      <c r="AB23" s="87">
        <f t="shared" si="7"/>
        <v>0</v>
      </c>
      <c r="AC23" s="87">
        <f t="shared" si="8"/>
        <v>0</v>
      </c>
      <c r="AD23" s="87">
        <f t="shared" si="9"/>
        <v>0</v>
      </c>
      <c r="AE23" s="87">
        <f t="shared" si="10"/>
        <v>0</v>
      </c>
      <c r="AF23" s="87">
        <f t="shared" si="11"/>
        <v>0</v>
      </c>
      <c r="AG23" s="87">
        <f t="shared" si="12"/>
        <v>0</v>
      </c>
      <c r="AH23" s="87">
        <f t="shared" si="13"/>
        <v>0</v>
      </c>
      <c r="AI23" s="87">
        <f t="shared" si="14"/>
        <v>0</v>
      </c>
      <c r="AJ23" s="87">
        <f t="shared" si="15"/>
        <v>0</v>
      </c>
      <c r="AK23" s="87">
        <f t="shared" si="16"/>
        <v>0</v>
      </c>
      <c r="AL23" s="87">
        <f t="shared" si="17"/>
        <v>0</v>
      </c>
      <c r="AM23" s="87">
        <f t="shared" si="18"/>
        <v>0</v>
      </c>
      <c r="AN23" s="87">
        <f t="shared" si="19"/>
        <v>0</v>
      </c>
      <c r="AO23" s="65"/>
      <c r="AP23" s="88">
        <v>348</v>
      </c>
      <c r="AQ23" s="87">
        <f t="shared" si="20"/>
        <v>2</v>
      </c>
      <c r="AR23" s="87">
        <f t="shared" si="21"/>
        <v>0</v>
      </c>
      <c r="AS23" s="87">
        <f t="shared" si="22"/>
        <v>0</v>
      </c>
      <c r="AT23" s="87">
        <f t="shared" si="23"/>
        <v>0</v>
      </c>
      <c r="AU23" s="87">
        <f t="shared" si="24"/>
        <v>0</v>
      </c>
      <c r="AV23" s="87">
        <f t="shared" si="25"/>
        <v>0</v>
      </c>
      <c r="AW23" s="87">
        <f t="shared" si="26"/>
        <v>0</v>
      </c>
      <c r="AX23" s="87">
        <f t="shared" si="27"/>
        <v>0</v>
      </c>
      <c r="AY23" s="87">
        <f t="shared" si="28"/>
        <v>0</v>
      </c>
      <c r="AZ23" s="87">
        <f t="shared" si="29"/>
        <v>0</v>
      </c>
      <c r="BA23" s="87">
        <f t="shared" si="30"/>
        <v>0</v>
      </c>
      <c r="BB23" s="87">
        <f t="shared" si="31"/>
        <v>0</v>
      </c>
      <c r="BC23" s="87">
        <f t="shared" si="32"/>
        <v>0</v>
      </c>
      <c r="BD23" s="87">
        <f t="shared" si="33"/>
        <v>0</v>
      </c>
      <c r="BE23" s="87">
        <f t="shared" si="34"/>
        <v>0</v>
      </c>
      <c r="BF23" s="87">
        <f t="shared" si="35"/>
        <v>0</v>
      </c>
      <c r="BG23" s="87">
        <f t="shared" si="36"/>
        <v>0</v>
      </c>
      <c r="BH23" s="87">
        <f t="shared" si="37"/>
        <v>0</v>
      </c>
    </row>
    <row r="24" spans="2:60" s="64" customFormat="1" ht="18.75" x14ac:dyDescent="0.3">
      <c r="B24" s="85">
        <v>267</v>
      </c>
      <c r="C24" s="87">
        <f t="shared" si="40"/>
        <v>2</v>
      </c>
      <c r="D24" s="87">
        <f t="shared" si="40"/>
        <v>0</v>
      </c>
      <c r="E24" s="87">
        <f t="shared" si="40"/>
        <v>0</v>
      </c>
      <c r="F24" s="87">
        <f t="shared" si="40"/>
        <v>0</v>
      </c>
      <c r="G24" s="87">
        <f t="shared" si="40"/>
        <v>0</v>
      </c>
      <c r="H24" s="87">
        <f t="shared" si="40"/>
        <v>0</v>
      </c>
      <c r="I24" s="87">
        <f t="shared" si="40"/>
        <v>0</v>
      </c>
      <c r="J24" s="87">
        <f t="shared" si="40"/>
        <v>0</v>
      </c>
      <c r="K24" s="87">
        <f t="shared" si="40"/>
        <v>0</v>
      </c>
      <c r="L24" s="87">
        <f t="shared" si="40"/>
        <v>0</v>
      </c>
      <c r="M24" s="87">
        <f t="shared" si="40"/>
        <v>0</v>
      </c>
      <c r="N24" s="87">
        <f t="shared" si="40"/>
        <v>0</v>
      </c>
      <c r="O24" s="87">
        <f t="shared" si="40"/>
        <v>0</v>
      </c>
      <c r="P24" s="87">
        <f t="shared" si="40"/>
        <v>0</v>
      </c>
      <c r="Q24" s="87">
        <f t="shared" si="40"/>
        <v>0</v>
      </c>
      <c r="R24" s="87">
        <f t="shared" si="40"/>
        <v>0</v>
      </c>
      <c r="S24" s="87">
        <f t="shared" si="39"/>
        <v>0</v>
      </c>
      <c r="T24" s="87">
        <f t="shared" si="39"/>
        <v>0</v>
      </c>
      <c r="U24" s="65"/>
      <c r="V24" s="88">
        <v>308</v>
      </c>
      <c r="W24" s="87">
        <f t="shared" si="2"/>
        <v>2</v>
      </c>
      <c r="X24" s="87">
        <f t="shared" si="3"/>
        <v>0</v>
      </c>
      <c r="Y24" s="87">
        <f t="shared" si="4"/>
        <v>0</v>
      </c>
      <c r="Z24" s="87">
        <f t="shared" si="5"/>
        <v>0</v>
      </c>
      <c r="AA24" s="87">
        <f t="shared" si="6"/>
        <v>0</v>
      </c>
      <c r="AB24" s="87">
        <f t="shared" si="7"/>
        <v>0</v>
      </c>
      <c r="AC24" s="87">
        <f t="shared" si="8"/>
        <v>0</v>
      </c>
      <c r="AD24" s="87">
        <f t="shared" si="9"/>
        <v>0</v>
      </c>
      <c r="AE24" s="87">
        <f t="shared" si="10"/>
        <v>0</v>
      </c>
      <c r="AF24" s="87">
        <f t="shared" si="11"/>
        <v>0</v>
      </c>
      <c r="AG24" s="87">
        <f t="shared" si="12"/>
        <v>0</v>
      </c>
      <c r="AH24" s="87">
        <f t="shared" si="13"/>
        <v>0</v>
      </c>
      <c r="AI24" s="87">
        <f t="shared" si="14"/>
        <v>0</v>
      </c>
      <c r="AJ24" s="87">
        <f t="shared" si="15"/>
        <v>0</v>
      </c>
      <c r="AK24" s="87">
        <f t="shared" si="16"/>
        <v>0</v>
      </c>
      <c r="AL24" s="87">
        <f t="shared" si="17"/>
        <v>0</v>
      </c>
      <c r="AM24" s="87">
        <f t="shared" si="18"/>
        <v>0</v>
      </c>
      <c r="AN24" s="87">
        <f t="shared" si="19"/>
        <v>0</v>
      </c>
      <c r="AO24" s="65"/>
      <c r="AP24" s="85">
        <v>349</v>
      </c>
      <c r="AQ24" s="87">
        <f t="shared" si="20"/>
        <v>2</v>
      </c>
      <c r="AR24" s="87">
        <f t="shared" si="21"/>
        <v>0</v>
      </c>
      <c r="AS24" s="87">
        <f t="shared" si="22"/>
        <v>0</v>
      </c>
      <c r="AT24" s="87">
        <f t="shared" si="23"/>
        <v>0</v>
      </c>
      <c r="AU24" s="87">
        <f t="shared" si="24"/>
        <v>0</v>
      </c>
      <c r="AV24" s="87">
        <f t="shared" si="25"/>
        <v>0</v>
      </c>
      <c r="AW24" s="87">
        <f t="shared" si="26"/>
        <v>0</v>
      </c>
      <c r="AX24" s="87">
        <f t="shared" si="27"/>
        <v>0</v>
      </c>
      <c r="AY24" s="87">
        <f t="shared" si="28"/>
        <v>0</v>
      </c>
      <c r="AZ24" s="87">
        <f t="shared" si="29"/>
        <v>0</v>
      </c>
      <c r="BA24" s="87">
        <f t="shared" si="30"/>
        <v>0</v>
      </c>
      <c r="BB24" s="87">
        <f t="shared" si="31"/>
        <v>0</v>
      </c>
      <c r="BC24" s="87">
        <f t="shared" si="32"/>
        <v>0</v>
      </c>
      <c r="BD24" s="87">
        <f t="shared" si="33"/>
        <v>0</v>
      </c>
      <c r="BE24" s="87">
        <f t="shared" si="34"/>
        <v>0</v>
      </c>
      <c r="BF24" s="87">
        <f t="shared" si="35"/>
        <v>0</v>
      </c>
      <c r="BG24" s="87">
        <f t="shared" si="36"/>
        <v>0</v>
      </c>
      <c r="BH24" s="87">
        <f t="shared" si="37"/>
        <v>0</v>
      </c>
    </row>
    <row r="25" spans="2:60" s="64" customFormat="1" ht="18.75" x14ac:dyDescent="0.3">
      <c r="B25" s="88">
        <v>268</v>
      </c>
      <c r="C25" s="87">
        <f t="shared" si="40"/>
        <v>2</v>
      </c>
      <c r="D25" s="87">
        <f t="shared" si="40"/>
        <v>0</v>
      </c>
      <c r="E25" s="87">
        <f t="shared" si="40"/>
        <v>0</v>
      </c>
      <c r="F25" s="87">
        <f t="shared" si="40"/>
        <v>0</v>
      </c>
      <c r="G25" s="87">
        <f t="shared" si="40"/>
        <v>0</v>
      </c>
      <c r="H25" s="87">
        <f t="shared" si="40"/>
        <v>0</v>
      </c>
      <c r="I25" s="87">
        <f t="shared" si="40"/>
        <v>0</v>
      </c>
      <c r="J25" s="87">
        <f t="shared" si="40"/>
        <v>0</v>
      </c>
      <c r="K25" s="87">
        <f t="shared" si="40"/>
        <v>0</v>
      </c>
      <c r="L25" s="87">
        <f t="shared" si="40"/>
        <v>0</v>
      </c>
      <c r="M25" s="87">
        <f t="shared" si="40"/>
        <v>0</v>
      </c>
      <c r="N25" s="87">
        <f t="shared" si="40"/>
        <v>0</v>
      </c>
      <c r="O25" s="87">
        <f t="shared" si="40"/>
        <v>0</v>
      </c>
      <c r="P25" s="87">
        <f t="shared" si="40"/>
        <v>0</v>
      </c>
      <c r="Q25" s="87">
        <f t="shared" si="40"/>
        <v>0</v>
      </c>
      <c r="R25" s="87">
        <f t="shared" si="40"/>
        <v>0</v>
      </c>
      <c r="S25" s="87">
        <f t="shared" si="39"/>
        <v>0</v>
      </c>
      <c r="T25" s="87">
        <f t="shared" si="39"/>
        <v>0</v>
      </c>
      <c r="U25" s="65"/>
      <c r="V25" s="85">
        <v>309</v>
      </c>
      <c r="W25" s="87">
        <f t="shared" si="2"/>
        <v>2</v>
      </c>
      <c r="X25" s="87">
        <f t="shared" si="3"/>
        <v>0</v>
      </c>
      <c r="Y25" s="87">
        <f t="shared" si="4"/>
        <v>0</v>
      </c>
      <c r="Z25" s="87">
        <f t="shared" si="5"/>
        <v>0</v>
      </c>
      <c r="AA25" s="87">
        <f t="shared" si="6"/>
        <v>0</v>
      </c>
      <c r="AB25" s="87">
        <f t="shared" si="7"/>
        <v>0</v>
      </c>
      <c r="AC25" s="87">
        <f t="shared" si="8"/>
        <v>0</v>
      </c>
      <c r="AD25" s="87">
        <f t="shared" si="9"/>
        <v>0</v>
      </c>
      <c r="AE25" s="87">
        <f t="shared" si="10"/>
        <v>0</v>
      </c>
      <c r="AF25" s="87">
        <f t="shared" si="11"/>
        <v>0</v>
      </c>
      <c r="AG25" s="87">
        <f t="shared" si="12"/>
        <v>0</v>
      </c>
      <c r="AH25" s="87">
        <f t="shared" si="13"/>
        <v>0</v>
      </c>
      <c r="AI25" s="87">
        <f t="shared" si="14"/>
        <v>0</v>
      </c>
      <c r="AJ25" s="87">
        <f t="shared" si="15"/>
        <v>0</v>
      </c>
      <c r="AK25" s="87">
        <f t="shared" si="16"/>
        <v>0</v>
      </c>
      <c r="AL25" s="87">
        <f t="shared" si="17"/>
        <v>0</v>
      </c>
      <c r="AM25" s="87">
        <f t="shared" si="18"/>
        <v>0</v>
      </c>
      <c r="AN25" s="87">
        <f t="shared" si="19"/>
        <v>0</v>
      </c>
      <c r="AO25" s="65"/>
      <c r="AP25" s="88">
        <v>350</v>
      </c>
      <c r="AQ25" s="87">
        <f t="shared" si="20"/>
        <v>2</v>
      </c>
      <c r="AR25" s="87">
        <f t="shared" si="21"/>
        <v>0</v>
      </c>
      <c r="AS25" s="87">
        <f t="shared" si="22"/>
        <v>0</v>
      </c>
      <c r="AT25" s="87">
        <f t="shared" si="23"/>
        <v>0</v>
      </c>
      <c r="AU25" s="87">
        <f t="shared" si="24"/>
        <v>0</v>
      </c>
      <c r="AV25" s="87">
        <f t="shared" si="25"/>
        <v>0</v>
      </c>
      <c r="AW25" s="87">
        <f t="shared" si="26"/>
        <v>0</v>
      </c>
      <c r="AX25" s="87">
        <f t="shared" si="27"/>
        <v>0</v>
      </c>
      <c r="AY25" s="87">
        <f t="shared" si="28"/>
        <v>0</v>
      </c>
      <c r="AZ25" s="87">
        <f t="shared" si="29"/>
        <v>0</v>
      </c>
      <c r="BA25" s="87">
        <f t="shared" si="30"/>
        <v>0</v>
      </c>
      <c r="BB25" s="87">
        <f t="shared" si="31"/>
        <v>0</v>
      </c>
      <c r="BC25" s="87">
        <f t="shared" si="32"/>
        <v>0</v>
      </c>
      <c r="BD25" s="87">
        <f t="shared" si="33"/>
        <v>0</v>
      </c>
      <c r="BE25" s="87">
        <f t="shared" si="34"/>
        <v>0</v>
      </c>
      <c r="BF25" s="87">
        <f t="shared" si="35"/>
        <v>0</v>
      </c>
      <c r="BG25" s="87">
        <f t="shared" si="36"/>
        <v>0</v>
      </c>
      <c r="BH25" s="87">
        <f t="shared" si="37"/>
        <v>0</v>
      </c>
    </row>
    <row r="26" spans="2:60" s="64" customFormat="1" ht="18.75" x14ac:dyDescent="0.3">
      <c r="B26" s="85">
        <v>269</v>
      </c>
      <c r="C26" s="87">
        <f t="shared" si="40"/>
        <v>2</v>
      </c>
      <c r="D26" s="87">
        <f t="shared" si="40"/>
        <v>11</v>
      </c>
      <c r="E26" s="87">
        <f t="shared" si="40"/>
        <v>7</v>
      </c>
      <c r="F26" s="87">
        <f t="shared" si="40"/>
        <v>11</v>
      </c>
      <c r="G26" s="87">
        <f t="shared" si="40"/>
        <v>10</v>
      </c>
      <c r="H26" s="87">
        <f t="shared" si="40"/>
        <v>12</v>
      </c>
      <c r="I26" s="87">
        <f t="shared" si="40"/>
        <v>10</v>
      </c>
      <c r="J26" s="87">
        <f t="shared" si="40"/>
        <v>9</v>
      </c>
      <c r="K26" s="87">
        <f t="shared" si="40"/>
        <v>13</v>
      </c>
      <c r="L26" s="87">
        <f t="shared" si="40"/>
        <v>0</v>
      </c>
      <c r="M26" s="87">
        <f t="shared" si="40"/>
        <v>0</v>
      </c>
      <c r="N26" s="87">
        <f t="shared" si="40"/>
        <v>0</v>
      </c>
      <c r="O26" s="87">
        <f t="shared" si="40"/>
        <v>0</v>
      </c>
      <c r="P26" s="87">
        <f t="shared" si="40"/>
        <v>0</v>
      </c>
      <c r="Q26" s="87">
        <f t="shared" si="40"/>
        <v>0</v>
      </c>
      <c r="R26" s="87">
        <f t="shared" si="40"/>
        <v>0</v>
      </c>
      <c r="S26" s="87">
        <f t="shared" si="39"/>
        <v>0</v>
      </c>
      <c r="T26" s="87">
        <f t="shared" si="39"/>
        <v>0</v>
      </c>
      <c r="U26" s="65"/>
      <c r="V26" s="88">
        <v>310</v>
      </c>
      <c r="W26" s="87">
        <f t="shared" si="2"/>
        <v>2</v>
      </c>
      <c r="X26" s="87">
        <f t="shared" si="3"/>
        <v>0</v>
      </c>
      <c r="Y26" s="87">
        <f t="shared" si="4"/>
        <v>0</v>
      </c>
      <c r="Z26" s="87">
        <f t="shared" si="5"/>
        <v>0</v>
      </c>
      <c r="AA26" s="87">
        <f t="shared" si="6"/>
        <v>0</v>
      </c>
      <c r="AB26" s="87">
        <f t="shared" si="7"/>
        <v>0</v>
      </c>
      <c r="AC26" s="87">
        <f t="shared" si="8"/>
        <v>0</v>
      </c>
      <c r="AD26" s="87">
        <f t="shared" si="9"/>
        <v>0</v>
      </c>
      <c r="AE26" s="87">
        <f t="shared" si="10"/>
        <v>0</v>
      </c>
      <c r="AF26" s="87">
        <f t="shared" si="11"/>
        <v>0</v>
      </c>
      <c r="AG26" s="87">
        <f t="shared" si="12"/>
        <v>0</v>
      </c>
      <c r="AH26" s="87">
        <f t="shared" si="13"/>
        <v>0</v>
      </c>
      <c r="AI26" s="87">
        <f t="shared" si="14"/>
        <v>0</v>
      </c>
      <c r="AJ26" s="87">
        <f t="shared" si="15"/>
        <v>0</v>
      </c>
      <c r="AK26" s="87">
        <f t="shared" si="16"/>
        <v>0</v>
      </c>
      <c r="AL26" s="87">
        <f t="shared" si="17"/>
        <v>0</v>
      </c>
      <c r="AM26" s="87">
        <f t="shared" si="18"/>
        <v>0</v>
      </c>
      <c r="AN26" s="87">
        <f t="shared" si="19"/>
        <v>0</v>
      </c>
      <c r="AO26" s="65"/>
      <c r="AP26" s="85">
        <v>351</v>
      </c>
      <c r="AQ26" s="87">
        <f t="shared" si="20"/>
        <v>2</v>
      </c>
      <c r="AR26" s="87">
        <f t="shared" si="21"/>
        <v>0</v>
      </c>
      <c r="AS26" s="87">
        <f t="shared" si="22"/>
        <v>0</v>
      </c>
      <c r="AT26" s="87">
        <f t="shared" si="23"/>
        <v>0</v>
      </c>
      <c r="AU26" s="87">
        <f t="shared" si="24"/>
        <v>0</v>
      </c>
      <c r="AV26" s="87">
        <f t="shared" si="25"/>
        <v>0</v>
      </c>
      <c r="AW26" s="87">
        <f t="shared" si="26"/>
        <v>0</v>
      </c>
      <c r="AX26" s="87">
        <f t="shared" si="27"/>
        <v>0</v>
      </c>
      <c r="AY26" s="87">
        <f t="shared" si="28"/>
        <v>0</v>
      </c>
      <c r="AZ26" s="87">
        <f t="shared" si="29"/>
        <v>0</v>
      </c>
      <c r="BA26" s="87">
        <f t="shared" si="30"/>
        <v>0</v>
      </c>
      <c r="BB26" s="87">
        <f t="shared" si="31"/>
        <v>0</v>
      </c>
      <c r="BC26" s="87">
        <f t="shared" si="32"/>
        <v>0</v>
      </c>
      <c r="BD26" s="87">
        <f t="shared" si="33"/>
        <v>0</v>
      </c>
      <c r="BE26" s="87">
        <f t="shared" si="34"/>
        <v>0</v>
      </c>
      <c r="BF26" s="87">
        <f t="shared" si="35"/>
        <v>0</v>
      </c>
      <c r="BG26" s="87">
        <f t="shared" si="36"/>
        <v>0</v>
      </c>
      <c r="BH26" s="87">
        <f t="shared" si="37"/>
        <v>0</v>
      </c>
    </row>
    <row r="27" spans="2:60" s="64" customFormat="1" ht="18.75" x14ac:dyDescent="0.3">
      <c r="B27" s="88">
        <v>270</v>
      </c>
      <c r="C27" s="87">
        <f t="shared" si="40"/>
        <v>2</v>
      </c>
      <c r="D27" s="87">
        <f t="shared" si="40"/>
        <v>0</v>
      </c>
      <c r="E27" s="87">
        <f t="shared" si="40"/>
        <v>0</v>
      </c>
      <c r="F27" s="87">
        <f t="shared" si="40"/>
        <v>0</v>
      </c>
      <c r="G27" s="87">
        <f t="shared" si="40"/>
        <v>0</v>
      </c>
      <c r="H27" s="87">
        <f t="shared" si="40"/>
        <v>0</v>
      </c>
      <c r="I27" s="87">
        <f t="shared" si="40"/>
        <v>0</v>
      </c>
      <c r="J27" s="87">
        <f t="shared" si="40"/>
        <v>0</v>
      </c>
      <c r="K27" s="87">
        <f t="shared" si="40"/>
        <v>20</v>
      </c>
      <c r="L27" s="87">
        <f t="shared" si="40"/>
        <v>0</v>
      </c>
      <c r="M27" s="87">
        <f t="shared" si="40"/>
        <v>0</v>
      </c>
      <c r="N27" s="87">
        <f t="shared" si="40"/>
        <v>0</v>
      </c>
      <c r="O27" s="87">
        <f t="shared" si="40"/>
        <v>0</v>
      </c>
      <c r="P27" s="87">
        <f t="shared" si="40"/>
        <v>0</v>
      </c>
      <c r="Q27" s="87">
        <f t="shared" si="40"/>
        <v>0</v>
      </c>
      <c r="R27" s="87">
        <f t="shared" si="40"/>
        <v>0</v>
      </c>
      <c r="S27" s="87">
        <f t="shared" si="39"/>
        <v>0</v>
      </c>
      <c r="T27" s="87">
        <f t="shared" si="39"/>
        <v>0</v>
      </c>
      <c r="U27" s="65"/>
      <c r="V27" s="85">
        <v>311</v>
      </c>
      <c r="W27" s="87">
        <f t="shared" si="2"/>
        <v>2</v>
      </c>
      <c r="X27" s="87">
        <f t="shared" si="3"/>
        <v>13</v>
      </c>
      <c r="Y27" s="87">
        <f t="shared" si="4"/>
        <v>12</v>
      </c>
      <c r="Z27" s="87">
        <f t="shared" si="5"/>
        <v>0</v>
      </c>
      <c r="AA27" s="87">
        <f t="shared" si="6"/>
        <v>9</v>
      </c>
      <c r="AB27" s="87">
        <f t="shared" si="7"/>
        <v>11</v>
      </c>
      <c r="AC27" s="87">
        <f t="shared" si="8"/>
        <v>7</v>
      </c>
      <c r="AD27" s="87">
        <f t="shared" si="9"/>
        <v>17</v>
      </c>
      <c r="AE27" s="87">
        <f t="shared" si="10"/>
        <v>8</v>
      </c>
      <c r="AF27" s="87">
        <f t="shared" si="11"/>
        <v>3</v>
      </c>
      <c r="AG27" s="87">
        <f t="shared" si="12"/>
        <v>0</v>
      </c>
      <c r="AH27" s="87">
        <f t="shared" si="13"/>
        <v>0</v>
      </c>
      <c r="AI27" s="87">
        <f t="shared" si="14"/>
        <v>0</v>
      </c>
      <c r="AJ27" s="87">
        <f t="shared" si="15"/>
        <v>0</v>
      </c>
      <c r="AK27" s="87">
        <f t="shared" si="16"/>
        <v>0</v>
      </c>
      <c r="AL27" s="87">
        <f t="shared" si="17"/>
        <v>0</v>
      </c>
      <c r="AM27" s="87">
        <f t="shared" si="18"/>
        <v>0</v>
      </c>
      <c r="AN27" s="87">
        <f t="shared" si="19"/>
        <v>0</v>
      </c>
      <c r="AO27" s="65"/>
      <c r="AP27" s="88">
        <v>352</v>
      </c>
      <c r="AQ27" s="87">
        <f t="shared" si="20"/>
        <v>2</v>
      </c>
      <c r="AR27" s="87">
        <f t="shared" si="21"/>
        <v>0</v>
      </c>
      <c r="AS27" s="87">
        <f t="shared" si="22"/>
        <v>0</v>
      </c>
      <c r="AT27" s="87">
        <f t="shared" si="23"/>
        <v>0</v>
      </c>
      <c r="AU27" s="87">
        <f t="shared" si="24"/>
        <v>0</v>
      </c>
      <c r="AV27" s="87">
        <f t="shared" si="25"/>
        <v>0</v>
      </c>
      <c r="AW27" s="87">
        <f t="shared" si="26"/>
        <v>0</v>
      </c>
      <c r="AX27" s="87">
        <f t="shared" si="27"/>
        <v>0</v>
      </c>
      <c r="AY27" s="87">
        <f t="shared" si="28"/>
        <v>0</v>
      </c>
      <c r="AZ27" s="87">
        <f t="shared" si="29"/>
        <v>0</v>
      </c>
      <c r="BA27" s="87">
        <f t="shared" si="30"/>
        <v>0</v>
      </c>
      <c r="BB27" s="87">
        <f t="shared" si="31"/>
        <v>0</v>
      </c>
      <c r="BC27" s="87">
        <f t="shared" si="32"/>
        <v>0</v>
      </c>
      <c r="BD27" s="87">
        <f t="shared" si="33"/>
        <v>0</v>
      </c>
      <c r="BE27" s="87">
        <f t="shared" si="34"/>
        <v>0</v>
      </c>
      <c r="BF27" s="87">
        <f t="shared" si="35"/>
        <v>0</v>
      </c>
      <c r="BG27" s="87">
        <f t="shared" si="36"/>
        <v>0</v>
      </c>
      <c r="BH27" s="87">
        <f t="shared" si="37"/>
        <v>0</v>
      </c>
    </row>
    <row r="28" spans="2:60" s="64" customFormat="1" ht="18.75" x14ac:dyDescent="0.3">
      <c r="B28" s="85">
        <v>271</v>
      </c>
      <c r="C28" s="87">
        <f t="shared" si="40"/>
        <v>2</v>
      </c>
      <c r="D28" s="87">
        <f t="shared" si="40"/>
        <v>28</v>
      </c>
      <c r="E28" s="87">
        <f t="shared" si="40"/>
        <v>41</v>
      </c>
      <c r="F28" s="87">
        <f t="shared" si="40"/>
        <v>27</v>
      </c>
      <c r="G28" s="87">
        <f t="shared" si="40"/>
        <v>20</v>
      </c>
      <c r="H28" s="87">
        <f t="shared" si="40"/>
        <v>59</v>
      </c>
      <c r="I28" s="87">
        <f t="shared" si="40"/>
        <v>24</v>
      </c>
      <c r="J28" s="87">
        <f t="shared" si="40"/>
        <v>43</v>
      </c>
      <c r="K28" s="87">
        <f t="shared" si="40"/>
        <v>50</v>
      </c>
      <c r="L28" s="87">
        <f t="shared" si="40"/>
        <v>35</v>
      </c>
      <c r="M28" s="87">
        <f t="shared" si="40"/>
        <v>0</v>
      </c>
      <c r="N28" s="87">
        <f t="shared" si="40"/>
        <v>0</v>
      </c>
      <c r="O28" s="87">
        <f t="shared" si="40"/>
        <v>0</v>
      </c>
      <c r="P28" s="87">
        <f t="shared" si="40"/>
        <v>0</v>
      </c>
      <c r="Q28" s="87">
        <f t="shared" si="40"/>
        <v>0</v>
      </c>
      <c r="R28" s="87">
        <f t="shared" si="40"/>
        <v>0</v>
      </c>
      <c r="S28" s="87">
        <f t="shared" si="39"/>
        <v>0</v>
      </c>
      <c r="T28" s="87">
        <f t="shared" si="39"/>
        <v>0</v>
      </c>
      <c r="U28" s="65"/>
      <c r="V28" s="88">
        <v>312</v>
      </c>
      <c r="W28" s="87">
        <f t="shared" si="2"/>
        <v>2</v>
      </c>
      <c r="X28" s="87">
        <f t="shared" si="3"/>
        <v>37</v>
      </c>
      <c r="Y28" s="87">
        <f t="shared" si="4"/>
        <v>26</v>
      </c>
      <c r="Z28" s="87">
        <f t="shared" si="5"/>
        <v>10</v>
      </c>
      <c r="AA28" s="87">
        <f t="shared" si="6"/>
        <v>6</v>
      </c>
      <c r="AB28" s="87">
        <f t="shared" si="7"/>
        <v>8</v>
      </c>
      <c r="AC28" s="87">
        <f t="shared" si="8"/>
        <v>0</v>
      </c>
      <c r="AD28" s="87">
        <f t="shared" si="9"/>
        <v>15</v>
      </c>
      <c r="AE28" s="87">
        <f t="shared" si="10"/>
        <v>0</v>
      </c>
      <c r="AF28" s="87">
        <f t="shared" si="11"/>
        <v>0</v>
      </c>
      <c r="AG28" s="87">
        <f t="shared" si="12"/>
        <v>0</v>
      </c>
      <c r="AH28" s="87">
        <f t="shared" si="13"/>
        <v>0</v>
      </c>
      <c r="AI28" s="87">
        <f t="shared" si="14"/>
        <v>0</v>
      </c>
      <c r="AJ28" s="87">
        <f t="shared" si="15"/>
        <v>0</v>
      </c>
      <c r="AK28" s="87">
        <f t="shared" si="16"/>
        <v>0</v>
      </c>
      <c r="AL28" s="87">
        <f t="shared" si="17"/>
        <v>0</v>
      </c>
      <c r="AM28" s="87">
        <f t="shared" si="18"/>
        <v>0</v>
      </c>
      <c r="AN28" s="87">
        <f t="shared" si="19"/>
        <v>0</v>
      </c>
      <c r="AO28" s="65"/>
      <c r="AP28" s="85">
        <v>353</v>
      </c>
      <c r="AQ28" s="87">
        <f t="shared" si="20"/>
        <v>2</v>
      </c>
      <c r="AR28" s="87">
        <f t="shared" si="21"/>
        <v>0</v>
      </c>
      <c r="AS28" s="87">
        <f t="shared" si="22"/>
        <v>0</v>
      </c>
      <c r="AT28" s="87">
        <f t="shared" si="23"/>
        <v>0</v>
      </c>
      <c r="AU28" s="87">
        <f t="shared" si="24"/>
        <v>0</v>
      </c>
      <c r="AV28" s="87">
        <f t="shared" si="25"/>
        <v>0</v>
      </c>
      <c r="AW28" s="87">
        <f t="shared" si="26"/>
        <v>0</v>
      </c>
      <c r="AX28" s="87">
        <f t="shared" si="27"/>
        <v>0</v>
      </c>
      <c r="AY28" s="87">
        <f t="shared" si="28"/>
        <v>0</v>
      </c>
      <c r="AZ28" s="87">
        <f t="shared" si="29"/>
        <v>0</v>
      </c>
      <c r="BA28" s="87">
        <f t="shared" si="30"/>
        <v>0</v>
      </c>
      <c r="BB28" s="87">
        <f t="shared" si="31"/>
        <v>0</v>
      </c>
      <c r="BC28" s="87">
        <f t="shared" si="32"/>
        <v>0</v>
      </c>
      <c r="BD28" s="87">
        <f t="shared" si="33"/>
        <v>0</v>
      </c>
      <c r="BE28" s="87">
        <f t="shared" si="34"/>
        <v>0</v>
      </c>
      <c r="BF28" s="87">
        <f t="shared" si="35"/>
        <v>0</v>
      </c>
      <c r="BG28" s="87">
        <f t="shared" si="36"/>
        <v>0</v>
      </c>
      <c r="BH28" s="87">
        <f t="shared" si="37"/>
        <v>0</v>
      </c>
    </row>
    <row r="29" spans="2:60" s="64" customFormat="1" ht="18.75" x14ac:dyDescent="0.3">
      <c r="B29" s="88">
        <v>272</v>
      </c>
      <c r="C29" s="87">
        <f t="shared" si="40"/>
        <v>2</v>
      </c>
      <c r="D29" s="87">
        <f t="shared" si="40"/>
        <v>28</v>
      </c>
      <c r="E29" s="87">
        <f t="shared" si="40"/>
        <v>22</v>
      </c>
      <c r="F29" s="87">
        <f t="shared" si="40"/>
        <v>23</v>
      </c>
      <c r="G29" s="87">
        <f t="shared" si="40"/>
        <v>42</v>
      </c>
      <c r="H29" s="87">
        <f t="shared" si="40"/>
        <v>52</v>
      </c>
      <c r="I29" s="87">
        <f t="shared" si="40"/>
        <v>43</v>
      </c>
      <c r="J29" s="87">
        <f t="shared" si="40"/>
        <v>37</v>
      </c>
      <c r="K29" s="87">
        <f t="shared" si="40"/>
        <v>0</v>
      </c>
      <c r="L29" s="87">
        <f t="shared" si="40"/>
        <v>34</v>
      </c>
      <c r="M29" s="87">
        <f t="shared" si="40"/>
        <v>0</v>
      </c>
      <c r="N29" s="87">
        <f t="shared" si="40"/>
        <v>0</v>
      </c>
      <c r="O29" s="87">
        <f t="shared" si="40"/>
        <v>0</v>
      </c>
      <c r="P29" s="87">
        <f t="shared" si="40"/>
        <v>0</v>
      </c>
      <c r="Q29" s="87">
        <f t="shared" si="40"/>
        <v>0</v>
      </c>
      <c r="R29" s="87">
        <f t="shared" si="40"/>
        <v>0</v>
      </c>
      <c r="S29" s="87">
        <f t="shared" si="39"/>
        <v>0</v>
      </c>
      <c r="T29" s="87">
        <f t="shared" si="39"/>
        <v>0</v>
      </c>
      <c r="U29" s="65"/>
      <c r="V29" s="85">
        <v>313</v>
      </c>
      <c r="W29" s="87">
        <f t="shared" si="2"/>
        <v>2</v>
      </c>
      <c r="X29" s="87">
        <f t="shared" si="3"/>
        <v>0</v>
      </c>
      <c r="Y29" s="87">
        <f t="shared" si="4"/>
        <v>0</v>
      </c>
      <c r="Z29" s="87">
        <f t="shared" si="5"/>
        <v>0</v>
      </c>
      <c r="AA29" s="87">
        <f t="shared" si="6"/>
        <v>0</v>
      </c>
      <c r="AB29" s="87">
        <f t="shared" si="7"/>
        <v>0</v>
      </c>
      <c r="AC29" s="87">
        <f t="shared" si="8"/>
        <v>0</v>
      </c>
      <c r="AD29" s="87">
        <f t="shared" si="9"/>
        <v>0</v>
      </c>
      <c r="AE29" s="87">
        <f t="shared" si="10"/>
        <v>0</v>
      </c>
      <c r="AF29" s="87">
        <f t="shared" si="11"/>
        <v>0</v>
      </c>
      <c r="AG29" s="87">
        <f t="shared" si="12"/>
        <v>0</v>
      </c>
      <c r="AH29" s="87">
        <f t="shared" si="13"/>
        <v>0</v>
      </c>
      <c r="AI29" s="87">
        <f t="shared" si="14"/>
        <v>0</v>
      </c>
      <c r="AJ29" s="87">
        <f t="shared" si="15"/>
        <v>0</v>
      </c>
      <c r="AK29" s="87">
        <f t="shared" si="16"/>
        <v>0</v>
      </c>
      <c r="AL29" s="87">
        <f t="shared" si="17"/>
        <v>0</v>
      </c>
      <c r="AM29" s="87">
        <f t="shared" si="18"/>
        <v>0</v>
      </c>
      <c r="AN29" s="87">
        <f t="shared" si="19"/>
        <v>0</v>
      </c>
      <c r="AO29" s="65"/>
      <c r="AP29" s="88">
        <v>354</v>
      </c>
      <c r="AQ29" s="87">
        <f t="shared" si="20"/>
        <v>2</v>
      </c>
      <c r="AR29" s="87">
        <f t="shared" si="21"/>
        <v>0</v>
      </c>
      <c r="AS29" s="87">
        <f t="shared" si="22"/>
        <v>0</v>
      </c>
      <c r="AT29" s="87">
        <f t="shared" si="23"/>
        <v>0</v>
      </c>
      <c r="AU29" s="87">
        <f t="shared" si="24"/>
        <v>0</v>
      </c>
      <c r="AV29" s="87">
        <f t="shared" si="25"/>
        <v>0</v>
      </c>
      <c r="AW29" s="87">
        <f t="shared" si="26"/>
        <v>0</v>
      </c>
      <c r="AX29" s="87">
        <f t="shared" si="27"/>
        <v>0</v>
      </c>
      <c r="AY29" s="87">
        <f t="shared" si="28"/>
        <v>0</v>
      </c>
      <c r="AZ29" s="87">
        <f t="shared" si="29"/>
        <v>0</v>
      </c>
      <c r="BA29" s="87">
        <f t="shared" si="30"/>
        <v>0</v>
      </c>
      <c r="BB29" s="87">
        <f t="shared" si="31"/>
        <v>0</v>
      </c>
      <c r="BC29" s="87">
        <f t="shared" si="32"/>
        <v>0</v>
      </c>
      <c r="BD29" s="87">
        <f t="shared" si="33"/>
        <v>0</v>
      </c>
      <c r="BE29" s="87">
        <f t="shared" si="34"/>
        <v>0</v>
      </c>
      <c r="BF29" s="87">
        <f t="shared" si="35"/>
        <v>0</v>
      </c>
      <c r="BG29" s="87">
        <f t="shared" si="36"/>
        <v>0</v>
      </c>
      <c r="BH29" s="87">
        <f t="shared" si="37"/>
        <v>0</v>
      </c>
    </row>
    <row r="30" spans="2:60" s="64" customFormat="1" ht="18.75" x14ac:dyDescent="0.3">
      <c r="B30" s="85">
        <v>273</v>
      </c>
      <c r="C30" s="87">
        <f t="shared" si="40"/>
        <v>2</v>
      </c>
      <c r="D30" s="87">
        <f t="shared" si="40"/>
        <v>37</v>
      </c>
      <c r="E30" s="87">
        <f t="shared" si="40"/>
        <v>27</v>
      </c>
      <c r="F30" s="87">
        <f t="shared" si="40"/>
        <v>45</v>
      </c>
      <c r="G30" s="87">
        <f t="shared" si="40"/>
        <v>49</v>
      </c>
      <c r="H30" s="87">
        <f t="shared" si="40"/>
        <v>50</v>
      </c>
      <c r="I30" s="87">
        <f t="shared" si="40"/>
        <v>56</v>
      </c>
      <c r="J30" s="87">
        <f t="shared" si="40"/>
        <v>56</v>
      </c>
      <c r="K30" s="87">
        <f t="shared" si="40"/>
        <v>46</v>
      </c>
      <c r="L30" s="87">
        <f t="shared" si="40"/>
        <v>48</v>
      </c>
      <c r="M30" s="87">
        <f t="shared" si="40"/>
        <v>0</v>
      </c>
      <c r="N30" s="87">
        <f t="shared" si="40"/>
        <v>0</v>
      </c>
      <c r="O30" s="87">
        <f t="shared" si="40"/>
        <v>0</v>
      </c>
      <c r="P30" s="87">
        <f t="shared" si="40"/>
        <v>0</v>
      </c>
      <c r="Q30" s="87">
        <f t="shared" si="40"/>
        <v>0</v>
      </c>
      <c r="R30" s="87">
        <f t="shared" si="40"/>
        <v>0</v>
      </c>
      <c r="S30" s="87">
        <f t="shared" si="39"/>
        <v>0</v>
      </c>
      <c r="T30" s="87">
        <f t="shared" si="39"/>
        <v>0</v>
      </c>
      <c r="U30" s="65"/>
      <c r="V30" s="88">
        <v>314</v>
      </c>
      <c r="W30" s="87">
        <f t="shared" si="2"/>
        <v>2</v>
      </c>
      <c r="X30" s="87">
        <f t="shared" si="3"/>
        <v>11</v>
      </c>
      <c r="Y30" s="87">
        <f t="shared" si="4"/>
        <v>33</v>
      </c>
      <c r="Z30" s="87">
        <f t="shared" si="5"/>
        <v>42</v>
      </c>
      <c r="AA30" s="87">
        <f t="shared" si="6"/>
        <v>34</v>
      </c>
      <c r="AB30" s="87">
        <f t="shared" si="7"/>
        <v>30</v>
      </c>
      <c r="AC30" s="87">
        <f t="shared" si="8"/>
        <v>48</v>
      </c>
      <c r="AD30" s="87">
        <f t="shared" si="9"/>
        <v>50</v>
      </c>
      <c r="AE30" s="87">
        <f t="shared" si="10"/>
        <v>0</v>
      </c>
      <c r="AF30" s="87">
        <f t="shared" si="11"/>
        <v>46</v>
      </c>
      <c r="AG30" s="87">
        <f t="shared" si="12"/>
        <v>0</v>
      </c>
      <c r="AH30" s="87">
        <f t="shared" si="13"/>
        <v>0</v>
      </c>
      <c r="AI30" s="87">
        <f t="shared" si="14"/>
        <v>0</v>
      </c>
      <c r="AJ30" s="87">
        <f t="shared" si="15"/>
        <v>0</v>
      </c>
      <c r="AK30" s="87">
        <f t="shared" si="16"/>
        <v>0</v>
      </c>
      <c r="AL30" s="87">
        <f t="shared" si="17"/>
        <v>0</v>
      </c>
      <c r="AM30" s="87">
        <f t="shared" si="18"/>
        <v>0</v>
      </c>
      <c r="AN30" s="87">
        <f t="shared" si="19"/>
        <v>0</v>
      </c>
      <c r="AO30" s="65"/>
      <c r="AP30" s="85">
        <v>355</v>
      </c>
      <c r="AQ30" s="87">
        <f t="shared" si="20"/>
        <v>2</v>
      </c>
      <c r="AR30" s="87">
        <f t="shared" si="21"/>
        <v>0</v>
      </c>
      <c r="AS30" s="87">
        <f t="shared" si="22"/>
        <v>0</v>
      </c>
      <c r="AT30" s="87">
        <f t="shared" si="23"/>
        <v>0</v>
      </c>
      <c r="AU30" s="87">
        <f t="shared" si="24"/>
        <v>0</v>
      </c>
      <c r="AV30" s="87">
        <f t="shared" si="25"/>
        <v>0</v>
      </c>
      <c r="AW30" s="87">
        <f t="shared" si="26"/>
        <v>0</v>
      </c>
      <c r="AX30" s="87">
        <f t="shared" si="27"/>
        <v>0</v>
      </c>
      <c r="AY30" s="87">
        <f t="shared" si="28"/>
        <v>0</v>
      </c>
      <c r="AZ30" s="87">
        <f t="shared" si="29"/>
        <v>0</v>
      </c>
      <c r="BA30" s="87">
        <f t="shared" si="30"/>
        <v>0</v>
      </c>
      <c r="BB30" s="87">
        <f t="shared" si="31"/>
        <v>0</v>
      </c>
      <c r="BC30" s="87">
        <f t="shared" si="32"/>
        <v>0</v>
      </c>
      <c r="BD30" s="87">
        <f t="shared" si="33"/>
        <v>0</v>
      </c>
      <c r="BE30" s="87">
        <f t="shared" si="34"/>
        <v>0</v>
      </c>
      <c r="BF30" s="87">
        <f t="shared" si="35"/>
        <v>0</v>
      </c>
      <c r="BG30" s="87">
        <f t="shared" si="36"/>
        <v>0</v>
      </c>
      <c r="BH30" s="87">
        <f t="shared" si="37"/>
        <v>0</v>
      </c>
    </row>
    <row r="31" spans="2:60" s="64" customFormat="1" ht="18.75" x14ac:dyDescent="0.3">
      <c r="B31" s="88">
        <v>274</v>
      </c>
      <c r="C31" s="87">
        <f t="shared" si="40"/>
        <v>2</v>
      </c>
      <c r="D31" s="87">
        <f t="shared" si="40"/>
        <v>23</v>
      </c>
      <c r="E31" s="87">
        <f t="shared" si="40"/>
        <v>14</v>
      </c>
      <c r="F31" s="87">
        <f t="shared" si="40"/>
        <v>6</v>
      </c>
      <c r="G31" s="87">
        <f t="shared" si="40"/>
        <v>0</v>
      </c>
      <c r="H31" s="87">
        <f t="shared" si="40"/>
        <v>22</v>
      </c>
      <c r="I31" s="87">
        <f t="shared" si="40"/>
        <v>56</v>
      </c>
      <c r="J31" s="87">
        <f t="shared" si="40"/>
        <v>23</v>
      </c>
      <c r="K31" s="87">
        <f t="shared" si="40"/>
        <v>14</v>
      </c>
      <c r="L31" s="87">
        <f t="shared" si="40"/>
        <v>8</v>
      </c>
      <c r="M31" s="87">
        <f t="shared" si="40"/>
        <v>0</v>
      </c>
      <c r="N31" s="87">
        <f t="shared" si="40"/>
        <v>0</v>
      </c>
      <c r="O31" s="87">
        <f t="shared" si="40"/>
        <v>0</v>
      </c>
      <c r="P31" s="87">
        <f t="shared" si="40"/>
        <v>0</v>
      </c>
      <c r="Q31" s="87">
        <f t="shared" si="40"/>
        <v>0</v>
      </c>
      <c r="R31" s="87">
        <f t="shared" si="40"/>
        <v>0</v>
      </c>
      <c r="S31" s="87">
        <f t="shared" si="39"/>
        <v>0</v>
      </c>
      <c r="T31" s="87">
        <f t="shared" si="39"/>
        <v>0</v>
      </c>
      <c r="U31" s="65"/>
      <c r="V31" s="85">
        <v>315</v>
      </c>
      <c r="W31" s="87">
        <f t="shared" si="2"/>
        <v>2</v>
      </c>
      <c r="X31" s="87">
        <f t="shared" si="3"/>
        <v>0</v>
      </c>
      <c r="Y31" s="87">
        <f t="shared" si="4"/>
        <v>0</v>
      </c>
      <c r="Z31" s="87">
        <f t="shared" si="5"/>
        <v>0</v>
      </c>
      <c r="AA31" s="87">
        <f t="shared" si="6"/>
        <v>0</v>
      </c>
      <c r="AB31" s="87">
        <f t="shared" si="7"/>
        <v>0</v>
      </c>
      <c r="AC31" s="87">
        <f t="shared" si="8"/>
        <v>0</v>
      </c>
      <c r="AD31" s="87">
        <f t="shared" si="9"/>
        <v>0</v>
      </c>
      <c r="AE31" s="87">
        <f t="shared" si="10"/>
        <v>0</v>
      </c>
      <c r="AF31" s="87">
        <f t="shared" si="11"/>
        <v>0</v>
      </c>
      <c r="AG31" s="87">
        <f t="shared" si="12"/>
        <v>0</v>
      </c>
      <c r="AH31" s="87">
        <f t="shared" si="13"/>
        <v>0</v>
      </c>
      <c r="AI31" s="87">
        <f t="shared" si="14"/>
        <v>0</v>
      </c>
      <c r="AJ31" s="87">
        <f t="shared" si="15"/>
        <v>0</v>
      </c>
      <c r="AK31" s="87">
        <f t="shared" si="16"/>
        <v>0</v>
      </c>
      <c r="AL31" s="87">
        <f t="shared" si="17"/>
        <v>0</v>
      </c>
      <c r="AM31" s="87">
        <f t="shared" si="18"/>
        <v>0</v>
      </c>
      <c r="AN31" s="87">
        <f t="shared" si="19"/>
        <v>0</v>
      </c>
      <c r="AO31" s="65"/>
      <c r="AP31" s="88">
        <v>356</v>
      </c>
      <c r="AQ31" s="87">
        <f t="shared" si="20"/>
        <v>2</v>
      </c>
      <c r="AR31" s="87">
        <f t="shared" si="21"/>
        <v>0</v>
      </c>
      <c r="AS31" s="87">
        <f t="shared" si="22"/>
        <v>0</v>
      </c>
      <c r="AT31" s="87">
        <f t="shared" si="23"/>
        <v>0</v>
      </c>
      <c r="AU31" s="87">
        <f t="shared" si="24"/>
        <v>0</v>
      </c>
      <c r="AV31" s="87">
        <f t="shared" si="25"/>
        <v>0</v>
      </c>
      <c r="AW31" s="87">
        <f t="shared" si="26"/>
        <v>0</v>
      </c>
      <c r="AX31" s="87">
        <f t="shared" si="27"/>
        <v>0</v>
      </c>
      <c r="AY31" s="87">
        <f t="shared" si="28"/>
        <v>0</v>
      </c>
      <c r="AZ31" s="87">
        <f t="shared" si="29"/>
        <v>0</v>
      </c>
      <c r="BA31" s="87">
        <f t="shared" si="30"/>
        <v>0</v>
      </c>
      <c r="BB31" s="87">
        <f t="shared" si="31"/>
        <v>0</v>
      </c>
      <c r="BC31" s="87">
        <f t="shared" si="32"/>
        <v>0</v>
      </c>
      <c r="BD31" s="87">
        <f t="shared" si="33"/>
        <v>0</v>
      </c>
      <c r="BE31" s="87">
        <f t="shared" si="34"/>
        <v>0</v>
      </c>
      <c r="BF31" s="87">
        <f t="shared" si="35"/>
        <v>0</v>
      </c>
      <c r="BG31" s="87">
        <f t="shared" si="36"/>
        <v>0</v>
      </c>
      <c r="BH31" s="87">
        <f t="shared" si="37"/>
        <v>0</v>
      </c>
    </row>
    <row r="32" spans="2:60" s="64" customFormat="1" ht="18.75" x14ac:dyDescent="0.3">
      <c r="B32" s="85">
        <v>275</v>
      </c>
      <c r="C32" s="87">
        <f t="shared" si="40"/>
        <v>2</v>
      </c>
      <c r="D32" s="87">
        <f t="shared" si="40"/>
        <v>23</v>
      </c>
      <c r="E32" s="87">
        <f t="shared" si="40"/>
        <v>24</v>
      </c>
      <c r="F32" s="87">
        <f t="shared" si="40"/>
        <v>28</v>
      </c>
      <c r="G32" s="87">
        <f t="shared" si="40"/>
        <v>42</v>
      </c>
      <c r="H32" s="87">
        <f t="shared" si="40"/>
        <v>42</v>
      </c>
      <c r="I32" s="87">
        <f t="shared" si="40"/>
        <v>44</v>
      </c>
      <c r="J32" s="87">
        <f t="shared" si="40"/>
        <v>41</v>
      </c>
      <c r="K32" s="87">
        <f t="shared" si="40"/>
        <v>43</v>
      </c>
      <c r="L32" s="87">
        <f t="shared" si="40"/>
        <v>39</v>
      </c>
      <c r="M32" s="87">
        <f t="shared" si="40"/>
        <v>0</v>
      </c>
      <c r="N32" s="87">
        <f t="shared" si="40"/>
        <v>0</v>
      </c>
      <c r="O32" s="87">
        <f t="shared" si="40"/>
        <v>0</v>
      </c>
      <c r="P32" s="87">
        <f t="shared" si="40"/>
        <v>0</v>
      </c>
      <c r="Q32" s="87">
        <f t="shared" si="40"/>
        <v>0</v>
      </c>
      <c r="R32" s="87">
        <f t="shared" si="40"/>
        <v>0</v>
      </c>
      <c r="S32" s="87">
        <f t="shared" si="39"/>
        <v>0</v>
      </c>
      <c r="T32" s="87">
        <f t="shared" si="39"/>
        <v>0</v>
      </c>
      <c r="U32" s="65"/>
      <c r="V32" s="88">
        <v>316</v>
      </c>
      <c r="W32" s="87">
        <f t="shared" si="2"/>
        <v>2</v>
      </c>
      <c r="X32" s="87">
        <f t="shared" si="3"/>
        <v>17</v>
      </c>
      <c r="Y32" s="87">
        <f t="shared" si="4"/>
        <v>29</v>
      </c>
      <c r="Z32" s="87">
        <f t="shared" si="5"/>
        <v>35</v>
      </c>
      <c r="AA32" s="87">
        <f t="shared" si="6"/>
        <v>50</v>
      </c>
      <c r="AB32" s="87">
        <f t="shared" si="7"/>
        <v>50</v>
      </c>
      <c r="AC32" s="87">
        <f t="shared" si="8"/>
        <v>50</v>
      </c>
      <c r="AD32" s="87">
        <f t="shared" si="9"/>
        <v>50</v>
      </c>
      <c r="AE32" s="87">
        <f t="shared" si="10"/>
        <v>6</v>
      </c>
      <c r="AF32" s="87">
        <f t="shared" si="11"/>
        <v>0</v>
      </c>
      <c r="AG32" s="87">
        <f t="shared" si="12"/>
        <v>0</v>
      </c>
      <c r="AH32" s="87">
        <f t="shared" si="13"/>
        <v>0</v>
      </c>
      <c r="AI32" s="87">
        <f t="shared" si="14"/>
        <v>0</v>
      </c>
      <c r="AJ32" s="87">
        <f t="shared" si="15"/>
        <v>0</v>
      </c>
      <c r="AK32" s="87">
        <f t="shared" si="16"/>
        <v>0</v>
      </c>
      <c r="AL32" s="87">
        <f t="shared" si="17"/>
        <v>0</v>
      </c>
      <c r="AM32" s="87">
        <f t="shared" si="18"/>
        <v>0</v>
      </c>
      <c r="AN32" s="87">
        <f t="shared" si="19"/>
        <v>0</v>
      </c>
      <c r="AO32" s="65"/>
      <c r="AP32" s="85">
        <v>357</v>
      </c>
      <c r="AQ32" s="87">
        <f t="shared" si="20"/>
        <v>2</v>
      </c>
      <c r="AR32" s="87">
        <f t="shared" si="21"/>
        <v>0</v>
      </c>
      <c r="AS32" s="87">
        <f t="shared" si="22"/>
        <v>0</v>
      </c>
      <c r="AT32" s="87">
        <f t="shared" si="23"/>
        <v>0</v>
      </c>
      <c r="AU32" s="87">
        <f t="shared" si="24"/>
        <v>0</v>
      </c>
      <c r="AV32" s="87">
        <f t="shared" si="25"/>
        <v>0</v>
      </c>
      <c r="AW32" s="87">
        <f t="shared" si="26"/>
        <v>0</v>
      </c>
      <c r="AX32" s="87">
        <f t="shared" si="27"/>
        <v>0</v>
      </c>
      <c r="AY32" s="87">
        <f t="shared" si="28"/>
        <v>0</v>
      </c>
      <c r="AZ32" s="87">
        <f t="shared" si="29"/>
        <v>0</v>
      </c>
      <c r="BA32" s="87">
        <f t="shared" si="30"/>
        <v>0</v>
      </c>
      <c r="BB32" s="87">
        <f t="shared" si="31"/>
        <v>0</v>
      </c>
      <c r="BC32" s="87">
        <f t="shared" si="32"/>
        <v>0</v>
      </c>
      <c r="BD32" s="87">
        <f t="shared" si="33"/>
        <v>0</v>
      </c>
      <c r="BE32" s="87">
        <f t="shared" si="34"/>
        <v>0</v>
      </c>
      <c r="BF32" s="87">
        <f t="shared" si="35"/>
        <v>0</v>
      </c>
      <c r="BG32" s="87">
        <f t="shared" si="36"/>
        <v>0</v>
      </c>
      <c r="BH32" s="87">
        <f t="shared" si="37"/>
        <v>0</v>
      </c>
    </row>
    <row r="33" spans="2:60" s="64" customFormat="1" ht="18.75" x14ac:dyDescent="0.3">
      <c r="B33" s="88">
        <v>276</v>
      </c>
      <c r="C33" s="87">
        <f t="shared" si="40"/>
        <v>2</v>
      </c>
      <c r="D33" s="87">
        <f t="shared" si="40"/>
        <v>34</v>
      </c>
      <c r="E33" s="87">
        <f t="shared" si="40"/>
        <v>37</v>
      </c>
      <c r="F33" s="87">
        <f t="shared" si="40"/>
        <v>22</v>
      </c>
      <c r="G33" s="87">
        <f t="shared" si="40"/>
        <v>14</v>
      </c>
      <c r="H33" s="87">
        <f t="shared" si="40"/>
        <v>0</v>
      </c>
      <c r="I33" s="87">
        <f t="shared" si="40"/>
        <v>35</v>
      </c>
      <c r="J33" s="87">
        <f t="shared" si="40"/>
        <v>42</v>
      </c>
      <c r="K33" s="87">
        <f t="shared" si="40"/>
        <v>11</v>
      </c>
      <c r="L33" s="87">
        <f t="shared" si="40"/>
        <v>7</v>
      </c>
      <c r="M33" s="87">
        <f t="shared" si="40"/>
        <v>0</v>
      </c>
      <c r="N33" s="87">
        <f t="shared" si="40"/>
        <v>0</v>
      </c>
      <c r="O33" s="87">
        <f t="shared" si="40"/>
        <v>0</v>
      </c>
      <c r="P33" s="87">
        <f t="shared" si="40"/>
        <v>0</v>
      </c>
      <c r="Q33" s="87">
        <f t="shared" si="40"/>
        <v>0</v>
      </c>
      <c r="R33" s="87">
        <f t="shared" si="40"/>
        <v>0</v>
      </c>
      <c r="S33" s="87">
        <f t="shared" si="39"/>
        <v>0</v>
      </c>
      <c r="T33" s="87">
        <f t="shared" si="39"/>
        <v>0</v>
      </c>
      <c r="U33" s="65"/>
      <c r="V33" s="85">
        <v>317</v>
      </c>
      <c r="W33" s="87">
        <f t="shared" si="2"/>
        <v>2</v>
      </c>
      <c r="X33" s="87">
        <f t="shared" si="3"/>
        <v>0</v>
      </c>
      <c r="Y33" s="87">
        <f t="shared" si="4"/>
        <v>0</v>
      </c>
      <c r="Z33" s="87">
        <f t="shared" si="5"/>
        <v>0</v>
      </c>
      <c r="AA33" s="87">
        <f t="shared" si="6"/>
        <v>0</v>
      </c>
      <c r="AB33" s="87">
        <f t="shared" si="7"/>
        <v>0</v>
      </c>
      <c r="AC33" s="87">
        <f t="shared" si="8"/>
        <v>0</v>
      </c>
      <c r="AD33" s="87">
        <f t="shared" si="9"/>
        <v>0</v>
      </c>
      <c r="AE33" s="87">
        <f t="shared" si="10"/>
        <v>0</v>
      </c>
      <c r="AF33" s="87">
        <f t="shared" si="11"/>
        <v>0</v>
      </c>
      <c r="AG33" s="87">
        <f t="shared" si="12"/>
        <v>0</v>
      </c>
      <c r="AH33" s="87">
        <f t="shared" si="13"/>
        <v>0</v>
      </c>
      <c r="AI33" s="87">
        <f t="shared" si="14"/>
        <v>0</v>
      </c>
      <c r="AJ33" s="87">
        <f t="shared" si="15"/>
        <v>0</v>
      </c>
      <c r="AK33" s="87">
        <f t="shared" si="16"/>
        <v>0</v>
      </c>
      <c r="AL33" s="87">
        <f t="shared" si="17"/>
        <v>0</v>
      </c>
      <c r="AM33" s="87">
        <f t="shared" si="18"/>
        <v>0</v>
      </c>
      <c r="AN33" s="87">
        <f t="shared" si="19"/>
        <v>0</v>
      </c>
      <c r="AO33" s="65"/>
      <c r="AP33" s="88">
        <v>358</v>
      </c>
      <c r="AQ33" s="87">
        <f t="shared" si="20"/>
        <v>2</v>
      </c>
      <c r="AR33" s="87">
        <f t="shared" si="21"/>
        <v>0</v>
      </c>
      <c r="AS33" s="87">
        <f t="shared" si="22"/>
        <v>0</v>
      </c>
      <c r="AT33" s="87">
        <f t="shared" si="23"/>
        <v>0</v>
      </c>
      <c r="AU33" s="87">
        <f t="shared" si="24"/>
        <v>0</v>
      </c>
      <c r="AV33" s="87">
        <f t="shared" si="25"/>
        <v>0</v>
      </c>
      <c r="AW33" s="87">
        <f t="shared" si="26"/>
        <v>0</v>
      </c>
      <c r="AX33" s="87">
        <f t="shared" si="27"/>
        <v>0</v>
      </c>
      <c r="AY33" s="87">
        <f t="shared" si="28"/>
        <v>0</v>
      </c>
      <c r="AZ33" s="87">
        <f t="shared" si="29"/>
        <v>0</v>
      </c>
      <c r="BA33" s="87">
        <f t="shared" si="30"/>
        <v>0</v>
      </c>
      <c r="BB33" s="87">
        <f t="shared" si="31"/>
        <v>0</v>
      </c>
      <c r="BC33" s="87">
        <f t="shared" si="32"/>
        <v>0</v>
      </c>
      <c r="BD33" s="87">
        <f t="shared" si="33"/>
        <v>0</v>
      </c>
      <c r="BE33" s="87">
        <f t="shared" si="34"/>
        <v>0</v>
      </c>
      <c r="BF33" s="87">
        <f t="shared" si="35"/>
        <v>0</v>
      </c>
      <c r="BG33" s="87">
        <f t="shared" si="36"/>
        <v>0</v>
      </c>
      <c r="BH33" s="87">
        <f t="shared" si="37"/>
        <v>0</v>
      </c>
    </row>
    <row r="34" spans="2:60" s="64" customFormat="1" ht="18.75" x14ac:dyDescent="0.3">
      <c r="B34" s="85">
        <v>277</v>
      </c>
      <c r="C34" s="87">
        <f t="shared" si="40"/>
        <v>2</v>
      </c>
      <c r="D34" s="87">
        <f t="shared" si="40"/>
        <v>47</v>
      </c>
      <c r="E34" s="87">
        <f t="shared" si="40"/>
        <v>16</v>
      </c>
      <c r="F34" s="87">
        <f t="shared" si="40"/>
        <v>20</v>
      </c>
      <c r="G34" s="87">
        <f t="shared" si="40"/>
        <v>19</v>
      </c>
      <c r="H34" s="87">
        <f t="shared" si="40"/>
        <v>22</v>
      </c>
      <c r="I34" s="87">
        <f t="shared" si="40"/>
        <v>49</v>
      </c>
      <c r="J34" s="87">
        <f t="shared" si="40"/>
        <v>36</v>
      </c>
      <c r="K34" s="87">
        <f t="shared" si="40"/>
        <v>16</v>
      </c>
      <c r="L34" s="87">
        <f t="shared" si="40"/>
        <v>4</v>
      </c>
      <c r="M34" s="87">
        <f t="shared" si="40"/>
        <v>0</v>
      </c>
      <c r="N34" s="87">
        <f t="shared" si="40"/>
        <v>0</v>
      </c>
      <c r="O34" s="87">
        <f t="shared" si="40"/>
        <v>0</v>
      </c>
      <c r="P34" s="87">
        <f t="shared" si="40"/>
        <v>0</v>
      </c>
      <c r="Q34" s="87">
        <f t="shared" si="40"/>
        <v>0</v>
      </c>
      <c r="R34" s="87">
        <f t="shared" ref="N34:T42" si="41">SUMIFS(VOTOS1,CENTRO1,$B34,TURNO1,R$1)</f>
        <v>0</v>
      </c>
      <c r="S34" s="87">
        <f t="shared" si="41"/>
        <v>0</v>
      </c>
      <c r="T34" s="87">
        <f t="shared" si="41"/>
        <v>0</v>
      </c>
      <c r="U34" s="65"/>
      <c r="V34" s="88">
        <v>318</v>
      </c>
      <c r="W34" s="87">
        <f t="shared" si="2"/>
        <v>2</v>
      </c>
      <c r="X34" s="87">
        <f t="shared" si="3"/>
        <v>28</v>
      </c>
      <c r="Y34" s="87">
        <f t="shared" si="4"/>
        <v>20</v>
      </c>
      <c r="Z34" s="87">
        <f t="shared" si="5"/>
        <v>28</v>
      </c>
      <c r="AA34" s="87">
        <f t="shared" si="6"/>
        <v>32</v>
      </c>
      <c r="AB34" s="87">
        <f t="shared" si="7"/>
        <v>26</v>
      </c>
      <c r="AC34" s="87">
        <f t="shared" si="8"/>
        <v>0</v>
      </c>
      <c r="AD34" s="87">
        <f t="shared" si="9"/>
        <v>23</v>
      </c>
      <c r="AE34" s="87">
        <f t="shared" si="10"/>
        <v>27</v>
      </c>
      <c r="AF34" s="87">
        <f t="shared" si="11"/>
        <v>34</v>
      </c>
      <c r="AG34" s="87">
        <f t="shared" si="12"/>
        <v>0</v>
      </c>
      <c r="AH34" s="87">
        <f t="shared" si="13"/>
        <v>0</v>
      </c>
      <c r="AI34" s="87">
        <f t="shared" si="14"/>
        <v>0</v>
      </c>
      <c r="AJ34" s="87">
        <f t="shared" si="15"/>
        <v>0</v>
      </c>
      <c r="AK34" s="87">
        <f t="shared" si="16"/>
        <v>0</v>
      </c>
      <c r="AL34" s="87">
        <f t="shared" si="17"/>
        <v>0</v>
      </c>
      <c r="AM34" s="87">
        <f t="shared" si="18"/>
        <v>0</v>
      </c>
      <c r="AN34" s="87">
        <f t="shared" si="19"/>
        <v>0</v>
      </c>
      <c r="AO34" s="65"/>
      <c r="AP34" s="85">
        <v>359</v>
      </c>
      <c r="AQ34" s="87">
        <f t="shared" si="20"/>
        <v>2</v>
      </c>
      <c r="AR34" s="87">
        <f t="shared" si="21"/>
        <v>0</v>
      </c>
      <c r="AS34" s="87">
        <f t="shared" si="22"/>
        <v>0</v>
      </c>
      <c r="AT34" s="87">
        <f t="shared" si="23"/>
        <v>0</v>
      </c>
      <c r="AU34" s="87">
        <f t="shared" si="24"/>
        <v>0</v>
      </c>
      <c r="AV34" s="87">
        <f t="shared" si="25"/>
        <v>0</v>
      </c>
      <c r="AW34" s="87">
        <f t="shared" si="26"/>
        <v>0</v>
      </c>
      <c r="AX34" s="87">
        <f t="shared" si="27"/>
        <v>0</v>
      </c>
      <c r="AY34" s="87">
        <f t="shared" si="28"/>
        <v>0</v>
      </c>
      <c r="AZ34" s="87">
        <f t="shared" si="29"/>
        <v>0</v>
      </c>
      <c r="BA34" s="87">
        <f t="shared" si="30"/>
        <v>0</v>
      </c>
      <c r="BB34" s="87">
        <f t="shared" si="31"/>
        <v>0</v>
      </c>
      <c r="BC34" s="87">
        <f t="shared" si="32"/>
        <v>0</v>
      </c>
      <c r="BD34" s="87">
        <f t="shared" si="33"/>
        <v>0</v>
      </c>
      <c r="BE34" s="87">
        <f t="shared" si="34"/>
        <v>0</v>
      </c>
      <c r="BF34" s="87">
        <f t="shared" si="35"/>
        <v>0</v>
      </c>
      <c r="BG34" s="87">
        <f t="shared" si="36"/>
        <v>0</v>
      </c>
      <c r="BH34" s="87">
        <f t="shared" si="37"/>
        <v>0</v>
      </c>
    </row>
    <row r="35" spans="2:60" s="64" customFormat="1" ht="18.75" x14ac:dyDescent="0.3">
      <c r="B35" s="88">
        <v>278</v>
      </c>
      <c r="C35" s="87">
        <f t="shared" ref="C35:M42" si="42">SUMIFS(VOTOS1,CENTRO1,$B35,TURNO1,C$1)</f>
        <v>2</v>
      </c>
      <c r="D35" s="87">
        <f t="shared" si="42"/>
        <v>35</v>
      </c>
      <c r="E35" s="87">
        <f t="shared" si="42"/>
        <v>35</v>
      </c>
      <c r="F35" s="87">
        <f t="shared" si="42"/>
        <v>42</v>
      </c>
      <c r="G35" s="87">
        <f t="shared" si="42"/>
        <v>26</v>
      </c>
      <c r="H35" s="87">
        <f t="shared" si="42"/>
        <v>27</v>
      </c>
      <c r="I35" s="87">
        <f t="shared" si="42"/>
        <v>0</v>
      </c>
      <c r="J35" s="87">
        <f t="shared" si="42"/>
        <v>10</v>
      </c>
      <c r="K35" s="87">
        <f t="shared" si="42"/>
        <v>17</v>
      </c>
      <c r="L35" s="87">
        <f t="shared" si="42"/>
        <v>3</v>
      </c>
      <c r="M35" s="87">
        <f t="shared" si="42"/>
        <v>0</v>
      </c>
      <c r="N35" s="87">
        <f t="shared" si="41"/>
        <v>0</v>
      </c>
      <c r="O35" s="87">
        <f t="shared" si="41"/>
        <v>0</v>
      </c>
      <c r="P35" s="87">
        <f t="shared" si="41"/>
        <v>0</v>
      </c>
      <c r="Q35" s="87">
        <f t="shared" si="41"/>
        <v>0</v>
      </c>
      <c r="R35" s="87">
        <f t="shared" si="41"/>
        <v>0</v>
      </c>
      <c r="S35" s="87">
        <f t="shared" si="41"/>
        <v>0</v>
      </c>
      <c r="T35" s="87">
        <f t="shared" si="41"/>
        <v>0</v>
      </c>
      <c r="U35" s="65"/>
      <c r="V35" s="85">
        <v>319</v>
      </c>
      <c r="W35" s="87">
        <f t="shared" si="2"/>
        <v>2</v>
      </c>
      <c r="X35" s="87">
        <f t="shared" si="3"/>
        <v>7</v>
      </c>
      <c r="Y35" s="87">
        <f t="shared" si="4"/>
        <v>18</v>
      </c>
      <c r="Z35" s="87">
        <f t="shared" si="5"/>
        <v>21</v>
      </c>
      <c r="AA35" s="87">
        <f t="shared" si="6"/>
        <v>37</v>
      </c>
      <c r="AB35" s="87">
        <f t="shared" si="7"/>
        <v>37</v>
      </c>
      <c r="AC35" s="87">
        <f t="shared" si="8"/>
        <v>22</v>
      </c>
      <c r="AD35" s="87">
        <f t="shared" si="9"/>
        <v>27</v>
      </c>
      <c r="AE35" s="87">
        <f t="shared" si="10"/>
        <v>20</v>
      </c>
      <c r="AF35" s="87">
        <f t="shared" si="11"/>
        <v>19</v>
      </c>
      <c r="AG35" s="87">
        <f t="shared" si="12"/>
        <v>0</v>
      </c>
      <c r="AH35" s="87">
        <f t="shared" si="13"/>
        <v>0</v>
      </c>
      <c r="AI35" s="87">
        <f t="shared" si="14"/>
        <v>0</v>
      </c>
      <c r="AJ35" s="87">
        <f t="shared" si="15"/>
        <v>0</v>
      </c>
      <c r="AK35" s="87">
        <f t="shared" si="16"/>
        <v>0</v>
      </c>
      <c r="AL35" s="87">
        <f t="shared" si="17"/>
        <v>0</v>
      </c>
      <c r="AM35" s="87">
        <f t="shared" si="18"/>
        <v>0</v>
      </c>
      <c r="AN35" s="87">
        <f t="shared" si="19"/>
        <v>0</v>
      </c>
      <c r="AO35" s="65"/>
      <c r="AP35" s="88">
        <v>360</v>
      </c>
      <c r="AQ35" s="87">
        <f t="shared" si="20"/>
        <v>2</v>
      </c>
      <c r="AR35" s="87">
        <f t="shared" si="21"/>
        <v>0</v>
      </c>
      <c r="AS35" s="87">
        <f t="shared" si="22"/>
        <v>0</v>
      </c>
      <c r="AT35" s="87">
        <f t="shared" si="23"/>
        <v>0</v>
      </c>
      <c r="AU35" s="87">
        <f t="shared" si="24"/>
        <v>0</v>
      </c>
      <c r="AV35" s="87">
        <f t="shared" si="25"/>
        <v>0</v>
      </c>
      <c r="AW35" s="87">
        <f t="shared" si="26"/>
        <v>0</v>
      </c>
      <c r="AX35" s="87">
        <f t="shared" si="27"/>
        <v>0</v>
      </c>
      <c r="AY35" s="87">
        <f t="shared" si="28"/>
        <v>0</v>
      </c>
      <c r="AZ35" s="87">
        <f t="shared" si="29"/>
        <v>0</v>
      </c>
      <c r="BA35" s="87">
        <f t="shared" si="30"/>
        <v>0</v>
      </c>
      <c r="BB35" s="87">
        <f t="shared" si="31"/>
        <v>0</v>
      </c>
      <c r="BC35" s="87">
        <f t="shared" si="32"/>
        <v>0</v>
      </c>
      <c r="BD35" s="87">
        <f t="shared" si="33"/>
        <v>0</v>
      </c>
      <c r="BE35" s="87">
        <f t="shared" si="34"/>
        <v>0</v>
      </c>
      <c r="BF35" s="87">
        <f t="shared" si="35"/>
        <v>0</v>
      </c>
      <c r="BG35" s="87">
        <f t="shared" si="36"/>
        <v>0</v>
      </c>
      <c r="BH35" s="87">
        <f t="shared" si="37"/>
        <v>0</v>
      </c>
    </row>
    <row r="36" spans="2:60" s="64" customFormat="1" ht="18.75" x14ac:dyDescent="0.3">
      <c r="B36" s="85">
        <v>279</v>
      </c>
      <c r="C36" s="87">
        <f t="shared" si="42"/>
        <v>2</v>
      </c>
      <c r="D36" s="87">
        <f t="shared" si="42"/>
        <v>20</v>
      </c>
      <c r="E36" s="87">
        <f t="shared" si="42"/>
        <v>25</v>
      </c>
      <c r="F36" s="87">
        <f t="shared" si="42"/>
        <v>29</v>
      </c>
      <c r="G36" s="87">
        <f t="shared" si="42"/>
        <v>40</v>
      </c>
      <c r="H36" s="87">
        <f t="shared" si="42"/>
        <v>20</v>
      </c>
      <c r="I36" s="87">
        <f t="shared" si="42"/>
        <v>48</v>
      </c>
      <c r="J36" s="87">
        <f t="shared" si="42"/>
        <v>28</v>
      </c>
      <c r="K36" s="87">
        <f t="shared" si="42"/>
        <v>14</v>
      </c>
      <c r="L36" s="87">
        <f t="shared" si="42"/>
        <v>20</v>
      </c>
      <c r="M36" s="87">
        <f t="shared" si="42"/>
        <v>0</v>
      </c>
      <c r="N36" s="87">
        <f t="shared" si="41"/>
        <v>0</v>
      </c>
      <c r="O36" s="87">
        <f t="shared" si="41"/>
        <v>0</v>
      </c>
      <c r="P36" s="87">
        <f t="shared" si="41"/>
        <v>0</v>
      </c>
      <c r="Q36" s="87">
        <f t="shared" si="41"/>
        <v>0</v>
      </c>
      <c r="R36" s="87">
        <f t="shared" si="41"/>
        <v>0</v>
      </c>
      <c r="S36" s="87">
        <f t="shared" si="41"/>
        <v>0</v>
      </c>
      <c r="T36" s="87">
        <f t="shared" si="41"/>
        <v>0</v>
      </c>
      <c r="U36" s="65"/>
      <c r="V36" s="88">
        <v>320</v>
      </c>
      <c r="W36" s="87">
        <f t="shared" si="2"/>
        <v>2</v>
      </c>
      <c r="X36" s="87">
        <f t="shared" si="3"/>
        <v>0</v>
      </c>
      <c r="Y36" s="87">
        <f t="shared" si="4"/>
        <v>0</v>
      </c>
      <c r="Z36" s="87">
        <f t="shared" si="5"/>
        <v>0</v>
      </c>
      <c r="AA36" s="87">
        <f t="shared" si="6"/>
        <v>0</v>
      </c>
      <c r="AB36" s="87">
        <f t="shared" si="7"/>
        <v>0</v>
      </c>
      <c r="AC36" s="87">
        <f t="shared" si="8"/>
        <v>0</v>
      </c>
      <c r="AD36" s="87">
        <f t="shared" si="9"/>
        <v>0</v>
      </c>
      <c r="AE36" s="87">
        <f t="shared" si="10"/>
        <v>0</v>
      </c>
      <c r="AF36" s="87">
        <f t="shared" si="11"/>
        <v>0</v>
      </c>
      <c r="AG36" s="87">
        <f t="shared" si="12"/>
        <v>0</v>
      </c>
      <c r="AH36" s="87">
        <f t="shared" si="13"/>
        <v>0</v>
      </c>
      <c r="AI36" s="87">
        <f t="shared" si="14"/>
        <v>0</v>
      </c>
      <c r="AJ36" s="87">
        <f t="shared" si="15"/>
        <v>0</v>
      </c>
      <c r="AK36" s="87">
        <f t="shared" si="16"/>
        <v>0</v>
      </c>
      <c r="AL36" s="87">
        <f t="shared" si="17"/>
        <v>0</v>
      </c>
      <c r="AM36" s="87">
        <f t="shared" si="18"/>
        <v>0</v>
      </c>
      <c r="AN36" s="87">
        <f t="shared" si="19"/>
        <v>0</v>
      </c>
      <c r="AO36" s="65"/>
      <c r="AP36" s="85">
        <v>361</v>
      </c>
      <c r="AQ36" s="87">
        <f t="shared" si="20"/>
        <v>2</v>
      </c>
      <c r="AR36" s="87">
        <f t="shared" si="21"/>
        <v>0</v>
      </c>
      <c r="AS36" s="87">
        <f t="shared" si="22"/>
        <v>0</v>
      </c>
      <c r="AT36" s="87">
        <f t="shared" si="23"/>
        <v>0</v>
      </c>
      <c r="AU36" s="87">
        <f t="shared" si="24"/>
        <v>0</v>
      </c>
      <c r="AV36" s="87">
        <f t="shared" si="25"/>
        <v>0</v>
      </c>
      <c r="AW36" s="87">
        <f t="shared" si="26"/>
        <v>0</v>
      </c>
      <c r="AX36" s="87">
        <f t="shared" si="27"/>
        <v>0</v>
      </c>
      <c r="AY36" s="87">
        <f t="shared" si="28"/>
        <v>0</v>
      </c>
      <c r="AZ36" s="87">
        <f t="shared" si="29"/>
        <v>0</v>
      </c>
      <c r="BA36" s="87">
        <f t="shared" si="30"/>
        <v>0</v>
      </c>
      <c r="BB36" s="87">
        <f t="shared" si="31"/>
        <v>0</v>
      </c>
      <c r="BC36" s="87">
        <f t="shared" si="32"/>
        <v>0</v>
      </c>
      <c r="BD36" s="87">
        <f t="shared" si="33"/>
        <v>0</v>
      </c>
      <c r="BE36" s="87">
        <f t="shared" si="34"/>
        <v>0</v>
      </c>
      <c r="BF36" s="87">
        <f t="shared" si="35"/>
        <v>0</v>
      </c>
      <c r="BG36" s="87">
        <f t="shared" si="36"/>
        <v>0</v>
      </c>
      <c r="BH36" s="87">
        <f t="shared" si="37"/>
        <v>0</v>
      </c>
    </row>
    <row r="37" spans="2:60" s="64" customFormat="1" ht="18.75" x14ac:dyDescent="0.3">
      <c r="B37" s="88">
        <v>280</v>
      </c>
      <c r="C37" s="87">
        <f t="shared" si="42"/>
        <v>2</v>
      </c>
      <c r="D37" s="87">
        <f t="shared" si="42"/>
        <v>28</v>
      </c>
      <c r="E37" s="87">
        <f t="shared" si="42"/>
        <v>32</v>
      </c>
      <c r="F37" s="87">
        <f t="shared" si="42"/>
        <v>32</v>
      </c>
      <c r="G37" s="87">
        <f t="shared" si="42"/>
        <v>22</v>
      </c>
      <c r="H37" s="87">
        <f t="shared" si="42"/>
        <v>38</v>
      </c>
      <c r="I37" s="87">
        <f t="shared" si="42"/>
        <v>0</v>
      </c>
      <c r="J37" s="87">
        <f t="shared" si="42"/>
        <v>23</v>
      </c>
      <c r="K37" s="87">
        <f t="shared" si="42"/>
        <v>21</v>
      </c>
      <c r="L37" s="87">
        <f t="shared" si="42"/>
        <v>0</v>
      </c>
      <c r="M37" s="87">
        <f t="shared" si="42"/>
        <v>0</v>
      </c>
      <c r="N37" s="87">
        <f t="shared" si="41"/>
        <v>0</v>
      </c>
      <c r="O37" s="87">
        <f t="shared" si="41"/>
        <v>0</v>
      </c>
      <c r="P37" s="87">
        <f t="shared" si="41"/>
        <v>0</v>
      </c>
      <c r="Q37" s="87">
        <f t="shared" si="41"/>
        <v>0</v>
      </c>
      <c r="R37" s="87">
        <f t="shared" si="41"/>
        <v>0</v>
      </c>
      <c r="S37" s="87">
        <f t="shared" si="41"/>
        <v>0</v>
      </c>
      <c r="T37" s="87">
        <f t="shared" si="41"/>
        <v>0</v>
      </c>
      <c r="U37" s="65"/>
      <c r="V37" s="85">
        <v>321</v>
      </c>
      <c r="W37" s="87">
        <f t="shared" si="2"/>
        <v>2</v>
      </c>
      <c r="X37" s="87">
        <f t="shared" si="3"/>
        <v>0</v>
      </c>
      <c r="Y37" s="87">
        <f t="shared" si="4"/>
        <v>0</v>
      </c>
      <c r="Z37" s="87">
        <f t="shared" si="5"/>
        <v>0</v>
      </c>
      <c r="AA37" s="87">
        <f t="shared" si="6"/>
        <v>0</v>
      </c>
      <c r="AB37" s="87">
        <f t="shared" si="7"/>
        <v>0</v>
      </c>
      <c r="AC37" s="87">
        <f t="shared" si="8"/>
        <v>0</v>
      </c>
      <c r="AD37" s="87">
        <f t="shared" si="9"/>
        <v>0</v>
      </c>
      <c r="AE37" s="87">
        <f t="shared" si="10"/>
        <v>0</v>
      </c>
      <c r="AF37" s="87">
        <f t="shared" si="11"/>
        <v>0</v>
      </c>
      <c r="AG37" s="87">
        <f t="shared" si="12"/>
        <v>0</v>
      </c>
      <c r="AH37" s="87">
        <f t="shared" si="13"/>
        <v>0</v>
      </c>
      <c r="AI37" s="87">
        <f t="shared" si="14"/>
        <v>0</v>
      </c>
      <c r="AJ37" s="87">
        <f t="shared" si="15"/>
        <v>0</v>
      </c>
      <c r="AK37" s="87">
        <f t="shared" si="16"/>
        <v>0</v>
      </c>
      <c r="AL37" s="87">
        <f t="shared" si="17"/>
        <v>0</v>
      </c>
      <c r="AM37" s="87">
        <f t="shared" si="18"/>
        <v>0</v>
      </c>
      <c r="AN37" s="87">
        <f t="shared" si="19"/>
        <v>0</v>
      </c>
      <c r="AO37" s="65"/>
      <c r="AP37" s="88">
        <v>362</v>
      </c>
      <c r="AQ37" s="87">
        <f t="shared" si="20"/>
        <v>2</v>
      </c>
      <c r="AR37" s="87">
        <f t="shared" si="21"/>
        <v>0</v>
      </c>
      <c r="AS37" s="87">
        <f t="shared" si="22"/>
        <v>0</v>
      </c>
      <c r="AT37" s="87">
        <f t="shared" si="23"/>
        <v>0</v>
      </c>
      <c r="AU37" s="87">
        <f t="shared" si="24"/>
        <v>0</v>
      </c>
      <c r="AV37" s="87">
        <f t="shared" si="25"/>
        <v>0</v>
      </c>
      <c r="AW37" s="87">
        <f t="shared" si="26"/>
        <v>0</v>
      </c>
      <c r="AX37" s="87">
        <f t="shared" si="27"/>
        <v>0</v>
      </c>
      <c r="AY37" s="87">
        <f t="shared" si="28"/>
        <v>0</v>
      </c>
      <c r="AZ37" s="87">
        <f t="shared" si="29"/>
        <v>0</v>
      </c>
      <c r="BA37" s="87">
        <f t="shared" si="30"/>
        <v>0</v>
      </c>
      <c r="BB37" s="87">
        <f t="shared" si="31"/>
        <v>0</v>
      </c>
      <c r="BC37" s="87">
        <f t="shared" si="32"/>
        <v>0</v>
      </c>
      <c r="BD37" s="87">
        <f t="shared" si="33"/>
        <v>0</v>
      </c>
      <c r="BE37" s="87">
        <f t="shared" si="34"/>
        <v>0</v>
      </c>
      <c r="BF37" s="87">
        <f t="shared" si="35"/>
        <v>0</v>
      </c>
      <c r="BG37" s="87">
        <f t="shared" si="36"/>
        <v>0</v>
      </c>
      <c r="BH37" s="87">
        <f t="shared" si="37"/>
        <v>0</v>
      </c>
    </row>
    <row r="38" spans="2:60" s="64" customFormat="1" ht="18.75" x14ac:dyDescent="0.3">
      <c r="B38" s="85">
        <v>281</v>
      </c>
      <c r="C38" s="87">
        <f t="shared" si="42"/>
        <v>2</v>
      </c>
      <c r="D38" s="87">
        <f t="shared" si="42"/>
        <v>0</v>
      </c>
      <c r="E38" s="87">
        <f t="shared" si="42"/>
        <v>0</v>
      </c>
      <c r="F38" s="87">
        <f t="shared" si="42"/>
        <v>0</v>
      </c>
      <c r="G38" s="87">
        <f t="shared" si="42"/>
        <v>0</v>
      </c>
      <c r="H38" s="87">
        <f t="shared" si="42"/>
        <v>0</v>
      </c>
      <c r="I38" s="87">
        <f t="shared" si="42"/>
        <v>0</v>
      </c>
      <c r="J38" s="87">
        <f t="shared" si="42"/>
        <v>0</v>
      </c>
      <c r="K38" s="87">
        <f t="shared" si="42"/>
        <v>0</v>
      </c>
      <c r="L38" s="87">
        <f t="shared" si="42"/>
        <v>0</v>
      </c>
      <c r="M38" s="87">
        <f t="shared" si="42"/>
        <v>0</v>
      </c>
      <c r="N38" s="87">
        <f t="shared" si="41"/>
        <v>0</v>
      </c>
      <c r="O38" s="87">
        <f t="shared" si="41"/>
        <v>0</v>
      </c>
      <c r="P38" s="87">
        <f t="shared" si="41"/>
        <v>0</v>
      </c>
      <c r="Q38" s="87">
        <f t="shared" si="41"/>
        <v>0</v>
      </c>
      <c r="R38" s="87">
        <f t="shared" si="41"/>
        <v>0</v>
      </c>
      <c r="S38" s="87">
        <f t="shared" si="41"/>
        <v>0</v>
      </c>
      <c r="T38" s="87">
        <f t="shared" si="41"/>
        <v>0</v>
      </c>
      <c r="U38" s="65"/>
      <c r="V38" s="88">
        <v>322</v>
      </c>
      <c r="W38" s="87">
        <f t="shared" si="2"/>
        <v>2</v>
      </c>
      <c r="X38" s="87">
        <f t="shared" si="3"/>
        <v>0</v>
      </c>
      <c r="Y38" s="87">
        <f t="shared" si="4"/>
        <v>0</v>
      </c>
      <c r="Z38" s="87">
        <f t="shared" si="5"/>
        <v>0</v>
      </c>
      <c r="AA38" s="87">
        <f t="shared" si="6"/>
        <v>0</v>
      </c>
      <c r="AB38" s="87">
        <f t="shared" si="7"/>
        <v>0</v>
      </c>
      <c r="AC38" s="87">
        <f t="shared" si="8"/>
        <v>0</v>
      </c>
      <c r="AD38" s="87">
        <f t="shared" si="9"/>
        <v>0</v>
      </c>
      <c r="AE38" s="87">
        <f t="shared" si="10"/>
        <v>0</v>
      </c>
      <c r="AF38" s="87">
        <f t="shared" si="11"/>
        <v>0</v>
      </c>
      <c r="AG38" s="87">
        <f t="shared" si="12"/>
        <v>0</v>
      </c>
      <c r="AH38" s="87">
        <f t="shared" si="13"/>
        <v>0</v>
      </c>
      <c r="AI38" s="87">
        <f t="shared" si="14"/>
        <v>0</v>
      </c>
      <c r="AJ38" s="87">
        <f t="shared" si="15"/>
        <v>0</v>
      </c>
      <c r="AK38" s="87">
        <f t="shared" si="16"/>
        <v>0</v>
      </c>
      <c r="AL38" s="87">
        <f t="shared" si="17"/>
        <v>0</v>
      </c>
      <c r="AM38" s="87">
        <f t="shared" si="18"/>
        <v>0</v>
      </c>
      <c r="AN38" s="87">
        <f t="shared" si="19"/>
        <v>0</v>
      </c>
      <c r="AO38" s="65"/>
      <c r="AP38" s="85">
        <v>363</v>
      </c>
      <c r="AQ38" s="87">
        <f t="shared" si="20"/>
        <v>2</v>
      </c>
      <c r="AR38" s="87">
        <f t="shared" si="21"/>
        <v>0</v>
      </c>
      <c r="AS38" s="87">
        <f t="shared" si="22"/>
        <v>0</v>
      </c>
      <c r="AT38" s="87">
        <f t="shared" si="23"/>
        <v>0</v>
      </c>
      <c r="AU38" s="87">
        <f t="shared" si="24"/>
        <v>0</v>
      </c>
      <c r="AV38" s="87">
        <f t="shared" si="25"/>
        <v>0</v>
      </c>
      <c r="AW38" s="87">
        <f t="shared" si="26"/>
        <v>0</v>
      </c>
      <c r="AX38" s="87">
        <f t="shared" si="27"/>
        <v>0</v>
      </c>
      <c r="AY38" s="87">
        <f t="shared" si="28"/>
        <v>0</v>
      </c>
      <c r="AZ38" s="87">
        <f t="shared" si="29"/>
        <v>0</v>
      </c>
      <c r="BA38" s="87">
        <f t="shared" si="30"/>
        <v>0</v>
      </c>
      <c r="BB38" s="87">
        <f t="shared" si="31"/>
        <v>0</v>
      </c>
      <c r="BC38" s="87">
        <f t="shared" si="32"/>
        <v>0</v>
      </c>
      <c r="BD38" s="87">
        <f t="shared" si="33"/>
        <v>0</v>
      </c>
      <c r="BE38" s="87">
        <f t="shared" si="34"/>
        <v>0</v>
      </c>
      <c r="BF38" s="87">
        <f t="shared" si="35"/>
        <v>0</v>
      </c>
      <c r="BG38" s="87">
        <f t="shared" si="36"/>
        <v>0</v>
      </c>
      <c r="BH38" s="87">
        <f t="shared" si="37"/>
        <v>0</v>
      </c>
    </row>
    <row r="39" spans="2:60" s="64" customFormat="1" ht="18.75" x14ac:dyDescent="0.3">
      <c r="B39" s="88">
        <v>282</v>
      </c>
      <c r="C39" s="87">
        <f t="shared" si="42"/>
        <v>2</v>
      </c>
      <c r="D39" s="87">
        <f t="shared" si="42"/>
        <v>0</v>
      </c>
      <c r="E39" s="87">
        <f t="shared" si="42"/>
        <v>0</v>
      </c>
      <c r="F39" s="87">
        <f t="shared" si="42"/>
        <v>0</v>
      </c>
      <c r="G39" s="87">
        <f t="shared" si="42"/>
        <v>0</v>
      </c>
      <c r="H39" s="87">
        <f t="shared" si="42"/>
        <v>0</v>
      </c>
      <c r="I39" s="87">
        <f t="shared" si="42"/>
        <v>0</v>
      </c>
      <c r="J39" s="87">
        <f t="shared" si="42"/>
        <v>0</v>
      </c>
      <c r="K39" s="87">
        <f t="shared" si="42"/>
        <v>0</v>
      </c>
      <c r="L39" s="87">
        <f t="shared" si="42"/>
        <v>0</v>
      </c>
      <c r="M39" s="87">
        <f t="shared" si="42"/>
        <v>0</v>
      </c>
      <c r="N39" s="87">
        <f t="shared" si="41"/>
        <v>0</v>
      </c>
      <c r="O39" s="87">
        <f t="shared" si="41"/>
        <v>0</v>
      </c>
      <c r="P39" s="87">
        <f t="shared" si="41"/>
        <v>0</v>
      </c>
      <c r="Q39" s="87">
        <f t="shared" si="41"/>
        <v>0</v>
      </c>
      <c r="R39" s="87">
        <f t="shared" si="41"/>
        <v>0</v>
      </c>
      <c r="S39" s="87">
        <f t="shared" si="41"/>
        <v>0</v>
      </c>
      <c r="T39" s="87">
        <f t="shared" si="41"/>
        <v>0</v>
      </c>
      <c r="U39" s="65"/>
      <c r="V39" s="85">
        <v>323</v>
      </c>
      <c r="W39" s="87">
        <f t="shared" si="2"/>
        <v>2</v>
      </c>
      <c r="X39" s="87">
        <f t="shared" si="3"/>
        <v>0</v>
      </c>
      <c r="Y39" s="87">
        <f t="shared" si="4"/>
        <v>0</v>
      </c>
      <c r="Z39" s="87">
        <f t="shared" si="5"/>
        <v>0</v>
      </c>
      <c r="AA39" s="87">
        <f t="shared" si="6"/>
        <v>0</v>
      </c>
      <c r="AB39" s="87">
        <f t="shared" si="7"/>
        <v>0</v>
      </c>
      <c r="AC39" s="87">
        <f t="shared" si="8"/>
        <v>0</v>
      </c>
      <c r="AD39" s="87">
        <f t="shared" si="9"/>
        <v>0</v>
      </c>
      <c r="AE39" s="87">
        <f t="shared" si="10"/>
        <v>0</v>
      </c>
      <c r="AF39" s="87">
        <f t="shared" si="11"/>
        <v>0</v>
      </c>
      <c r="AG39" s="87">
        <f t="shared" si="12"/>
        <v>0</v>
      </c>
      <c r="AH39" s="87">
        <f t="shared" si="13"/>
        <v>0</v>
      </c>
      <c r="AI39" s="87">
        <f t="shared" si="14"/>
        <v>0</v>
      </c>
      <c r="AJ39" s="87">
        <f t="shared" si="15"/>
        <v>0</v>
      </c>
      <c r="AK39" s="87">
        <f t="shared" si="16"/>
        <v>0</v>
      </c>
      <c r="AL39" s="87">
        <f t="shared" si="17"/>
        <v>0</v>
      </c>
      <c r="AM39" s="87">
        <f t="shared" si="18"/>
        <v>0</v>
      </c>
      <c r="AN39" s="87">
        <f t="shared" si="19"/>
        <v>0</v>
      </c>
      <c r="AO39" s="65"/>
      <c r="AP39" s="88">
        <v>364</v>
      </c>
      <c r="AQ39" s="87">
        <f t="shared" si="20"/>
        <v>2</v>
      </c>
      <c r="AR39" s="87">
        <f t="shared" si="21"/>
        <v>0</v>
      </c>
      <c r="AS39" s="87">
        <f t="shared" si="22"/>
        <v>0</v>
      </c>
      <c r="AT39" s="87">
        <f t="shared" si="23"/>
        <v>0</v>
      </c>
      <c r="AU39" s="87">
        <f t="shared" si="24"/>
        <v>0</v>
      </c>
      <c r="AV39" s="87">
        <f t="shared" si="25"/>
        <v>0</v>
      </c>
      <c r="AW39" s="87">
        <f t="shared" si="26"/>
        <v>0</v>
      </c>
      <c r="AX39" s="87">
        <f t="shared" si="27"/>
        <v>0</v>
      </c>
      <c r="AY39" s="87">
        <f t="shared" si="28"/>
        <v>0</v>
      </c>
      <c r="AZ39" s="87">
        <f t="shared" si="29"/>
        <v>0</v>
      </c>
      <c r="BA39" s="87">
        <f t="shared" si="30"/>
        <v>0</v>
      </c>
      <c r="BB39" s="87">
        <f t="shared" si="31"/>
        <v>0</v>
      </c>
      <c r="BC39" s="87">
        <f t="shared" si="32"/>
        <v>0</v>
      </c>
      <c r="BD39" s="87">
        <f t="shared" si="33"/>
        <v>0</v>
      </c>
      <c r="BE39" s="87">
        <f t="shared" si="34"/>
        <v>0</v>
      </c>
      <c r="BF39" s="87">
        <f t="shared" si="35"/>
        <v>0</v>
      </c>
      <c r="BG39" s="87">
        <f t="shared" si="36"/>
        <v>0</v>
      </c>
      <c r="BH39" s="87">
        <f t="shared" si="37"/>
        <v>0</v>
      </c>
    </row>
    <row r="40" spans="2:60" s="64" customFormat="1" ht="18.75" x14ac:dyDescent="0.3">
      <c r="B40" s="85">
        <v>283</v>
      </c>
      <c r="C40" s="87">
        <f t="shared" si="42"/>
        <v>2</v>
      </c>
      <c r="D40" s="87">
        <f t="shared" si="42"/>
        <v>0</v>
      </c>
      <c r="E40" s="87">
        <f t="shared" si="42"/>
        <v>0</v>
      </c>
      <c r="F40" s="87">
        <f t="shared" si="42"/>
        <v>0</v>
      </c>
      <c r="G40" s="87">
        <f t="shared" si="42"/>
        <v>0</v>
      </c>
      <c r="H40" s="87">
        <f t="shared" si="42"/>
        <v>0</v>
      </c>
      <c r="I40" s="87">
        <f t="shared" si="42"/>
        <v>0</v>
      </c>
      <c r="J40" s="87">
        <f t="shared" si="42"/>
        <v>0</v>
      </c>
      <c r="K40" s="87">
        <f t="shared" si="42"/>
        <v>0</v>
      </c>
      <c r="L40" s="87">
        <f t="shared" si="42"/>
        <v>0</v>
      </c>
      <c r="M40" s="87">
        <f t="shared" si="42"/>
        <v>0</v>
      </c>
      <c r="N40" s="87">
        <f t="shared" si="41"/>
        <v>0</v>
      </c>
      <c r="O40" s="87">
        <f t="shared" si="41"/>
        <v>0</v>
      </c>
      <c r="P40" s="87">
        <f t="shared" si="41"/>
        <v>0</v>
      </c>
      <c r="Q40" s="87">
        <f t="shared" si="41"/>
        <v>0</v>
      </c>
      <c r="R40" s="87">
        <f t="shared" si="41"/>
        <v>0</v>
      </c>
      <c r="S40" s="87">
        <f t="shared" si="41"/>
        <v>0</v>
      </c>
      <c r="T40" s="87">
        <f t="shared" si="41"/>
        <v>0</v>
      </c>
      <c r="U40" s="65"/>
      <c r="V40" s="88">
        <v>324</v>
      </c>
      <c r="W40" s="87">
        <f t="shared" si="2"/>
        <v>2</v>
      </c>
      <c r="X40" s="87">
        <f t="shared" si="3"/>
        <v>0</v>
      </c>
      <c r="Y40" s="87">
        <f t="shared" si="4"/>
        <v>0</v>
      </c>
      <c r="Z40" s="87">
        <f t="shared" si="5"/>
        <v>0</v>
      </c>
      <c r="AA40" s="87">
        <f t="shared" si="6"/>
        <v>0</v>
      </c>
      <c r="AB40" s="87">
        <f t="shared" si="7"/>
        <v>0</v>
      </c>
      <c r="AC40" s="87">
        <f t="shared" si="8"/>
        <v>0</v>
      </c>
      <c r="AD40" s="87">
        <f t="shared" si="9"/>
        <v>0</v>
      </c>
      <c r="AE40" s="87">
        <f t="shared" si="10"/>
        <v>0</v>
      </c>
      <c r="AF40" s="87">
        <f t="shared" si="11"/>
        <v>0</v>
      </c>
      <c r="AG40" s="87">
        <f t="shared" si="12"/>
        <v>0</v>
      </c>
      <c r="AH40" s="87">
        <f t="shared" si="13"/>
        <v>0</v>
      </c>
      <c r="AI40" s="87">
        <f t="shared" si="14"/>
        <v>0</v>
      </c>
      <c r="AJ40" s="87">
        <f t="shared" si="15"/>
        <v>0</v>
      </c>
      <c r="AK40" s="87">
        <f t="shared" si="16"/>
        <v>0</v>
      </c>
      <c r="AL40" s="87">
        <f t="shared" si="17"/>
        <v>0</v>
      </c>
      <c r="AM40" s="87">
        <f t="shared" si="18"/>
        <v>0</v>
      </c>
      <c r="AN40" s="87">
        <f t="shared" si="19"/>
        <v>0</v>
      </c>
      <c r="AO40" s="65"/>
      <c r="AP40" s="85">
        <v>365</v>
      </c>
      <c r="AQ40" s="87">
        <f t="shared" si="20"/>
        <v>2</v>
      </c>
      <c r="AR40" s="87">
        <f t="shared" si="21"/>
        <v>0</v>
      </c>
      <c r="AS40" s="87">
        <f t="shared" si="22"/>
        <v>0</v>
      </c>
      <c r="AT40" s="87">
        <f t="shared" si="23"/>
        <v>0</v>
      </c>
      <c r="AU40" s="87">
        <f t="shared" si="24"/>
        <v>0</v>
      </c>
      <c r="AV40" s="87">
        <f t="shared" si="25"/>
        <v>0</v>
      </c>
      <c r="AW40" s="87">
        <f t="shared" si="26"/>
        <v>0</v>
      </c>
      <c r="AX40" s="87">
        <f t="shared" si="27"/>
        <v>0</v>
      </c>
      <c r="AY40" s="87">
        <f t="shared" si="28"/>
        <v>0</v>
      </c>
      <c r="AZ40" s="87">
        <f t="shared" si="29"/>
        <v>0</v>
      </c>
      <c r="BA40" s="87">
        <f t="shared" si="30"/>
        <v>0</v>
      </c>
      <c r="BB40" s="87">
        <f t="shared" si="31"/>
        <v>0</v>
      </c>
      <c r="BC40" s="87">
        <f t="shared" si="32"/>
        <v>0</v>
      </c>
      <c r="BD40" s="87">
        <f t="shared" si="33"/>
        <v>0</v>
      </c>
      <c r="BE40" s="87">
        <f t="shared" si="34"/>
        <v>0</v>
      </c>
      <c r="BF40" s="87">
        <f t="shared" si="35"/>
        <v>0</v>
      </c>
      <c r="BG40" s="87">
        <f t="shared" si="36"/>
        <v>0</v>
      </c>
      <c r="BH40" s="87">
        <f t="shared" si="37"/>
        <v>0</v>
      </c>
    </row>
    <row r="41" spans="2:60" s="64" customFormat="1" ht="18.75" x14ac:dyDescent="0.3">
      <c r="B41" s="88">
        <v>284</v>
      </c>
      <c r="C41" s="87">
        <f t="shared" si="42"/>
        <v>2</v>
      </c>
      <c r="D41" s="87">
        <f t="shared" si="42"/>
        <v>0</v>
      </c>
      <c r="E41" s="87">
        <f t="shared" si="42"/>
        <v>0</v>
      </c>
      <c r="F41" s="87">
        <f t="shared" si="42"/>
        <v>0</v>
      </c>
      <c r="G41" s="87">
        <f t="shared" si="42"/>
        <v>0</v>
      </c>
      <c r="H41" s="87">
        <f t="shared" si="42"/>
        <v>0</v>
      </c>
      <c r="I41" s="87">
        <f t="shared" si="42"/>
        <v>0</v>
      </c>
      <c r="J41" s="87">
        <f t="shared" si="42"/>
        <v>0</v>
      </c>
      <c r="K41" s="87">
        <f t="shared" si="42"/>
        <v>0</v>
      </c>
      <c r="L41" s="87">
        <f t="shared" si="42"/>
        <v>0</v>
      </c>
      <c r="M41" s="87">
        <f t="shared" si="42"/>
        <v>0</v>
      </c>
      <c r="N41" s="87">
        <f t="shared" si="41"/>
        <v>0</v>
      </c>
      <c r="O41" s="87">
        <f t="shared" si="41"/>
        <v>0</v>
      </c>
      <c r="P41" s="87">
        <f t="shared" si="41"/>
        <v>0</v>
      </c>
      <c r="Q41" s="87">
        <f t="shared" si="41"/>
        <v>0</v>
      </c>
      <c r="R41" s="87">
        <f t="shared" si="41"/>
        <v>0</v>
      </c>
      <c r="S41" s="87">
        <f t="shared" si="41"/>
        <v>0</v>
      </c>
      <c r="T41" s="87">
        <f t="shared" si="41"/>
        <v>0</v>
      </c>
      <c r="U41" s="65"/>
      <c r="V41" s="85">
        <v>325</v>
      </c>
      <c r="W41" s="87">
        <f t="shared" si="2"/>
        <v>2</v>
      </c>
      <c r="X41" s="87">
        <f t="shared" si="3"/>
        <v>0</v>
      </c>
      <c r="Y41" s="87">
        <f t="shared" si="4"/>
        <v>0</v>
      </c>
      <c r="Z41" s="87">
        <f t="shared" si="5"/>
        <v>0</v>
      </c>
      <c r="AA41" s="87">
        <f t="shared" si="6"/>
        <v>0</v>
      </c>
      <c r="AB41" s="87">
        <f t="shared" si="7"/>
        <v>0</v>
      </c>
      <c r="AC41" s="87">
        <f t="shared" si="8"/>
        <v>0</v>
      </c>
      <c r="AD41" s="87">
        <f t="shared" si="9"/>
        <v>0</v>
      </c>
      <c r="AE41" s="87">
        <f t="shared" si="10"/>
        <v>0</v>
      </c>
      <c r="AF41" s="87">
        <f t="shared" si="11"/>
        <v>0</v>
      </c>
      <c r="AG41" s="87">
        <f t="shared" si="12"/>
        <v>0</v>
      </c>
      <c r="AH41" s="87">
        <f t="shared" si="13"/>
        <v>0</v>
      </c>
      <c r="AI41" s="87">
        <f t="shared" si="14"/>
        <v>0</v>
      </c>
      <c r="AJ41" s="87">
        <f t="shared" si="15"/>
        <v>0</v>
      </c>
      <c r="AK41" s="87">
        <f t="shared" si="16"/>
        <v>0</v>
      </c>
      <c r="AL41" s="87">
        <f t="shared" si="17"/>
        <v>0</v>
      </c>
      <c r="AM41" s="87">
        <f t="shared" si="18"/>
        <v>0</v>
      </c>
      <c r="AN41" s="87">
        <f t="shared" si="19"/>
        <v>0</v>
      </c>
      <c r="AO41" s="65"/>
      <c r="AP41" s="88">
        <v>366</v>
      </c>
      <c r="AQ41" s="87">
        <f t="shared" si="20"/>
        <v>2</v>
      </c>
      <c r="AR41" s="87">
        <f t="shared" si="21"/>
        <v>0</v>
      </c>
      <c r="AS41" s="87">
        <f t="shared" si="22"/>
        <v>0</v>
      </c>
      <c r="AT41" s="87">
        <f t="shared" si="23"/>
        <v>0</v>
      </c>
      <c r="AU41" s="87">
        <f t="shared" si="24"/>
        <v>0</v>
      </c>
      <c r="AV41" s="87">
        <f t="shared" si="25"/>
        <v>0</v>
      </c>
      <c r="AW41" s="87">
        <f t="shared" si="26"/>
        <v>0</v>
      </c>
      <c r="AX41" s="87">
        <f t="shared" si="27"/>
        <v>0</v>
      </c>
      <c r="AY41" s="87">
        <f t="shared" si="28"/>
        <v>0</v>
      </c>
      <c r="AZ41" s="87">
        <f t="shared" si="29"/>
        <v>0</v>
      </c>
      <c r="BA41" s="87">
        <f t="shared" si="30"/>
        <v>0</v>
      </c>
      <c r="BB41" s="87">
        <f t="shared" si="31"/>
        <v>0</v>
      </c>
      <c r="BC41" s="87">
        <f t="shared" si="32"/>
        <v>0</v>
      </c>
      <c r="BD41" s="87">
        <f t="shared" si="33"/>
        <v>0</v>
      </c>
      <c r="BE41" s="87">
        <f t="shared" si="34"/>
        <v>0</v>
      </c>
      <c r="BF41" s="87">
        <f t="shared" si="35"/>
        <v>0</v>
      </c>
      <c r="BG41" s="87">
        <f t="shared" si="36"/>
        <v>0</v>
      </c>
      <c r="BH41" s="87">
        <f t="shared" si="37"/>
        <v>0</v>
      </c>
    </row>
    <row r="42" spans="2:60" s="64" customFormat="1" ht="18.75" x14ac:dyDescent="0.3">
      <c r="B42" s="85">
        <v>285</v>
      </c>
      <c r="C42" s="87">
        <f t="shared" si="42"/>
        <v>2</v>
      </c>
      <c r="D42" s="87">
        <f t="shared" si="42"/>
        <v>0</v>
      </c>
      <c r="E42" s="87">
        <f t="shared" si="42"/>
        <v>0</v>
      </c>
      <c r="F42" s="87">
        <f t="shared" si="42"/>
        <v>0</v>
      </c>
      <c r="G42" s="87">
        <f t="shared" si="42"/>
        <v>0</v>
      </c>
      <c r="H42" s="87">
        <f t="shared" si="42"/>
        <v>0</v>
      </c>
      <c r="I42" s="87">
        <f t="shared" si="42"/>
        <v>0</v>
      </c>
      <c r="J42" s="87">
        <f t="shared" si="42"/>
        <v>0</v>
      </c>
      <c r="K42" s="87">
        <f t="shared" si="42"/>
        <v>0</v>
      </c>
      <c r="L42" s="87">
        <f t="shared" si="42"/>
        <v>0</v>
      </c>
      <c r="M42" s="87">
        <f t="shared" si="42"/>
        <v>0</v>
      </c>
      <c r="N42" s="87">
        <f t="shared" si="41"/>
        <v>0</v>
      </c>
      <c r="O42" s="87">
        <f t="shared" si="41"/>
        <v>0</v>
      </c>
      <c r="P42" s="87">
        <f t="shared" si="41"/>
        <v>0</v>
      </c>
      <c r="Q42" s="87">
        <f t="shared" si="41"/>
        <v>0</v>
      </c>
      <c r="R42" s="87">
        <f t="shared" si="41"/>
        <v>0</v>
      </c>
      <c r="S42" s="87">
        <f t="shared" si="41"/>
        <v>0</v>
      </c>
      <c r="T42" s="87">
        <f t="shared" si="41"/>
        <v>0</v>
      </c>
      <c r="U42" s="65"/>
      <c r="V42" s="88">
        <v>326</v>
      </c>
      <c r="W42" s="87">
        <f t="shared" si="2"/>
        <v>2</v>
      </c>
      <c r="X42" s="87">
        <f t="shared" si="3"/>
        <v>0</v>
      </c>
      <c r="Y42" s="87">
        <f t="shared" si="4"/>
        <v>0</v>
      </c>
      <c r="Z42" s="87">
        <f t="shared" si="5"/>
        <v>0</v>
      </c>
      <c r="AA42" s="87">
        <f t="shared" si="6"/>
        <v>0</v>
      </c>
      <c r="AB42" s="87">
        <f t="shared" si="7"/>
        <v>0</v>
      </c>
      <c r="AC42" s="87">
        <f t="shared" si="8"/>
        <v>0</v>
      </c>
      <c r="AD42" s="87">
        <f t="shared" si="9"/>
        <v>0</v>
      </c>
      <c r="AE42" s="87">
        <f t="shared" si="10"/>
        <v>0</v>
      </c>
      <c r="AF42" s="87">
        <f t="shared" si="11"/>
        <v>0</v>
      </c>
      <c r="AG42" s="87">
        <f t="shared" si="12"/>
        <v>0</v>
      </c>
      <c r="AH42" s="87">
        <f t="shared" si="13"/>
        <v>0</v>
      </c>
      <c r="AI42" s="87">
        <f t="shared" si="14"/>
        <v>0</v>
      </c>
      <c r="AJ42" s="87">
        <f t="shared" si="15"/>
        <v>0</v>
      </c>
      <c r="AK42" s="87">
        <f t="shared" si="16"/>
        <v>0</v>
      </c>
      <c r="AL42" s="87">
        <f t="shared" si="17"/>
        <v>0</v>
      </c>
      <c r="AM42" s="87">
        <f t="shared" si="18"/>
        <v>0</v>
      </c>
      <c r="AN42" s="87">
        <f t="shared" si="19"/>
        <v>0</v>
      </c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</row>
    <row r="43" spans="2:60" s="64" customFormat="1" x14ac:dyDescent="0.2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</row>
    <row r="63" spans="21:21" s="64" customFormat="1" x14ac:dyDescent="0.2">
      <c r="U63" s="65"/>
    </row>
    <row r="64" spans="21:21" s="64" customFormat="1" x14ac:dyDescent="0.2">
      <c r="U64" s="65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7C8198F-0A3E-47C4-B4B5-64FC56CD4D57}">
            <x14:iconSet iconSet="4TrafficLights" custom="1">
              <x14:cfvo type="percent">
                <xm:f>0</xm:f>
              </x14:cfvo>
              <x14:cfvo type="percent">
                <xm:f>1</xm:f>
              </x14:cfvo>
              <x14:cfvo type="percent">
                <xm:f>30</xm:f>
              </x14:cfvo>
              <x14:cfvo type="percent">
                <xm:f>99</xm:f>
              </x14:cfvo>
              <x14:cfIcon iconSet="4RedToBlack" iconId="1"/>
              <x14:cfIcon iconSet="3Symbols" iconId="1"/>
              <x14:cfIcon iconSet="3Symbols" iconId="2"/>
              <x14:cfIcon iconSet="3Symbols" iconId="0"/>
            </x14:iconSet>
          </x14:cfRule>
          <xm:sqref>C2:T42 W2:AN42 AQ2:BH41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4"/>
  <sheetViews>
    <sheetView zoomScale="68" zoomScaleNormal="68" workbookViewId="0"/>
  </sheetViews>
  <sheetFormatPr baseColWidth="10" defaultColWidth="3" defaultRowHeight="12.75" x14ac:dyDescent="0.2"/>
  <cols>
    <col min="1" max="1" width="3" style="65"/>
    <col min="2" max="2" width="7.7109375" style="65" bestFit="1" customWidth="1"/>
    <col min="3" max="21" width="4.28515625" style="65" customWidth="1"/>
    <col min="22" max="22" width="7.7109375" style="65" bestFit="1" customWidth="1"/>
    <col min="23" max="41" width="4.28515625" style="65" customWidth="1"/>
    <col min="42" max="42" width="7.7109375" style="65" bestFit="1" customWidth="1"/>
    <col min="43" max="61" width="4.28515625" style="65" customWidth="1"/>
    <col min="62" max="63" width="3" style="65"/>
    <col min="64" max="16384" width="3" style="64"/>
  </cols>
  <sheetData>
    <row r="1" spans="1:60" s="64" customFormat="1" x14ac:dyDescent="0.2">
      <c r="A1" s="66"/>
      <c r="B1" s="84" t="s">
        <v>492</v>
      </c>
      <c r="C1" s="84">
        <v>0</v>
      </c>
      <c r="D1" s="84">
        <v>1</v>
      </c>
      <c r="E1" s="84">
        <v>2</v>
      </c>
      <c r="F1" s="84">
        <v>3</v>
      </c>
      <c r="G1" s="84">
        <v>4</v>
      </c>
      <c r="H1" s="84">
        <v>5</v>
      </c>
      <c r="I1" s="84">
        <v>6</v>
      </c>
      <c r="J1" s="84">
        <v>7</v>
      </c>
      <c r="K1" s="84">
        <v>8</v>
      </c>
      <c r="L1" s="84">
        <v>9</v>
      </c>
      <c r="M1" s="84">
        <v>10</v>
      </c>
      <c r="N1" s="84">
        <v>11</v>
      </c>
      <c r="O1" s="84">
        <v>12</v>
      </c>
      <c r="P1" s="84">
        <v>13</v>
      </c>
      <c r="Q1" s="84">
        <v>14</v>
      </c>
      <c r="R1" s="84">
        <v>15</v>
      </c>
      <c r="S1" s="84">
        <v>16</v>
      </c>
      <c r="T1" s="84">
        <v>17</v>
      </c>
      <c r="U1" s="65"/>
      <c r="V1" s="84" t="s">
        <v>492</v>
      </c>
      <c r="W1" s="84">
        <v>0</v>
      </c>
      <c r="X1" s="84">
        <v>1</v>
      </c>
      <c r="Y1" s="84">
        <v>2</v>
      </c>
      <c r="Z1" s="84">
        <v>3</v>
      </c>
      <c r="AA1" s="84">
        <v>4</v>
      </c>
      <c r="AB1" s="84">
        <v>5</v>
      </c>
      <c r="AC1" s="84">
        <v>6</v>
      </c>
      <c r="AD1" s="84">
        <v>7</v>
      </c>
      <c r="AE1" s="84">
        <v>8</v>
      </c>
      <c r="AF1" s="84">
        <v>9</v>
      </c>
      <c r="AG1" s="84">
        <v>10</v>
      </c>
      <c r="AH1" s="84">
        <v>11</v>
      </c>
      <c r="AI1" s="84">
        <v>12</v>
      </c>
      <c r="AJ1" s="84">
        <v>13</v>
      </c>
      <c r="AK1" s="84">
        <v>14</v>
      </c>
      <c r="AL1" s="84">
        <v>15</v>
      </c>
      <c r="AM1" s="84">
        <v>16</v>
      </c>
      <c r="AN1" s="84">
        <v>17</v>
      </c>
      <c r="AO1" s="65"/>
      <c r="AP1" s="84" t="s">
        <v>492</v>
      </c>
      <c r="AQ1" s="84">
        <v>0</v>
      </c>
      <c r="AR1" s="84">
        <v>1</v>
      </c>
      <c r="AS1" s="84">
        <v>2</v>
      </c>
      <c r="AT1" s="84">
        <v>3</v>
      </c>
      <c r="AU1" s="84">
        <v>4</v>
      </c>
      <c r="AV1" s="84">
        <v>5</v>
      </c>
      <c r="AW1" s="84">
        <v>6</v>
      </c>
      <c r="AX1" s="84">
        <v>7</v>
      </c>
      <c r="AY1" s="84">
        <v>8</v>
      </c>
      <c r="AZ1" s="84">
        <v>9</v>
      </c>
      <c r="BA1" s="84">
        <v>10</v>
      </c>
      <c r="BB1" s="84">
        <v>11</v>
      </c>
      <c r="BC1" s="84">
        <v>12</v>
      </c>
      <c r="BD1" s="84">
        <v>13</v>
      </c>
      <c r="BE1" s="84">
        <v>14</v>
      </c>
      <c r="BF1" s="84">
        <v>15</v>
      </c>
      <c r="BG1" s="84">
        <v>16</v>
      </c>
      <c r="BH1" s="84">
        <v>17</v>
      </c>
    </row>
    <row r="2" spans="1:60" s="64" customFormat="1" ht="18.75" x14ac:dyDescent="0.3">
      <c r="A2" s="66"/>
      <c r="B2" s="85">
        <v>367</v>
      </c>
      <c r="C2" s="86">
        <f>SUMIFS(VOTOS1,CENTRO1,$B2,TURNO1,C$1)</f>
        <v>2</v>
      </c>
      <c r="D2" s="86">
        <f t="shared" ref="D2:S2" si="0">SUMIFS(VOTOS1,CENTRO1,$B2,TURNO1,D$1)</f>
        <v>0</v>
      </c>
      <c r="E2" s="87">
        <f t="shared" si="0"/>
        <v>0</v>
      </c>
      <c r="F2" s="87">
        <f t="shared" si="0"/>
        <v>0</v>
      </c>
      <c r="G2" s="87">
        <f t="shared" si="0"/>
        <v>0</v>
      </c>
      <c r="H2" s="87">
        <f t="shared" si="0"/>
        <v>0</v>
      </c>
      <c r="I2" s="87">
        <f t="shared" si="0"/>
        <v>0</v>
      </c>
      <c r="J2" s="87">
        <f t="shared" si="0"/>
        <v>0</v>
      </c>
      <c r="K2" s="87">
        <f t="shared" si="0"/>
        <v>0</v>
      </c>
      <c r="L2" s="87">
        <f t="shared" si="0"/>
        <v>0</v>
      </c>
      <c r="M2" s="87">
        <f t="shared" si="0"/>
        <v>0</v>
      </c>
      <c r="N2" s="87">
        <f t="shared" si="0"/>
        <v>0</v>
      </c>
      <c r="O2" s="87">
        <f t="shared" si="0"/>
        <v>0</v>
      </c>
      <c r="P2" s="87">
        <f t="shared" si="0"/>
        <v>0</v>
      </c>
      <c r="Q2" s="87">
        <f t="shared" si="0"/>
        <v>0</v>
      </c>
      <c r="R2" s="87">
        <f t="shared" si="0"/>
        <v>0</v>
      </c>
      <c r="S2" s="87">
        <f t="shared" si="0"/>
        <v>0</v>
      </c>
      <c r="T2" s="87">
        <f t="shared" ref="N2:T17" si="1">SUMIFS(VOTOS1,CENTRO1,$B2,TURNO1,T$1)</f>
        <v>0</v>
      </c>
      <c r="U2" s="65"/>
      <c r="V2" s="88">
        <v>408</v>
      </c>
      <c r="W2" s="86">
        <f t="shared" ref="W2:W42" si="2">SUMIFS(VOTOS1,CENTRO1,$V2,TURNO1,C$1)</f>
        <v>2</v>
      </c>
      <c r="X2" s="86">
        <f t="shared" ref="X2:X42" si="3">SUMIFS(VOTOS1,CENTRO1,$V2,TURNO1,D$1)</f>
        <v>0</v>
      </c>
      <c r="Y2" s="87">
        <f t="shared" ref="Y2:Y42" si="4">SUMIFS(VOTOS1,CENTRO1,$V2,TURNO1,E$1)</f>
        <v>0</v>
      </c>
      <c r="Z2" s="87">
        <f t="shared" ref="Z2:Z42" si="5">SUMIFS(VOTOS1,CENTRO1,$V2,TURNO1,F$1)</f>
        <v>0</v>
      </c>
      <c r="AA2" s="87">
        <f t="shared" ref="AA2:AA42" si="6">SUMIFS(VOTOS1,CENTRO1,$V2,TURNO1,G$1)</f>
        <v>0</v>
      </c>
      <c r="AB2" s="87">
        <f t="shared" ref="AB2:AB42" si="7">SUMIFS(VOTOS1,CENTRO1,$V2,TURNO1,H$1)</f>
        <v>0</v>
      </c>
      <c r="AC2" s="87">
        <f t="shared" ref="AC2:AC42" si="8">SUMIFS(VOTOS1,CENTRO1,$V2,TURNO1,I$1)</f>
        <v>0</v>
      </c>
      <c r="AD2" s="87">
        <f t="shared" ref="AD2:AD42" si="9">SUMIFS(VOTOS1,CENTRO1,$V2,TURNO1,J$1)</f>
        <v>0</v>
      </c>
      <c r="AE2" s="87">
        <f t="shared" ref="AE2:AE42" si="10">SUMIFS(VOTOS1,CENTRO1,$V2,TURNO1,K$1)</f>
        <v>0</v>
      </c>
      <c r="AF2" s="87">
        <f t="shared" ref="AF2:AF42" si="11">SUMIFS(VOTOS1,CENTRO1,$V2,TURNO1,L$1)</f>
        <v>0</v>
      </c>
      <c r="AG2" s="87">
        <f t="shared" ref="AG2:AG42" si="12">SUMIFS(VOTOS1,CENTRO1,$V2,TURNO1,M$1)</f>
        <v>0</v>
      </c>
      <c r="AH2" s="87">
        <f t="shared" ref="AH2:AH42" si="13">SUMIFS(VOTOS1,CENTRO1,$V2,TURNO1,N$1)</f>
        <v>0</v>
      </c>
      <c r="AI2" s="87">
        <f t="shared" ref="AI2:AI42" si="14">SUMIFS(VOTOS1,CENTRO1,$V2,TURNO1,O$1)</f>
        <v>0</v>
      </c>
      <c r="AJ2" s="87">
        <f t="shared" ref="AJ2:AJ42" si="15">SUMIFS(VOTOS1,CENTRO1,$V2,TURNO1,P$1)</f>
        <v>0</v>
      </c>
      <c r="AK2" s="87">
        <f t="shared" ref="AK2:AK42" si="16">SUMIFS(VOTOS1,CENTRO1,$V2,TURNO1,Q$1)</f>
        <v>0</v>
      </c>
      <c r="AL2" s="87">
        <f t="shared" ref="AL2:AL42" si="17">SUMIFS(VOTOS1,CENTRO1,$V2,TURNO1,R$1)</f>
        <v>0</v>
      </c>
      <c r="AM2" s="87">
        <f t="shared" ref="AM2:AM42" si="18">SUMIFS(VOTOS1,CENTRO1,$V2,TURNO1,S$1)</f>
        <v>0</v>
      </c>
      <c r="AN2" s="87">
        <f t="shared" ref="AN2:AN42" si="19">SUMIFS(VOTOS1,CENTRO1,$V2,TURNO1,T$1)</f>
        <v>0</v>
      </c>
      <c r="AO2" s="65"/>
      <c r="AP2" s="85">
        <v>449</v>
      </c>
      <c r="AQ2" s="86">
        <f t="shared" ref="AQ2:AQ41" si="20">SUMIFS(VOTOS1,CENTRO1,$AP2,TURNO1,C$1)</f>
        <v>2</v>
      </c>
      <c r="AR2" s="86">
        <f t="shared" ref="AR2:AR41" si="21">SUMIFS(VOTOS1,CENTRO1,$AP2,TURNO1,D$1)</f>
        <v>0</v>
      </c>
      <c r="AS2" s="87">
        <f t="shared" ref="AS2:AS41" si="22">SUMIFS(VOTOS1,CENTRO1,$AP2,TURNO1,E$1)</f>
        <v>0</v>
      </c>
      <c r="AT2" s="87">
        <f t="shared" ref="AT2:AT41" si="23">SUMIFS(VOTOS1,CENTRO1,$AP2,TURNO1,F$1)</f>
        <v>0</v>
      </c>
      <c r="AU2" s="87">
        <f t="shared" ref="AU2:AU41" si="24">SUMIFS(VOTOS1,CENTRO1,$AP2,TURNO1,G$1)</f>
        <v>0</v>
      </c>
      <c r="AV2" s="87">
        <f t="shared" ref="AV2:AV41" si="25">SUMIFS(VOTOS1,CENTRO1,$AP2,TURNO1,H$1)</f>
        <v>0</v>
      </c>
      <c r="AW2" s="87">
        <f t="shared" ref="AW2:AW41" si="26">SUMIFS(VOTOS1,CENTRO1,$AP2,TURNO1,I$1)</f>
        <v>0</v>
      </c>
      <c r="AX2" s="87">
        <f t="shared" ref="AX2:AX41" si="27">SUMIFS(VOTOS1,CENTRO1,$AP2,TURNO1,J$1)</f>
        <v>0</v>
      </c>
      <c r="AY2" s="87">
        <f t="shared" ref="AY2:AY41" si="28">SUMIFS(VOTOS1,CENTRO1,$AP2,TURNO1,K$1)</f>
        <v>0</v>
      </c>
      <c r="AZ2" s="87">
        <f t="shared" ref="AZ2:AZ41" si="29">SUMIFS(VOTOS1,CENTRO1,$AP2,TURNO1,L$1)</f>
        <v>0</v>
      </c>
      <c r="BA2" s="87">
        <f t="shared" ref="BA2:BA41" si="30">SUMIFS(VOTOS1,CENTRO1,$AP2,TURNO1,M$1)</f>
        <v>0</v>
      </c>
      <c r="BB2" s="87">
        <f t="shared" ref="BB2:BB41" si="31">SUMIFS(VOTOS1,CENTRO1,$AP2,TURNO1,N$1)</f>
        <v>0</v>
      </c>
      <c r="BC2" s="87">
        <f t="shared" ref="BC2:BC41" si="32">SUMIFS(VOTOS1,CENTRO1,$AP2,TURNO1,O$1)</f>
        <v>0</v>
      </c>
      <c r="BD2" s="87">
        <f t="shared" ref="BD2:BD41" si="33">SUMIFS(VOTOS1,CENTRO1,$AP2,TURNO1,P$1)</f>
        <v>0</v>
      </c>
      <c r="BE2" s="87">
        <f t="shared" ref="BE2:BE41" si="34">SUMIFS(VOTOS1,CENTRO1,$AP2,TURNO1,Q$1)</f>
        <v>0</v>
      </c>
      <c r="BF2" s="87">
        <f t="shared" ref="BF2:BF41" si="35">SUMIFS(VOTOS1,CENTRO1,$AP2,TURNO1,R$1)</f>
        <v>0</v>
      </c>
      <c r="BG2" s="87">
        <f t="shared" ref="BG2:BG41" si="36">SUMIFS(VOTOS1,CENTRO1,$AP2,TURNO1,S$1)</f>
        <v>0</v>
      </c>
      <c r="BH2" s="87">
        <f t="shared" ref="BH2:BH41" si="37">SUMIFS(VOTOS1,CENTRO1,$AP2,TURNO1,T$1)</f>
        <v>0</v>
      </c>
    </row>
    <row r="3" spans="1:60" s="64" customFormat="1" ht="18.75" x14ac:dyDescent="0.3">
      <c r="A3" s="66"/>
      <c r="B3" s="85">
        <v>368</v>
      </c>
      <c r="C3" s="87">
        <f t="shared" ref="C3:R18" si="38">SUMIFS(VOTOS1,CENTRO1,$B3,TURNO1,C$1)</f>
        <v>2</v>
      </c>
      <c r="D3" s="87">
        <f t="shared" si="38"/>
        <v>0</v>
      </c>
      <c r="E3" s="87">
        <f t="shared" si="38"/>
        <v>0</v>
      </c>
      <c r="F3" s="87">
        <f t="shared" si="38"/>
        <v>0</v>
      </c>
      <c r="G3" s="87">
        <f t="shared" si="38"/>
        <v>0</v>
      </c>
      <c r="H3" s="87">
        <f t="shared" si="38"/>
        <v>0</v>
      </c>
      <c r="I3" s="87">
        <f t="shared" si="38"/>
        <v>0</v>
      </c>
      <c r="J3" s="87">
        <f t="shared" si="38"/>
        <v>0</v>
      </c>
      <c r="K3" s="87">
        <f t="shared" si="38"/>
        <v>0</v>
      </c>
      <c r="L3" s="87">
        <f t="shared" si="38"/>
        <v>0</v>
      </c>
      <c r="M3" s="87">
        <f t="shared" si="38"/>
        <v>0</v>
      </c>
      <c r="N3" s="87">
        <f t="shared" si="1"/>
        <v>0</v>
      </c>
      <c r="O3" s="87">
        <f t="shared" si="1"/>
        <v>0</v>
      </c>
      <c r="P3" s="87">
        <f t="shared" si="1"/>
        <v>0</v>
      </c>
      <c r="Q3" s="87">
        <f t="shared" si="1"/>
        <v>0</v>
      </c>
      <c r="R3" s="87">
        <f t="shared" si="1"/>
        <v>0</v>
      </c>
      <c r="S3" s="87">
        <f t="shared" si="1"/>
        <v>0</v>
      </c>
      <c r="T3" s="87">
        <f t="shared" si="1"/>
        <v>0</v>
      </c>
      <c r="U3" s="65"/>
      <c r="V3" s="85">
        <v>409</v>
      </c>
      <c r="W3" s="87">
        <f t="shared" si="2"/>
        <v>2</v>
      </c>
      <c r="X3" s="87">
        <f t="shared" si="3"/>
        <v>0</v>
      </c>
      <c r="Y3" s="87">
        <f t="shared" si="4"/>
        <v>0</v>
      </c>
      <c r="Z3" s="87">
        <f t="shared" si="5"/>
        <v>0</v>
      </c>
      <c r="AA3" s="87">
        <f t="shared" si="6"/>
        <v>0</v>
      </c>
      <c r="AB3" s="87">
        <f t="shared" si="7"/>
        <v>0</v>
      </c>
      <c r="AC3" s="87">
        <f t="shared" si="8"/>
        <v>0</v>
      </c>
      <c r="AD3" s="87">
        <f t="shared" si="9"/>
        <v>0</v>
      </c>
      <c r="AE3" s="87">
        <f t="shared" si="10"/>
        <v>0</v>
      </c>
      <c r="AF3" s="87">
        <f t="shared" si="11"/>
        <v>0</v>
      </c>
      <c r="AG3" s="87">
        <f t="shared" si="12"/>
        <v>0</v>
      </c>
      <c r="AH3" s="87">
        <f t="shared" si="13"/>
        <v>0</v>
      </c>
      <c r="AI3" s="87">
        <f t="shared" si="14"/>
        <v>0</v>
      </c>
      <c r="AJ3" s="87">
        <f t="shared" si="15"/>
        <v>0</v>
      </c>
      <c r="AK3" s="87">
        <f t="shared" si="16"/>
        <v>0</v>
      </c>
      <c r="AL3" s="87">
        <f t="shared" si="17"/>
        <v>0</v>
      </c>
      <c r="AM3" s="87">
        <f t="shared" si="18"/>
        <v>0</v>
      </c>
      <c r="AN3" s="87">
        <f t="shared" si="19"/>
        <v>0</v>
      </c>
      <c r="AO3" s="65"/>
      <c r="AP3" s="88">
        <v>450</v>
      </c>
      <c r="AQ3" s="87">
        <f t="shared" si="20"/>
        <v>2</v>
      </c>
      <c r="AR3" s="87">
        <f t="shared" si="21"/>
        <v>0</v>
      </c>
      <c r="AS3" s="87">
        <f t="shared" si="22"/>
        <v>0</v>
      </c>
      <c r="AT3" s="87">
        <f t="shared" si="23"/>
        <v>0</v>
      </c>
      <c r="AU3" s="87">
        <f t="shared" si="24"/>
        <v>0</v>
      </c>
      <c r="AV3" s="87">
        <f t="shared" si="25"/>
        <v>0</v>
      </c>
      <c r="AW3" s="87">
        <f t="shared" si="26"/>
        <v>0</v>
      </c>
      <c r="AX3" s="87">
        <f t="shared" si="27"/>
        <v>0</v>
      </c>
      <c r="AY3" s="87">
        <f t="shared" si="28"/>
        <v>0</v>
      </c>
      <c r="AZ3" s="87">
        <f t="shared" si="29"/>
        <v>0</v>
      </c>
      <c r="BA3" s="87">
        <f t="shared" si="30"/>
        <v>0</v>
      </c>
      <c r="BB3" s="87">
        <f t="shared" si="31"/>
        <v>0</v>
      </c>
      <c r="BC3" s="87">
        <f t="shared" si="32"/>
        <v>0</v>
      </c>
      <c r="BD3" s="87">
        <f t="shared" si="33"/>
        <v>0</v>
      </c>
      <c r="BE3" s="87">
        <f t="shared" si="34"/>
        <v>0</v>
      </c>
      <c r="BF3" s="87">
        <f t="shared" si="35"/>
        <v>0</v>
      </c>
      <c r="BG3" s="87">
        <f t="shared" si="36"/>
        <v>0</v>
      </c>
      <c r="BH3" s="87">
        <f t="shared" si="37"/>
        <v>0</v>
      </c>
    </row>
    <row r="4" spans="1:60" s="64" customFormat="1" ht="18.75" x14ac:dyDescent="0.3">
      <c r="A4" s="66"/>
      <c r="B4" s="85">
        <v>369</v>
      </c>
      <c r="C4" s="87">
        <f t="shared" si="38"/>
        <v>2</v>
      </c>
      <c r="D4" s="87">
        <f t="shared" si="38"/>
        <v>0</v>
      </c>
      <c r="E4" s="87">
        <f t="shared" si="38"/>
        <v>0</v>
      </c>
      <c r="F4" s="87">
        <f t="shared" si="38"/>
        <v>0</v>
      </c>
      <c r="G4" s="87">
        <f t="shared" si="38"/>
        <v>0</v>
      </c>
      <c r="H4" s="87">
        <f t="shared" si="38"/>
        <v>0</v>
      </c>
      <c r="I4" s="87">
        <f t="shared" si="38"/>
        <v>0</v>
      </c>
      <c r="J4" s="87">
        <f t="shared" si="38"/>
        <v>0</v>
      </c>
      <c r="K4" s="87">
        <f t="shared" si="38"/>
        <v>0</v>
      </c>
      <c r="L4" s="87">
        <f t="shared" si="38"/>
        <v>0</v>
      </c>
      <c r="M4" s="87">
        <f t="shared" si="38"/>
        <v>0</v>
      </c>
      <c r="N4" s="87">
        <f t="shared" si="1"/>
        <v>0</v>
      </c>
      <c r="O4" s="87">
        <f t="shared" si="1"/>
        <v>0</v>
      </c>
      <c r="P4" s="87">
        <f t="shared" si="1"/>
        <v>0</v>
      </c>
      <c r="Q4" s="87">
        <f t="shared" si="1"/>
        <v>0</v>
      </c>
      <c r="R4" s="87">
        <f t="shared" si="1"/>
        <v>0</v>
      </c>
      <c r="S4" s="87">
        <f t="shared" si="1"/>
        <v>0</v>
      </c>
      <c r="T4" s="87">
        <f t="shared" si="1"/>
        <v>0</v>
      </c>
      <c r="U4" s="65"/>
      <c r="V4" s="88">
        <v>410</v>
      </c>
      <c r="W4" s="87">
        <f t="shared" si="2"/>
        <v>2</v>
      </c>
      <c r="X4" s="87">
        <f t="shared" si="3"/>
        <v>0</v>
      </c>
      <c r="Y4" s="87">
        <f t="shared" si="4"/>
        <v>0</v>
      </c>
      <c r="Z4" s="87">
        <f t="shared" si="5"/>
        <v>0</v>
      </c>
      <c r="AA4" s="87">
        <f t="shared" si="6"/>
        <v>0</v>
      </c>
      <c r="AB4" s="87">
        <f t="shared" si="7"/>
        <v>0</v>
      </c>
      <c r="AC4" s="87">
        <f t="shared" si="8"/>
        <v>0</v>
      </c>
      <c r="AD4" s="87">
        <f t="shared" si="9"/>
        <v>0</v>
      </c>
      <c r="AE4" s="87">
        <f t="shared" si="10"/>
        <v>0</v>
      </c>
      <c r="AF4" s="87">
        <f t="shared" si="11"/>
        <v>0</v>
      </c>
      <c r="AG4" s="87">
        <f t="shared" si="12"/>
        <v>0</v>
      </c>
      <c r="AH4" s="87">
        <f t="shared" si="13"/>
        <v>0</v>
      </c>
      <c r="AI4" s="87">
        <f t="shared" si="14"/>
        <v>0</v>
      </c>
      <c r="AJ4" s="87">
        <f t="shared" si="15"/>
        <v>0</v>
      </c>
      <c r="AK4" s="87">
        <f t="shared" si="16"/>
        <v>0</v>
      </c>
      <c r="AL4" s="87">
        <f t="shared" si="17"/>
        <v>0</v>
      </c>
      <c r="AM4" s="87">
        <f t="shared" si="18"/>
        <v>0</v>
      </c>
      <c r="AN4" s="87">
        <f t="shared" si="19"/>
        <v>0</v>
      </c>
      <c r="AO4" s="65"/>
      <c r="AP4" s="85">
        <v>451</v>
      </c>
      <c r="AQ4" s="87">
        <f t="shared" si="20"/>
        <v>2</v>
      </c>
      <c r="AR4" s="87">
        <f t="shared" si="21"/>
        <v>0</v>
      </c>
      <c r="AS4" s="87">
        <f t="shared" si="22"/>
        <v>0</v>
      </c>
      <c r="AT4" s="87">
        <f t="shared" si="23"/>
        <v>0</v>
      </c>
      <c r="AU4" s="87">
        <f t="shared" si="24"/>
        <v>0</v>
      </c>
      <c r="AV4" s="87">
        <f t="shared" si="25"/>
        <v>0</v>
      </c>
      <c r="AW4" s="87">
        <f t="shared" si="26"/>
        <v>0</v>
      </c>
      <c r="AX4" s="87">
        <f t="shared" si="27"/>
        <v>0</v>
      </c>
      <c r="AY4" s="87">
        <f t="shared" si="28"/>
        <v>0</v>
      </c>
      <c r="AZ4" s="87">
        <f t="shared" si="29"/>
        <v>0</v>
      </c>
      <c r="BA4" s="87">
        <f t="shared" si="30"/>
        <v>0</v>
      </c>
      <c r="BB4" s="87">
        <f t="shared" si="31"/>
        <v>0</v>
      </c>
      <c r="BC4" s="87">
        <f t="shared" si="32"/>
        <v>0</v>
      </c>
      <c r="BD4" s="87">
        <f t="shared" si="33"/>
        <v>0</v>
      </c>
      <c r="BE4" s="87">
        <f t="shared" si="34"/>
        <v>0</v>
      </c>
      <c r="BF4" s="87">
        <f t="shared" si="35"/>
        <v>0</v>
      </c>
      <c r="BG4" s="87">
        <f t="shared" si="36"/>
        <v>0</v>
      </c>
      <c r="BH4" s="87">
        <f t="shared" si="37"/>
        <v>0</v>
      </c>
    </row>
    <row r="5" spans="1:60" s="64" customFormat="1" ht="18.75" x14ac:dyDescent="0.3">
      <c r="A5" s="66"/>
      <c r="B5" s="85">
        <v>370</v>
      </c>
      <c r="C5" s="87">
        <f t="shared" si="38"/>
        <v>2</v>
      </c>
      <c r="D5" s="87">
        <f t="shared" si="38"/>
        <v>0</v>
      </c>
      <c r="E5" s="87">
        <f t="shared" si="38"/>
        <v>0</v>
      </c>
      <c r="F5" s="87">
        <f t="shared" si="38"/>
        <v>0</v>
      </c>
      <c r="G5" s="87">
        <f t="shared" si="38"/>
        <v>0</v>
      </c>
      <c r="H5" s="87">
        <f t="shared" si="38"/>
        <v>0</v>
      </c>
      <c r="I5" s="87">
        <f t="shared" si="38"/>
        <v>0</v>
      </c>
      <c r="J5" s="87">
        <f t="shared" si="38"/>
        <v>0</v>
      </c>
      <c r="K5" s="87">
        <f t="shared" si="38"/>
        <v>0</v>
      </c>
      <c r="L5" s="87">
        <f t="shared" si="38"/>
        <v>0</v>
      </c>
      <c r="M5" s="87">
        <f t="shared" si="38"/>
        <v>0</v>
      </c>
      <c r="N5" s="87">
        <f t="shared" si="1"/>
        <v>0</v>
      </c>
      <c r="O5" s="87">
        <f t="shared" si="1"/>
        <v>0</v>
      </c>
      <c r="P5" s="87">
        <f t="shared" si="1"/>
        <v>0</v>
      </c>
      <c r="Q5" s="87">
        <f t="shared" si="1"/>
        <v>0</v>
      </c>
      <c r="R5" s="87">
        <f t="shared" si="1"/>
        <v>0</v>
      </c>
      <c r="S5" s="87">
        <f t="shared" si="1"/>
        <v>0</v>
      </c>
      <c r="T5" s="87">
        <f t="shared" si="1"/>
        <v>0</v>
      </c>
      <c r="U5" s="65"/>
      <c r="V5" s="85">
        <v>411</v>
      </c>
      <c r="W5" s="87">
        <f t="shared" si="2"/>
        <v>2</v>
      </c>
      <c r="X5" s="87">
        <f t="shared" si="3"/>
        <v>34</v>
      </c>
      <c r="Y5" s="87">
        <f t="shared" si="4"/>
        <v>45</v>
      </c>
      <c r="Z5" s="87">
        <f t="shared" si="5"/>
        <v>35</v>
      </c>
      <c r="AA5" s="87">
        <f t="shared" si="6"/>
        <v>48</v>
      </c>
      <c r="AB5" s="87">
        <f t="shared" si="7"/>
        <v>45</v>
      </c>
      <c r="AC5" s="87">
        <f t="shared" si="8"/>
        <v>50</v>
      </c>
      <c r="AD5" s="87">
        <f t="shared" si="9"/>
        <v>45</v>
      </c>
      <c r="AE5" s="87">
        <f t="shared" si="10"/>
        <v>23</v>
      </c>
      <c r="AF5" s="87">
        <f t="shared" si="11"/>
        <v>8</v>
      </c>
      <c r="AG5" s="87">
        <f t="shared" si="12"/>
        <v>0</v>
      </c>
      <c r="AH5" s="87">
        <f t="shared" si="13"/>
        <v>0</v>
      </c>
      <c r="AI5" s="87">
        <f t="shared" si="14"/>
        <v>0</v>
      </c>
      <c r="AJ5" s="87">
        <f t="shared" si="15"/>
        <v>0</v>
      </c>
      <c r="AK5" s="87">
        <f t="shared" si="16"/>
        <v>0</v>
      </c>
      <c r="AL5" s="87">
        <f t="shared" si="17"/>
        <v>0</v>
      </c>
      <c r="AM5" s="87">
        <f t="shared" si="18"/>
        <v>0</v>
      </c>
      <c r="AN5" s="87">
        <f t="shared" si="19"/>
        <v>0</v>
      </c>
      <c r="AO5" s="65"/>
      <c r="AP5" s="88">
        <v>452</v>
      </c>
      <c r="AQ5" s="87">
        <f t="shared" si="20"/>
        <v>2</v>
      </c>
      <c r="AR5" s="87">
        <f t="shared" si="21"/>
        <v>0</v>
      </c>
      <c r="AS5" s="87">
        <f t="shared" si="22"/>
        <v>0</v>
      </c>
      <c r="AT5" s="87">
        <f t="shared" si="23"/>
        <v>0</v>
      </c>
      <c r="AU5" s="87">
        <f t="shared" si="24"/>
        <v>0</v>
      </c>
      <c r="AV5" s="87">
        <f t="shared" si="25"/>
        <v>0</v>
      </c>
      <c r="AW5" s="87">
        <f t="shared" si="26"/>
        <v>0</v>
      </c>
      <c r="AX5" s="87">
        <f t="shared" si="27"/>
        <v>0</v>
      </c>
      <c r="AY5" s="87">
        <f t="shared" si="28"/>
        <v>0</v>
      </c>
      <c r="AZ5" s="87">
        <f t="shared" si="29"/>
        <v>0</v>
      </c>
      <c r="BA5" s="87">
        <f t="shared" si="30"/>
        <v>0</v>
      </c>
      <c r="BB5" s="87">
        <f t="shared" si="31"/>
        <v>0</v>
      </c>
      <c r="BC5" s="87">
        <f t="shared" si="32"/>
        <v>0</v>
      </c>
      <c r="BD5" s="87">
        <f t="shared" si="33"/>
        <v>0</v>
      </c>
      <c r="BE5" s="87">
        <f t="shared" si="34"/>
        <v>0</v>
      </c>
      <c r="BF5" s="87">
        <f t="shared" si="35"/>
        <v>0</v>
      </c>
      <c r="BG5" s="87">
        <f t="shared" si="36"/>
        <v>0</v>
      </c>
      <c r="BH5" s="87">
        <f t="shared" si="37"/>
        <v>0</v>
      </c>
    </row>
    <row r="6" spans="1:60" s="64" customFormat="1" ht="18.75" x14ac:dyDescent="0.3">
      <c r="A6" s="66"/>
      <c r="B6" s="85">
        <v>371</v>
      </c>
      <c r="C6" s="87">
        <f t="shared" si="38"/>
        <v>2</v>
      </c>
      <c r="D6" s="87">
        <f t="shared" si="38"/>
        <v>0</v>
      </c>
      <c r="E6" s="87">
        <f t="shared" si="38"/>
        <v>0</v>
      </c>
      <c r="F6" s="87">
        <f t="shared" si="38"/>
        <v>0</v>
      </c>
      <c r="G6" s="87">
        <f t="shared" si="38"/>
        <v>0</v>
      </c>
      <c r="H6" s="87">
        <f t="shared" si="38"/>
        <v>0</v>
      </c>
      <c r="I6" s="87">
        <f t="shared" si="38"/>
        <v>0</v>
      </c>
      <c r="J6" s="87">
        <f t="shared" si="38"/>
        <v>0</v>
      </c>
      <c r="K6" s="87">
        <f t="shared" si="38"/>
        <v>0</v>
      </c>
      <c r="L6" s="87">
        <f t="shared" si="38"/>
        <v>0</v>
      </c>
      <c r="M6" s="87">
        <f t="shared" si="38"/>
        <v>0</v>
      </c>
      <c r="N6" s="87">
        <f t="shared" si="1"/>
        <v>0</v>
      </c>
      <c r="O6" s="87">
        <f t="shared" si="1"/>
        <v>0</v>
      </c>
      <c r="P6" s="87">
        <f t="shared" si="1"/>
        <v>0</v>
      </c>
      <c r="Q6" s="87">
        <f t="shared" si="1"/>
        <v>0</v>
      </c>
      <c r="R6" s="87">
        <f t="shared" si="1"/>
        <v>0</v>
      </c>
      <c r="S6" s="87">
        <f t="shared" si="1"/>
        <v>0</v>
      </c>
      <c r="T6" s="87">
        <f t="shared" si="1"/>
        <v>0</v>
      </c>
      <c r="U6" s="65"/>
      <c r="V6" s="88">
        <v>412</v>
      </c>
      <c r="W6" s="87">
        <f t="shared" si="2"/>
        <v>2</v>
      </c>
      <c r="X6" s="87">
        <f t="shared" si="3"/>
        <v>0</v>
      </c>
      <c r="Y6" s="87">
        <f t="shared" si="4"/>
        <v>0</v>
      </c>
      <c r="Z6" s="87">
        <f t="shared" si="5"/>
        <v>0</v>
      </c>
      <c r="AA6" s="87">
        <f t="shared" si="6"/>
        <v>0</v>
      </c>
      <c r="AB6" s="87">
        <f t="shared" si="7"/>
        <v>0</v>
      </c>
      <c r="AC6" s="87">
        <f t="shared" si="8"/>
        <v>0</v>
      </c>
      <c r="AD6" s="87">
        <f t="shared" si="9"/>
        <v>0</v>
      </c>
      <c r="AE6" s="87">
        <f t="shared" si="10"/>
        <v>0</v>
      </c>
      <c r="AF6" s="87">
        <f t="shared" si="11"/>
        <v>0</v>
      </c>
      <c r="AG6" s="87">
        <f t="shared" si="12"/>
        <v>0</v>
      </c>
      <c r="AH6" s="87">
        <f t="shared" si="13"/>
        <v>0</v>
      </c>
      <c r="AI6" s="87">
        <f t="shared" si="14"/>
        <v>0</v>
      </c>
      <c r="AJ6" s="87">
        <f t="shared" si="15"/>
        <v>0</v>
      </c>
      <c r="AK6" s="87">
        <f t="shared" si="16"/>
        <v>0</v>
      </c>
      <c r="AL6" s="87">
        <f t="shared" si="17"/>
        <v>0</v>
      </c>
      <c r="AM6" s="87">
        <f t="shared" si="18"/>
        <v>0</v>
      </c>
      <c r="AN6" s="87">
        <f t="shared" si="19"/>
        <v>0</v>
      </c>
      <c r="AO6" s="65"/>
      <c r="AP6" s="85">
        <v>453</v>
      </c>
      <c r="AQ6" s="87">
        <f t="shared" si="20"/>
        <v>2</v>
      </c>
      <c r="AR6" s="87">
        <f t="shared" si="21"/>
        <v>0</v>
      </c>
      <c r="AS6" s="87">
        <f t="shared" si="22"/>
        <v>0</v>
      </c>
      <c r="AT6" s="87">
        <f t="shared" si="23"/>
        <v>0</v>
      </c>
      <c r="AU6" s="87">
        <f t="shared" si="24"/>
        <v>0</v>
      </c>
      <c r="AV6" s="87">
        <f t="shared" si="25"/>
        <v>0</v>
      </c>
      <c r="AW6" s="87">
        <f t="shared" si="26"/>
        <v>0</v>
      </c>
      <c r="AX6" s="87">
        <f t="shared" si="27"/>
        <v>0</v>
      </c>
      <c r="AY6" s="87">
        <f t="shared" si="28"/>
        <v>0</v>
      </c>
      <c r="AZ6" s="87">
        <f t="shared" si="29"/>
        <v>0</v>
      </c>
      <c r="BA6" s="87">
        <f t="shared" si="30"/>
        <v>0</v>
      </c>
      <c r="BB6" s="87">
        <f t="shared" si="31"/>
        <v>0</v>
      </c>
      <c r="BC6" s="87">
        <f t="shared" si="32"/>
        <v>0</v>
      </c>
      <c r="BD6" s="87">
        <f t="shared" si="33"/>
        <v>0</v>
      </c>
      <c r="BE6" s="87">
        <f t="shared" si="34"/>
        <v>0</v>
      </c>
      <c r="BF6" s="87">
        <f t="shared" si="35"/>
        <v>0</v>
      </c>
      <c r="BG6" s="87">
        <f t="shared" si="36"/>
        <v>0</v>
      </c>
      <c r="BH6" s="87">
        <f t="shared" si="37"/>
        <v>0</v>
      </c>
    </row>
    <row r="7" spans="1:60" s="64" customFormat="1" ht="18.75" x14ac:dyDescent="0.3">
      <c r="A7" s="66"/>
      <c r="B7" s="85">
        <v>372</v>
      </c>
      <c r="C7" s="87">
        <f t="shared" si="38"/>
        <v>2</v>
      </c>
      <c r="D7" s="87">
        <f t="shared" si="38"/>
        <v>0</v>
      </c>
      <c r="E7" s="87">
        <f t="shared" si="38"/>
        <v>0</v>
      </c>
      <c r="F7" s="87">
        <f t="shared" si="38"/>
        <v>0</v>
      </c>
      <c r="G7" s="87">
        <f t="shared" si="38"/>
        <v>0</v>
      </c>
      <c r="H7" s="87">
        <f t="shared" si="38"/>
        <v>0</v>
      </c>
      <c r="I7" s="87">
        <f t="shared" si="38"/>
        <v>0</v>
      </c>
      <c r="J7" s="87">
        <f t="shared" si="38"/>
        <v>0</v>
      </c>
      <c r="K7" s="87">
        <f t="shared" si="38"/>
        <v>0</v>
      </c>
      <c r="L7" s="87">
        <f t="shared" si="38"/>
        <v>0</v>
      </c>
      <c r="M7" s="87">
        <f t="shared" si="38"/>
        <v>0</v>
      </c>
      <c r="N7" s="87">
        <f t="shared" si="1"/>
        <v>0</v>
      </c>
      <c r="O7" s="87">
        <f t="shared" si="1"/>
        <v>0</v>
      </c>
      <c r="P7" s="87">
        <f t="shared" si="1"/>
        <v>0</v>
      </c>
      <c r="Q7" s="87">
        <f t="shared" si="1"/>
        <v>0</v>
      </c>
      <c r="R7" s="87">
        <f t="shared" si="1"/>
        <v>0</v>
      </c>
      <c r="S7" s="87">
        <f t="shared" si="1"/>
        <v>0</v>
      </c>
      <c r="T7" s="87">
        <f t="shared" si="1"/>
        <v>0</v>
      </c>
      <c r="U7" s="65"/>
      <c r="V7" s="85">
        <v>413</v>
      </c>
      <c r="W7" s="87">
        <f t="shared" si="2"/>
        <v>2</v>
      </c>
      <c r="X7" s="87">
        <f t="shared" si="3"/>
        <v>32</v>
      </c>
      <c r="Y7" s="87">
        <f t="shared" si="4"/>
        <v>43</v>
      </c>
      <c r="Z7" s="87">
        <f t="shared" si="5"/>
        <v>6</v>
      </c>
      <c r="AA7" s="87">
        <f t="shared" si="6"/>
        <v>18</v>
      </c>
      <c r="AB7" s="87">
        <f t="shared" si="7"/>
        <v>20</v>
      </c>
      <c r="AC7" s="87">
        <f t="shared" si="8"/>
        <v>11</v>
      </c>
      <c r="AD7" s="87">
        <f t="shared" si="9"/>
        <v>20</v>
      </c>
      <c r="AE7" s="87">
        <f t="shared" si="10"/>
        <v>13</v>
      </c>
      <c r="AF7" s="87">
        <f t="shared" si="11"/>
        <v>44</v>
      </c>
      <c r="AG7" s="87">
        <f t="shared" si="12"/>
        <v>0</v>
      </c>
      <c r="AH7" s="87">
        <f t="shared" si="13"/>
        <v>0</v>
      </c>
      <c r="AI7" s="87">
        <f t="shared" si="14"/>
        <v>0</v>
      </c>
      <c r="AJ7" s="87">
        <f t="shared" si="15"/>
        <v>0</v>
      </c>
      <c r="AK7" s="87">
        <f t="shared" si="16"/>
        <v>0</v>
      </c>
      <c r="AL7" s="87">
        <f t="shared" si="17"/>
        <v>0</v>
      </c>
      <c r="AM7" s="87">
        <f t="shared" si="18"/>
        <v>0</v>
      </c>
      <c r="AN7" s="87">
        <f t="shared" si="19"/>
        <v>0</v>
      </c>
      <c r="AO7" s="65"/>
      <c r="AP7" s="88">
        <v>454</v>
      </c>
      <c r="AQ7" s="87">
        <f t="shared" si="20"/>
        <v>2</v>
      </c>
      <c r="AR7" s="87">
        <f t="shared" si="21"/>
        <v>0</v>
      </c>
      <c r="AS7" s="87">
        <f t="shared" si="22"/>
        <v>0</v>
      </c>
      <c r="AT7" s="87">
        <f t="shared" si="23"/>
        <v>0</v>
      </c>
      <c r="AU7" s="87">
        <f t="shared" si="24"/>
        <v>0</v>
      </c>
      <c r="AV7" s="87">
        <f t="shared" si="25"/>
        <v>0</v>
      </c>
      <c r="AW7" s="87">
        <f t="shared" si="26"/>
        <v>0</v>
      </c>
      <c r="AX7" s="87">
        <f t="shared" si="27"/>
        <v>0</v>
      </c>
      <c r="AY7" s="87">
        <f t="shared" si="28"/>
        <v>0</v>
      </c>
      <c r="AZ7" s="87">
        <f t="shared" si="29"/>
        <v>0</v>
      </c>
      <c r="BA7" s="87">
        <f t="shared" si="30"/>
        <v>0</v>
      </c>
      <c r="BB7" s="87">
        <f t="shared" si="31"/>
        <v>0</v>
      </c>
      <c r="BC7" s="87">
        <f t="shared" si="32"/>
        <v>0</v>
      </c>
      <c r="BD7" s="87">
        <f t="shared" si="33"/>
        <v>0</v>
      </c>
      <c r="BE7" s="87">
        <f t="shared" si="34"/>
        <v>0</v>
      </c>
      <c r="BF7" s="87">
        <f t="shared" si="35"/>
        <v>0</v>
      </c>
      <c r="BG7" s="87">
        <f t="shared" si="36"/>
        <v>0</v>
      </c>
      <c r="BH7" s="87">
        <f t="shared" si="37"/>
        <v>0</v>
      </c>
    </row>
    <row r="8" spans="1:60" s="64" customFormat="1" ht="18.75" x14ac:dyDescent="0.3">
      <c r="A8" s="66"/>
      <c r="B8" s="85">
        <v>373</v>
      </c>
      <c r="C8" s="87">
        <f t="shared" si="38"/>
        <v>2</v>
      </c>
      <c r="D8" s="87">
        <f t="shared" si="38"/>
        <v>0</v>
      </c>
      <c r="E8" s="87">
        <f t="shared" si="38"/>
        <v>0</v>
      </c>
      <c r="F8" s="87">
        <f t="shared" si="38"/>
        <v>0</v>
      </c>
      <c r="G8" s="87">
        <f t="shared" si="38"/>
        <v>0</v>
      </c>
      <c r="H8" s="87">
        <f t="shared" si="38"/>
        <v>0</v>
      </c>
      <c r="I8" s="87">
        <f t="shared" si="38"/>
        <v>0</v>
      </c>
      <c r="J8" s="87">
        <f t="shared" si="38"/>
        <v>0</v>
      </c>
      <c r="K8" s="87">
        <f t="shared" si="38"/>
        <v>0</v>
      </c>
      <c r="L8" s="87">
        <f t="shared" si="38"/>
        <v>0</v>
      </c>
      <c r="M8" s="87">
        <f t="shared" si="38"/>
        <v>0</v>
      </c>
      <c r="N8" s="87">
        <f t="shared" si="1"/>
        <v>0</v>
      </c>
      <c r="O8" s="87">
        <f t="shared" si="1"/>
        <v>0</v>
      </c>
      <c r="P8" s="87">
        <f t="shared" si="1"/>
        <v>0</v>
      </c>
      <c r="Q8" s="87">
        <f t="shared" si="1"/>
        <v>0</v>
      </c>
      <c r="R8" s="87">
        <f t="shared" si="1"/>
        <v>0</v>
      </c>
      <c r="S8" s="87">
        <f t="shared" si="1"/>
        <v>0</v>
      </c>
      <c r="T8" s="87">
        <f t="shared" si="1"/>
        <v>0</v>
      </c>
      <c r="U8" s="65"/>
      <c r="V8" s="88">
        <v>414</v>
      </c>
      <c r="W8" s="87">
        <f t="shared" si="2"/>
        <v>2</v>
      </c>
      <c r="X8" s="87">
        <f t="shared" si="3"/>
        <v>0</v>
      </c>
      <c r="Y8" s="87">
        <f t="shared" si="4"/>
        <v>0</v>
      </c>
      <c r="Z8" s="87">
        <f t="shared" si="5"/>
        <v>0</v>
      </c>
      <c r="AA8" s="87">
        <f t="shared" si="6"/>
        <v>0</v>
      </c>
      <c r="AB8" s="87">
        <f t="shared" si="7"/>
        <v>0</v>
      </c>
      <c r="AC8" s="87">
        <f t="shared" si="8"/>
        <v>0</v>
      </c>
      <c r="AD8" s="87">
        <f t="shared" si="9"/>
        <v>0</v>
      </c>
      <c r="AE8" s="87">
        <f t="shared" si="10"/>
        <v>0</v>
      </c>
      <c r="AF8" s="87">
        <f t="shared" si="11"/>
        <v>0</v>
      </c>
      <c r="AG8" s="87">
        <f t="shared" si="12"/>
        <v>0</v>
      </c>
      <c r="AH8" s="87">
        <f t="shared" si="13"/>
        <v>0</v>
      </c>
      <c r="AI8" s="87">
        <f t="shared" si="14"/>
        <v>0</v>
      </c>
      <c r="AJ8" s="87">
        <f t="shared" si="15"/>
        <v>0</v>
      </c>
      <c r="AK8" s="87">
        <f t="shared" si="16"/>
        <v>0</v>
      </c>
      <c r="AL8" s="87">
        <f t="shared" si="17"/>
        <v>0</v>
      </c>
      <c r="AM8" s="87">
        <f t="shared" si="18"/>
        <v>0</v>
      </c>
      <c r="AN8" s="87">
        <f t="shared" si="19"/>
        <v>0</v>
      </c>
      <c r="AO8" s="65"/>
      <c r="AP8" s="85">
        <v>455</v>
      </c>
      <c r="AQ8" s="87">
        <f t="shared" si="20"/>
        <v>2</v>
      </c>
      <c r="AR8" s="87">
        <f t="shared" si="21"/>
        <v>0</v>
      </c>
      <c r="AS8" s="87">
        <f t="shared" si="22"/>
        <v>0</v>
      </c>
      <c r="AT8" s="87">
        <f t="shared" si="23"/>
        <v>0</v>
      </c>
      <c r="AU8" s="87">
        <f t="shared" si="24"/>
        <v>0</v>
      </c>
      <c r="AV8" s="87">
        <f t="shared" si="25"/>
        <v>0</v>
      </c>
      <c r="AW8" s="87">
        <f t="shared" si="26"/>
        <v>0</v>
      </c>
      <c r="AX8" s="87">
        <f t="shared" si="27"/>
        <v>0</v>
      </c>
      <c r="AY8" s="87">
        <f t="shared" si="28"/>
        <v>0</v>
      </c>
      <c r="AZ8" s="87">
        <f t="shared" si="29"/>
        <v>0</v>
      </c>
      <c r="BA8" s="87">
        <f t="shared" si="30"/>
        <v>0</v>
      </c>
      <c r="BB8" s="87">
        <f t="shared" si="31"/>
        <v>0</v>
      </c>
      <c r="BC8" s="87">
        <f t="shared" si="32"/>
        <v>0</v>
      </c>
      <c r="BD8" s="87">
        <f t="shared" si="33"/>
        <v>0</v>
      </c>
      <c r="BE8" s="87">
        <f t="shared" si="34"/>
        <v>0</v>
      </c>
      <c r="BF8" s="87">
        <f t="shared" si="35"/>
        <v>0</v>
      </c>
      <c r="BG8" s="87">
        <f t="shared" si="36"/>
        <v>0</v>
      </c>
      <c r="BH8" s="87">
        <f t="shared" si="37"/>
        <v>0</v>
      </c>
    </row>
    <row r="9" spans="1:60" s="64" customFormat="1" ht="18.75" x14ac:dyDescent="0.3">
      <c r="A9" s="66"/>
      <c r="B9" s="85">
        <v>374</v>
      </c>
      <c r="C9" s="87">
        <f t="shared" si="38"/>
        <v>2</v>
      </c>
      <c r="D9" s="87">
        <f t="shared" si="38"/>
        <v>0</v>
      </c>
      <c r="E9" s="87">
        <f t="shared" si="38"/>
        <v>0</v>
      </c>
      <c r="F9" s="87">
        <f t="shared" si="38"/>
        <v>0</v>
      </c>
      <c r="G9" s="87">
        <f t="shared" si="38"/>
        <v>0</v>
      </c>
      <c r="H9" s="87">
        <f t="shared" si="38"/>
        <v>0</v>
      </c>
      <c r="I9" s="87">
        <f t="shared" si="38"/>
        <v>0</v>
      </c>
      <c r="J9" s="87">
        <f>SUMIFS(VOTOS1,CENTRO1,$B9,TURNO1,J$1)</f>
        <v>0</v>
      </c>
      <c r="K9" s="87">
        <f t="shared" si="38"/>
        <v>0</v>
      </c>
      <c r="L9" s="87">
        <f t="shared" si="38"/>
        <v>0</v>
      </c>
      <c r="M9" s="87">
        <f t="shared" si="38"/>
        <v>0</v>
      </c>
      <c r="N9" s="87">
        <f t="shared" si="1"/>
        <v>0</v>
      </c>
      <c r="O9" s="87">
        <f t="shared" si="1"/>
        <v>0</v>
      </c>
      <c r="P9" s="87">
        <f t="shared" si="1"/>
        <v>0</v>
      </c>
      <c r="Q9" s="87">
        <f t="shared" si="1"/>
        <v>0</v>
      </c>
      <c r="R9" s="87">
        <f t="shared" si="1"/>
        <v>0</v>
      </c>
      <c r="S9" s="87">
        <f t="shared" si="1"/>
        <v>0</v>
      </c>
      <c r="T9" s="87">
        <f t="shared" si="1"/>
        <v>0</v>
      </c>
      <c r="U9" s="65"/>
      <c r="V9" s="85">
        <v>415</v>
      </c>
      <c r="W9" s="87">
        <f t="shared" si="2"/>
        <v>2</v>
      </c>
      <c r="X9" s="87">
        <f t="shared" si="3"/>
        <v>0</v>
      </c>
      <c r="Y9" s="87">
        <f t="shared" si="4"/>
        <v>0</v>
      </c>
      <c r="Z9" s="87">
        <f t="shared" si="5"/>
        <v>0</v>
      </c>
      <c r="AA9" s="87">
        <f t="shared" si="6"/>
        <v>0</v>
      </c>
      <c r="AB9" s="87">
        <f t="shared" si="7"/>
        <v>0</v>
      </c>
      <c r="AC9" s="87">
        <f t="shared" si="8"/>
        <v>0</v>
      </c>
      <c r="AD9" s="87">
        <f t="shared" si="9"/>
        <v>0</v>
      </c>
      <c r="AE9" s="87">
        <f t="shared" si="10"/>
        <v>0</v>
      </c>
      <c r="AF9" s="87">
        <f t="shared" si="11"/>
        <v>0</v>
      </c>
      <c r="AG9" s="87">
        <f t="shared" si="12"/>
        <v>0</v>
      </c>
      <c r="AH9" s="87">
        <f t="shared" si="13"/>
        <v>0</v>
      </c>
      <c r="AI9" s="87">
        <f t="shared" si="14"/>
        <v>0</v>
      </c>
      <c r="AJ9" s="87">
        <f t="shared" si="15"/>
        <v>0</v>
      </c>
      <c r="AK9" s="87">
        <f t="shared" si="16"/>
        <v>0</v>
      </c>
      <c r="AL9" s="87">
        <f t="shared" si="17"/>
        <v>0</v>
      </c>
      <c r="AM9" s="87">
        <f t="shared" si="18"/>
        <v>0</v>
      </c>
      <c r="AN9" s="87">
        <f t="shared" si="19"/>
        <v>0</v>
      </c>
      <c r="AO9" s="65"/>
      <c r="AP9" s="88">
        <v>456</v>
      </c>
      <c r="AQ9" s="87">
        <f t="shared" si="20"/>
        <v>2</v>
      </c>
      <c r="AR9" s="87">
        <f t="shared" si="21"/>
        <v>0</v>
      </c>
      <c r="AS9" s="87">
        <f t="shared" si="22"/>
        <v>0</v>
      </c>
      <c r="AT9" s="87">
        <f t="shared" si="23"/>
        <v>0</v>
      </c>
      <c r="AU9" s="87">
        <f t="shared" si="24"/>
        <v>0</v>
      </c>
      <c r="AV9" s="87">
        <f t="shared" si="25"/>
        <v>0</v>
      </c>
      <c r="AW9" s="87">
        <f t="shared" si="26"/>
        <v>0</v>
      </c>
      <c r="AX9" s="87">
        <f t="shared" si="27"/>
        <v>70</v>
      </c>
      <c r="AY9" s="87">
        <f t="shared" si="28"/>
        <v>0</v>
      </c>
      <c r="AZ9" s="87">
        <f t="shared" si="29"/>
        <v>0</v>
      </c>
      <c r="BA9" s="87">
        <f t="shared" si="30"/>
        <v>0</v>
      </c>
      <c r="BB9" s="87">
        <f t="shared" si="31"/>
        <v>0</v>
      </c>
      <c r="BC9" s="87">
        <f t="shared" si="32"/>
        <v>0</v>
      </c>
      <c r="BD9" s="87">
        <f t="shared" si="33"/>
        <v>0</v>
      </c>
      <c r="BE9" s="87">
        <f t="shared" si="34"/>
        <v>0</v>
      </c>
      <c r="BF9" s="87">
        <f t="shared" si="35"/>
        <v>0</v>
      </c>
      <c r="BG9" s="87">
        <f t="shared" si="36"/>
        <v>0</v>
      </c>
      <c r="BH9" s="87">
        <f t="shared" si="37"/>
        <v>0</v>
      </c>
    </row>
    <row r="10" spans="1:60" s="64" customFormat="1" ht="18.75" x14ac:dyDescent="0.3">
      <c r="A10" s="66"/>
      <c r="B10" s="85">
        <v>375</v>
      </c>
      <c r="C10" s="87">
        <f t="shared" si="38"/>
        <v>2</v>
      </c>
      <c r="D10" s="87">
        <f t="shared" si="38"/>
        <v>0</v>
      </c>
      <c r="E10" s="87">
        <f t="shared" si="38"/>
        <v>0</v>
      </c>
      <c r="F10" s="87">
        <f t="shared" si="38"/>
        <v>0</v>
      </c>
      <c r="G10" s="87">
        <f t="shared" si="38"/>
        <v>0</v>
      </c>
      <c r="H10" s="87">
        <f t="shared" si="38"/>
        <v>0</v>
      </c>
      <c r="I10" s="87">
        <f t="shared" si="38"/>
        <v>0</v>
      </c>
      <c r="J10" s="87">
        <f t="shared" si="38"/>
        <v>0</v>
      </c>
      <c r="K10" s="87">
        <f t="shared" si="38"/>
        <v>0</v>
      </c>
      <c r="L10" s="87">
        <f t="shared" si="38"/>
        <v>0</v>
      </c>
      <c r="M10" s="87">
        <f t="shared" si="38"/>
        <v>0</v>
      </c>
      <c r="N10" s="87">
        <f t="shared" si="1"/>
        <v>0</v>
      </c>
      <c r="O10" s="87">
        <f t="shared" si="1"/>
        <v>0</v>
      </c>
      <c r="P10" s="87">
        <f t="shared" si="1"/>
        <v>0</v>
      </c>
      <c r="Q10" s="87">
        <f t="shared" si="1"/>
        <v>0</v>
      </c>
      <c r="R10" s="87">
        <f t="shared" si="1"/>
        <v>0</v>
      </c>
      <c r="S10" s="87">
        <f t="shared" si="1"/>
        <v>0</v>
      </c>
      <c r="T10" s="87">
        <f t="shared" si="1"/>
        <v>0</v>
      </c>
      <c r="U10" s="65"/>
      <c r="V10" s="88">
        <v>416</v>
      </c>
      <c r="W10" s="87">
        <f t="shared" si="2"/>
        <v>2</v>
      </c>
      <c r="X10" s="87">
        <f t="shared" si="3"/>
        <v>0</v>
      </c>
      <c r="Y10" s="87">
        <f t="shared" si="4"/>
        <v>0</v>
      </c>
      <c r="Z10" s="87">
        <f t="shared" si="5"/>
        <v>0</v>
      </c>
      <c r="AA10" s="87">
        <f t="shared" si="6"/>
        <v>0</v>
      </c>
      <c r="AB10" s="87">
        <f t="shared" si="7"/>
        <v>0</v>
      </c>
      <c r="AC10" s="87">
        <f t="shared" si="8"/>
        <v>0</v>
      </c>
      <c r="AD10" s="87">
        <f t="shared" si="9"/>
        <v>0</v>
      </c>
      <c r="AE10" s="87">
        <f t="shared" si="10"/>
        <v>0</v>
      </c>
      <c r="AF10" s="87">
        <f t="shared" si="11"/>
        <v>0</v>
      </c>
      <c r="AG10" s="87">
        <f t="shared" si="12"/>
        <v>0</v>
      </c>
      <c r="AH10" s="87">
        <f t="shared" si="13"/>
        <v>0</v>
      </c>
      <c r="AI10" s="87">
        <f t="shared" si="14"/>
        <v>0</v>
      </c>
      <c r="AJ10" s="87">
        <f t="shared" si="15"/>
        <v>0</v>
      </c>
      <c r="AK10" s="87">
        <f t="shared" si="16"/>
        <v>0</v>
      </c>
      <c r="AL10" s="87">
        <f t="shared" si="17"/>
        <v>0</v>
      </c>
      <c r="AM10" s="87">
        <f t="shared" si="18"/>
        <v>0</v>
      </c>
      <c r="AN10" s="87">
        <f t="shared" si="19"/>
        <v>0</v>
      </c>
      <c r="AO10" s="65"/>
      <c r="AP10" s="85">
        <v>457</v>
      </c>
      <c r="AQ10" s="87">
        <f t="shared" si="20"/>
        <v>2</v>
      </c>
      <c r="AR10" s="87">
        <f t="shared" si="21"/>
        <v>0</v>
      </c>
      <c r="AS10" s="87">
        <f t="shared" si="22"/>
        <v>0</v>
      </c>
      <c r="AT10" s="87">
        <f t="shared" si="23"/>
        <v>0</v>
      </c>
      <c r="AU10" s="87">
        <f t="shared" si="24"/>
        <v>0</v>
      </c>
      <c r="AV10" s="87">
        <f t="shared" si="25"/>
        <v>0</v>
      </c>
      <c r="AW10" s="87">
        <f t="shared" si="26"/>
        <v>0</v>
      </c>
      <c r="AX10" s="87">
        <f t="shared" si="27"/>
        <v>0</v>
      </c>
      <c r="AY10" s="87">
        <f t="shared" si="28"/>
        <v>0</v>
      </c>
      <c r="AZ10" s="87">
        <f t="shared" si="29"/>
        <v>0</v>
      </c>
      <c r="BA10" s="87">
        <f t="shared" si="30"/>
        <v>0</v>
      </c>
      <c r="BB10" s="87">
        <f t="shared" si="31"/>
        <v>0</v>
      </c>
      <c r="BC10" s="87">
        <f t="shared" si="32"/>
        <v>0</v>
      </c>
      <c r="BD10" s="87">
        <f t="shared" si="33"/>
        <v>0</v>
      </c>
      <c r="BE10" s="87">
        <f t="shared" si="34"/>
        <v>0</v>
      </c>
      <c r="BF10" s="87">
        <f t="shared" si="35"/>
        <v>0</v>
      </c>
      <c r="BG10" s="87">
        <f t="shared" si="36"/>
        <v>0</v>
      </c>
      <c r="BH10" s="87">
        <f t="shared" si="37"/>
        <v>0</v>
      </c>
    </row>
    <row r="11" spans="1:60" s="64" customFormat="1" ht="18.75" x14ac:dyDescent="0.3">
      <c r="A11" s="66"/>
      <c r="B11" s="85">
        <v>376</v>
      </c>
      <c r="C11" s="87">
        <f t="shared" si="38"/>
        <v>2</v>
      </c>
      <c r="D11" s="87">
        <f t="shared" si="38"/>
        <v>0</v>
      </c>
      <c r="E11" s="87">
        <f t="shared" si="38"/>
        <v>0</v>
      </c>
      <c r="F11" s="87">
        <f t="shared" si="38"/>
        <v>0</v>
      </c>
      <c r="G11" s="87">
        <f t="shared" si="38"/>
        <v>0</v>
      </c>
      <c r="H11" s="87">
        <f t="shared" si="38"/>
        <v>0</v>
      </c>
      <c r="I11" s="87">
        <f t="shared" si="38"/>
        <v>0</v>
      </c>
      <c r="J11" s="87">
        <f t="shared" si="38"/>
        <v>0</v>
      </c>
      <c r="K11" s="87">
        <f t="shared" si="38"/>
        <v>0</v>
      </c>
      <c r="L11" s="87">
        <f t="shared" si="38"/>
        <v>0</v>
      </c>
      <c r="M11" s="87">
        <f t="shared" si="38"/>
        <v>0</v>
      </c>
      <c r="N11" s="87">
        <f t="shared" si="1"/>
        <v>0</v>
      </c>
      <c r="O11" s="87">
        <f t="shared" si="1"/>
        <v>0</v>
      </c>
      <c r="P11" s="87">
        <f t="shared" si="1"/>
        <v>0</v>
      </c>
      <c r="Q11" s="87">
        <f t="shared" si="1"/>
        <v>0</v>
      </c>
      <c r="R11" s="87">
        <f t="shared" si="1"/>
        <v>0</v>
      </c>
      <c r="S11" s="87">
        <f t="shared" si="1"/>
        <v>0</v>
      </c>
      <c r="T11" s="87">
        <f t="shared" si="1"/>
        <v>0</v>
      </c>
      <c r="U11" s="65"/>
      <c r="V11" s="85">
        <v>417</v>
      </c>
      <c r="W11" s="87">
        <f t="shared" si="2"/>
        <v>2</v>
      </c>
      <c r="X11" s="87">
        <f t="shared" si="3"/>
        <v>47</v>
      </c>
      <c r="Y11" s="87">
        <f t="shared" si="4"/>
        <v>0</v>
      </c>
      <c r="Z11" s="87">
        <f t="shared" si="5"/>
        <v>30</v>
      </c>
      <c r="AA11" s="87">
        <f t="shared" si="6"/>
        <v>39</v>
      </c>
      <c r="AB11" s="87">
        <f t="shared" si="7"/>
        <v>19</v>
      </c>
      <c r="AC11" s="87">
        <f t="shared" si="8"/>
        <v>37</v>
      </c>
      <c r="AD11" s="87">
        <f t="shared" si="9"/>
        <v>50</v>
      </c>
      <c r="AE11" s="87">
        <f t="shared" si="10"/>
        <v>20</v>
      </c>
      <c r="AF11" s="87">
        <f t="shared" si="11"/>
        <v>26</v>
      </c>
      <c r="AG11" s="87">
        <f t="shared" si="12"/>
        <v>0</v>
      </c>
      <c r="AH11" s="87">
        <f t="shared" si="13"/>
        <v>0</v>
      </c>
      <c r="AI11" s="87">
        <f t="shared" si="14"/>
        <v>0</v>
      </c>
      <c r="AJ11" s="87">
        <f t="shared" si="15"/>
        <v>0</v>
      </c>
      <c r="AK11" s="87">
        <f t="shared" si="16"/>
        <v>0</v>
      </c>
      <c r="AL11" s="87">
        <f t="shared" si="17"/>
        <v>0</v>
      </c>
      <c r="AM11" s="87">
        <f t="shared" si="18"/>
        <v>0</v>
      </c>
      <c r="AN11" s="87">
        <f t="shared" si="19"/>
        <v>0</v>
      </c>
      <c r="AO11" s="65"/>
      <c r="AP11" s="88">
        <v>458</v>
      </c>
      <c r="AQ11" s="87">
        <f t="shared" si="20"/>
        <v>2</v>
      </c>
      <c r="AR11" s="87">
        <f t="shared" si="21"/>
        <v>0</v>
      </c>
      <c r="AS11" s="87">
        <f t="shared" si="22"/>
        <v>0</v>
      </c>
      <c r="AT11" s="87">
        <f t="shared" si="23"/>
        <v>0</v>
      </c>
      <c r="AU11" s="87">
        <f t="shared" si="24"/>
        <v>0</v>
      </c>
      <c r="AV11" s="87">
        <f t="shared" si="25"/>
        <v>0</v>
      </c>
      <c r="AW11" s="87">
        <f t="shared" si="26"/>
        <v>0</v>
      </c>
      <c r="AX11" s="87">
        <f t="shared" si="27"/>
        <v>0</v>
      </c>
      <c r="AY11" s="87">
        <f t="shared" si="28"/>
        <v>0</v>
      </c>
      <c r="AZ11" s="87">
        <f t="shared" si="29"/>
        <v>0</v>
      </c>
      <c r="BA11" s="87">
        <f t="shared" si="30"/>
        <v>0</v>
      </c>
      <c r="BB11" s="87">
        <f t="shared" si="31"/>
        <v>0</v>
      </c>
      <c r="BC11" s="87">
        <f t="shared" si="32"/>
        <v>0</v>
      </c>
      <c r="BD11" s="87">
        <f t="shared" si="33"/>
        <v>0</v>
      </c>
      <c r="BE11" s="87">
        <f t="shared" si="34"/>
        <v>0</v>
      </c>
      <c r="BF11" s="87">
        <f t="shared" si="35"/>
        <v>0</v>
      </c>
      <c r="BG11" s="87">
        <f t="shared" si="36"/>
        <v>0</v>
      </c>
      <c r="BH11" s="87">
        <f t="shared" si="37"/>
        <v>0</v>
      </c>
    </row>
    <row r="12" spans="1:60" s="64" customFormat="1" ht="18.75" x14ac:dyDescent="0.3">
      <c r="A12" s="66"/>
      <c r="B12" s="85">
        <v>377</v>
      </c>
      <c r="C12" s="87">
        <f t="shared" si="38"/>
        <v>2</v>
      </c>
      <c r="D12" s="87">
        <f t="shared" si="38"/>
        <v>0</v>
      </c>
      <c r="E12" s="87">
        <f t="shared" si="38"/>
        <v>0</v>
      </c>
      <c r="F12" s="87">
        <f t="shared" si="38"/>
        <v>0</v>
      </c>
      <c r="G12" s="87">
        <f t="shared" si="38"/>
        <v>0</v>
      </c>
      <c r="H12" s="87">
        <f t="shared" si="38"/>
        <v>0</v>
      </c>
      <c r="I12" s="87">
        <f t="shared" si="38"/>
        <v>0</v>
      </c>
      <c r="J12" s="87">
        <f t="shared" si="38"/>
        <v>0</v>
      </c>
      <c r="K12" s="87">
        <f t="shared" si="38"/>
        <v>0</v>
      </c>
      <c r="L12" s="87">
        <f t="shared" si="38"/>
        <v>0</v>
      </c>
      <c r="M12" s="87">
        <f t="shared" si="38"/>
        <v>0</v>
      </c>
      <c r="N12" s="87">
        <f t="shared" si="1"/>
        <v>0</v>
      </c>
      <c r="O12" s="87">
        <f t="shared" si="1"/>
        <v>0</v>
      </c>
      <c r="P12" s="87">
        <f t="shared" si="1"/>
        <v>0</v>
      </c>
      <c r="Q12" s="87">
        <f t="shared" si="1"/>
        <v>0</v>
      </c>
      <c r="R12" s="87">
        <f t="shared" si="1"/>
        <v>0</v>
      </c>
      <c r="S12" s="87">
        <f t="shared" si="1"/>
        <v>0</v>
      </c>
      <c r="T12" s="87">
        <f t="shared" si="1"/>
        <v>0</v>
      </c>
      <c r="U12" s="65"/>
      <c r="V12" s="88">
        <v>418</v>
      </c>
      <c r="W12" s="87">
        <f t="shared" si="2"/>
        <v>2</v>
      </c>
      <c r="X12" s="87">
        <f t="shared" si="3"/>
        <v>15</v>
      </c>
      <c r="Y12" s="87">
        <f t="shared" si="4"/>
        <v>34</v>
      </c>
      <c r="Z12" s="87">
        <f t="shared" si="5"/>
        <v>5</v>
      </c>
      <c r="AA12" s="87">
        <f t="shared" si="6"/>
        <v>0</v>
      </c>
      <c r="AB12" s="87">
        <f t="shared" si="7"/>
        <v>22</v>
      </c>
      <c r="AC12" s="87">
        <f t="shared" si="8"/>
        <v>0</v>
      </c>
      <c r="AD12" s="87">
        <f t="shared" si="9"/>
        <v>13</v>
      </c>
      <c r="AE12" s="87">
        <f t="shared" si="10"/>
        <v>17</v>
      </c>
      <c r="AF12" s="87">
        <f t="shared" si="11"/>
        <v>13</v>
      </c>
      <c r="AG12" s="87">
        <f t="shared" si="12"/>
        <v>0</v>
      </c>
      <c r="AH12" s="87">
        <f t="shared" si="13"/>
        <v>0</v>
      </c>
      <c r="AI12" s="87">
        <f t="shared" si="14"/>
        <v>0</v>
      </c>
      <c r="AJ12" s="87">
        <f t="shared" si="15"/>
        <v>0</v>
      </c>
      <c r="AK12" s="87">
        <f t="shared" si="16"/>
        <v>0</v>
      </c>
      <c r="AL12" s="87">
        <f t="shared" si="17"/>
        <v>0</v>
      </c>
      <c r="AM12" s="87">
        <f t="shared" si="18"/>
        <v>0</v>
      </c>
      <c r="AN12" s="87">
        <f t="shared" si="19"/>
        <v>0</v>
      </c>
      <c r="AO12" s="65"/>
      <c r="AP12" s="85">
        <v>459</v>
      </c>
      <c r="AQ12" s="87">
        <f t="shared" si="20"/>
        <v>2</v>
      </c>
      <c r="AR12" s="87">
        <f t="shared" si="21"/>
        <v>0</v>
      </c>
      <c r="AS12" s="87">
        <f t="shared" si="22"/>
        <v>0</v>
      </c>
      <c r="AT12" s="87">
        <f t="shared" si="23"/>
        <v>0</v>
      </c>
      <c r="AU12" s="87">
        <f t="shared" si="24"/>
        <v>0</v>
      </c>
      <c r="AV12" s="87">
        <f t="shared" si="25"/>
        <v>0</v>
      </c>
      <c r="AW12" s="87">
        <f t="shared" si="26"/>
        <v>0</v>
      </c>
      <c r="AX12" s="87">
        <f t="shared" si="27"/>
        <v>0</v>
      </c>
      <c r="AY12" s="87">
        <f t="shared" si="28"/>
        <v>0</v>
      </c>
      <c r="AZ12" s="87">
        <f t="shared" si="29"/>
        <v>0</v>
      </c>
      <c r="BA12" s="87">
        <f t="shared" si="30"/>
        <v>0</v>
      </c>
      <c r="BB12" s="87">
        <f t="shared" si="31"/>
        <v>0</v>
      </c>
      <c r="BC12" s="87">
        <f t="shared" si="32"/>
        <v>0</v>
      </c>
      <c r="BD12" s="87">
        <f t="shared" si="33"/>
        <v>0</v>
      </c>
      <c r="BE12" s="87">
        <f t="shared" si="34"/>
        <v>0</v>
      </c>
      <c r="BF12" s="87">
        <f t="shared" si="35"/>
        <v>0</v>
      </c>
      <c r="BG12" s="87">
        <f t="shared" si="36"/>
        <v>0</v>
      </c>
      <c r="BH12" s="87">
        <f t="shared" si="37"/>
        <v>0</v>
      </c>
    </row>
    <row r="13" spans="1:60" s="64" customFormat="1" ht="18.75" x14ac:dyDescent="0.3">
      <c r="A13" s="66"/>
      <c r="B13" s="85">
        <v>378</v>
      </c>
      <c r="C13" s="87">
        <f t="shared" si="38"/>
        <v>2</v>
      </c>
      <c r="D13" s="87">
        <f t="shared" si="38"/>
        <v>0</v>
      </c>
      <c r="E13" s="87">
        <f t="shared" si="38"/>
        <v>0</v>
      </c>
      <c r="F13" s="87">
        <f t="shared" si="38"/>
        <v>0</v>
      </c>
      <c r="G13" s="87">
        <f t="shared" si="38"/>
        <v>0</v>
      </c>
      <c r="H13" s="87">
        <f t="shared" si="38"/>
        <v>0</v>
      </c>
      <c r="I13" s="87">
        <f t="shared" si="38"/>
        <v>0</v>
      </c>
      <c r="J13" s="87">
        <f t="shared" si="38"/>
        <v>0</v>
      </c>
      <c r="K13" s="87">
        <f t="shared" si="38"/>
        <v>0</v>
      </c>
      <c r="L13" s="87">
        <f t="shared" si="38"/>
        <v>0</v>
      </c>
      <c r="M13" s="87">
        <f t="shared" si="38"/>
        <v>0</v>
      </c>
      <c r="N13" s="87">
        <f t="shared" si="1"/>
        <v>0</v>
      </c>
      <c r="O13" s="87">
        <f t="shared" si="1"/>
        <v>0</v>
      </c>
      <c r="P13" s="87">
        <f t="shared" si="1"/>
        <v>0</v>
      </c>
      <c r="Q13" s="87">
        <f t="shared" si="1"/>
        <v>0</v>
      </c>
      <c r="R13" s="87">
        <f t="shared" si="1"/>
        <v>0</v>
      </c>
      <c r="S13" s="87">
        <f t="shared" si="1"/>
        <v>0</v>
      </c>
      <c r="T13" s="87">
        <f t="shared" si="1"/>
        <v>0</v>
      </c>
      <c r="U13" s="65"/>
      <c r="V13" s="85">
        <v>419</v>
      </c>
      <c r="W13" s="87">
        <f t="shared" si="2"/>
        <v>2</v>
      </c>
      <c r="X13" s="87">
        <f t="shared" si="3"/>
        <v>23</v>
      </c>
      <c r="Y13" s="87">
        <f t="shared" si="4"/>
        <v>40</v>
      </c>
      <c r="Z13" s="87">
        <f t="shared" si="5"/>
        <v>34</v>
      </c>
      <c r="AA13" s="87">
        <f t="shared" si="6"/>
        <v>50</v>
      </c>
      <c r="AB13" s="87">
        <f t="shared" si="7"/>
        <v>50</v>
      </c>
      <c r="AC13" s="87">
        <f t="shared" si="8"/>
        <v>45</v>
      </c>
      <c r="AD13" s="87">
        <f t="shared" si="9"/>
        <v>42</v>
      </c>
      <c r="AE13" s="87">
        <f t="shared" si="10"/>
        <v>28</v>
      </c>
      <c r="AF13" s="87">
        <f t="shared" si="11"/>
        <v>9</v>
      </c>
      <c r="AG13" s="87">
        <f t="shared" si="12"/>
        <v>0</v>
      </c>
      <c r="AH13" s="87">
        <f t="shared" si="13"/>
        <v>0</v>
      </c>
      <c r="AI13" s="87">
        <f t="shared" si="14"/>
        <v>0</v>
      </c>
      <c r="AJ13" s="87">
        <f t="shared" si="15"/>
        <v>0</v>
      </c>
      <c r="AK13" s="87">
        <f t="shared" si="16"/>
        <v>0</v>
      </c>
      <c r="AL13" s="87">
        <f t="shared" si="17"/>
        <v>0</v>
      </c>
      <c r="AM13" s="87">
        <f t="shared" si="18"/>
        <v>0</v>
      </c>
      <c r="AN13" s="87">
        <f t="shared" si="19"/>
        <v>0</v>
      </c>
      <c r="AO13" s="65"/>
      <c r="AP13" s="88">
        <v>460</v>
      </c>
      <c r="AQ13" s="87">
        <f t="shared" si="20"/>
        <v>2</v>
      </c>
      <c r="AR13" s="87">
        <f t="shared" si="21"/>
        <v>0</v>
      </c>
      <c r="AS13" s="87">
        <f t="shared" si="22"/>
        <v>0</v>
      </c>
      <c r="AT13" s="87">
        <f t="shared" si="23"/>
        <v>0</v>
      </c>
      <c r="AU13" s="87">
        <f t="shared" si="24"/>
        <v>0</v>
      </c>
      <c r="AV13" s="87">
        <f t="shared" si="25"/>
        <v>0</v>
      </c>
      <c r="AW13" s="87">
        <f t="shared" si="26"/>
        <v>0</v>
      </c>
      <c r="AX13" s="87">
        <f t="shared" si="27"/>
        <v>0</v>
      </c>
      <c r="AY13" s="87">
        <f t="shared" si="28"/>
        <v>0</v>
      </c>
      <c r="AZ13" s="87">
        <f t="shared" si="29"/>
        <v>0</v>
      </c>
      <c r="BA13" s="87">
        <f t="shared" si="30"/>
        <v>0</v>
      </c>
      <c r="BB13" s="87">
        <f t="shared" si="31"/>
        <v>0</v>
      </c>
      <c r="BC13" s="87">
        <f t="shared" si="32"/>
        <v>0</v>
      </c>
      <c r="BD13" s="87">
        <f t="shared" si="33"/>
        <v>0</v>
      </c>
      <c r="BE13" s="87">
        <f t="shared" si="34"/>
        <v>0</v>
      </c>
      <c r="BF13" s="87">
        <f t="shared" si="35"/>
        <v>0</v>
      </c>
      <c r="BG13" s="87">
        <f t="shared" si="36"/>
        <v>0</v>
      </c>
      <c r="BH13" s="87">
        <f t="shared" si="37"/>
        <v>0</v>
      </c>
    </row>
    <row r="14" spans="1:60" s="64" customFormat="1" ht="18.75" x14ac:dyDescent="0.3">
      <c r="A14" s="65"/>
      <c r="B14" s="85">
        <v>379</v>
      </c>
      <c r="C14" s="87">
        <f t="shared" si="38"/>
        <v>2</v>
      </c>
      <c r="D14" s="87">
        <f t="shared" si="38"/>
        <v>0</v>
      </c>
      <c r="E14" s="87">
        <f t="shared" si="38"/>
        <v>0</v>
      </c>
      <c r="F14" s="87">
        <f t="shared" si="38"/>
        <v>0</v>
      </c>
      <c r="G14" s="87">
        <f t="shared" si="38"/>
        <v>0</v>
      </c>
      <c r="H14" s="87">
        <f t="shared" si="38"/>
        <v>0</v>
      </c>
      <c r="I14" s="87">
        <f t="shared" si="38"/>
        <v>0</v>
      </c>
      <c r="J14" s="87">
        <f t="shared" si="38"/>
        <v>0</v>
      </c>
      <c r="K14" s="87">
        <f t="shared" si="38"/>
        <v>0</v>
      </c>
      <c r="L14" s="87">
        <f t="shared" si="38"/>
        <v>0</v>
      </c>
      <c r="M14" s="87">
        <f t="shared" si="38"/>
        <v>0</v>
      </c>
      <c r="N14" s="87">
        <f t="shared" si="1"/>
        <v>0</v>
      </c>
      <c r="O14" s="87">
        <f t="shared" si="1"/>
        <v>0</v>
      </c>
      <c r="P14" s="87">
        <f t="shared" si="1"/>
        <v>0</v>
      </c>
      <c r="Q14" s="87">
        <f t="shared" si="1"/>
        <v>0</v>
      </c>
      <c r="R14" s="87">
        <f t="shared" si="1"/>
        <v>0</v>
      </c>
      <c r="S14" s="87">
        <f t="shared" si="1"/>
        <v>0</v>
      </c>
      <c r="T14" s="87">
        <f t="shared" si="1"/>
        <v>0</v>
      </c>
      <c r="U14" s="65"/>
      <c r="V14" s="88">
        <v>420</v>
      </c>
      <c r="W14" s="87">
        <f t="shared" si="2"/>
        <v>2</v>
      </c>
      <c r="X14" s="87">
        <f t="shared" si="3"/>
        <v>31</v>
      </c>
      <c r="Y14" s="87">
        <f t="shared" si="4"/>
        <v>26</v>
      </c>
      <c r="Z14" s="87">
        <f t="shared" si="5"/>
        <v>40</v>
      </c>
      <c r="AA14" s="87">
        <f t="shared" si="6"/>
        <v>6</v>
      </c>
      <c r="AB14" s="87">
        <f t="shared" si="7"/>
        <v>17</v>
      </c>
      <c r="AC14" s="87">
        <f t="shared" si="8"/>
        <v>0</v>
      </c>
      <c r="AD14" s="87">
        <f t="shared" si="9"/>
        <v>0</v>
      </c>
      <c r="AE14" s="87">
        <f t="shared" si="10"/>
        <v>0</v>
      </c>
      <c r="AF14" s="87">
        <f t="shared" si="11"/>
        <v>0</v>
      </c>
      <c r="AG14" s="87">
        <f t="shared" si="12"/>
        <v>0</v>
      </c>
      <c r="AH14" s="87">
        <f t="shared" si="13"/>
        <v>0</v>
      </c>
      <c r="AI14" s="87">
        <f t="shared" si="14"/>
        <v>0</v>
      </c>
      <c r="AJ14" s="87">
        <f t="shared" si="15"/>
        <v>0</v>
      </c>
      <c r="AK14" s="87">
        <f t="shared" si="16"/>
        <v>0</v>
      </c>
      <c r="AL14" s="87">
        <f t="shared" si="17"/>
        <v>0</v>
      </c>
      <c r="AM14" s="87">
        <f t="shared" si="18"/>
        <v>0</v>
      </c>
      <c r="AN14" s="87">
        <f t="shared" si="19"/>
        <v>0</v>
      </c>
      <c r="AO14" s="65"/>
      <c r="AP14" s="85">
        <v>461</v>
      </c>
      <c r="AQ14" s="87">
        <f t="shared" si="20"/>
        <v>2</v>
      </c>
      <c r="AR14" s="87">
        <f t="shared" si="21"/>
        <v>0</v>
      </c>
      <c r="AS14" s="87">
        <f t="shared" si="22"/>
        <v>0</v>
      </c>
      <c r="AT14" s="87">
        <f t="shared" si="23"/>
        <v>0</v>
      </c>
      <c r="AU14" s="87">
        <f t="shared" si="24"/>
        <v>0</v>
      </c>
      <c r="AV14" s="87">
        <f t="shared" si="25"/>
        <v>0</v>
      </c>
      <c r="AW14" s="87">
        <f t="shared" si="26"/>
        <v>0</v>
      </c>
      <c r="AX14" s="87">
        <f t="shared" si="27"/>
        <v>0</v>
      </c>
      <c r="AY14" s="87">
        <f t="shared" si="28"/>
        <v>0</v>
      </c>
      <c r="AZ14" s="87">
        <f t="shared" si="29"/>
        <v>0</v>
      </c>
      <c r="BA14" s="87">
        <f t="shared" si="30"/>
        <v>0</v>
      </c>
      <c r="BB14" s="87">
        <f t="shared" si="31"/>
        <v>0</v>
      </c>
      <c r="BC14" s="87">
        <f t="shared" si="32"/>
        <v>0</v>
      </c>
      <c r="BD14" s="87">
        <f t="shared" si="33"/>
        <v>0</v>
      </c>
      <c r="BE14" s="87">
        <f t="shared" si="34"/>
        <v>0</v>
      </c>
      <c r="BF14" s="87">
        <f t="shared" si="35"/>
        <v>0</v>
      </c>
      <c r="BG14" s="87">
        <f t="shared" si="36"/>
        <v>0</v>
      </c>
      <c r="BH14" s="87">
        <f t="shared" si="37"/>
        <v>0</v>
      </c>
    </row>
    <row r="15" spans="1:60" s="64" customFormat="1" ht="18.75" x14ac:dyDescent="0.3">
      <c r="A15" s="65"/>
      <c r="B15" s="85">
        <v>380</v>
      </c>
      <c r="C15" s="87">
        <f t="shared" si="38"/>
        <v>2</v>
      </c>
      <c r="D15" s="87">
        <f t="shared" si="38"/>
        <v>0</v>
      </c>
      <c r="E15" s="87">
        <f t="shared" si="38"/>
        <v>0</v>
      </c>
      <c r="F15" s="87">
        <f t="shared" si="38"/>
        <v>0</v>
      </c>
      <c r="G15" s="87">
        <f t="shared" si="38"/>
        <v>0</v>
      </c>
      <c r="H15" s="87">
        <f t="shared" si="38"/>
        <v>0</v>
      </c>
      <c r="I15" s="87">
        <f t="shared" si="38"/>
        <v>0</v>
      </c>
      <c r="J15" s="87">
        <f>SUMIFS(VOTOS1,CENTRO1,$B15,TURNO1,J$1)</f>
        <v>0</v>
      </c>
      <c r="K15" s="87">
        <f t="shared" si="38"/>
        <v>0</v>
      </c>
      <c r="L15" s="87">
        <f t="shared" si="38"/>
        <v>0</v>
      </c>
      <c r="M15" s="87">
        <f t="shared" si="38"/>
        <v>0</v>
      </c>
      <c r="N15" s="87">
        <f t="shared" si="1"/>
        <v>0</v>
      </c>
      <c r="O15" s="87">
        <f t="shared" si="1"/>
        <v>0</v>
      </c>
      <c r="P15" s="87">
        <f t="shared" si="1"/>
        <v>0</v>
      </c>
      <c r="Q15" s="87">
        <f t="shared" si="1"/>
        <v>0</v>
      </c>
      <c r="R15" s="87">
        <f t="shared" si="1"/>
        <v>0</v>
      </c>
      <c r="S15" s="87">
        <f t="shared" si="1"/>
        <v>0</v>
      </c>
      <c r="T15" s="87">
        <f t="shared" si="1"/>
        <v>0</v>
      </c>
      <c r="U15" s="65"/>
      <c r="V15" s="85">
        <v>421</v>
      </c>
      <c r="W15" s="87">
        <f t="shared" si="2"/>
        <v>2</v>
      </c>
      <c r="X15" s="87">
        <f t="shared" si="3"/>
        <v>0</v>
      </c>
      <c r="Y15" s="87">
        <f t="shared" si="4"/>
        <v>50</v>
      </c>
      <c r="Z15" s="87">
        <f t="shared" si="5"/>
        <v>44</v>
      </c>
      <c r="AA15" s="87">
        <f t="shared" si="6"/>
        <v>50</v>
      </c>
      <c r="AB15" s="87">
        <f t="shared" si="7"/>
        <v>43</v>
      </c>
      <c r="AC15" s="87">
        <f t="shared" si="8"/>
        <v>17</v>
      </c>
      <c r="AD15" s="87">
        <f t="shared" si="9"/>
        <v>11</v>
      </c>
      <c r="AE15" s="87">
        <f t="shared" si="10"/>
        <v>22</v>
      </c>
      <c r="AF15" s="87">
        <f t="shared" si="11"/>
        <v>13</v>
      </c>
      <c r="AG15" s="87">
        <f t="shared" si="12"/>
        <v>0</v>
      </c>
      <c r="AH15" s="87">
        <f t="shared" si="13"/>
        <v>0</v>
      </c>
      <c r="AI15" s="87">
        <f t="shared" si="14"/>
        <v>0</v>
      </c>
      <c r="AJ15" s="87">
        <f t="shared" si="15"/>
        <v>0</v>
      </c>
      <c r="AK15" s="87">
        <f t="shared" si="16"/>
        <v>0</v>
      </c>
      <c r="AL15" s="87">
        <f t="shared" si="17"/>
        <v>0</v>
      </c>
      <c r="AM15" s="87">
        <f t="shared" si="18"/>
        <v>0</v>
      </c>
      <c r="AN15" s="87">
        <f t="shared" si="19"/>
        <v>0</v>
      </c>
      <c r="AO15" s="65"/>
      <c r="AP15" s="88">
        <v>462</v>
      </c>
      <c r="AQ15" s="87">
        <f t="shared" si="20"/>
        <v>2</v>
      </c>
      <c r="AR15" s="87">
        <f t="shared" si="21"/>
        <v>0</v>
      </c>
      <c r="AS15" s="87">
        <f t="shared" si="22"/>
        <v>0</v>
      </c>
      <c r="AT15" s="87">
        <f t="shared" si="23"/>
        <v>0</v>
      </c>
      <c r="AU15" s="87">
        <f t="shared" si="24"/>
        <v>0</v>
      </c>
      <c r="AV15" s="87">
        <f t="shared" si="25"/>
        <v>0</v>
      </c>
      <c r="AW15" s="87">
        <f t="shared" si="26"/>
        <v>0</v>
      </c>
      <c r="AX15" s="87">
        <f t="shared" si="27"/>
        <v>0</v>
      </c>
      <c r="AY15" s="87">
        <f t="shared" si="28"/>
        <v>0</v>
      </c>
      <c r="AZ15" s="87">
        <f t="shared" si="29"/>
        <v>0</v>
      </c>
      <c r="BA15" s="87">
        <f t="shared" si="30"/>
        <v>0</v>
      </c>
      <c r="BB15" s="87">
        <f t="shared" si="31"/>
        <v>0</v>
      </c>
      <c r="BC15" s="87">
        <f t="shared" si="32"/>
        <v>0</v>
      </c>
      <c r="BD15" s="87">
        <f t="shared" si="33"/>
        <v>0</v>
      </c>
      <c r="BE15" s="87">
        <f t="shared" si="34"/>
        <v>0</v>
      </c>
      <c r="BF15" s="87">
        <f t="shared" si="35"/>
        <v>0</v>
      </c>
      <c r="BG15" s="87">
        <f t="shared" si="36"/>
        <v>0</v>
      </c>
      <c r="BH15" s="87">
        <f t="shared" si="37"/>
        <v>0</v>
      </c>
    </row>
    <row r="16" spans="1:60" s="64" customFormat="1" ht="18.75" x14ac:dyDescent="0.3">
      <c r="A16" s="65"/>
      <c r="B16" s="85">
        <v>381</v>
      </c>
      <c r="C16" s="87">
        <f t="shared" si="38"/>
        <v>2</v>
      </c>
      <c r="D16" s="87">
        <f t="shared" si="38"/>
        <v>0</v>
      </c>
      <c r="E16" s="87">
        <f t="shared" si="38"/>
        <v>0</v>
      </c>
      <c r="F16" s="87">
        <f t="shared" si="38"/>
        <v>0</v>
      </c>
      <c r="G16" s="87">
        <f t="shared" si="38"/>
        <v>0</v>
      </c>
      <c r="H16" s="87">
        <f t="shared" si="38"/>
        <v>0</v>
      </c>
      <c r="I16" s="87">
        <f t="shared" si="38"/>
        <v>0</v>
      </c>
      <c r="J16" s="87">
        <f t="shared" si="38"/>
        <v>0</v>
      </c>
      <c r="K16" s="87">
        <f t="shared" si="38"/>
        <v>0</v>
      </c>
      <c r="L16" s="87">
        <f t="shared" si="38"/>
        <v>0</v>
      </c>
      <c r="M16" s="87">
        <f t="shared" si="38"/>
        <v>0</v>
      </c>
      <c r="N16" s="87">
        <f t="shared" si="1"/>
        <v>0</v>
      </c>
      <c r="O16" s="87">
        <f t="shared" si="1"/>
        <v>0</v>
      </c>
      <c r="P16" s="87">
        <f t="shared" si="1"/>
        <v>0</v>
      </c>
      <c r="Q16" s="87">
        <f t="shared" si="1"/>
        <v>0</v>
      </c>
      <c r="R16" s="87">
        <f t="shared" si="1"/>
        <v>0</v>
      </c>
      <c r="S16" s="87">
        <f t="shared" si="1"/>
        <v>0</v>
      </c>
      <c r="T16" s="87">
        <f t="shared" si="1"/>
        <v>0</v>
      </c>
      <c r="U16" s="65"/>
      <c r="V16" s="88">
        <v>422</v>
      </c>
      <c r="W16" s="87">
        <f t="shared" si="2"/>
        <v>2</v>
      </c>
      <c r="X16" s="87">
        <f t="shared" si="3"/>
        <v>0</v>
      </c>
      <c r="Y16" s="87">
        <f t="shared" si="4"/>
        <v>0</v>
      </c>
      <c r="Z16" s="87">
        <f t="shared" si="5"/>
        <v>0</v>
      </c>
      <c r="AA16" s="87">
        <f t="shared" si="6"/>
        <v>0</v>
      </c>
      <c r="AB16" s="87">
        <f t="shared" si="7"/>
        <v>0</v>
      </c>
      <c r="AC16" s="87">
        <f t="shared" si="8"/>
        <v>0</v>
      </c>
      <c r="AD16" s="87">
        <f t="shared" si="9"/>
        <v>0</v>
      </c>
      <c r="AE16" s="87">
        <f t="shared" si="10"/>
        <v>0</v>
      </c>
      <c r="AF16" s="87">
        <f t="shared" si="11"/>
        <v>0</v>
      </c>
      <c r="AG16" s="87">
        <f t="shared" si="12"/>
        <v>0</v>
      </c>
      <c r="AH16" s="87">
        <f t="shared" si="13"/>
        <v>0</v>
      </c>
      <c r="AI16" s="87">
        <f t="shared" si="14"/>
        <v>0</v>
      </c>
      <c r="AJ16" s="87">
        <f t="shared" si="15"/>
        <v>0</v>
      </c>
      <c r="AK16" s="87">
        <f t="shared" si="16"/>
        <v>0</v>
      </c>
      <c r="AL16" s="87">
        <f t="shared" si="17"/>
        <v>0</v>
      </c>
      <c r="AM16" s="87">
        <f t="shared" si="18"/>
        <v>0</v>
      </c>
      <c r="AN16" s="87">
        <f t="shared" si="19"/>
        <v>0</v>
      </c>
      <c r="AO16" s="65"/>
      <c r="AP16" s="85">
        <v>463</v>
      </c>
      <c r="AQ16" s="87">
        <f t="shared" si="20"/>
        <v>2</v>
      </c>
      <c r="AR16" s="87">
        <f t="shared" si="21"/>
        <v>0</v>
      </c>
      <c r="AS16" s="87">
        <f t="shared" si="22"/>
        <v>0</v>
      </c>
      <c r="AT16" s="87">
        <f t="shared" si="23"/>
        <v>0</v>
      </c>
      <c r="AU16" s="87">
        <f t="shared" si="24"/>
        <v>0</v>
      </c>
      <c r="AV16" s="87">
        <f t="shared" si="25"/>
        <v>0</v>
      </c>
      <c r="AW16" s="87">
        <f t="shared" si="26"/>
        <v>0</v>
      </c>
      <c r="AX16" s="87">
        <f t="shared" si="27"/>
        <v>0</v>
      </c>
      <c r="AY16" s="87">
        <f t="shared" si="28"/>
        <v>0</v>
      </c>
      <c r="AZ16" s="87">
        <f t="shared" si="29"/>
        <v>0</v>
      </c>
      <c r="BA16" s="87">
        <f t="shared" si="30"/>
        <v>0</v>
      </c>
      <c r="BB16" s="87">
        <f t="shared" si="31"/>
        <v>0</v>
      </c>
      <c r="BC16" s="87">
        <f t="shared" si="32"/>
        <v>0</v>
      </c>
      <c r="BD16" s="87">
        <f t="shared" si="33"/>
        <v>0</v>
      </c>
      <c r="BE16" s="87">
        <f t="shared" si="34"/>
        <v>0</v>
      </c>
      <c r="BF16" s="87">
        <f t="shared" si="35"/>
        <v>0</v>
      </c>
      <c r="BG16" s="87">
        <f t="shared" si="36"/>
        <v>0</v>
      </c>
      <c r="BH16" s="87">
        <f t="shared" si="37"/>
        <v>0</v>
      </c>
    </row>
    <row r="17" spans="2:60" s="64" customFormat="1" ht="18.75" x14ac:dyDescent="0.3">
      <c r="B17" s="85">
        <v>382</v>
      </c>
      <c r="C17" s="87">
        <f t="shared" si="38"/>
        <v>2</v>
      </c>
      <c r="D17" s="87">
        <f t="shared" si="38"/>
        <v>0</v>
      </c>
      <c r="E17" s="87">
        <f t="shared" si="38"/>
        <v>0</v>
      </c>
      <c r="F17" s="87">
        <f t="shared" si="38"/>
        <v>0</v>
      </c>
      <c r="G17" s="87">
        <f t="shared" si="38"/>
        <v>0</v>
      </c>
      <c r="H17" s="87">
        <f t="shared" si="38"/>
        <v>0</v>
      </c>
      <c r="I17" s="87">
        <f t="shared" si="38"/>
        <v>0</v>
      </c>
      <c r="J17" s="87">
        <f t="shared" si="38"/>
        <v>0</v>
      </c>
      <c r="K17" s="87">
        <f t="shared" si="38"/>
        <v>0</v>
      </c>
      <c r="L17" s="87">
        <f t="shared" si="38"/>
        <v>0</v>
      </c>
      <c r="M17" s="87">
        <f t="shared" si="38"/>
        <v>0</v>
      </c>
      <c r="N17" s="87">
        <f t="shared" si="1"/>
        <v>0</v>
      </c>
      <c r="O17" s="87">
        <f t="shared" si="1"/>
        <v>0</v>
      </c>
      <c r="P17" s="87">
        <f t="shared" si="1"/>
        <v>0</v>
      </c>
      <c r="Q17" s="87">
        <f t="shared" si="1"/>
        <v>0</v>
      </c>
      <c r="R17" s="87">
        <f t="shared" si="1"/>
        <v>0</v>
      </c>
      <c r="S17" s="87">
        <f t="shared" si="1"/>
        <v>0</v>
      </c>
      <c r="T17" s="87">
        <f t="shared" si="1"/>
        <v>0</v>
      </c>
      <c r="U17" s="65"/>
      <c r="V17" s="85">
        <v>423</v>
      </c>
      <c r="W17" s="87">
        <f t="shared" si="2"/>
        <v>2</v>
      </c>
      <c r="X17" s="87">
        <f t="shared" si="3"/>
        <v>0</v>
      </c>
      <c r="Y17" s="87">
        <f t="shared" si="4"/>
        <v>0</v>
      </c>
      <c r="Z17" s="87">
        <f t="shared" si="5"/>
        <v>0</v>
      </c>
      <c r="AA17" s="87">
        <f t="shared" si="6"/>
        <v>0</v>
      </c>
      <c r="AB17" s="87">
        <f t="shared" si="7"/>
        <v>0</v>
      </c>
      <c r="AC17" s="87">
        <f t="shared" si="8"/>
        <v>0</v>
      </c>
      <c r="AD17" s="87">
        <f t="shared" si="9"/>
        <v>0</v>
      </c>
      <c r="AE17" s="87">
        <f t="shared" si="10"/>
        <v>0</v>
      </c>
      <c r="AF17" s="87">
        <f t="shared" si="11"/>
        <v>0</v>
      </c>
      <c r="AG17" s="87">
        <f t="shared" si="12"/>
        <v>0</v>
      </c>
      <c r="AH17" s="87">
        <f t="shared" si="13"/>
        <v>0</v>
      </c>
      <c r="AI17" s="87">
        <f t="shared" si="14"/>
        <v>0</v>
      </c>
      <c r="AJ17" s="87">
        <f t="shared" si="15"/>
        <v>0</v>
      </c>
      <c r="AK17" s="87">
        <f t="shared" si="16"/>
        <v>0</v>
      </c>
      <c r="AL17" s="87">
        <f t="shared" si="17"/>
        <v>0</v>
      </c>
      <c r="AM17" s="87">
        <f t="shared" si="18"/>
        <v>0</v>
      </c>
      <c r="AN17" s="87">
        <f t="shared" si="19"/>
        <v>0</v>
      </c>
      <c r="AO17" s="65"/>
      <c r="AP17" s="88">
        <v>464</v>
      </c>
      <c r="AQ17" s="87">
        <f t="shared" si="20"/>
        <v>2</v>
      </c>
      <c r="AR17" s="87">
        <f t="shared" si="21"/>
        <v>0</v>
      </c>
      <c r="AS17" s="87">
        <f t="shared" si="22"/>
        <v>0</v>
      </c>
      <c r="AT17" s="87">
        <f t="shared" si="23"/>
        <v>0</v>
      </c>
      <c r="AU17" s="87">
        <f t="shared" si="24"/>
        <v>0</v>
      </c>
      <c r="AV17" s="87">
        <f t="shared" si="25"/>
        <v>0</v>
      </c>
      <c r="AW17" s="87">
        <f t="shared" si="26"/>
        <v>0</v>
      </c>
      <c r="AX17" s="87">
        <f t="shared" si="27"/>
        <v>0</v>
      </c>
      <c r="AY17" s="87">
        <f t="shared" si="28"/>
        <v>0</v>
      </c>
      <c r="AZ17" s="87">
        <f t="shared" si="29"/>
        <v>0</v>
      </c>
      <c r="BA17" s="87">
        <f t="shared" si="30"/>
        <v>0</v>
      </c>
      <c r="BB17" s="87">
        <f t="shared" si="31"/>
        <v>0</v>
      </c>
      <c r="BC17" s="87">
        <f t="shared" si="32"/>
        <v>0</v>
      </c>
      <c r="BD17" s="87">
        <f t="shared" si="33"/>
        <v>0</v>
      </c>
      <c r="BE17" s="87">
        <f t="shared" si="34"/>
        <v>0</v>
      </c>
      <c r="BF17" s="87">
        <f t="shared" si="35"/>
        <v>0</v>
      </c>
      <c r="BG17" s="87">
        <f t="shared" si="36"/>
        <v>0</v>
      </c>
      <c r="BH17" s="87">
        <f t="shared" si="37"/>
        <v>0</v>
      </c>
    </row>
    <row r="18" spans="2:60" s="64" customFormat="1" ht="18.75" x14ac:dyDescent="0.3">
      <c r="B18" s="85">
        <v>383</v>
      </c>
      <c r="C18" s="87">
        <f t="shared" si="38"/>
        <v>2</v>
      </c>
      <c r="D18" s="87">
        <f t="shared" si="38"/>
        <v>0</v>
      </c>
      <c r="E18" s="87">
        <f t="shared" si="38"/>
        <v>0</v>
      </c>
      <c r="F18" s="87">
        <f t="shared" si="38"/>
        <v>0</v>
      </c>
      <c r="G18" s="87">
        <f t="shared" si="38"/>
        <v>0</v>
      </c>
      <c r="H18" s="87">
        <f t="shared" si="38"/>
        <v>0</v>
      </c>
      <c r="I18" s="87">
        <f t="shared" si="38"/>
        <v>0</v>
      </c>
      <c r="J18" s="87">
        <f t="shared" si="38"/>
        <v>0</v>
      </c>
      <c r="K18" s="87">
        <f t="shared" si="38"/>
        <v>0</v>
      </c>
      <c r="L18" s="87">
        <f t="shared" si="38"/>
        <v>0</v>
      </c>
      <c r="M18" s="87">
        <f t="shared" si="38"/>
        <v>0</v>
      </c>
      <c r="N18" s="87">
        <f t="shared" si="38"/>
        <v>0</v>
      </c>
      <c r="O18" s="87">
        <f t="shared" si="38"/>
        <v>0</v>
      </c>
      <c r="P18" s="87">
        <f t="shared" si="38"/>
        <v>0</v>
      </c>
      <c r="Q18" s="87">
        <f t="shared" si="38"/>
        <v>0</v>
      </c>
      <c r="R18" s="87">
        <f t="shared" si="38"/>
        <v>0</v>
      </c>
      <c r="S18" s="87">
        <f t="shared" ref="S18:T33" si="39">SUMIFS(VOTOS1,CENTRO1,$B18,TURNO1,S$1)</f>
        <v>0</v>
      </c>
      <c r="T18" s="87">
        <f t="shared" si="39"/>
        <v>0</v>
      </c>
      <c r="U18" s="65"/>
      <c r="V18" s="88">
        <v>424</v>
      </c>
      <c r="W18" s="87">
        <f t="shared" si="2"/>
        <v>2</v>
      </c>
      <c r="X18" s="87">
        <f t="shared" si="3"/>
        <v>0</v>
      </c>
      <c r="Y18" s="87">
        <f t="shared" si="4"/>
        <v>0</v>
      </c>
      <c r="Z18" s="87">
        <f t="shared" si="5"/>
        <v>0</v>
      </c>
      <c r="AA18" s="87">
        <f t="shared" si="6"/>
        <v>0</v>
      </c>
      <c r="AB18" s="87">
        <f t="shared" si="7"/>
        <v>0</v>
      </c>
      <c r="AC18" s="87">
        <f t="shared" si="8"/>
        <v>0</v>
      </c>
      <c r="AD18" s="87">
        <f t="shared" si="9"/>
        <v>0</v>
      </c>
      <c r="AE18" s="87">
        <f t="shared" si="10"/>
        <v>0</v>
      </c>
      <c r="AF18" s="87">
        <f t="shared" si="11"/>
        <v>0</v>
      </c>
      <c r="AG18" s="87">
        <f t="shared" si="12"/>
        <v>0</v>
      </c>
      <c r="AH18" s="87">
        <f t="shared" si="13"/>
        <v>0</v>
      </c>
      <c r="AI18" s="87">
        <f t="shared" si="14"/>
        <v>0</v>
      </c>
      <c r="AJ18" s="87">
        <f t="shared" si="15"/>
        <v>0</v>
      </c>
      <c r="AK18" s="87">
        <f t="shared" si="16"/>
        <v>0</v>
      </c>
      <c r="AL18" s="87">
        <f t="shared" si="17"/>
        <v>0</v>
      </c>
      <c r="AM18" s="87">
        <f t="shared" si="18"/>
        <v>0</v>
      </c>
      <c r="AN18" s="87">
        <f t="shared" si="19"/>
        <v>0</v>
      </c>
      <c r="AO18" s="65"/>
      <c r="AP18" s="85">
        <v>465</v>
      </c>
      <c r="AQ18" s="87">
        <f t="shared" si="20"/>
        <v>2</v>
      </c>
      <c r="AR18" s="87">
        <f t="shared" si="21"/>
        <v>0</v>
      </c>
      <c r="AS18" s="87">
        <f t="shared" si="22"/>
        <v>0</v>
      </c>
      <c r="AT18" s="87">
        <f t="shared" si="23"/>
        <v>0</v>
      </c>
      <c r="AU18" s="87">
        <f t="shared" si="24"/>
        <v>0</v>
      </c>
      <c r="AV18" s="87">
        <f t="shared" si="25"/>
        <v>0</v>
      </c>
      <c r="AW18" s="87">
        <f t="shared" si="26"/>
        <v>0</v>
      </c>
      <c r="AX18" s="87">
        <f t="shared" si="27"/>
        <v>0</v>
      </c>
      <c r="AY18" s="87">
        <f t="shared" si="28"/>
        <v>0</v>
      </c>
      <c r="AZ18" s="87">
        <f t="shared" si="29"/>
        <v>0</v>
      </c>
      <c r="BA18" s="87">
        <f t="shared" si="30"/>
        <v>0</v>
      </c>
      <c r="BB18" s="87">
        <f t="shared" si="31"/>
        <v>0</v>
      </c>
      <c r="BC18" s="87">
        <f t="shared" si="32"/>
        <v>0</v>
      </c>
      <c r="BD18" s="87">
        <f t="shared" si="33"/>
        <v>0</v>
      </c>
      <c r="BE18" s="87">
        <f t="shared" si="34"/>
        <v>0</v>
      </c>
      <c r="BF18" s="87">
        <f t="shared" si="35"/>
        <v>0</v>
      </c>
      <c r="BG18" s="87">
        <f t="shared" si="36"/>
        <v>0</v>
      </c>
      <c r="BH18" s="87">
        <f t="shared" si="37"/>
        <v>0</v>
      </c>
    </row>
    <row r="19" spans="2:60" s="64" customFormat="1" ht="18.75" x14ac:dyDescent="0.3">
      <c r="B19" s="85">
        <v>384</v>
      </c>
      <c r="C19" s="87">
        <f t="shared" ref="C19:R34" si="40">SUMIFS(VOTOS1,CENTRO1,$B19,TURNO1,C$1)</f>
        <v>2</v>
      </c>
      <c r="D19" s="87">
        <f t="shared" si="40"/>
        <v>0</v>
      </c>
      <c r="E19" s="87">
        <f t="shared" si="40"/>
        <v>0</v>
      </c>
      <c r="F19" s="87">
        <f t="shared" si="40"/>
        <v>0</v>
      </c>
      <c r="G19" s="87">
        <f t="shared" si="40"/>
        <v>0</v>
      </c>
      <c r="H19" s="87">
        <f t="shared" si="40"/>
        <v>0</v>
      </c>
      <c r="I19" s="87">
        <f t="shared" si="40"/>
        <v>0</v>
      </c>
      <c r="J19" s="87">
        <f t="shared" si="40"/>
        <v>0</v>
      </c>
      <c r="K19" s="87">
        <f t="shared" si="40"/>
        <v>0</v>
      </c>
      <c r="L19" s="87">
        <f t="shared" si="40"/>
        <v>0</v>
      </c>
      <c r="M19" s="87">
        <f t="shared" si="40"/>
        <v>0</v>
      </c>
      <c r="N19" s="87">
        <f t="shared" si="40"/>
        <v>0</v>
      </c>
      <c r="O19" s="87">
        <f t="shared" si="40"/>
        <v>0</v>
      </c>
      <c r="P19" s="87">
        <f t="shared" si="40"/>
        <v>0</v>
      </c>
      <c r="Q19" s="87">
        <f t="shared" si="40"/>
        <v>0</v>
      </c>
      <c r="R19" s="87">
        <f t="shared" si="40"/>
        <v>0</v>
      </c>
      <c r="S19" s="87">
        <f t="shared" si="39"/>
        <v>0</v>
      </c>
      <c r="T19" s="87">
        <f t="shared" si="39"/>
        <v>0</v>
      </c>
      <c r="U19" s="65"/>
      <c r="V19" s="85">
        <v>425</v>
      </c>
      <c r="W19" s="87">
        <f t="shared" si="2"/>
        <v>2</v>
      </c>
      <c r="X19" s="87">
        <f t="shared" si="3"/>
        <v>0</v>
      </c>
      <c r="Y19" s="87">
        <f t="shared" si="4"/>
        <v>0</v>
      </c>
      <c r="Z19" s="87">
        <f t="shared" si="5"/>
        <v>0</v>
      </c>
      <c r="AA19" s="87">
        <f t="shared" si="6"/>
        <v>0</v>
      </c>
      <c r="AB19" s="87">
        <f t="shared" si="7"/>
        <v>0</v>
      </c>
      <c r="AC19" s="87">
        <f t="shared" si="8"/>
        <v>0</v>
      </c>
      <c r="AD19" s="87">
        <f t="shared" si="9"/>
        <v>0</v>
      </c>
      <c r="AE19" s="87">
        <f t="shared" si="10"/>
        <v>0</v>
      </c>
      <c r="AF19" s="87">
        <f t="shared" si="11"/>
        <v>0</v>
      </c>
      <c r="AG19" s="87">
        <f t="shared" si="12"/>
        <v>0</v>
      </c>
      <c r="AH19" s="87">
        <f t="shared" si="13"/>
        <v>0</v>
      </c>
      <c r="AI19" s="87">
        <f t="shared" si="14"/>
        <v>0</v>
      </c>
      <c r="AJ19" s="87">
        <f t="shared" si="15"/>
        <v>0</v>
      </c>
      <c r="AK19" s="87">
        <f t="shared" si="16"/>
        <v>0</v>
      </c>
      <c r="AL19" s="87">
        <f t="shared" si="17"/>
        <v>0</v>
      </c>
      <c r="AM19" s="87">
        <f t="shared" si="18"/>
        <v>0</v>
      </c>
      <c r="AN19" s="87">
        <f t="shared" si="19"/>
        <v>0</v>
      </c>
      <c r="AO19" s="65"/>
      <c r="AP19" s="88">
        <v>466</v>
      </c>
      <c r="AQ19" s="87">
        <f t="shared" si="20"/>
        <v>2</v>
      </c>
      <c r="AR19" s="87">
        <f t="shared" si="21"/>
        <v>0</v>
      </c>
      <c r="AS19" s="87">
        <f t="shared" si="22"/>
        <v>0</v>
      </c>
      <c r="AT19" s="87">
        <f t="shared" si="23"/>
        <v>0</v>
      </c>
      <c r="AU19" s="87">
        <f t="shared" si="24"/>
        <v>0</v>
      </c>
      <c r="AV19" s="87">
        <f t="shared" si="25"/>
        <v>0</v>
      </c>
      <c r="AW19" s="87">
        <f t="shared" si="26"/>
        <v>0</v>
      </c>
      <c r="AX19" s="87">
        <f t="shared" si="27"/>
        <v>0</v>
      </c>
      <c r="AY19" s="87">
        <f t="shared" si="28"/>
        <v>0</v>
      </c>
      <c r="AZ19" s="87">
        <f t="shared" si="29"/>
        <v>0</v>
      </c>
      <c r="BA19" s="87">
        <f t="shared" si="30"/>
        <v>0</v>
      </c>
      <c r="BB19" s="87">
        <f t="shared" si="31"/>
        <v>0</v>
      </c>
      <c r="BC19" s="87">
        <f t="shared" si="32"/>
        <v>0</v>
      </c>
      <c r="BD19" s="87">
        <f t="shared" si="33"/>
        <v>0</v>
      </c>
      <c r="BE19" s="87">
        <f t="shared" si="34"/>
        <v>0</v>
      </c>
      <c r="BF19" s="87">
        <f t="shared" si="35"/>
        <v>0</v>
      </c>
      <c r="BG19" s="87">
        <f t="shared" si="36"/>
        <v>0</v>
      </c>
      <c r="BH19" s="87">
        <f t="shared" si="37"/>
        <v>0</v>
      </c>
    </row>
    <row r="20" spans="2:60" s="64" customFormat="1" ht="18.75" x14ac:dyDescent="0.3">
      <c r="B20" s="85">
        <v>385</v>
      </c>
      <c r="C20" s="87">
        <f t="shared" si="40"/>
        <v>2</v>
      </c>
      <c r="D20" s="87">
        <f t="shared" si="40"/>
        <v>0</v>
      </c>
      <c r="E20" s="87">
        <f t="shared" si="40"/>
        <v>0</v>
      </c>
      <c r="F20" s="87">
        <f t="shared" si="40"/>
        <v>0</v>
      </c>
      <c r="G20" s="87">
        <f t="shared" si="40"/>
        <v>0</v>
      </c>
      <c r="H20" s="87">
        <f t="shared" si="40"/>
        <v>0</v>
      </c>
      <c r="I20" s="87">
        <f t="shared" si="40"/>
        <v>0</v>
      </c>
      <c r="J20" s="87">
        <f t="shared" si="40"/>
        <v>0</v>
      </c>
      <c r="K20" s="87">
        <f t="shared" si="40"/>
        <v>0</v>
      </c>
      <c r="L20" s="87">
        <f t="shared" si="40"/>
        <v>0</v>
      </c>
      <c r="M20" s="87">
        <f t="shared" si="40"/>
        <v>0</v>
      </c>
      <c r="N20" s="87">
        <f t="shared" si="40"/>
        <v>0</v>
      </c>
      <c r="O20" s="87">
        <f t="shared" si="40"/>
        <v>0</v>
      </c>
      <c r="P20" s="87">
        <f t="shared" si="40"/>
        <v>0</v>
      </c>
      <c r="Q20" s="87">
        <f t="shared" si="40"/>
        <v>0</v>
      </c>
      <c r="R20" s="87">
        <f t="shared" si="40"/>
        <v>0</v>
      </c>
      <c r="S20" s="87">
        <f t="shared" si="39"/>
        <v>0</v>
      </c>
      <c r="T20" s="87">
        <f t="shared" si="39"/>
        <v>0</v>
      </c>
      <c r="U20" s="65"/>
      <c r="V20" s="88">
        <v>426</v>
      </c>
      <c r="W20" s="87">
        <f t="shared" si="2"/>
        <v>2</v>
      </c>
      <c r="X20" s="87">
        <f t="shared" si="3"/>
        <v>0</v>
      </c>
      <c r="Y20" s="87">
        <f t="shared" si="4"/>
        <v>0</v>
      </c>
      <c r="Z20" s="87">
        <f t="shared" si="5"/>
        <v>0</v>
      </c>
      <c r="AA20" s="87">
        <f t="shared" si="6"/>
        <v>0</v>
      </c>
      <c r="AB20" s="87">
        <f t="shared" si="7"/>
        <v>0</v>
      </c>
      <c r="AC20" s="87">
        <f t="shared" si="8"/>
        <v>0</v>
      </c>
      <c r="AD20" s="87">
        <f t="shared" si="9"/>
        <v>0</v>
      </c>
      <c r="AE20" s="87">
        <f t="shared" si="10"/>
        <v>0</v>
      </c>
      <c r="AF20" s="87">
        <f t="shared" si="11"/>
        <v>0</v>
      </c>
      <c r="AG20" s="87">
        <f t="shared" si="12"/>
        <v>0</v>
      </c>
      <c r="AH20" s="87">
        <f t="shared" si="13"/>
        <v>0</v>
      </c>
      <c r="AI20" s="87">
        <f t="shared" si="14"/>
        <v>0</v>
      </c>
      <c r="AJ20" s="87">
        <f t="shared" si="15"/>
        <v>0</v>
      </c>
      <c r="AK20" s="87">
        <f t="shared" si="16"/>
        <v>0</v>
      </c>
      <c r="AL20" s="87">
        <f t="shared" si="17"/>
        <v>0</v>
      </c>
      <c r="AM20" s="87">
        <f t="shared" si="18"/>
        <v>0</v>
      </c>
      <c r="AN20" s="87">
        <f t="shared" si="19"/>
        <v>0</v>
      </c>
      <c r="AO20" s="65"/>
      <c r="AP20" s="85">
        <v>467</v>
      </c>
      <c r="AQ20" s="87">
        <f t="shared" si="20"/>
        <v>2</v>
      </c>
      <c r="AR20" s="87">
        <f t="shared" si="21"/>
        <v>0</v>
      </c>
      <c r="AS20" s="87">
        <f t="shared" si="22"/>
        <v>0</v>
      </c>
      <c r="AT20" s="87">
        <f t="shared" si="23"/>
        <v>0</v>
      </c>
      <c r="AU20" s="87">
        <f t="shared" si="24"/>
        <v>0</v>
      </c>
      <c r="AV20" s="87">
        <f t="shared" si="25"/>
        <v>0</v>
      </c>
      <c r="AW20" s="87">
        <f t="shared" si="26"/>
        <v>0</v>
      </c>
      <c r="AX20" s="87">
        <f t="shared" si="27"/>
        <v>0</v>
      </c>
      <c r="AY20" s="87">
        <f t="shared" si="28"/>
        <v>0</v>
      </c>
      <c r="AZ20" s="87">
        <f t="shared" si="29"/>
        <v>0</v>
      </c>
      <c r="BA20" s="87">
        <f t="shared" si="30"/>
        <v>0</v>
      </c>
      <c r="BB20" s="87">
        <f t="shared" si="31"/>
        <v>0</v>
      </c>
      <c r="BC20" s="87">
        <f t="shared" si="32"/>
        <v>0</v>
      </c>
      <c r="BD20" s="87">
        <f t="shared" si="33"/>
        <v>0</v>
      </c>
      <c r="BE20" s="87">
        <f t="shared" si="34"/>
        <v>0</v>
      </c>
      <c r="BF20" s="87">
        <f t="shared" si="35"/>
        <v>0</v>
      </c>
      <c r="BG20" s="87">
        <f t="shared" si="36"/>
        <v>0</v>
      </c>
      <c r="BH20" s="87">
        <f t="shared" si="37"/>
        <v>0</v>
      </c>
    </row>
    <row r="21" spans="2:60" s="64" customFormat="1" ht="18.75" x14ac:dyDescent="0.3">
      <c r="B21" s="85">
        <v>386</v>
      </c>
      <c r="C21" s="87">
        <f t="shared" si="40"/>
        <v>2</v>
      </c>
      <c r="D21" s="87">
        <f t="shared" si="40"/>
        <v>11</v>
      </c>
      <c r="E21" s="87">
        <f t="shared" si="40"/>
        <v>0</v>
      </c>
      <c r="F21" s="87">
        <f t="shared" si="40"/>
        <v>25</v>
      </c>
      <c r="G21" s="87">
        <f t="shared" si="40"/>
        <v>23</v>
      </c>
      <c r="H21" s="87">
        <f t="shared" si="40"/>
        <v>18</v>
      </c>
      <c r="I21" s="87">
        <f t="shared" si="40"/>
        <v>0</v>
      </c>
      <c r="J21" s="87">
        <f t="shared" si="40"/>
        <v>24</v>
      </c>
      <c r="K21" s="87">
        <f t="shared" si="40"/>
        <v>38</v>
      </c>
      <c r="L21" s="87">
        <f t="shared" si="40"/>
        <v>20</v>
      </c>
      <c r="M21" s="87">
        <f t="shared" si="40"/>
        <v>0</v>
      </c>
      <c r="N21" s="87">
        <f t="shared" si="40"/>
        <v>0</v>
      </c>
      <c r="O21" s="87">
        <f t="shared" si="40"/>
        <v>0</v>
      </c>
      <c r="P21" s="87">
        <f t="shared" si="40"/>
        <v>0</v>
      </c>
      <c r="Q21" s="87">
        <f t="shared" si="40"/>
        <v>0</v>
      </c>
      <c r="R21" s="87">
        <f t="shared" si="40"/>
        <v>0</v>
      </c>
      <c r="S21" s="87">
        <f t="shared" si="39"/>
        <v>0</v>
      </c>
      <c r="T21" s="87">
        <f t="shared" si="39"/>
        <v>0</v>
      </c>
      <c r="U21" s="65"/>
      <c r="V21" s="85">
        <v>427</v>
      </c>
      <c r="W21" s="87">
        <f t="shared" si="2"/>
        <v>2</v>
      </c>
      <c r="X21" s="87">
        <f t="shared" si="3"/>
        <v>0</v>
      </c>
      <c r="Y21" s="87">
        <f t="shared" si="4"/>
        <v>0</v>
      </c>
      <c r="Z21" s="87">
        <f t="shared" si="5"/>
        <v>0</v>
      </c>
      <c r="AA21" s="87">
        <f t="shared" si="6"/>
        <v>0</v>
      </c>
      <c r="AB21" s="87">
        <f t="shared" si="7"/>
        <v>0</v>
      </c>
      <c r="AC21" s="87">
        <f t="shared" si="8"/>
        <v>0</v>
      </c>
      <c r="AD21" s="87">
        <f t="shared" si="9"/>
        <v>0</v>
      </c>
      <c r="AE21" s="87">
        <f t="shared" si="10"/>
        <v>0</v>
      </c>
      <c r="AF21" s="87">
        <f t="shared" si="11"/>
        <v>0</v>
      </c>
      <c r="AG21" s="87">
        <f t="shared" si="12"/>
        <v>0</v>
      </c>
      <c r="AH21" s="87">
        <f t="shared" si="13"/>
        <v>0</v>
      </c>
      <c r="AI21" s="87">
        <f t="shared" si="14"/>
        <v>0</v>
      </c>
      <c r="AJ21" s="87">
        <f t="shared" si="15"/>
        <v>0</v>
      </c>
      <c r="AK21" s="87">
        <f t="shared" si="16"/>
        <v>0</v>
      </c>
      <c r="AL21" s="87">
        <f t="shared" si="17"/>
        <v>0</v>
      </c>
      <c r="AM21" s="87">
        <f t="shared" si="18"/>
        <v>0</v>
      </c>
      <c r="AN21" s="87">
        <f t="shared" si="19"/>
        <v>0</v>
      </c>
      <c r="AO21" s="65"/>
      <c r="AP21" s="88">
        <v>468</v>
      </c>
      <c r="AQ21" s="87">
        <f t="shared" si="20"/>
        <v>2</v>
      </c>
      <c r="AR21" s="87">
        <f t="shared" si="21"/>
        <v>0</v>
      </c>
      <c r="AS21" s="87">
        <f t="shared" si="22"/>
        <v>0</v>
      </c>
      <c r="AT21" s="87">
        <f t="shared" si="23"/>
        <v>0</v>
      </c>
      <c r="AU21" s="87">
        <f t="shared" si="24"/>
        <v>0</v>
      </c>
      <c r="AV21" s="87">
        <f t="shared" si="25"/>
        <v>0</v>
      </c>
      <c r="AW21" s="87">
        <f t="shared" si="26"/>
        <v>0</v>
      </c>
      <c r="AX21" s="87">
        <f t="shared" si="27"/>
        <v>0</v>
      </c>
      <c r="AY21" s="87">
        <f t="shared" si="28"/>
        <v>0</v>
      </c>
      <c r="AZ21" s="87">
        <f t="shared" si="29"/>
        <v>0</v>
      </c>
      <c r="BA21" s="87">
        <f t="shared" si="30"/>
        <v>0</v>
      </c>
      <c r="BB21" s="87">
        <f t="shared" si="31"/>
        <v>0</v>
      </c>
      <c r="BC21" s="87">
        <f t="shared" si="32"/>
        <v>0</v>
      </c>
      <c r="BD21" s="87">
        <f t="shared" si="33"/>
        <v>0</v>
      </c>
      <c r="BE21" s="87">
        <f t="shared" si="34"/>
        <v>0</v>
      </c>
      <c r="BF21" s="87">
        <f t="shared" si="35"/>
        <v>0</v>
      </c>
      <c r="BG21" s="87">
        <f t="shared" si="36"/>
        <v>0</v>
      </c>
      <c r="BH21" s="87">
        <f t="shared" si="37"/>
        <v>0</v>
      </c>
    </row>
    <row r="22" spans="2:60" s="64" customFormat="1" ht="18.75" x14ac:dyDescent="0.3">
      <c r="B22" s="85">
        <v>387</v>
      </c>
      <c r="C22" s="87">
        <f t="shared" si="40"/>
        <v>2</v>
      </c>
      <c r="D22" s="87">
        <f t="shared" si="40"/>
        <v>0</v>
      </c>
      <c r="E22" s="87">
        <f t="shared" si="40"/>
        <v>0</v>
      </c>
      <c r="F22" s="87">
        <f t="shared" si="40"/>
        <v>0</v>
      </c>
      <c r="G22" s="87">
        <f t="shared" si="40"/>
        <v>0</v>
      </c>
      <c r="H22" s="87">
        <f t="shared" si="40"/>
        <v>0</v>
      </c>
      <c r="I22" s="87">
        <f t="shared" si="40"/>
        <v>0</v>
      </c>
      <c r="J22" s="87">
        <f t="shared" si="40"/>
        <v>0</v>
      </c>
      <c r="K22" s="87">
        <f t="shared" si="40"/>
        <v>0</v>
      </c>
      <c r="L22" s="87">
        <f t="shared" si="40"/>
        <v>0</v>
      </c>
      <c r="M22" s="87">
        <f t="shared" si="40"/>
        <v>0</v>
      </c>
      <c r="N22" s="87">
        <f t="shared" si="40"/>
        <v>0</v>
      </c>
      <c r="O22" s="87">
        <f t="shared" si="40"/>
        <v>0</v>
      </c>
      <c r="P22" s="87">
        <f t="shared" si="40"/>
        <v>0</v>
      </c>
      <c r="Q22" s="87">
        <f t="shared" si="40"/>
        <v>0</v>
      </c>
      <c r="R22" s="87">
        <f t="shared" si="40"/>
        <v>0</v>
      </c>
      <c r="S22" s="87">
        <f t="shared" si="39"/>
        <v>0</v>
      </c>
      <c r="T22" s="87">
        <f t="shared" si="39"/>
        <v>0</v>
      </c>
      <c r="U22" s="65"/>
      <c r="V22" s="88">
        <v>428</v>
      </c>
      <c r="W22" s="87">
        <f t="shared" si="2"/>
        <v>2</v>
      </c>
      <c r="X22" s="87">
        <f t="shared" si="3"/>
        <v>0</v>
      </c>
      <c r="Y22" s="87">
        <f t="shared" si="4"/>
        <v>0</v>
      </c>
      <c r="Z22" s="87">
        <f t="shared" si="5"/>
        <v>0</v>
      </c>
      <c r="AA22" s="87">
        <f t="shared" si="6"/>
        <v>0</v>
      </c>
      <c r="AB22" s="87">
        <f t="shared" si="7"/>
        <v>0</v>
      </c>
      <c r="AC22" s="87">
        <f t="shared" si="8"/>
        <v>0</v>
      </c>
      <c r="AD22" s="87">
        <f t="shared" si="9"/>
        <v>0</v>
      </c>
      <c r="AE22" s="87">
        <f t="shared" si="10"/>
        <v>0</v>
      </c>
      <c r="AF22" s="87">
        <f t="shared" si="11"/>
        <v>0</v>
      </c>
      <c r="AG22" s="87">
        <f t="shared" si="12"/>
        <v>0</v>
      </c>
      <c r="AH22" s="87">
        <f t="shared" si="13"/>
        <v>0</v>
      </c>
      <c r="AI22" s="87">
        <f t="shared" si="14"/>
        <v>0</v>
      </c>
      <c r="AJ22" s="87">
        <f t="shared" si="15"/>
        <v>0</v>
      </c>
      <c r="AK22" s="87">
        <f t="shared" si="16"/>
        <v>0</v>
      </c>
      <c r="AL22" s="87">
        <f t="shared" si="17"/>
        <v>0</v>
      </c>
      <c r="AM22" s="87">
        <f t="shared" si="18"/>
        <v>0</v>
      </c>
      <c r="AN22" s="87">
        <f t="shared" si="19"/>
        <v>0</v>
      </c>
      <c r="AO22" s="65"/>
      <c r="AP22" s="85">
        <v>469</v>
      </c>
      <c r="AQ22" s="87">
        <f t="shared" si="20"/>
        <v>2</v>
      </c>
      <c r="AR22" s="87">
        <f t="shared" si="21"/>
        <v>0</v>
      </c>
      <c r="AS22" s="87">
        <f t="shared" si="22"/>
        <v>0</v>
      </c>
      <c r="AT22" s="87">
        <f t="shared" si="23"/>
        <v>0</v>
      </c>
      <c r="AU22" s="87">
        <f t="shared" si="24"/>
        <v>0</v>
      </c>
      <c r="AV22" s="87">
        <f t="shared" si="25"/>
        <v>0</v>
      </c>
      <c r="AW22" s="87">
        <f t="shared" si="26"/>
        <v>0</v>
      </c>
      <c r="AX22" s="87">
        <f t="shared" si="27"/>
        <v>0</v>
      </c>
      <c r="AY22" s="87">
        <f t="shared" si="28"/>
        <v>0</v>
      </c>
      <c r="AZ22" s="87">
        <f t="shared" si="29"/>
        <v>0</v>
      </c>
      <c r="BA22" s="87">
        <f t="shared" si="30"/>
        <v>0</v>
      </c>
      <c r="BB22" s="87">
        <f t="shared" si="31"/>
        <v>0</v>
      </c>
      <c r="BC22" s="87">
        <f t="shared" si="32"/>
        <v>0</v>
      </c>
      <c r="BD22" s="87">
        <f t="shared" si="33"/>
        <v>0</v>
      </c>
      <c r="BE22" s="87">
        <f t="shared" si="34"/>
        <v>0</v>
      </c>
      <c r="BF22" s="87">
        <f t="shared" si="35"/>
        <v>0</v>
      </c>
      <c r="BG22" s="87">
        <f t="shared" si="36"/>
        <v>0</v>
      </c>
      <c r="BH22" s="87">
        <f t="shared" si="37"/>
        <v>0</v>
      </c>
    </row>
    <row r="23" spans="2:60" s="64" customFormat="1" ht="18.75" x14ac:dyDescent="0.3">
      <c r="B23" s="85">
        <v>388</v>
      </c>
      <c r="C23" s="87">
        <f t="shared" si="40"/>
        <v>2</v>
      </c>
      <c r="D23" s="87">
        <f t="shared" si="40"/>
        <v>6</v>
      </c>
      <c r="E23" s="87">
        <f t="shared" si="40"/>
        <v>55</v>
      </c>
      <c r="F23" s="87">
        <f t="shared" si="40"/>
        <v>37</v>
      </c>
      <c r="G23" s="87">
        <f t="shared" si="40"/>
        <v>22</v>
      </c>
      <c r="H23" s="87">
        <f t="shared" si="40"/>
        <v>10</v>
      </c>
      <c r="I23" s="87">
        <f t="shared" si="40"/>
        <v>0</v>
      </c>
      <c r="J23" s="87">
        <f t="shared" si="40"/>
        <v>7</v>
      </c>
      <c r="K23" s="87">
        <f t="shared" si="40"/>
        <v>20</v>
      </c>
      <c r="L23" s="87">
        <f t="shared" si="40"/>
        <v>0</v>
      </c>
      <c r="M23" s="87">
        <f t="shared" si="40"/>
        <v>0</v>
      </c>
      <c r="N23" s="87">
        <f t="shared" si="40"/>
        <v>0</v>
      </c>
      <c r="O23" s="87">
        <f t="shared" si="40"/>
        <v>0</v>
      </c>
      <c r="P23" s="87">
        <f t="shared" si="40"/>
        <v>0</v>
      </c>
      <c r="Q23" s="87">
        <f t="shared" si="40"/>
        <v>0</v>
      </c>
      <c r="R23" s="87">
        <f t="shared" si="40"/>
        <v>0</v>
      </c>
      <c r="S23" s="87">
        <f t="shared" si="39"/>
        <v>0</v>
      </c>
      <c r="T23" s="87">
        <f t="shared" si="39"/>
        <v>0</v>
      </c>
      <c r="U23" s="65"/>
      <c r="V23" s="85">
        <v>429</v>
      </c>
      <c r="W23" s="87">
        <f t="shared" si="2"/>
        <v>2</v>
      </c>
      <c r="X23" s="87">
        <f t="shared" si="3"/>
        <v>0</v>
      </c>
      <c r="Y23" s="87">
        <f t="shared" si="4"/>
        <v>0</v>
      </c>
      <c r="Z23" s="87">
        <f t="shared" si="5"/>
        <v>0</v>
      </c>
      <c r="AA23" s="87">
        <f t="shared" si="6"/>
        <v>0</v>
      </c>
      <c r="AB23" s="87">
        <f t="shared" si="7"/>
        <v>0</v>
      </c>
      <c r="AC23" s="87">
        <f t="shared" si="8"/>
        <v>0</v>
      </c>
      <c r="AD23" s="87">
        <f t="shared" si="9"/>
        <v>0</v>
      </c>
      <c r="AE23" s="87">
        <f t="shared" si="10"/>
        <v>0</v>
      </c>
      <c r="AF23" s="87">
        <f t="shared" si="11"/>
        <v>0</v>
      </c>
      <c r="AG23" s="87">
        <f t="shared" si="12"/>
        <v>0</v>
      </c>
      <c r="AH23" s="87">
        <f t="shared" si="13"/>
        <v>0</v>
      </c>
      <c r="AI23" s="87">
        <f t="shared" si="14"/>
        <v>0</v>
      </c>
      <c r="AJ23" s="87">
        <f t="shared" si="15"/>
        <v>0</v>
      </c>
      <c r="AK23" s="87">
        <f t="shared" si="16"/>
        <v>0</v>
      </c>
      <c r="AL23" s="87">
        <f t="shared" si="17"/>
        <v>0</v>
      </c>
      <c r="AM23" s="87">
        <f t="shared" si="18"/>
        <v>0</v>
      </c>
      <c r="AN23" s="87">
        <f t="shared" si="19"/>
        <v>0</v>
      </c>
      <c r="AO23" s="65"/>
      <c r="AP23" s="88">
        <v>470</v>
      </c>
      <c r="AQ23" s="87">
        <f t="shared" si="20"/>
        <v>2</v>
      </c>
      <c r="AR23" s="87">
        <f t="shared" si="21"/>
        <v>0</v>
      </c>
      <c r="AS23" s="87">
        <f t="shared" si="22"/>
        <v>0</v>
      </c>
      <c r="AT23" s="87">
        <f t="shared" si="23"/>
        <v>0</v>
      </c>
      <c r="AU23" s="87">
        <f t="shared" si="24"/>
        <v>0</v>
      </c>
      <c r="AV23" s="87">
        <f t="shared" si="25"/>
        <v>0</v>
      </c>
      <c r="AW23" s="87">
        <f t="shared" si="26"/>
        <v>0</v>
      </c>
      <c r="AX23" s="87">
        <f t="shared" si="27"/>
        <v>0</v>
      </c>
      <c r="AY23" s="87">
        <f t="shared" si="28"/>
        <v>0</v>
      </c>
      <c r="AZ23" s="87">
        <f t="shared" si="29"/>
        <v>0</v>
      </c>
      <c r="BA23" s="87">
        <f t="shared" si="30"/>
        <v>0</v>
      </c>
      <c r="BB23" s="87">
        <f t="shared" si="31"/>
        <v>0</v>
      </c>
      <c r="BC23" s="87">
        <f t="shared" si="32"/>
        <v>0</v>
      </c>
      <c r="BD23" s="87">
        <f t="shared" si="33"/>
        <v>0</v>
      </c>
      <c r="BE23" s="87">
        <f t="shared" si="34"/>
        <v>0</v>
      </c>
      <c r="BF23" s="87">
        <f t="shared" si="35"/>
        <v>0</v>
      </c>
      <c r="BG23" s="87">
        <f t="shared" si="36"/>
        <v>0</v>
      </c>
      <c r="BH23" s="87">
        <f t="shared" si="37"/>
        <v>0</v>
      </c>
    </row>
    <row r="24" spans="2:60" s="64" customFormat="1" ht="18.75" x14ac:dyDescent="0.3">
      <c r="B24" s="85">
        <v>389</v>
      </c>
      <c r="C24" s="87">
        <f t="shared" si="40"/>
        <v>2</v>
      </c>
      <c r="D24" s="87">
        <f t="shared" si="40"/>
        <v>27</v>
      </c>
      <c r="E24" s="87">
        <f t="shared" si="40"/>
        <v>25</v>
      </c>
      <c r="F24" s="87">
        <f t="shared" si="40"/>
        <v>20</v>
      </c>
      <c r="G24" s="87">
        <f t="shared" si="40"/>
        <v>29</v>
      </c>
      <c r="H24" s="87">
        <f t="shared" si="40"/>
        <v>19</v>
      </c>
      <c r="I24" s="87">
        <f t="shared" si="40"/>
        <v>15</v>
      </c>
      <c r="J24" s="87">
        <f t="shared" si="40"/>
        <v>16</v>
      </c>
      <c r="K24" s="87">
        <f t="shared" si="40"/>
        <v>18</v>
      </c>
      <c r="L24" s="87">
        <f t="shared" si="40"/>
        <v>10</v>
      </c>
      <c r="M24" s="87">
        <f t="shared" si="40"/>
        <v>0</v>
      </c>
      <c r="N24" s="87">
        <f t="shared" si="40"/>
        <v>0</v>
      </c>
      <c r="O24" s="87">
        <f t="shared" si="40"/>
        <v>0</v>
      </c>
      <c r="P24" s="87">
        <f t="shared" si="40"/>
        <v>0</v>
      </c>
      <c r="Q24" s="87">
        <f t="shared" si="40"/>
        <v>0</v>
      </c>
      <c r="R24" s="87">
        <f t="shared" si="40"/>
        <v>0</v>
      </c>
      <c r="S24" s="87">
        <f t="shared" si="39"/>
        <v>0</v>
      </c>
      <c r="T24" s="87">
        <f t="shared" si="39"/>
        <v>0</v>
      </c>
      <c r="U24" s="65"/>
      <c r="V24" s="88">
        <v>430</v>
      </c>
      <c r="W24" s="87">
        <f t="shared" si="2"/>
        <v>2</v>
      </c>
      <c r="X24" s="87">
        <f t="shared" si="3"/>
        <v>0</v>
      </c>
      <c r="Y24" s="87">
        <f t="shared" si="4"/>
        <v>50</v>
      </c>
      <c r="Z24" s="87">
        <f t="shared" si="5"/>
        <v>0</v>
      </c>
      <c r="AA24" s="87">
        <f t="shared" si="6"/>
        <v>0</v>
      </c>
      <c r="AB24" s="87">
        <f t="shared" si="7"/>
        <v>0</v>
      </c>
      <c r="AC24" s="87">
        <f t="shared" si="8"/>
        <v>0</v>
      </c>
      <c r="AD24" s="87">
        <f t="shared" si="9"/>
        <v>0</v>
      </c>
      <c r="AE24" s="87">
        <f t="shared" si="10"/>
        <v>0</v>
      </c>
      <c r="AF24" s="87">
        <f t="shared" si="11"/>
        <v>0</v>
      </c>
      <c r="AG24" s="87">
        <f t="shared" si="12"/>
        <v>0</v>
      </c>
      <c r="AH24" s="87">
        <f t="shared" si="13"/>
        <v>0</v>
      </c>
      <c r="AI24" s="87">
        <f t="shared" si="14"/>
        <v>0</v>
      </c>
      <c r="AJ24" s="87">
        <f t="shared" si="15"/>
        <v>0</v>
      </c>
      <c r="AK24" s="87">
        <f t="shared" si="16"/>
        <v>0</v>
      </c>
      <c r="AL24" s="87">
        <f t="shared" si="17"/>
        <v>0</v>
      </c>
      <c r="AM24" s="87">
        <f t="shared" si="18"/>
        <v>0</v>
      </c>
      <c r="AN24" s="87">
        <f t="shared" si="19"/>
        <v>0</v>
      </c>
      <c r="AO24" s="65"/>
      <c r="AP24" s="85">
        <v>471</v>
      </c>
      <c r="AQ24" s="87">
        <f t="shared" si="20"/>
        <v>2</v>
      </c>
      <c r="AR24" s="87">
        <f t="shared" si="21"/>
        <v>0</v>
      </c>
      <c r="AS24" s="87">
        <f t="shared" si="22"/>
        <v>0</v>
      </c>
      <c r="AT24" s="87">
        <f t="shared" si="23"/>
        <v>20</v>
      </c>
      <c r="AU24" s="87">
        <f t="shared" si="24"/>
        <v>0</v>
      </c>
      <c r="AV24" s="87">
        <f t="shared" si="25"/>
        <v>0</v>
      </c>
      <c r="AW24" s="87">
        <f t="shared" si="26"/>
        <v>0</v>
      </c>
      <c r="AX24" s="87">
        <f t="shared" si="27"/>
        <v>0</v>
      </c>
      <c r="AY24" s="87">
        <f t="shared" si="28"/>
        <v>0</v>
      </c>
      <c r="AZ24" s="87">
        <f t="shared" si="29"/>
        <v>0</v>
      </c>
      <c r="BA24" s="87">
        <f t="shared" si="30"/>
        <v>0</v>
      </c>
      <c r="BB24" s="87">
        <f t="shared" si="31"/>
        <v>0</v>
      </c>
      <c r="BC24" s="87">
        <f t="shared" si="32"/>
        <v>0</v>
      </c>
      <c r="BD24" s="87">
        <f t="shared" si="33"/>
        <v>0</v>
      </c>
      <c r="BE24" s="87">
        <f t="shared" si="34"/>
        <v>0</v>
      </c>
      <c r="BF24" s="87">
        <f t="shared" si="35"/>
        <v>0</v>
      </c>
      <c r="BG24" s="87">
        <f t="shared" si="36"/>
        <v>0</v>
      </c>
      <c r="BH24" s="87">
        <f t="shared" si="37"/>
        <v>0</v>
      </c>
    </row>
    <row r="25" spans="2:60" s="64" customFormat="1" ht="18.75" x14ac:dyDescent="0.3">
      <c r="B25" s="85">
        <v>390</v>
      </c>
      <c r="C25" s="87">
        <f t="shared" si="40"/>
        <v>2</v>
      </c>
      <c r="D25" s="87">
        <f t="shared" si="40"/>
        <v>8</v>
      </c>
      <c r="E25" s="87">
        <f t="shared" si="40"/>
        <v>0</v>
      </c>
      <c r="F25" s="87">
        <f t="shared" si="40"/>
        <v>48</v>
      </c>
      <c r="G25" s="87">
        <f t="shared" si="40"/>
        <v>14</v>
      </c>
      <c r="H25" s="87">
        <f t="shared" si="40"/>
        <v>48</v>
      </c>
      <c r="I25" s="87">
        <f t="shared" si="40"/>
        <v>28</v>
      </c>
      <c r="J25" s="87">
        <f t="shared" si="40"/>
        <v>51</v>
      </c>
      <c r="K25" s="87">
        <f t="shared" si="40"/>
        <v>18</v>
      </c>
      <c r="L25" s="87">
        <f t="shared" si="40"/>
        <v>0</v>
      </c>
      <c r="M25" s="87">
        <f t="shared" si="40"/>
        <v>0</v>
      </c>
      <c r="N25" s="87">
        <f t="shared" si="40"/>
        <v>0</v>
      </c>
      <c r="O25" s="87">
        <f t="shared" si="40"/>
        <v>0</v>
      </c>
      <c r="P25" s="87">
        <f t="shared" si="40"/>
        <v>0</v>
      </c>
      <c r="Q25" s="87">
        <f t="shared" si="40"/>
        <v>0</v>
      </c>
      <c r="R25" s="87">
        <f t="shared" si="40"/>
        <v>0</v>
      </c>
      <c r="S25" s="87">
        <f t="shared" si="39"/>
        <v>0</v>
      </c>
      <c r="T25" s="87">
        <f t="shared" si="39"/>
        <v>0</v>
      </c>
      <c r="U25" s="65"/>
      <c r="V25" s="85">
        <v>431</v>
      </c>
      <c r="W25" s="87">
        <f t="shared" si="2"/>
        <v>2</v>
      </c>
      <c r="X25" s="87">
        <f t="shared" si="3"/>
        <v>0</v>
      </c>
      <c r="Y25" s="87">
        <f t="shared" si="4"/>
        <v>0</v>
      </c>
      <c r="Z25" s="87">
        <f t="shared" si="5"/>
        <v>0</v>
      </c>
      <c r="AA25" s="87">
        <f t="shared" si="6"/>
        <v>0</v>
      </c>
      <c r="AB25" s="87">
        <f t="shared" si="7"/>
        <v>0</v>
      </c>
      <c r="AC25" s="87">
        <f t="shared" si="8"/>
        <v>0</v>
      </c>
      <c r="AD25" s="87">
        <f t="shared" si="9"/>
        <v>0</v>
      </c>
      <c r="AE25" s="87">
        <f t="shared" si="10"/>
        <v>0</v>
      </c>
      <c r="AF25" s="87">
        <f t="shared" si="11"/>
        <v>0</v>
      </c>
      <c r="AG25" s="87">
        <f t="shared" si="12"/>
        <v>0</v>
      </c>
      <c r="AH25" s="87">
        <f t="shared" si="13"/>
        <v>0</v>
      </c>
      <c r="AI25" s="87">
        <f t="shared" si="14"/>
        <v>0</v>
      </c>
      <c r="AJ25" s="87">
        <f t="shared" si="15"/>
        <v>0</v>
      </c>
      <c r="AK25" s="87">
        <f t="shared" si="16"/>
        <v>0</v>
      </c>
      <c r="AL25" s="87">
        <f t="shared" si="17"/>
        <v>0</v>
      </c>
      <c r="AM25" s="87">
        <f t="shared" si="18"/>
        <v>0</v>
      </c>
      <c r="AN25" s="87">
        <f t="shared" si="19"/>
        <v>0</v>
      </c>
      <c r="AO25" s="65"/>
      <c r="AP25" s="88">
        <v>472</v>
      </c>
      <c r="AQ25" s="87">
        <f t="shared" si="20"/>
        <v>2</v>
      </c>
      <c r="AR25" s="87">
        <f t="shared" si="21"/>
        <v>0</v>
      </c>
      <c r="AS25" s="87">
        <f t="shared" si="22"/>
        <v>0</v>
      </c>
      <c r="AT25" s="87">
        <f t="shared" si="23"/>
        <v>0</v>
      </c>
      <c r="AU25" s="87">
        <f t="shared" si="24"/>
        <v>0</v>
      </c>
      <c r="AV25" s="87">
        <f t="shared" si="25"/>
        <v>0</v>
      </c>
      <c r="AW25" s="87">
        <f t="shared" si="26"/>
        <v>0</v>
      </c>
      <c r="AX25" s="87">
        <f t="shared" si="27"/>
        <v>0</v>
      </c>
      <c r="AY25" s="87">
        <f t="shared" si="28"/>
        <v>0</v>
      </c>
      <c r="AZ25" s="87">
        <f t="shared" si="29"/>
        <v>0</v>
      </c>
      <c r="BA25" s="87">
        <f t="shared" si="30"/>
        <v>0</v>
      </c>
      <c r="BB25" s="87">
        <f t="shared" si="31"/>
        <v>0</v>
      </c>
      <c r="BC25" s="87">
        <f t="shared" si="32"/>
        <v>0</v>
      </c>
      <c r="BD25" s="87">
        <f t="shared" si="33"/>
        <v>0</v>
      </c>
      <c r="BE25" s="87">
        <f t="shared" si="34"/>
        <v>0</v>
      </c>
      <c r="BF25" s="87">
        <f t="shared" si="35"/>
        <v>0</v>
      </c>
      <c r="BG25" s="87">
        <f t="shared" si="36"/>
        <v>0</v>
      </c>
      <c r="BH25" s="87">
        <f t="shared" si="37"/>
        <v>0</v>
      </c>
    </row>
    <row r="26" spans="2:60" s="64" customFormat="1" ht="18.75" x14ac:dyDescent="0.3">
      <c r="B26" s="85">
        <v>391</v>
      </c>
      <c r="C26" s="87">
        <f t="shared" si="40"/>
        <v>2</v>
      </c>
      <c r="D26" s="87">
        <f t="shared" si="40"/>
        <v>0</v>
      </c>
      <c r="E26" s="87">
        <f t="shared" si="40"/>
        <v>0</v>
      </c>
      <c r="F26" s="87">
        <f t="shared" si="40"/>
        <v>0</v>
      </c>
      <c r="G26" s="87">
        <f t="shared" si="40"/>
        <v>0</v>
      </c>
      <c r="H26" s="87">
        <f t="shared" si="40"/>
        <v>0</v>
      </c>
      <c r="I26" s="87">
        <f t="shared" si="40"/>
        <v>0</v>
      </c>
      <c r="J26" s="87">
        <f t="shared" si="40"/>
        <v>0</v>
      </c>
      <c r="K26" s="87">
        <f t="shared" si="40"/>
        <v>0</v>
      </c>
      <c r="L26" s="87">
        <f t="shared" si="40"/>
        <v>0</v>
      </c>
      <c r="M26" s="87">
        <f t="shared" si="40"/>
        <v>0</v>
      </c>
      <c r="N26" s="87">
        <f t="shared" si="40"/>
        <v>0</v>
      </c>
      <c r="O26" s="87">
        <f t="shared" si="40"/>
        <v>0</v>
      </c>
      <c r="P26" s="87">
        <f t="shared" si="40"/>
        <v>0</v>
      </c>
      <c r="Q26" s="87">
        <f t="shared" si="40"/>
        <v>0</v>
      </c>
      <c r="R26" s="87">
        <f t="shared" si="40"/>
        <v>0</v>
      </c>
      <c r="S26" s="87">
        <f t="shared" si="39"/>
        <v>0</v>
      </c>
      <c r="T26" s="87">
        <f t="shared" si="39"/>
        <v>0</v>
      </c>
      <c r="U26" s="65"/>
      <c r="V26" s="88">
        <v>432</v>
      </c>
      <c r="W26" s="87">
        <f t="shared" si="2"/>
        <v>2</v>
      </c>
      <c r="X26" s="87">
        <f t="shared" si="3"/>
        <v>0</v>
      </c>
      <c r="Y26" s="87">
        <f t="shared" si="4"/>
        <v>0</v>
      </c>
      <c r="Z26" s="87">
        <f t="shared" si="5"/>
        <v>0</v>
      </c>
      <c r="AA26" s="87">
        <f t="shared" si="6"/>
        <v>0</v>
      </c>
      <c r="AB26" s="87">
        <f t="shared" si="7"/>
        <v>0</v>
      </c>
      <c r="AC26" s="87">
        <f t="shared" si="8"/>
        <v>0</v>
      </c>
      <c r="AD26" s="87">
        <f t="shared" si="9"/>
        <v>0</v>
      </c>
      <c r="AE26" s="87">
        <f t="shared" si="10"/>
        <v>0</v>
      </c>
      <c r="AF26" s="87">
        <f t="shared" si="11"/>
        <v>0</v>
      </c>
      <c r="AG26" s="87">
        <f t="shared" si="12"/>
        <v>0</v>
      </c>
      <c r="AH26" s="87">
        <f t="shared" si="13"/>
        <v>0</v>
      </c>
      <c r="AI26" s="87">
        <f t="shared" si="14"/>
        <v>0</v>
      </c>
      <c r="AJ26" s="87">
        <f t="shared" si="15"/>
        <v>0</v>
      </c>
      <c r="AK26" s="87">
        <f t="shared" si="16"/>
        <v>0</v>
      </c>
      <c r="AL26" s="87">
        <f t="shared" si="17"/>
        <v>0</v>
      </c>
      <c r="AM26" s="87">
        <f t="shared" si="18"/>
        <v>0</v>
      </c>
      <c r="AN26" s="87">
        <f t="shared" si="19"/>
        <v>0</v>
      </c>
      <c r="AO26" s="65"/>
      <c r="AP26" s="85">
        <v>473</v>
      </c>
      <c r="AQ26" s="87">
        <f t="shared" si="20"/>
        <v>2</v>
      </c>
      <c r="AR26" s="87">
        <f t="shared" si="21"/>
        <v>0</v>
      </c>
      <c r="AS26" s="87">
        <f t="shared" si="22"/>
        <v>0</v>
      </c>
      <c r="AT26" s="87">
        <f t="shared" si="23"/>
        <v>0</v>
      </c>
      <c r="AU26" s="87">
        <f t="shared" si="24"/>
        <v>0</v>
      </c>
      <c r="AV26" s="87">
        <f t="shared" si="25"/>
        <v>0</v>
      </c>
      <c r="AW26" s="87">
        <f t="shared" si="26"/>
        <v>0</v>
      </c>
      <c r="AX26" s="87">
        <f t="shared" si="27"/>
        <v>0</v>
      </c>
      <c r="AY26" s="87">
        <f t="shared" si="28"/>
        <v>0</v>
      </c>
      <c r="AZ26" s="87">
        <f t="shared" si="29"/>
        <v>0</v>
      </c>
      <c r="BA26" s="87">
        <f t="shared" si="30"/>
        <v>0</v>
      </c>
      <c r="BB26" s="87">
        <f t="shared" si="31"/>
        <v>0</v>
      </c>
      <c r="BC26" s="87">
        <f t="shared" si="32"/>
        <v>0</v>
      </c>
      <c r="BD26" s="87">
        <f t="shared" si="33"/>
        <v>0</v>
      </c>
      <c r="BE26" s="87">
        <f t="shared" si="34"/>
        <v>0</v>
      </c>
      <c r="BF26" s="87">
        <f t="shared" si="35"/>
        <v>0</v>
      </c>
      <c r="BG26" s="87">
        <f t="shared" si="36"/>
        <v>0</v>
      </c>
      <c r="BH26" s="87">
        <f t="shared" si="37"/>
        <v>0</v>
      </c>
    </row>
    <row r="27" spans="2:60" s="64" customFormat="1" ht="18.75" x14ac:dyDescent="0.3">
      <c r="B27" s="85">
        <v>392</v>
      </c>
      <c r="C27" s="87">
        <f t="shared" si="40"/>
        <v>2</v>
      </c>
      <c r="D27" s="87">
        <f t="shared" si="40"/>
        <v>24</v>
      </c>
      <c r="E27" s="87">
        <f t="shared" si="40"/>
        <v>26</v>
      </c>
      <c r="F27" s="87">
        <f t="shared" si="40"/>
        <v>19</v>
      </c>
      <c r="G27" s="87">
        <f t="shared" si="40"/>
        <v>35</v>
      </c>
      <c r="H27" s="87">
        <f t="shared" si="40"/>
        <v>34</v>
      </c>
      <c r="I27" s="87">
        <f t="shared" si="40"/>
        <v>35</v>
      </c>
      <c r="J27" s="87">
        <f t="shared" si="40"/>
        <v>41</v>
      </c>
      <c r="K27" s="87">
        <f t="shared" si="40"/>
        <v>21</v>
      </c>
      <c r="L27" s="87">
        <f t="shared" si="40"/>
        <v>13</v>
      </c>
      <c r="M27" s="87">
        <f t="shared" si="40"/>
        <v>0</v>
      </c>
      <c r="N27" s="87">
        <f t="shared" si="40"/>
        <v>0</v>
      </c>
      <c r="O27" s="87">
        <f t="shared" si="40"/>
        <v>0</v>
      </c>
      <c r="P27" s="87">
        <f t="shared" si="40"/>
        <v>0</v>
      </c>
      <c r="Q27" s="87">
        <f t="shared" si="40"/>
        <v>0</v>
      </c>
      <c r="R27" s="87">
        <f t="shared" si="40"/>
        <v>0</v>
      </c>
      <c r="S27" s="87">
        <f t="shared" si="39"/>
        <v>0</v>
      </c>
      <c r="T27" s="87">
        <f t="shared" si="39"/>
        <v>0</v>
      </c>
      <c r="U27" s="65"/>
      <c r="V27" s="85">
        <v>433</v>
      </c>
      <c r="W27" s="87">
        <f t="shared" si="2"/>
        <v>2</v>
      </c>
      <c r="X27" s="87">
        <f t="shared" si="3"/>
        <v>21</v>
      </c>
      <c r="Y27" s="87">
        <f t="shared" si="4"/>
        <v>47</v>
      </c>
      <c r="Z27" s="87">
        <f t="shared" si="5"/>
        <v>15</v>
      </c>
      <c r="AA27" s="87">
        <f t="shared" si="6"/>
        <v>21</v>
      </c>
      <c r="AB27" s="87">
        <f t="shared" si="7"/>
        <v>20</v>
      </c>
      <c r="AC27" s="87">
        <f t="shared" si="8"/>
        <v>13</v>
      </c>
      <c r="AD27" s="87">
        <f t="shared" si="9"/>
        <v>11</v>
      </c>
      <c r="AE27" s="87">
        <f t="shared" si="10"/>
        <v>21</v>
      </c>
      <c r="AF27" s="87">
        <f t="shared" si="11"/>
        <v>26</v>
      </c>
      <c r="AG27" s="87">
        <f t="shared" si="12"/>
        <v>0</v>
      </c>
      <c r="AH27" s="87">
        <f t="shared" si="13"/>
        <v>0</v>
      </c>
      <c r="AI27" s="87">
        <f t="shared" si="14"/>
        <v>0</v>
      </c>
      <c r="AJ27" s="87">
        <f t="shared" si="15"/>
        <v>0</v>
      </c>
      <c r="AK27" s="87">
        <f t="shared" si="16"/>
        <v>0</v>
      </c>
      <c r="AL27" s="87">
        <f t="shared" si="17"/>
        <v>0</v>
      </c>
      <c r="AM27" s="87">
        <f t="shared" si="18"/>
        <v>0</v>
      </c>
      <c r="AN27" s="87">
        <f t="shared" si="19"/>
        <v>0</v>
      </c>
      <c r="AO27" s="65"/>
      <c r="AP27" s="88">
        <v>474</v>
      </c>
      <c r="AQ27" s="87">
        <f t="shared" si="20"/>
        <v>2</v>
      </c>
      <c r="AR27" s="87">
        <f t="shared" si="21"/>
        <v>0</v>
      </c>
      <c r="AS27" s="87">
        <f t="shared" si="22"/>
        <v>0</v>
      </c>
      <c r="AT27" s="87">
        <f t="shared" si="23"/>
        <v>0</v>
      </c>
      <c r="AU27" s="87">
        <f t="shared" si="24"/>
        <v>0</v>
      </c>
      <c r="AV27" s="87">
        <f t="shared" si="25"/>
        <v>0</v>
      </c>
      <c r="AW27" s="87">
        <f t="shared" si="26"/>
        <v>0</v>
      </c>
      <c r="AX27" s="87">
        <f t="shared" si="27"/>
        <v>0</v>
      </c>
      <c r="AY27" s="87">
        <f t="shared" si="28"/>
        <v>0</v>
      </c>
      <c r="AZ27" s="87">
        <f t="shared" si="29"/>
        <v>0</v>
      </c>
      <c r="BA27" s="87">
        <f t="shared" si="30"/>
        <v>0</v>
      </c>
      <c r="BB27" s="87">
        <f t="shared" si="31"/>
        <v>0</v>
      </c>
      <c r="BC27" s="87">
        <f t="shared" si="32"/>
        <v>0</v>
      </c>
      <c r="BD27" s="87">
        <f t="shared" si="33"/>
        <v>0</v>
      </c>
      <c r="BE27" s="87">
        <f t="shared" si="34"/>
        <v>0</v>
      </c>
      <c r="BF27" s="87">
        <f t="shared" si="35"/>
        <v>0</v>
      </c>
      <c r="BG27" s="87">
        <f t="shared" si="36"/>
        <v>0</v>
      </c>
      <c r="BH27" s="87">
        <f t="shared" si="37"/>
        <v>0</v>
      </c>
    </row>
    <row r="28" spans="2:60" s="64" customFormat="1" ht="18.75" x14ac:dyDescent="0.3">
      <c r="B28" s="85">
        <v>393</v>
      </c>
      <c r="C28" s="87">
        <f t="shared" si="40"/>
        <v>2</v>
      </c>
      <c r="D28" s="87">
        <f t="shared" si="40"/>
        <v>0</v>
      </c>
      <c r="E28" s="87">
        <f t="shared" si="40"/>
        <v>0</v>
      </c>
      <c r="F28" s="87">
        <f t="shared" si="40"/>
        <v>0</v>
      </c>
      <c r="G28" s="87">
        <f t="shared" si="40"/>
        <v>0</v>
      </c>
      <c r="H28" s="87">
        <f t="shared" si="40"/>
        <v>0</v>
      </c>
      <c r="I28" s="87">
        <f t="shared" si="40"/>
        <v>0</v>
      </c>
      <c r="J28" s="87">
        <f t="shared" si="40"/>
        <v>0</v>
      </c>
      <c r="K28" s="87">
        <f t="shared" si="40"/>
        <v>0</v>
      </c>
      <c r="L28" s="87">
        <f t="shared" si="40"/>
        <v>0</v>
      </c>
      <c r="M28" s="87">
        <f t="shared" si="40"/>
        <v>0</v>
      </c>
      <c r="N28" s="87">
        <f t="shared" si="40"/>
        <v>0</v>
      </c>
      <c r="O28" s="87">
        <f t="shared" si="40"/>
        <v>0</v>
      </c>
      <c r="P28" s="87">
        <f t="shared" si="40"/>
        <v>0</v>
      </c>
      <c r="Q28" s="87">
        <f t="shared" si="40"/>
        <v>0</v>
      </c>
      <c r="R28" s="87">
        <f t="shared" si="40"/>
        <v>0</v>
      </c>
      <c r="S28" s="87">
        <f t="shared" si="39"/>
        <v>0</v>
      </c>
      <c r="T28" s="87">
        <f t="shared" si="39"/>
        <v>0</v>
      </c>
      <c r="U28" s="65"/>
      <c r="V28" s="88">
        <v>434</v>
      </c>
      <c r="W28" s="87">
        <f t="shared" si="2"/>
        <v>2</v>
      </c>
      <c r="X28" s="87">
        <f t="shared" si="3"/>
        <v>48</v>
      </c>
      <c r="Y28" s="87">
        <f t="shared" si="4"/>
        <v>43</v>
      </c>
      <c r="Z28" s="87">
        <f t="shared" si="5"/>
        <v>44</v>
      </c>
      <c r="AA28" s="87">
        <f t="shared" si="6"/>
        <v>32</v>
      </c>
      <c r="AB28" s="87">
        <f t="shared" si="7"/>
        <v>31</v>
      </c>
      <c r="AC28" s="87">
        <f t="shared" si="8"/>
        <v>0</v>
      </c>
      <c r="AD28" s="87">
        <f t="shared" si="9"/>
        <v>24</v>
      </c>
      <c r="AE28" s="87">
        <f t="shared" si="10"/>
        <v>17</v>
      </c>
      <c r="AF28" s="87">
        <f t="shared" si="11"/>
        <v>24</v>
      </c>
      <c r="AG28" s="87">
        <f t="shared" si="12"/>
        <v>0</v>
      </c>
      <c r="AH28" s="87">
        <f t="shared" si="13"/>
        <v>0</v>
      </c>
      <c r="AI28" s="87">
        <f t="shared" si="14"/>
        <v>0</v>
      </c>
      <c r="AJ28" s="87">
        <f t="shared" si="15"/>
        <v>0</v>
      </c>
      <c r="AK28" s="87">
        <f t="shared" si="16"/>
        <v>0</v>
      </c>
      <c r="AL28" s="87">
        <f t="shared" si="17"/>
        <v>0</v>
      </c>
      <c r="AM28" s="87">
        <f t="shared" si="18"/>
        <v>0</v>
      </c>
      <c r="AN28" s="87">
        <f t="shared" si="19"/>
        <v>0</v>
      </c>
      <c r="AO28" s="65"/>
      <c r="AP28" s="85">
        <v>475</v>
      </c>
      <c r="AQ28" s="87">
        <f t="shared" si="20"/>
        <v>2</v>
      </c>
      <c r="AR28" s="87">
        <f t="shared" si="21"/>
        <v>0</v>
      </c>
      <c r="AS28" s="87">
        <f t="shared" si="22"/>
        <v>0</v>
      </c>
      <c r="AT28" s="87">
        <f t="shared" si="23"/>
        <v>0</v>
      </c>
      <c r="AU28" s="87">
        <f t="shared" si="24"/>
        <v>0</v>
      </c>
      <c r="AV28" s="87">
        <f t="shared" si="25"/>
        <v>0</v>
      </c>
      <c r="AW28" s="87">
        <f t="shared" si="26"/>
        <v>0</v>
      </c>
      <c r="AX28" s="87">
        <f t="shared" si="27"/>
        <v>0</v>
      </c>
      <c r="AY28" s="87">
        <f t="shared" si="28"/>
        <v>0</v>
      </c>
      <c r="AZ28" s="87">
        <f t="shared" si="29"/>
        <v>0</v>
      </c>
      <c r="BA28" s="87">
        <f t="shared" si="30"/>
        <v>0</v>
      </c>
      <c r="BB28" s="87">
        <f t="shared" si="31"/>
        <v>0</v>
      </c>
      <c r="BC28" s="87">
        <f t="shared" si="32"/>
        <v>0</v>
      </c>
      <c r="BD28" s="87">
        <f t="shared" si="33"/>
        <v>0</v>
      </c>
      <c r="BE28" s="87">
        <f t="shared" si="34"/>
        <v>0</v>
      </c>
      <c r="BF28" s="87">
        <f t="shared" si="35"/>
        <v>0</v>
      </c>
      <c r="BG28" s="87">
        <f t="shared" si="36"/>
        <v>0</v>
      </c>
      <c r="BH28" s="87">
        <f t="shared" si="37"/>
        <v>0</v>
      </c>
    </row>
    <row r="29" spans="2:60" s="64" customFormat="1" ht="18.75" x14ac:dyDescent="0.3">
      <c r="B29" s="85">
        <v>394</v>
      </c>
      <c r="C29" s="87">
        <f t="shared" si="40"/>
        <v>2</v>
      </c>
      <c r="D29" s="87">
        <f t="shared" si="40"/>
        <v>4</v>
      </c>
      <c r="E29" s="87">
        <f t="shared" si="40"/>
        <v>3</v>
      </c>
      <c r="F29" s="87">
        <f t="shared" si="40"/>
        <v>15</v>
      </c>
      <c r="G29" s="87">
        <f t="shared" si="40"/>
        <v>18</v>
      </c>
      <c r="H29" s="87">
        <f t="shared" si="40"/>
        <v>18</v>
      </c>
      <c r="I29" s="87">
        <f t="shared" si="40"/>
        <v>21</v>
      </c>
      <c r="J29" s="87">
        <f t="shared" si="40"/>
        <v>25</v>
      </c>
      <c r="K29" s="87">
        <f t="shared" si="40"/>
        <v>0</v>
      </c>
      <c r="L29" s="87">
        <f t="shared" si="40"/>
        <v>0</v>
      </c>
      <c r="M29" s="87">
        <f t="shared" si="40"/>
        <v>0</v>
      </c>
      <c r="N29" s="87">
        <f t="shared" si="40"/>
        <v>0</v>
      </c>
      <c r="O29" s="87">
        <f t="shared" si="40"/>
        <v>0</v>
      </c>
      <c r="P29" s="87">
        <f t="shared" si="40"/>
        <v>0</v>
      </c>
      <c r="Q29" s="87">
        <f t="shared" si="40"/>
        <v>0</v>
      </c>
      <c r="R29" s="87">
        <f t="shared" si="40"/>
        <v>0</v>
      </c>
      <c r="S29" s="87">
        <f t="shared" si="39"/>
        <v>0</v>
      </c>
      <c r="T29" s="87">
        <f t="shared" si="39"/>
        <v>0</v>
      </c>
      <c r="U29" s="65"/>
      <c r="V29" s="85">
        <v>435</v>
      </c>
      <c r="W29" s="87">
        <f t="shared" si="2"/>
        <v>2</v>
      </c>
      <c r="X29" s="87">
        <f t="shared" si="3"/>
        <v>37</v>
      </c>
      <c r="Y29" s="87">
        <f t="shared" si="4"/>
        <v>8</v>
      </c>
      <c r="Z29" s="87">
        <f t="shared" si="5"/>
        <v>13</v>
      </c>
      <c r="AA29" s="87">
        <f t="shared" si="6"/>
        <v>31</v>
      </c>
      <c r="AB29" s="87">
        <f t="shared" si="7"/>
        <v>20</v>
      </c>
      <c r="AC29" s="87">
        <f t="shared" si="8"/>
        <v>20</v>
      </c>
      <c r="AD29" s="87">
        <f t="shared" si="9"/>
        <v>16</v>
      </c>
      <c r="AE29" s="87">
        <f t="shared" si="10"/>
        <v>33</v>
      </c>
      <c r="AF29" s="87">
        <f t="shared" si="11"/>
        <v>32</v>
      </c>
      <c r="AG29" s="87">
        <f t="shared" si="12"/>
        <v>0</v>
      </c>
      <c r="AH29" s="87">
        <f t="shared" si="13"/>
        <v>0</v>
      </c>
      <c r="AI29" s="87">
        <f t="shared" si="14"/>
        <v>0</v>
      </c>
      <c r="AJ29" s="87">
        <f t="shared" si="15"/>
        <v>0</v>
      </c>
      <c r="AK29" s="87">
        <f t="shared" si="16"/>
        <v>0</v>
      </c>
      <c r="AL29" s="87">
        <f t="shared" si="17"/>
        <v>0</v>
      </c>
      <c r="AM29" s="87">
        <f t="shared" si="18"/>
        <v>0</v>
      </c>
      <c r="AN29" s="87">
        <f t="shared" si="19"/>
        <v>0</v>
      </c>
      <c r="AO29" s="65"/>
      <c r="AP29" s="88">
        <v>476</v>
      </c>
      <c r="AQ29" s="87">
        <f t="shared" si="20"/>
        <v>2</v>
      </c>
      <c r="AR29" s="87">
        <f t="shared" si="21"/>
        <v>0</v>
      </c>
      <c r="AS29" s="87">
        <f t="shared" si="22"/>
        <v>0</v>
      </c>
      <c r="AT29" s="87">
        <f t="shared" si="23"/>
        <v>0</v>
      </c>
      <c r="AU29" s="87">
        <f t="shared" si="24"/>
        <v>0</v>
      </c>
      <c r="AV29" s="87">
        <f t="shared" si="25"/>
        <v>0</v>
      </c>
      <c r="AW29" s="87">
        <f t="shared" si="26"/>
        <v>0</v>
      </c>
      <c r="AX29" s="87">
        <f t="shared" si="27"/>
        <v>0</v>
      </c>
      <c r="AY29" s="87">
        <f t="shared" si="28"/>
        <v>0</v>
      </c>
      <c r="AZ29" s="87">
        <f t="shared" si="29"/>
        <v>0</v>
      </c>
      <c r="BA29" s="87">
        <f t="shared" si="30"/>
        <v>0</v>
      </c>
      <c r="BB29" s="87">
        <f t="shared" si="31"/>
        <v>0</v>
      </c>
      <c r="BC29" s="87">
        <f t="shared" si="32"/>
        <v>0</v>
      </c>
      <c r="BD29" s="87">
        <f t="shared" si="33"/>
        <v>0</v>
      </c>
      <c r="BE29" s="87">
        <f t="shared" si="34"/>
        <v>0</v>
      </c>
      <c r="BF29" s="87">
        <f t="shared" si="35"/>
        <v>0</v>
      </c>
      <c r="BG29" s="87">
        <f t="shared" si="36"/>
        <v>0</v>
      </c>
      <c r="BH29" s="87">
        <f t="shared" si="37"/>
        <v>0</v>
      </c>
    </row>
    <row r="30" spans="2:60" s="64" customFormat="1" ht="18.75" x14ac:dyDescent="0.3">
      <c r="B30" s="85">
        <v>395</v>
      </c>
      <c r="C30" s="87">
        <f t="shared" si="40"/>
        <v>2</v>
      </c>
      <c r="D30" s="87">
        <f t="shared" si="40"/>
        <v>0</v>
      </c>
      <c r="E30" s="87">
        <f t="shared" si="40"/>
        <v>0</v>
      </c>
      <c r="F30" s="87">
        <f t="shared" si="40"/>
        <v>0</v>
      </c>
      <c r="G30" s="87">
        <f t="shared" si="40"/>
        <v>0</v>
      </c>
      <c r="H30" s="87">
        <f t="shared" si="40"/>
        <v>0</v>
      </c>
      <c r="I30" s="87">
        <f t="shared" si="40"/>
        <v>0</v>
      </c>
      <c r="J30" s="87">
        <f t="shared" si="40"/>
        <v>0</v>
      </c>
      <c r="K30" s="87">
        <f t="shared" si="40"/>
        <v>0</v>
      </c>
      <c r="L30" s="87">
        <f t="shared" si="40"/>
        <v>0</v>
      </c>
      <c r="M30" s="87">
        <f t="shared" si="40"/>
        <v>0</v>
      </c>
      <c r="N30" s="87">
        <f t="shared" si="40"/>
        <v>0</v>
      </c>
      <c r="O30" s="87">
        <f t="shared" si="40"/>
        <v>0</v>
      </c>
      <c r="P30" s="87">
        <f t="shared" si="40"/>
        <v>0</v>
      </c>
      <c r="Q30" s="87">
        <f t="shared" si="40"/>
        <v>0</v>
      </c>
      <c r="R30" s="87">
        <f t="shared" si="40"/>
        <v>0</v>
      </c>
      <c r="S30" s="87">
        <f t="shared" si="39"/>
        <v>0</v>
      </c>
      <c r="T30" s="87">
        <f t="shared" si="39"/>
        <v>0</v>
      </c>
      <c r="U30" s="65"/>
      <c r="V30" s="88">
        <v>436</v>
      </c>
      <c r="W30" s="87">
        <f t="shared" si="2"/>
        <v>2</v>
      </c>
      <c r="X30" s="87">
        <f t="shared" si="3"/>
        <v>50</v>
      </c>
      <c r="Y30" s="87">
        <f t="shared" si="4"/>
        <v>0</v>
      </c>
      <c r="Z30" s="87">
        <f t="shared" si="5"/>
        <v>60</v>
      </c>
      <c r="AA30" s="87">
        <f t="shared" si="6"/>
        <v>50</v>
      </c>
      <c r="AB30" s="87">
        <f t="shared" si="7"/>
        <v>45</v>
      </c>
      <c r="AC30" s="87">
        <f t="shared" si="8"/>
        <v>0</v>
      </c>
      <c r="AD30" s="87">
        <f t="shared" si="9"/>
        <v>50</v>
      </c>
      <c r="AE30" s="87">
        <f t="shared" si="10"/>
        <v>50</v>
      </c>
      <c r="AF30" s="87">
        <f t="shared" si="11"/>
        <v>50</v>
      </c>
      <c r="AG30" s="87">
        <f t="shared" si="12"/>
        <v>0</v>
      </c>
      <c r="AH30" s="87">
        <f t="shared" si="13"/>
        <v>0</v>
      </c>
      <c r="AI30" s="87">
        <f t="shared" si="14"/>
        <v>0</v>
      </c>
      <c r="AJ30" s="87">
        <f t="shared" si="15"/>
        <v>0</v>
      </c>
      <c r="AK30" s="87">
        <f t="shared" si="16"/>
        <v>0</v>
      </c>
      <c r="AL30" s="87">
        <f t="shared" si="17"/>
        <v>0</v>
      </c>
      <c r="AM30" s="87">
        <f t="shared" si="18"/>
        <v>0</v>
      </c>
      <c r="AN30" s="87">
        <f t="shared" si="19"/>
        <v>0</v>
      </c>
      <c r="AO30" s="65"/>
      <c r="AP30" s="85">
        <v>477</v>
      </c>
      <c r="AQ30" s="87">
        <f t="shared" si="20"/>
        <v>2</v>
      </c>
      <c r="AR30" s="87">
        <f t="shared" si="21"/>
        <v>0</v>
      </c>
      <c r="AS30" s="87">
        <f t="shared" si="22"/>
        <v>0</v>
      </c>
      <c r="AT30" s="87">
        <f t="shared" si="23"/>
        <v>0</v>
      </c>
      <c r="AU30" s="87">
        <f t="shared" si="24"/>
        <v>0</v>
      </c>
      <c r="AV30" s="87">
        <f t="shared" si="25"/>
        <v>0</v>
      </c>
      <c r="AW30" s="87">
        <f t="shared" si="26"/>
        <v>0</v>
      </c>
      <c r="AX30" s="87">
        <f t="shared" si="27"/>
        <v>0</v>
      </c>
      <c r="AY30" s="87">
        <f t="shared" si="28"/>
        <v>0</v>
      </c>
      <c r="AZ30" s="87">
        <f t="shared" si="29"/>
        <v>0</v>
      </c>
      <c r="BA30" s="87">
        <f t="shared" si="30"/>
        <v>0</v>
      </c>
      <c r="BB30" s="87">
        <f t="shared" si="31"/>
        <v>0</v>
      </c>
      <c r="BC30" s="87">
        <f t="shared" si="32"/>
        <v>0</v>
      </c>
      <c r="BD30" s="87">
        <f t="shared" si="33"/>
        <v>0</v>
      </c>
      <c r="BE30" s="87">
        <f t="shared" si="34"/>
        <v>0</v>
      </c>
      <c r="BF30" s="87">
        <f t="shared" si="35"/>
        <v>0</v>
      </c>
      <c r="BG30" s="87">
        <f t="shared" si="36"/>
        <v>0</v>
      </c>
      <c r="BH30" s="87">
        <f t="shared" si="37"/>
        <v>0</v>
      </c>
    </row>
    <row r="31" spans="2:60" s="64" customFormat="1" ht="18.75" x14ac:dyDescent="0.3">
      <c r="B31" s="85">
        <v>396</v>
      </c>
      <c r="C31" s="87">
        <f t="shared" si="40"/>
        <v>2</v>
      </c>
      <c r="D31" s="87">
        <f t="shared" si="40"/>
        <v>0</v>
      </c>
      <c r="E31" s="87">
        <f t="shared" si="40"/>
        <v>0</v>
      </c>
      <c r="F31" s="87">
        <f t="shared" si="40"/>
        <v>0</v>
      </c>
      <c r="G31" s="87">
        <f t="shared" si="40"/>
        <v>0</v>
      </c>
      <c r="H31" s="87">
        <f t="shared" si="40"/>
        <v>0</v>
      </c>
      <c r="I31" s="87">
        <f t="shared" si="40"/>
        <v>0</v>
      </c>
      <c r="J31" s="87">
        <f t="shared" si="40"/>
        <v>0</v>
      </c>
      <c r="K31" s="87">
        <f t="shared" si="40"/>
        <v>0</v>
      </c>
      <c r="L31" s="87">
        <f t="shared" si="40"/>
        <v>0</v>
      </c>
      <c r="M31" s="87">
        <f t="shared" si="40"/>
        <v>0</v>
      </c>
      <c r="N31" s="87">
        <f t="shared" si="40"/>
        <v>0</v>
      </c>
      <c r="O31" s="87">
        <f t="shared" si="40"/>
        <v>0</v>
      </c>
      <c r="P31" s="87">
        <f t="shared" si="40"/>
        <v>0</v>
      </c>
      <c r="Q31" s="87">
        <f t="shared" si="40"/>
        <v>0</v>
      </c>
      <c r="R31" s="87">
        <f t="shared" si="40"/>
        <v>0</v>
      </c>
      <c r="S31" s="87">
        <f t="shared" si="39"/>
        <v>0</v>
      </c>
      <c r="T31" s="87">
        <f t="shared" si="39"/>
        <v>0</v>
      </c>
      <c r="U31" s="65"/>
      <c r="V31" s="85">
        <v>437</v>
      </c>
      <c r="W31" s="87">
        <f t="shared" si="2"/>
        <v>2</v>
      </c>
      <c r="X31" s="87">
        <f t="shared" si="3"/>
        <v>46</v>
      </c>
      <c r="Y31" s="87">
        <f t="shared" si="4"/>
        <v>34</v>
      </c>
      <c r="Z31" s="87">
        <f t="shared" si="5"/>
        <v>55</v>
      </c>
      <c r="AA31" s="87">
        <f t="shared" si="6"/>
        <v>49</v>
      </c>
      <c r="AB31" s="87">
        <f t="shared" si="7"/>
        <v>18</v>
      </c>
      <c r="AC31" s="87">
        <f t="shared" si="8"/>
        <v>28</v>
      </c>
      <c r="AD31" s="87">
        <f t="shared" si="9"/>
        <v>34</v>
      </c>
      <c r="AE31" s="87">
        <f t="shared" si="10"/>
        <v>32</v>
      </c>
      <c r="AF31" s="87">
        <f t="shared" si="11"/>
        <v>34</v>
      </c>
      <c r="AG31" s="87">
        <f t="shared" si="12"/>
        <v>0</v>
      </c>
      <c r="AH31" s="87">
        <f t="shared" si="13"/>
        <v>0</v>
      </c>
      <c r="AI31" s="87">
        <f t="shared" si="14"/>
        <v>0</v>
      </c>
      <c r="AJ31" s="87">
        <f t="shared" si="15"/>
        <v>0</v>
      </c>
      <c r="AK31" s="87">
        <f t="shared" si="16"/>
        <v>0</v>
      </c>
      <c r="AL31" s="87">
        <f t="shared" si="17"/>
        <v>0</v>
      </c>
      <c r="AM31" s="87">
        <f t="shared" si="18"/>
        <v>0</v>
      </c>
      <c r="AN31" s="87">
        <f t="shared" si="19"/>
        <v>0</v>
      </c>
      <c r="AO31" s="65"/>
      <c r="AP31" s="88">
        <v>478</v>
      </c>
      <c r="AQ31" s="87">
        <f t="shared" si="20"/>
        <v>2</v>
      </c>
      <c r="AR31" s="87">
        <f t="shared" si="21"/>
        <v>0</v>
      </c>
      <c r="AS31" s="87">
        <f t="shared" si="22"/>
        <v>0</v>
      </c>
      <c r="AT31" s="87">
        <f t="shared" si="23"/>
        <v>0</v>
      </c>
      <c r="AU31" s="87">
        <f t="shared" si="24"/>
        <v>0</v>
      </c>
      <c r="AV31" s="87">
        <f t="shared" si="25"/>
        <v>0</v>
      </c>
      <c r="AW31" s="87">
        <f t="shared" si="26"/>
        <v>0</v>
      </c>
      <c r="AX31" s="87">
        <f t="shared" si="27"/>
        <v>0</v>
      </c>
      <c r="AY31" s="87">
        <f t="shared" si="28"/>
        <v>0</v>
      </c>
      <c r="AZ31" s="87">
        <f t="shared" si="29"/>
        <v>0</v>
      </c>
      <c r="BA31" s="87">
        <f t="shared" si="30"/>
        <v>0</v>
      </c>
      <c r="BB31" s="87">
        <f t="shared" si="31"/>
        <v>0</v>
      </c>
      <c r="BC31" s="87">
        <f t="shared" si="32"/>
        <v>0</v>
      </c>
      <c r="BD31" s="87">
        <f t="shared" si="33"/>
        <v>0</v>
      </c>
      <c r="BE31" s="87">
        <f t="shared" si="34"/>
        <v>0</v>
      </c>
      <c r="BF31" s="87">
        <f t="shared" si="35"/>
        <v>0</v>
      </c>
      <c r="BG31" s="87">
        <f t="shared" si="36"/>
        <v>0</v>
      </c>
      <c r="BH31" s="87">
        <f t="shared" si="37"/>
        <v>0</v>
      </c>
    </row>
    <row r="32" spans="2:60" s="64" customFormat="1" ht="18.75" x14ac:dyDescent="0.3">
      <c r="B32" s="85">
        <v>397</v>
      </c>
      <c r="C32" s="87">
        <f t="shared" si="40"/>
        <v>2</v>
      </c>
      <c r="D32" s="87">
        <f t="shared" si="40"/>
        <v>0</v>
      </c>
      <c r="E32" s="87">
        <f t="shared" si="40"/>
        <v>0</v>
      </c>
      <c r="F32" s="87">
        <f t="shared" si="40"/>
        <v>0</v>
      </c>
      <c r="G32" s="87">
        <f t="shared" si="40"/>
        <v>0</v>
      </c>
      <c r="H32" s="87">
        <f t="shared" si="40"/>
        <v>0</v>
      </c>
      <c r="I32" s="87">
        <f t="shared" si="40"/>
        <v>0</v>
      </c>
      <c r="J32" s="87">
        <f t="shared" si="40"/>
        <v>0</v>
      </c>
      <c r="K32" s="87">
        <f t="shared" si="40"/>
        <v>0</v>
      </c>
      <c r="L32" s="87">
        <f t="shared" si="40"/>
        <v>0</v>
      </c>
      <c r="M32" s="87">
        <f t="shared" si="40"/>
        <v>0</v>
      </c>
      <c r="N32" s="87">
        <f t="shared" si="40"/>
        <v>0</v>
      </c>
      <c r="O32" s="87">
        <f t="shared" si="40"/>
        <v>0</v>
      </c>
      <c r="P32" s="87">
        <f t="shared" si="40"/>
        <v>0</v>
      </c>
      <c r="Q32" s="87">
        <f t="shared" si="40"/>
        <v>0</v>
      </c>
      <c r="R32" s="87">
        <f t="shared" si="40"/>
        <v>0</v>
      </c>
      <c r="S32" s="87">
        <f t="shared" si="39"/>
        <v>0</v>
      </c>
      <c r="T32" s="87">
        <f t="shared" si="39"/>
        <v>0</v>
      </c>
      <c r="U32" s="65"/>
      <c r="V32" s="88">
        <v>438</v>
      </c>
      <c r="W32" s="87">
        <f t="shared" si="2"/>
        <v>2</v>
      </c>
      <c r="X32" s="87">
        <f t="shared" si="3"/>
        <v>31</v>
      </c>
      <c r="Y32" s="87">
        <f t="shared" si="4"/>
        <v>23</v>
      </c>
      <c r="Z32" s="87">
        <f t="shared" si="5"/>
        <v>12</v>
      </c>
      <c r="AA32" s="87">
        <f t="shared" si="6"/>
        <v>32</v>
      </c>
      <c r="AB32" s="87">
        <f t="shared" si="7"/>
        <v>45</v>
      </c>
      <c r="AC32" s="87">
        <f t="shared" si="8"/>
        <v>0</v>
      </c>
      <c r="AD32" s="87">
        <f t="shared" si="9"/>
        <v>0</v>
      </c>
      <c r="AE32" s="87">
        <f t="shared" si="10"/>
        <v>14</v>
      </c>
      <c r="AF32" s="87">
        <f t="shared" si="11"/>
        <v>18</v>
      </c>
      <c r="AG32" s="87">
        <f t="shared" si="12"/>
        <v>0</v>
      </c>
      <c r="AH32" s="87">
        <f t="shared" si="13"/>
        <v>0</v>
      </c>
      <c r="AI32" s="87">
        <f t="shared" si="14"/>
        <v>0</v>
      </c>
      <c r="AJ32" s="87">
        <f t="shared" si="15"/>
        <v>0</v>
      </c>
      <c r="AK32" s="87">
        <f t="shared" si="16"/>
        <v>0</v>
      </c>
      <c r="AL32" s="87">
        <f t="shared" si="17"/>
        <v>0</v>
      </c>
      <c r="AM32" s="87">
        <f t="shared" si="18"/>
        <v>0</v>
      </c>
      <c r="AN32" s="87">
        <f t="shared" si="19"/>
        <v>0</v>
      </c>
      <c r="AO32" s="65"/>
      <c r="AP32" s="85">
        <v>479</v>
      </c>
      <c r="AQ32" s="87">
        <f t="shared" si="20"/>
        <v>2</v>
      </c>
      <c r="AR32" s="87">
        <f t="shared" si="21"/>
        <v>0</v>
      </c>
      <c r="AS32" s="87">
        <f t="shared" si="22"/>
        <v>0</v>
      </c>
      <c r="AT32" s="87">
        <f t="shared" si="23"/>
        <v>0</v>
      </c>
      <c r="AU32" s="87">
        <f t="shared" si="24"/>
        <v>0</v>
      </c>
      <c r="AV32" s="87">
        <f t="shared" si="25"/>
        <v>0</v>
      </c>
      <c r="AW32" s="87">
        <f t="shared" si="26"/>
        <v>0</v>
      </c>
      <c r="AX32" s="87">
        <f t="shared" si="27"/>
        <v>0</v>
      </c>
      <c r="AY32" s="87">
        <f t="shared" si="28"/>
        <v>0</v>
      </c>
      <c r="AZ32" s="87">
        <f t="shared" si="29"/>
        <v>0</v>
      </c>
      <c r="BA32" s="87">
        <f t="shared" si="30"/>
        <v>0</v>
      </c>
      <c r="BB32" s="87">
        <f t="shared" si="31"/>
        <v>0</v>
      </c>
      <c r="BC32" s="87">
        <f t="shared" si="32"/>
        <v>0</v>
      </c>
      <c r="BD32" s="87">
        <f t="shared" si="33"/>
        <v>0</v>
      </c>
      <c r="BE32" s="87">
        <f t="shared" si="34"/>
        <v>0</v>
      </c>
      <c r="BF32" s="87">
        <f t="shared" si="35"/>
        <v>0</v>
      </c>
      <c r="BG32" s="87">
        <f t="shared" si="36"/>
        <v>0</v>
      </c>
      <c r="BH32" s="87">
        <f t="shared" si="37"/>
        <v>0</v>
      </c>
    </row>
    <row r="33" spans="2:60" s="64" customFormat="1" ht="18.75" x14ac:dyDescent="0.3">
      <c r="B33" s="85">
        <v>398</v>
      </c>
      <c r="C33" s="87">
        <f t="shared" si="40"/>
        <v>2</v>
      </c>
      <c r="D33" s="87">
        <f t="shared" si="40"/>
        <v>0</v>
      </c>
      <c r="E33" s="87">
        <f t="shared" si="40"/>
        <v>0</v>
      </c>
      <c r="F33" s="87">
        <f t="shared" si="40"/>
        <v>0</v>
      </c>
      <c r="G33" s="87">
        <f t="shared" si="40"/>
        <v>0</v>
      </c>
      <c r="H33" s="87">
        <f t="shared" si="40"/>
        <v>0</v>
      </c>
      <c r="I33" s="87">
        <f t="shared" si="40"/>
        <v>0</v>
      </c>
      <c r="J33" s="87">
        <f t="shared" si="40"/>
        <v>0</v>
      </c>
      <c r="K33" s="87">
        <f t="shared" si="40"/>
        <v>0</v>
      </c>
      <c r="L33" s="87">
        <f t="shared" si="40"/>
        <v>0</v>
      </c>
      <c r="M33" s="87">
        <f t="shared" si="40"/>
        <v>0</v>
      </c>
      <c r="N33" s="87">
        <f t="shared" si="40"/>
        <v>0</v>
      </c>
      <c r="O33" s="87">
        <f t="shared" si="40"/>
        <v>0</v>
      </c>
      <c r="P33" s="87">
        <f t="shared" si="40"/>
        <v>0</v>
      </c>
      <c r="Q33" s="87">
        <f t="shared" si="40"/>
        <v>0</v>
      </c>
      <c r="R33" s="87">
        <f t="shared" si="40"/>
        <v>0</v>
      </c>
      <c r="S33" s="87">
        <f t="shared" si="39"/>
        <v>0</v>
      </c>
      <c r="T33" s="87">
        <f t="shared" si="39"/>
        <v>0</v>
      </c>
      <c r="U33" s="65"/>
      <c r="V33" s="85">
        <v>439</v>
      </c>
      <c r="W33" s="87">
        <f t="shared" si="2"/>
        <v>2</v>
      </c>
      <c r="X33" s="87">
        <f t="shared" si="3"/>
        <v>36</v>
      </c>
      <c r="Y33" s="87">
        <f t="shared" si="4"/>
        <v>58</v>
      </c>
      <c r="Z33" s="87">
        <f t="shared" si="5"/>
        <v>29</v>
      </c>
      <c r="AA33" s="87">
        <f t="shared" si="6"/>
        <v>20</v>
      </c>
      <c r="AB33" s="87">
        <f t="shared" si="7"/>
        <v>23</v>
      </c>
      <c r="AC33" s="87">
        <f t="shared" si="8"/>
        <v>16</v>
      </c>
      <c r="AD33" s="87">
        <f t="shared" si="9"/>
        <v>16</v>
      </c>
      <c r="AE33" s="87">
        <f t="shared" si="10"/>
        <v>19</v>
      </c>
      <c r="AF33" s="87">
        <f t="shared" si="11"/>
        <v>13</v>
      </c>
      <c r="AG33" s="87">
        <f t="shared" si="12"/>
        <v>0</v>
      </c>
      <c r="AH33" s="87">
        <f t="shared" si="13"/>
        <v>0</v>
      </c>
      <c r="AI33" s="87">
        <f t="shared" si="14"/>
        <v>0</v>
      </c>
      <c r="AJ33" s="87">
        <f t="shared" si="15"/>
        <v>0</v>
      </c>
      <c r="AK33" s="87">
        <f t="shared" si="16"/>
        <v>0</v>
      </c>
      <c r="AL33" s="87">
        <f t="shared" si="17"/>
        <v>0</v>
      </c>
      <c r="AM33" s="87">
        <f t="shared" si="18"/>
        <v>0</v>
      </c>
      <c r="AN33" s="87">
        <f t="shared" si="19"/>
        <v>0</v>
      </c>
      <c r="AO33" s="65"/>
      <c r="AP33" s="88">
        <v>480</v>
      </c>
      <c r="AQ33" s="87">
        <f t="shared" si="20"/>
        <v>2</v>
      </c>
      <c r="AR33" s="87">
        <f t="shared" si="21"/>
        <v>0</v>
      </c>
      <c r="AS33" s="87">
        <f t="shared" si="22"/>
        <v>0</v>
      </c>
      <c r="AT33" s="87">
        <f t="shared" si="23"/>
        <v>0</v>
      </c>
      <c r="AU33" s="87">
        <f t="shared" si="24"/>
        <v>0</v>
      </c>
      <c r="AV33" s="87">
        <f t="shared" si="25"/>
        <v>0</v>
      </c>
      <c r="AW33" s="87">
        <f t="shared" si="26"/>
        <v>0</v>
      </c>
      <c r="AX33" s="87">
        <f t="shared" si="27"/>
        <v>0</v>
      </c>
      <c r="AY33" s="87">
        <f t="shared" si="28"/>
        <v>0</v>
      </c>
      <c r="AZ33" s="87">
        <f t="shared" si="29"/>
        <v>0</v>
      </c>
      <c r="BA33" s="87">
        <f t="shared" si="30"/>
        <v>0</v>
      </c>
      <c r="BB33" s="87">
        <f t="shared" si="31"/>
        <v>0</v>
      </c>
      <c r="BC33" s="87">
        <f t="shared" si="32"/>
        <v>0</v>
      </c>
      <c r="BD33" s="87">
        <f t="shared" si="33"/>
        <v>0</v>
      </c>
      <c r="BE33" s="87">
        <f t="shared" si="34"/>
        <v>0</v>
      </c>
      <c r="BF33" s="87">
        <f t="shared" si="35"/>
        <v>0</v>
      </c>
      <c r="BG33" s="87">
        <f t="shared" si="36"/>
        <v>0</v>
      </c>
      <c r="BH33" s="87">
        <f t="shared" si="37"/>
        <v>0</v>
      </c>
    </row>
    <row r="34" spans="2:60" s="64" customFormat="1" ht="18.75" x14ac:dyDescent="0.3">
      <c r="B34" s="85">
        <v>399</v>
      </c>
      <c r="C34" s="87">
        <f t="shared" si="40"/>
        <v>2</v>
      </c>
      <c r="D34" s="87">
        <f t="shared" si="40"/>
        <v>0</v>
      </c>
      <c r="E34" s="87">
        <f t="shared" si="40"/>
        <v>0</v>
      </c>
      <c r="F34" s="87">
        <f t="shared" si="40"/>
        <v>0</v>
      </c>
      <c r="G34" s="87">
        <f t="shared" si="40"/>
        <v>0</v>
      </c>
      <c r="H34" s="87">
        <f t="shared" si="40"/>
        <v>0</v>
      </c>
      <c r="I34" s="87">
        <f t="shared" si="40"/>
        <v>0</v>
      </c>
      <c r="J34" s="87">
        <f t="shared" si="40"/>
        <v>0</v>
      </c>
      <c r="K34" s="87">
        <f t="shared" si="40"/>
        <v>0</v>
      </c>
      <c r="L34" s="87">
        <f t="shared" si="40"/>
        <v>0</v>
      </c>
      <c r="M34" s="87">
        <f t="shared" si="40"/>
        <v>0</v>
      </c>
      <c r="N34" s="87">
        <f t="shared" si="40"/>
        <v>0</v>
      </c>
      <c r="O34" s="87">
        <f t="shared" si="40"/>
        <v>0</v>
      </c>
      <c r="P34" s="87">
        <f t="shared" si="40"/>
        <v>0</v>
      </c>
      <c r="Q34" s="87">
        <f t="shared" si="40"/>
        <v>0</v>
      </c>
      <c r="R34" s="87">
        <f t="shared" ref="N34:T42" si="41">SUMIFS(VOTOS1,CENTRO1,$B34,TURNO1,R$1)</f>
        <v>0</v>
      </c>
      <c r="S34" s="87">
        <f t="shared" si="41"/>
        <v>0</v>
      </c>
      <c r="T34" s="87">
        <f t="shared" si="41"/>
        <v>0</v>
      </c>
      <c r="U34" s="65"/>
      <c r="V34" s="88">
        <v>440</v>
      </c>
      <c r="W34" s="87">
        <f t="shared" si="2"/>
        <v>2</v>
      </c>
      <c r="X34" s="87">
        <f t="shared" si="3"/>
        <v>22</v>
      </c>
      <c r="Y34" s="87">
        <f t="shared" si="4"/>
        <v>36</v>
      </c>
      <c r="Z34" s="87">
        <f t="shared" si="5"/>
        <v>0</v>
      </c>
      <c r="AA34" s="87">
        <f t="shared" si="6"/>
        <v>38</v>
      </c>
      <c r="AB34" s="87">
        <f t="shared" si="7"/>
        <v>10</v>
      </c>
      <c r="AC34" s="87">
        <f t="shared" si="8"/>
        <v>18</v>
      </c>
      <c r="AD34" s="87">
        <f t="shared" si="9"/>
        <v>15</v>
      </c>
      <c r="AE34" s="87">
        <f t="shared" si="10"/>
        <v>14</v>
      </c>
      <c r="AF34" s="87">
        <f t="shared" si="11"/>
        <v>21</v>
      </c>
      <c r="AG34" s="87">
        <f t="shared" si="12"/>
        <v>0</v>
      </c>
      <c r="AH34" s="87">
        <f t="shared" si="13"/>
        <v>0</v>
      </c>
      <c r="AI34" s="87">
        <f t="shared" si="14"/>
        <v>0</v>
      </c>
      <c r="AJ34" s="87">
        <f t="shared" si="15"/>
        <v>0</v>
      </c>
      <c r="AK34" s="87">
        <f t="shared" si="16"/>
        <v>0</v>
      </c>
      <c r="AL34" s="87">
        <f t="shared" si="17"/>
        <v>0</v>
      </c>
      <c r="AM34" s="87">
        <f t="shared" si="18"/>
        <v>0</v>
      </c>
      <c r="AN34" s="87">
        <f t="shared" si="19"/>
        <v>0</v>
      </c>
      <c r="AO34" s="65"/>
      <c r="AP34" s="85">
        <v>481</v>
      </c>
      <c r="AQ34" s="87">
        <f t="shared" si="20"/>
        <v>2</v>
      </c>
      <c r="AR34" s="87">
        <f t="shared" si="21"/>
        <v>0</v>
      </c>
      <c r="AS34" s="87">
        <f t="shared" si="22"/>
        <v>0</v>
      </c>
      <c r="AT34" s="87">
        <f t="shared" si="23"/>
        <v>0</v>
      </c>
      <c r="AU34" s="87">
        <f t="shared" si="24"/>
        <v>0</v>
      </c>
      <c r="AV34" s="87">
        <f t="shared" si="25"/>
        <v>0</v>
      </c>
      <c r="AW34" s="87">
        <f t="shared" si="26"/>
        <v>0</v>
      </c>
      <c r="AX34" s="87">
        <f t="shared" si="27"/>
        <v>0</v>
      </c>
      <c r="AY34" s="87">
        <f t="shared" si="28"/>
        <v>0</v>
      </c>
      <c r="AZ34" s="87">
        <f t="shared" si="29"/>
        <v>0</v>
      </c>
      <c r="BA34" s="87">
        <f t="shared" si="30"/>
        <v>0</v>
      </c>
      <c r="BB34" s="87">
        <f t="shared" si="31"/>
        <v>0</v>
      </c>
      <c r="BC34" s="87">
        <f t="shared" si="32"/>
        <v>0</v>
      </c>
      <c r="BD34" s="87">
        <f t="shared" si="33"/>
        <v>0</v>
      </c>
      <c r="BE34" s="87">
        <f t="shared" si="34"/>
        <v>0</v>
      </c>
      <c r="BF34" s="87">
        <f t="shared" si="35"/>
        <v>0</v>
      </c>
      <c r="BG34" s="87">
        <f t="shared" si="36"/>
        <v>0</v>
      </c>
      <c r="BH34" s="87">
        <f t="shared" si="37"/>
        <v>0</v>
      </c>
    </row>
    <row r="35" spans="2:60" s="64" customFormat="1" ht="18.75" x14ac:dyDescent="0.3">
      <c r="B35" s="85">
        <v>400</v>
      </c>
      <c r="C35" s="87">
        <f t="shared" ref="C35:M42" si="42">SUMIFS(VOTOS1,CENTRO1,$B35,TURNO1,C$1)</f>
        <v>2</v>
      </c>
      <c r="D35" s="87">
        <f t="shared" si="42"/>
        <v>0</v>
      </c>
      <c r="E35" s="87">
        <f t="shared" si="42"/>
        <v>0</v>
      </c>
      <c r="F35" s="87">
        <f t="shared" si="42"/>
        <v>0</v>
      </c>
      <c r="G35" s="87">
        <f t="shared" si="42"/>
        <v>0</v>
      </c>
      <c r="H35" s="87">
        <f t="shared" si="42"/>
        <v>0</v>
      </c>
      <c r="I35" s="87">
        <f t="shared" si="42"/>
        <v>0</v>
      </c>
      <c r="J35" s="87">
        <f t="shared" si="42"/>
        <v>0</v>
      </c>
      <c r="K35" s="87">
        <f t="shared" si="42"/>
        <v>0</v>
      </c>
      <c r="L35" s="87">
        <f t="shared" si="42"/>
        <v>0</v>
      </c>
      <c r="M35" s="87">
        <f t="shared" si="42"/>
        <v>0</v>
      </c>
      <c r="N35" s="87">
        <f t="shared" si="41"/>
        <v>0</v>
      </c>
      <c r="O35" s="87">
        <f t="shared" si="41"/>
        <v>0</v>
      </c>
      <c r="P35" s="87">
        <f t="shared" si="41"/>
        <v>0</v>
      </c>
      <c r="Q35" s="87">
        <f t="shared" si="41"/>
        <v>0</v>
      </c>
      <c r="R35" s="87">
        <f t="shared" si="41"/>
        <v>0</v>
      </c>
      <c r="S35" s="87">
        <f t="shared" si="41"/>
        <v>0</v>
      </c>
      <c r="T35" s="87">
        <f t="shared" si="41"/>
        <v>0</v>
      </c>
      <c r="U35" s="65"/>
      <c r="V35" s="85">
        <v>441</v>
      </c>
      <c r="W35" s="87">
        <f t="shared" si="2"/>
        <v>2</v>
      </c>
      <c r="X35" s="87">
        <f t="shared" si="3"/>
        <v>17</v>
      </c>
      <c r="Y35" s="87">
        <f t="shared" si="4"/>
        <v>13</v>
      </c>
      <c r="Z35" s="87">
        <f t="shared" si="5"/>
        <v>16</v>
      </c>
      <c r="AA35" s="87">
        <f t="shared" si="6"/>
        <v>11</v>
      </c>
      <c r="AB35" s="87">
        <f t="shared" si="7"/>
        <v>10</v>
      </c>
      <c r="AC35" s="87">
        <f t="shared" si="8"/>
        <v>10</v>
      </c>
      <c r="AD35" s="87">
        <f t="shared" si="9"/>
        <v>17</v>
      </c>
      <c r="AE35" s="87">
        <f t="shared" si="10"/>
        <v>14</v>
      </c>
      <c r="AF35" s="87">
        <f t="shared" si="11"/>
        <v>8</v>
      </c>
      <c r="AG35" s="87">
        <f t="shared" si="12"/>
        <v>0</v>
      </c>
      <c r="AH35" s="87">
        <f t="shared" si="13"/>
        <v>0</v>
      </c>
      <c r="AI35" s="87">
        <f t="shared" si="14"/>
        <v>0</v>
      </c>
      <c r="AJ35" s="87">
        <f t="shared" si="15"/>
        <v>0</v>
      </c>
      <c r="AK35" s="87">
        <f t="shared" si="16"/>
        <v>0</v>
      </c>
      <c r="AL35" s="87">
        <f t="shared" si="17"/>
        <v>0</v>
      </c>
      <c r="AM35" s="87">
        <f t="shared" si="18"/>
        <v>0</v>
      </c>
      <c r="AN35" s="87">
        <f t="shared" si="19"/>
        <v>0</v>
      </c>
      <c r="AO35" s="65"/>
      <c r="AP35" s="88">
        <v>482</v>
      </c>
      <c r="AQ35" s="87">
        <f t="shared" si="20"/>
        <v>2</v>
      </c>
      <c r="AR35" s="87">
        <f t="shared" si="21"/>
        <v>0</v>
      </c>
      <c r="AS35" s="87">
        <f t="shared" si="22"/>
        <v>0</v>
      </c>
      <c r="AT35" s="87">
        <f t="shared" si="23"/>
        <v>0</v>
      </c>
      <c r="AU35" s="87">
        <f t="shared" si="24"/>
        <v>0</v>
      </c>
      <c r="AV35" s="87">
        <f t="shared" si="25"/>
        <v>0</v>
      </c>
      <c r="AW35" s="87">
        <f t="shared" si="26"/>
        <v>0</v>
      </c>
      <c r="AX35" s="87">
        <f t="shared" si="27"/>
        <v>0</v>
      </c>
      <c r="AY35" s="87">
        <f t="shared" si="28"/>
        <v>0</v>
      </c>
      <c r="AZ35" s="87">
        <f t="shared" si="29"/>
        <v>0</v>
      </c>
      <c r="BA35" s="87">
        <f t="shared" si="30"/>
        <v>0</v>
      </c>
      <c r="BB35" s="87">
        <f t="shared" si="31"/>
        <v>0</v>
      </c>
      <c r="BC35" s="87">
        <f t="shared" si="32"/>
        <v>0</v>
      </c>
      <c r="BD35" s="87">
        <f t="shared" si="33"/>
        <v>0</v>
      </c>
      <c r="BE35" s="87">
        <f t="shared" si="34"/>
        <v>0</v>
      </c>
      <c r="BF35" s="87">
        <f t="shared" si="35"/>
        <v>0</v>
      </c>
      <c r="BG35" s="87">
        <f t="shared" si="36"/>
        <v>0</v>
      </c>
      <c r="BH35" s="87">
        <f t="shared" si="37"/>
        <v>0</v>
      </c>
    </row>
    <row r="36" spans="2:60" s="64" customFormat="1" ht="18.75" x14ac:dyDescent="0.3">
      <c r="B36" s="85">
        <v>401</v>
      </c>
      <c r="C36" s="87">
        <f t="shared" si="42"/>
        <v>2</v>
      </c>
      <c r="D36" s="87">
        <f t="shared" si="42"/>
        <v>0</v>
      </c>
      <c r="E36" s="87">
        <f t="shared" si="42"/>
        <v>0</v>
      </c>
      <c r="F36" s="87">
        <f t="shared" si="42"/>
        <v>0</v>
      </c>
      <c r="G36" s="87">
        <f t="shared" si="42"/>
        <v>0</v>
      </c>
      <c r="H36" s="87">
        <f t="shared" si="42"/>
        <v>0</v>
      </c>
      <c r="I36" s="87">
        <f t="shared" si="42"/>
        <v>0</v>
      </c>
      <c r="J36" s="87">
        <f t="shared" si="42"/>
        <v>0</v>
      </c>
      <c r="K36" s="87">
        <f t="shared" si="42"/>
        <v>0</v>
      </c>
      <c r="L36" s="87">
        <f t="shared" si="42"/>
        <v>0</v>
      </c>
      <c r="M36" s="87">
        <f t="shared" si="42"/>
        <v>0</v>
      </c>
      <c r="N36" s="87">
        <f t="shared" si="41"/>
        <v>0</v>
      </c>
      <c r="O36" s="87">
        <f t="shared" si="41"/>
        <v>0</v>
      </c>
      <c r="P36" s="87">
        <f t="shared" si="41"/>
        <v>0</v>
      </c>
      <c r="Q36" s="87">
        <f t="shared" si="41"/>
        <v>0</v>
      </c>
      <c r="R36" s="87">
        <f t="shared" si="41"/>
        <v>0</v>
      </c>
      <c r="S36" s="87">
        <f t="shared" si="41"/>
        <v>0</v>
      </c>
      <c r="T36" s="87">
        <f t="shared" si="41"/>
        <v>0</v>
      </c>
      <c r="U36" s="65"/>
      <c r="V36" s="88">
        <v>442</v>
      </c>
      <c r="W36" s="87">
        <f t="shared" si="2"/>
        <v>2</v>
      </c>
      <c r="X36" s="87">
        <f t="shared" si="3"/>
        <v>50</v>
      </c>
      <c r="Y36" s="87">
        <f t="shared" si="4"/>
        <v>51</v>
      </c>
      <c r="Z36" s="87">
        <f t="shared" si="5"/>
        <v>26</v>
      </c>
      <c r="AA36" s="87">
        <f t="shared" si="6"/>
        <v>25</v>
      </c>
      <c r="AB36" s="87">
        <f t="shared" si="7"/>
        <v>0</v>
      </c>
      <c r="AC36" s="87">
        <f t="shared" si="8"/>
        <v>49</v>
      </c>
      <c r="AD36" s="87">
        <f t="shared" si="9"/>
        <v>52</v>
      </c>
      <c r="AE36" s="87">
        <f t="shared" si="10"/>
        <v>39</v>
      </c>
      <c r="AF36" s="87">
        <f t="shared" si="11"/>
        <v>4</v>
      </c>
      <c r="AG36" s="87">
        <f t="shared" si="12"/>
        <v>0</v>
      </c>
      <c r="AH36" s="87">
        <f t="shared" si="13"/>
        <v>0</v>
      </c>
      <c r="AI36" s="87">
        <f t="shared" si="14"/>
        <v>0</v>
      </c>
      <c r="AJ36" s="87">
        <f t="shared" si="15"/>
        <v>0</v>
      </c>
      <c r="AK36" s="87">
        <f t="shared" si="16"/>
        <v>0</v>
      </c>
      <c r="AL36" s="87">
        <f t="shared" si="17"/>
        <v>0</v>
      </c>
      <c r="AM36" s="87">
        <f t="shared" si="18"/>
        <v>0</v>
      </c>
      <c r="AN36" s="87">
        <f t="shared" si="19"/>
        <v>0</v>
      </c>
      <c r="AO36" s="65"/>
      <c r="AP36" s="85">
        <v>483</v>
      </c>
      <c r="AQ36" s="87">
        <f t="shared" si="20"/>
        <v>2</v>
      </c>
      <c r="AR36" s="87">
        <f t="shared" si="21"/>
        <v>0</v>
      </c>
      <c r="AS36" s="87">
        <f t="shared" si="22"/>
        <v>0</v>
      </c>
      <c r="AT36" s="87">
        <f t="shared" si="23"/>
        <v>0</v>
      </c>
      <c r="AU36" s="87">
        <f t="shared" si="24"/>
        <v>0</v>
      </c>
      <c r="AV36" s="87">
        <f t="shared" si="25"/>
        <v>0</v>
      </c>
      <c r="AW36" s="87">
        <f t="shared" si="26"/>
        <v>0</v>
      </c>
      <c r="AX36" s="87">
        <f t="shared" si="27"/>
        <v>0</v>
      </c>
      <c r="AY36" s="87">
        <f t="shared" si="28"/>
        <v>0</v>
      </c>
      <c r="AZ36" s="87">
        <f t="shared" si="29"/>
        <v>0</v>
      </c>
      <c r="BA36" s="87">
        <f t="shared" si="30"/>
        <v>0</v>
      </c>
      <c r="BB36" s="87">
        <f t="shared" si="31"/>
        <v>0</v>
      </c>
      <c r="BC36" s="87">
        <f t="shared" si="32"/>
        <v>0</v>
      </c>
      <c r="BD36" s="87">
        <f t="shared" si="33"/>
        <v>0</v>
      </c>
      <c r="BE36" s="87">
        <f t="shared" si="34"/>
        <v>0</v>
      </c>
      <c r="BF36" s="87">
        <f t="shared" si="35"/>
        <v>0</v>
      </c>
      <c r="BG36" s="87">
        <f t="shared" si="36"/>
        <v>0</v>
      </c>
      <c r="BH36" s="87">
        <f t="shared" si="37"/>
        <v>0</v>
      </c>
    </row>
    <row r="37" spans="2:60" s="64" customFormat="1" ht="18.75" x14ac:dyDescent="0.3">
      <c r="B37" s="85">
        <v>402</v>
      </c>
      <c r="C37" s="87">
        <f t="shared" si="42"/>
        <v>2</v>
      </c>
      <c r="D37" s="87">
        <f t="shared" si="42"/>
        <v>0</v>
      </c>
      <c r="E37" s="87">
        <f t="shared" si="42"/>
        <v>0</v>
      </c>
      <c r="F37" s="87">
        <f t="shared" si="42"/>
        <v>0</v>
      </c>
      <c r="G37" s="87">
        <f t="shared" si="42"/>
        <v>0</v>
      </c>
      <c r="H37" s="87">
        <f t="shared" si="42"/>
        <v>0</v>
      </c>
      <c r="I37" s="87">
        <f t="shared" si="42"/>
        <v>0</v>
      </c>
      <c r="J37" s="87">
        <f t="shared" si="42"/>
        <v>0</v>
      </c>
      <c r="K37" s="87">
        <f t="shared" si="42"/>
        <v>0</v>
      </c>
      <c r="L37" s="87">
        <f t="shared" si="42"/>
        <v>0</v>
      </c>
      <c r="M37" s="87">
        <f t="shared" si="42"/>
        <v>0</v>
      </c>
      <c r="N37" s="87">
        <f t="shared" si="41"/>
        <v>0</v>
      </c>
      <c r="O37" s="87">
        <f t="shared" si="41"/>
        <v>0</v>
      </c>
      <c r="P37" s="87">
        <f t="shared" si="41"/>
        <v>0</v>
      </c>
      <c r="Q37" s="87">
        <f t="shared" si="41"/>
        <v>0</v>
      </c>
      <c r="R37" s="87">
        <f t="shared" si="41"/>
        <v>0</v>
      </c>
      <c r="S37" s="87">
        <f t="shared" si="41"/>
        <v>0</v>
      </c>
      <c r="T37" s="87">
        <f t="shared" si="41"/>
        <v>0</v>
      </c>
      <c r="U37" s="65"/>
      <c r="V37" s="85">
        <v>443</v>
      </c>
      <c r="W37" s="87">
        <f t="shared" si="2"/>
        <v>2</v>
      </c>
      <c r="X37" s="87">
        <f t="shared" si="3"/>
        <v>0</v>
      </c>
      <c r="Y37" s="87">
        <f t="shared" si="4"/>
        <v>0</v>
      </c>
      <c r="Z37" s="87">
        <f t="shared" si="5"/>
        <v>0</v>
      </c>
      <c r="AA37" s="87">
        <f t="shared" si="6"/>
        <v>0</v>
      </c>
      <c r="AB37" s="87">
        <f t="shared" si="7"/>
        <v>0</v>
      </c>
      <c r="AC37" s="87">
        <f t="shared" si="8"/>
        <v>0</v>
      </c>
      <c r="AD37" s="87">
        <f t="shared" si="9"/>
        <v>0</v>
      </c>
      <c r="AE37" s="87">
        <f t="shared" si="10"/>
        <v>0</v>
      </c>
      <c r="AF37" s="87">
        <f t="shared" si="11"/>
        <v>0</v>
      </c>
      <c r="AG37" s="87">
        <f t="shared" si="12"/>
        <v>0</v>
      </c>
      <c r="AH37" s="87">
        <f t="shared" si="13"/>
        <v>0</v>
      </c>
      <c r="AI37" s="87">
        <f t="shared" si="14"/>
        <v>0</v>
      </c>
      <c r="AJ37" s="87">
        <f t="shared" si="15"/>
        <v>0</v>
      </c>
      <c r="AK37" s="87">
        <f t="shared" si="16"/>
        <v>0</v>
      </c>
      <c r="AL37" s="87">
        <f t="shared" si="17"/>
        <v>0</v>
      </c>
      <c r="AM37" s="87">
        <f t="shared" si="18"/>
        <v>0</v>
      </c>
      <c r="AN37" s="87">
        <f t="shared" si="19"/>
        <v>0</v>
      </c>
      <c r="AO37" s="65"/>
      <c r="AP37" s="88">
        <v>484</v>
      </c>
      <c r="AQ37" s="87">
        <f t="shared" si="20"/>
        <v>2</v>
      </c>
      <c r="AR37" s="87">
        <f t="shared" si="21"/>
        <v>0</v>
      </c>
      <c r="AS37" s="87">
        <f t="shared" si="22"/>
        <v>0</v>
      </c>
      <c r="AT37" s="87">
        <f t="shared" si="23"/>
        <v>0</v>
      </c>
      <c r="AU37" s="87">
        <f t="shared" si="24"/>
        <v>0</v>
      </c>
      <c r="AV37" s="87">
        <f t="shared" si="25"/>
        <v>0</v>
      </c>
      <c r="AW37" s="87">
        <f t="shared" si="26"/>
        <v>0</v>
      </c>
      <c r="AX37" s="87">
        <f t="shared" si="27"/>
        <v>0</v>
      </c>
      <c r="AY37" s="87">
        <f t="shared" si="28"/>
        <v>0</v>
      </c>
      <c r="AZ37" s="87">
        <f t="shared" si="29"/>
        <v>0</v>
      </c>
      <c r="BA37" s="87">
        <f t="shared" si="30"/>
        <v>0</v>
      </c>
      <c r="BB37" s="87">
        <f t="shared" si="31"/>
        <v>0</v>
      </c>
      <c r="BC37" s="87">
        <f t="shared" si="32"/>
        <v>0</v>
      </c>
      <c r="BD37" s="87">
        <f t="shared" si="33"/>
        <v>0</v>
      </c>
      <c r="BE37" s="87">
        <f t="shared" si="34"/>
        <v>0</v>
      </c>
      <c r="BF37" s="87">
        <f t="shared" si="35"/>
        <v>0</v>
      </c>
      <c r="BG37" s="87">
        <f t="shared" si="36"/>
        <v>0</v>
      </c>
      <c r="BH37" s="87">
        <f t="shared" si="37"/>
        <v>0</v>
      </c>
    </row>
    <row r="38" spans="2:60" s="64" customFormat="1" ht="18.75" x14ac:dyDescent="0.3">
      <c r="B38" s="85">
        <v>403</v>
      </c>
      <c r="C38" s="87">
        <f t="shared" si="42"/>
        <v>2</v>
      </c>
      <c r="D38" s="87">
        <f t="shared" si="42"/>
        <v>0</v>
      </c>
      <c r="E38" s="87">
        <f t="shared" si="42"/>
        <v>0</v>
      </c>
      <c r="F38" s="87">
        <f t="shared" si="42"/>
        <v>0</v>
      </c>
      <c r="G38" s="87">
        <f t="shared" si="42"/>
        <v>0</v>
      </c>
      <c r="H38" s="87">
        <f t="shared" si="42"/>
        <v>0</v>
      </c>
      <c r="I38" s="87">
        <f t="shared" si="42"/>
        <v>0</v>
      </c>
      <c r="J38" s="87">
        <f t="shared" si="42"/>
        <v>0</v>
      </c>
      <c r="K38" s="87">
        <f t="shared" si="42"/>
        <v>0</v>
      </c>
      <c r="L38" s="87">
        <f t="shared" si="42"/>
        <v>0</v>
      </c>
      <c r="M38" s="87">
        <f t="shared" si="42"/>
        <v>0</v>
      </c>
      <c r="N38" s="87">
        <f t="shared" si="41"/>
        <v>0</v>
      </c>
      <c r="O38" s="87">
        <f t="shared" si="41"/>
        <v>0</v>
      </c>
      <c r="P38" s="87">
        <f t="shared" si="41"/>
        <v>0</v>
      </c>
      <c r="Q38" s="87">
        <f t="shared" si="41"/>
        <v>0</v>
      </c>
      <c r="R38" s="87">
        <f t="shared" si="41"/>
        <v>0</v>
      </c>
      <c r="S38" s="87">
        <f t="shared" si="41"/>
        <v>0</v>
      </c>
      <c r="T38" s="87">
        <f t="shared" si="41"/>
        <v>0</v>
      </c>
      <c r="U38" s="65"/>
      <c r="V38" s="88">
        <v>444</v>
      </c>
      <c r="W38" s="87">
        <f t="shared" si="2"/>
        <v>2</v>
      </c>
      <c r="X38" s="87">
        <f t="shared" si="3"/>
        <v>0</v>
      </c>
      <c r="Y38" s="87">
        <f t="shared" si="4"/>
        <v>0</v>
      </c>
      <c r="Z38" s="87">
        <f t="shared" si="5"/>
        <v>0</v>
      </c>
      <c r="AA38" s="87">
        <f t="shared" si="6"/>
        <v>0</v>
      </c>
      <c r="AB38" s="87">
        <f t="shared" si="7"/>
        <v>0</v>
      </c>
      <c r="AC38" s="87">
        <f t="shared" si="8"/>
        <v>0</v>
      </c>
      <c r="AD38" s="87">
        <f t="shared" si="9"/>
        <v>0</v>
      </c>
      <c r="AE38" s="87">
        <f t="shared" si="10"/>
        <v>0</v>
      </c>
      <c r="AF38" s="87">
        <f t="shared" si="11"/>
        <v>0</v>
      </c>
      <c r="AG38" s="87">
        <f t="shared" si="12"/>
        <v>0</v>
      </c>
      <c r="AH38" s="87">
        <f t="shared" si="13"/>
        <v>0</v>
      </c>
      <c r="AI38" s="87">
        <f t="shared" si="14"/>
        <v>0</v>
      </c>
      <c r="AJ38" s="87">
        <f t="shared" si="15"/>
        <v>0</v>
      </c>
      <c r="AK38" s="87">
        <f t="shared" si="16"/>
        <v>0</v>
      </c>
      <c r="AL38" s="87">
        <f t="shared" si="17"/>
        <v>0</v>
      </c>
      <c r="AM38" s="87">
        <f t="shared" si="18"/>
        <v>0</v>
      </c>
      <c r="AN38" s="87">
        <f t="shared" si="19"/>
        <v>0</v>
      </c>
      <c r="AO38" s="65"/>
      <c r="AP38" s="85">
        <v>485</v>
      </c>
      <c r="AQ38" s="87">
        <f t="shared" si="20"/>
        <v>2</v>
      </c>
      <c r="AR38" s="87">
        <f t="shared" si="21"/>
        <v>0</v>
      </c>
      <c r="AS38" s="87">
        <f t="shared" si="22"/>
        <v>0</v>
      </c>
      <c r="AT38" s="87">
        <f t="shared" si="23"/>
        <v>0</v>
      </c>
      <c r="AU38" s="87">
        <f t="shared" si="24"/>
        <v>0</v>
      </c>
      <c r="AV38" s="87">
        <f t="shared" si="25"/>
        <v>0</v>
      </c>
      <c r="AW38" s="87">
        <f t="shared" si="26"/>
        <v>0</v>
      </c>
      <c r="AX38" s="87">
        <f t="shared" si="27"/>
        <v>0</v>
      </c>
      <c r="AY38" s="87">
        <f t="shared" si="28"/>
        <v>0</v>
      </c>
      <c r="AZ38" s="87">
        <f t="shared" si="29"/>
        <v>0</v>
      </c>
      <c r="BA38" s="87">
        <f t="shared" si="30"/>
        <v>0</v>
      </c>
      <c r="BB38" s="87">
        <f t="shared" si="31"/>
        <v>0</v>
      </c>
      <c r="BC38" s="87">
        <f t="shared" si="32"/>
        <v>0</v>
      </c>
      <c r="BD38" s="87">
        <f t="shared" si="33"/>
        <v>0</v>
      </c>
      <c r="BE38" s="87">
        <f t="shared" si="34"/>
        <v>0</v>
      </c>
      <c r="BF38" s="87">
        <f t="shared" si="35"/>
        <v>0</v>
      </c>
      <c r="BG38" s="87">
        <f t="shared" si="36"/>
        <v>0</v>
      </c>
      <c r="BH38" s="87">
        <f t="shared" si="37"/>
        <v>0</v>
      </c>
    </row>
    <row r="39" spans="2:60" s="64" customFormat="1" ht="18.75" x14ac:dyDescent="0.3">
      <c r="B39" s="85">
        <v>404</v>
      </c>
      <c r="C39" s="87">
        <f t="shared" si="42"/>
        <v>2</v>
      </c>
      <c r="D39" s="87">
        <f t="shared" si="42"/>
        <v>0</v>
      </c>
      <c r="E39" s="87">
        <f t="shared" si="42"/>
        <v>0</v>
      </c>
      <c r="F39" s="87">
        <f t="shared" si="42"/>
        <v>0</v>
      </c>
      <c r="G39" s="87">
        <f t="shared" si="42"/>
        <v>0</v>
      </c>
      <c r="H39" s="87">
        <f t="shared" si="42"/>
        <v>0</v>
      </c>
      <c r="I39" s="87">
        <f t="shared" si="42"/>
        <v>0</v>
      </c>
      <c r="J39" s="87">
        <f t="shared" si="42"/>
        <v>0</v>
      </c>
      <c r="K39" s="87">
        <f t="shared" si="42"/>
        <v>0</v>
      </c>
      <c r="L39" s="87">
        <f t="shared" si="42"/>
        <v>0</v>
      </c>
      <c r="M39" s="87">
        <f t="shared" si="42"/>
        <v>0</v>
      </c>
      <c r="N39" s="87">
        <f t="shared" si="41"/>
        <v>0</v>
      </c>
      <c r="O39" s="87">
        <f t="shared" si="41"/>
        <v>0</v>
      </c>
      <c r="P39" s="87">
        <f t="shared" si="41"/>
        <v>0</v>
      </c>
      <c r="Q39" s="87">
        <f t="shared" si="41"/>
        <v>0</v>
      </c>
      <c r="R39" s="87">
        <f t="shared" si="41"/>
        <v>0</v>
      </c>
      <c r="S39" s="87">
        <f t="shared" si="41"/>
        <v>0</v>
      </c>
      <c r="T39" s="87">
        <f t="shared" si="41"/>
        <v>0</v>
      </c>
      <c r="U39" s="65"/>
      <c r="V39" s="85">
        <v>445</v>
      </c>
      <c r="W39" s="87">
        <f t="shared" si="2"/>
        <v>2</v>
      </c>
      <c r="X39" s="87">
        <f t="shared" si="3"/>
        <v>0</v>
      </c>
      <c r="Y39" s="87">
        <f t="shared" si="4"/>
        <v>0</v>
      </c>
      <c r="Z39" s="87">
        <f t="shared" si="5"/>
        <v>0</v>
      </c>
      <c r="AA39" s="87">
        <f t="shared" si="6"/>
        <v>0</v>
      </c>
      <c r="AB39" s="87">
        <f t="shared" si="7"/>
        <v>0</v>
      </c>
      <c r="AC39" s="87">
        <f t="shared" si="8"/>
        <v>0</v>
      </c>
      <c r="AD39" s="87">
        <f t="shared" si="9"/>
        <v>0</v>
      </c>
      <c r="AE39" s="87">
        <f t="shared" si="10"/>
        <v>0</v>
      </c>
      <c r="AF39" s="87">
        <f t="shared" si="11"/>
        <v>0</v>
      </c>
      <c r="AG39" s="87">
        <f t="shared" si="12"/>
        <v>0</v>
      </c>
      <c r="AH39" s="87">
        <f t="shared" si="13"/>
        <v>0</v>
      </c>
      <c r="AI39" s="87">
        <f t="shared" si="14"/>
        <v>0</v>
      </c>
      <c r="AJ39" s="87">
        <f t="shared" si="15"/>
        <v>0</v>
      </c>
      <c r="AK39" s="87">
        <f t="shared" si="16"/>
        <v>0</v>
      </c>
      <c r="AL39" s="87">
        <f t="shared" si="17"/>
        <v>0</v>
      </c>
      <c r="AM39" s="87">
        <f t="shared" si="18"/>
        <v>0</v>
      </c>
      <c r="AN39" s="87">
        <f t="shared" si="19"/>
        <v>0</v>
      </c>
      <c r="AO39" s="65"/>
      <c r="AP39" s="88">
        <v>486</v>
      </c>
      <c r="AQ39" s="87">
        <f t="shared" si="20"/>
        <v>2</v>
      </c>
      <c r="AR39" s="87">
        <f t="shared" si="21"/>
        <v>0</v>
      </c>
      <c r="AS39" s="87">
        <f t="shared" si="22"/>
        <v>0</v>
      </c>
      <c r="AT39" s="87">
        <f t="shared" si="23"/>
        <v>0</v>
      </c>
      <c r="AU39" s="87">
        <f t="shared" si="24"/>
        <v>0</v>
      </c>
      <c r="AV39" s="87">
        <f t="shared" si="25"/>
        <v>0</v>
      </c>
      <c r="AW39" s="87">
        <f t="shared" si="26"/>
        <v>0</v>
      </c>
      <c r="AX39" s="87">
        <f t="shared" si="27"/>
        <v>0</v>
      </c>
      <c r="AY39" s="87">
        <f t="shared" si="28"/>
        <v>0</v>
      </c>
      <c r="AZ39" s="87">
        <f t="shared" si="29"/>
        <v>0</v>
      </c>
      <c r="BA39" s="87">
        <f t="shared" si="30"/>
        <v>0</v>
      </c>
      <c r="BB39" s="87">
        <f t="shared" si="31"/>
        <v>0</v>
      </c>
      <c r="BC39" s="87">
        <f t="shared" si="32"/>
        <v>0</v>
      </c>
      <c r="BD39" s="87">
        <f t="shared" si="33"/>
        <v>0</v>
      </c>
      <c r="BE39" s="87">
        <f t="shared" si="34"/>
        <v>0</v>
      </c>
      <c r="BF39" s="87">
        <f t="shared" si="35"/>
        <v>0</v>
      </c>
      <c r="BG39" s="87">
        <f t="shared" si="36"/>
        <v>0</v>
      </c>
      <c r="BH39" s="87">
        <f t="shared" si="37"/>
        <v>0</v>
      </c>
    </row>
    <row r="40" spans="2:60" s="64" customFormat="1" ht="18.75" x14ac:dyDescent="0.3">
      <c r="B40" s="85">
        <v>405</v>
      </c>
      <c r="C40" s="87">
        <f t="shared" si="42"/>
        <v>2</v>
      </c>
      <c r="D40" s="87">
        <f t="shared" si="42"/>
        <v>30</v>
      </c>
      <c r="E40" s="87">
        <f t="shared" si="42"/>
        <v>18</v>
      </c>
      <c r="F40" s="87">
        <f t="shared" si="42"/>
        <v>40</v>
      </c>
      <c r="G40" s="87">
        <f t="shared" si="42"/>
        <v>20</v>
      </c>
      <c r="H40" s="87">
        <f t="shared" si="42"/>
        <v>20</v>
      </c>
      <c r="I40" s="87">
        <f t="shared" si="42"/>
        <v>0</v>
      </c>
      <c r="J40" s="87">
        <f t="shared" si="42"/>
        <v>22</v>
      </c>
      <c r="K40" s="87">
        <f t="shared" si="42"/>
        <v>49</v>
      </c>
      <c r="L40" s="87">
        <f t="shared" si="42"/>
        <v>35</v>
      </c>
      <c r="M40" s="87">
        <f t="shared" si="42"/>
        <v>0</v>
      </c>
      <c r="N40" s="87">
        <f t="shared" si="41"/>
        <v>0</v>
      </c>
      <c r="O40" s="87">
        <f t="shared" si="41"/>
        <v>0</v>
      </c>
      <c r="P40" s="87">
        <f t="shared" si="41"/>
        <v>0</v>
      </c>
      <c r="Q40" s="87">
        <f t="shared" si="41"/>
        <v>0</v>
      </c>
      <c r="R40" s="87">
        <f t="shared" si="41"/>
        <v>0</v>
      </c>
      <c r="S40" s="87">
        <f t="shared" si="41"/>
        <v>0</v>
      </c>
      <c r="T40" s="87">
        <f t="shared" si="41"/>
        <v>0</v>
      </c>
      <c r="U40" s="65"/>
      <c r="V40" s="88">
        <v>446</v>
      </c>
      <c r="W40" s="87">
        <f t="shared" si="2"/>
        <v>2</v>
      </c>
      <c r="X40" s="87">
        <f t="shared" si="3"/>
        <v>0</v>
      </c>
      <c r="Y40" s="87">
        <f t="shared" si="4"/>
        <v>0</v>
      </c>
      <c r="Z40" s="87">
        <f t="shared" si="5"/>
        <v>0</v>
      </c>
      <c r="AA40" s="87">
        <f t="shared" si="6"/>
        <v>0</v>
      </c>
      <c r="AB40" s="87">
        <f t="shared" si="7"/>
        <v>0</v>
      </c>
      <c r="AC40" s="87">
        <f t="shared" si="8"/>
        <v>0</v>
      </c>
      <c r="AD40" s="87">
        <f t="shared" si="9"/>
        <v>0</v>
      </c>
      <c r="AE40" s="87">
        <f t="shared" si="10"/>
        <v>0</v>
      </c>
      <c r="AF40" s="87">
        <f t="shared" si="11"/>
        <v>0</v>
      </c>
      <c r="AG40" s="87">
        <f t="shared" si="12"/>
        <v>0</v>
      </c>
      <c r="AH40" s="87">
        <f t="shared" si="13"/>
        <v>0</v>
      </c>
      <c r="AI40" s="87">
        <f t="shared" si="14"/>
        <v>0</v>
      </c>
      <c r="AJ40" s="87">
        <f t="shared" si="15"/>
        <v>0</v>
      </c>
      <c r="AK40" s="87">
        <f t="shared" si="16"/>
        <v>0</v>
      </c>
      <c r="AL40" s="87">
        <f t="shared" si="17"/>
        <v>0</v>
      </c>
      <c r="AM40" s="87">
        <f t="shared" si="18"/>
        <v>0</v>
      </c>
      <c r="AN40" s="87">
        <f t="shared" si="19"/>
        <v>0</v>
      </c>
      <c r="AO40" s="65"/>
      <c r="AP40" s="85">
        <v>487</v>
      </c>
      <c r="AQ40" s="87">
        <f t="shared" si="20"/>
        <v>2</v>
      </c>
      <c r="AR40" s="87">
        <f t="shared" si="21"/>
        <v>0</v>
      </c>
      <c r="AS40" s="87">
        <f t="shared" si="22"/>
        <v>0</v>
      </c>
      <c r="AT40" s="87">
        <f t="shared" si="23"/>
        <v>0</v>
      </c>
      <c r="AU40" s="87">
        <f t="shared" si="24"/>
        <v>0</v>
      </c>
      <c r="AV40" s="87">
        <f t="shared" si="25"/>
        <v>0</v>
      </c>
      <c r="AW40" s="87">
        <f t="shared" si="26"/>
        <v>0</v>
      </c>
      <c r="AX40" s="87">
        <f t="shared" si="27"/>
        <v>0</v>
      </c>
      <c r="AY40" s="87">
        <f t="shared" si="28"/>
        <v>0</v>
      </c>
      <c r="AZ40" s="87">
        <f t="shared" si="29"/>
        <v>0</v>
      </c>
      <c r="BA40" s="87">
        <f t="shared" si="30"/>
        <v>0</v>
      </c>
      <c r="BB40" s="87">
        <f t="shared" si="31"/>
        <v>0</v>
      </c>
      <c r="BC40" s="87">
        <f t="shared" si="32"/>
        <v>0</v>
      </c>
      <c r="BD40" s="87">
        <f t="shared" si="33"/>
        <v>0</v>
      </c>
      <c r="BE40" s="87">
        <f t="shared" si="34"/>
        <v>0</v>
      </c>
      <c r="BF40" s="87">
        <f t="shared" si="35"/>
        <v>0</v>
      </c>
      <c r="BG40" s="87">
        <f t="shared" si="36"/>
        <v>0</v>
      </c>
      <c r="BH40" s="87">
        <f t="shared" si="37"/>
        <v>0</v>
      </c>
    </row>
    <row r="41" spans="2:60" s="64" customFormat="1" ht="18.75" x14ac:dyDescent="0.3">
      <c r="B41" s="85">
        <v>406</v>
      </c>
      <c r="C41" s="87">
        <f t="shared" si="42"/>
        <v>2</v>
      </c>
      <c r="D41" s="87">
        <f t="shared" si="42"/>
        <v>0</v>
      </c>
      <c r="E41" s="87">
        <f t="shared" si="42"/>
        <v>0</v>
      </c>
      <c r="F41" s="87">
        <f t="shared" si="42"/>
        <v>0</v>
      </c>
      <c r="G41" s="87">
        <f t="shared" si="42"/>
        <v>0</v>
      </c>
      <c r="H41" s="87">
        <f t="shared" si="42"/>
        <v>0</v>
      </c>
      <c r="I41" s="87">
        <f t="shared" si="42"/>
        <v>0</v>
      </c>
      <c r="J41" s="87">
        <f t="shared" si="42"/>
        <v>0</v>
      </c>
      <c r="K41" s="87">
        <f t="shared" si="42"/>
        <v>0</v>
      </c>
      <c r="L41" s="87">
        <f t="shared" si="42"/>
        <v>0</v>
      </c>
      <c r="M41" s="87">
        <f t="shared" si="42"/>
        <v>0</v>
      </c>
      <c r="N41" s="87">
        <f t="shared" si="41"/>
        <v>0</v>
      </c>
      <c r="O41" s="87">
        <f t="shared" si="41"/>
        <v>0</v>
      </c>
      <c r="P41" s="87">
        <f t="shared" si="41"/>
        <v>0</v>
      </c>
      <c r="Q41" s="87">
        <f t="shared" si="41"/>
        <v>0</v>
      </c>
      <c r="R41" s="87">
        <f t="shared" si="41"/>
        <v>0</v>
      </c>
      <c r="S41" s="87">
        <f t="shared" si="41"/>
        <v>0</v>
      </c>
      <c r="T41" s="87">
        <f t="shared" si="41"/>
        <v>0</v>
      </c>
      <c r="U41" s="65"/>
      <c r="V41" s="85">
        <v>447</v>
      </c>
      <c r="W41" s="87">
        <f t="shared" si="2"/>
        <v>2</v>
      </c>
      <c r="X41" s="87">
        <f t="shared" si="3"/>
        <v>0</v>
      </c>
      <c r="Y41" s="87">
        <f t="shared" si="4"/>
        <v>0</v>
      </c>
      <c r="Z41" s="87">
        <f t="shared" si="5"/>
        <v>0</v>
      </c>
      <c r="AA41" s="87">
        <f t="shared" si="6"/>
        <v>0</v>
      </c>
      <c r="AB41" s="87">
        <f t="shared" si="7"/>
        <v>0</v>
      </c>
      <c r="AC41" s="87">
        <f t="shared" si="8"/>
        <v>0</v>
      </c>
      <c r="AD41" s="87">
        <f t="shared" si="9"/>
        <v>0</v>
      </c>
      <c r="AE41" s="87">
        <f t="shared" si="10"/>
        <v>0</v>
      </c>
      <c r="AF41" s="87">
        <f t="shared" si="11"/>
        <v>0</v>
      </c>
      <c r="AG41" s="87">
        <f t="shared" si="12"/>
        <v>0</v>
      </c>
      <c r="AH41" s="87">
        <f t="shared" si="13"/>
        <v>0</v>
      </c>
      <c r="AI41" s="87">
        <f t="shared" si="14"/>
        <v>0</v>
      </c>
      <c r="AJ41" s="87">
        <f t="shared" si="15"/>
        <v>0</v>
      </c>
      <c r="AK41" s="87">
        <f t="shared" si="16"/>
        <v>0</v>
      </c>
      <c r="AL41" s="87">
        <f t="shared" si="17"/>
        <v>0</v>
      </c>
      <c r="AM41" s="87">
        <f t="shared" si="18"/>
        <v>0</v>
      </c>
      <c r="AN41" s="87">
        <f t="shared" si="19"/>
        <v>0</v>
      </c>
      <c r="AO41" s="65"/>
      <c r="AP41" s="88">
        <v>488</v>
      </c>
      <c r="AQ41" s="87">
        <f t="shared" si="20"/>
        <v>2</v>
      </c>
      <c r="AR41" s="87">
        <f t="shared" si="21"/>
        <v>0</v>
      </c>
      <c r="AS41" s="87">
        <f t="shared" si="22"/>
        <v>0</v>
      </c>
      <c r="AT41" s="87">
        <f t="shared" si="23"/>
        <v>0</v>
      </c>
      <c r="AU41" s="87">
        <f t="shared" si="24"/>
        <v>0</v>
      </c>
      <c r="AV41" s="87">
        <f t="shared" si="25"/>
        <v>0</v>
      </c>
      <c r="AW41" s="87">
        <f t="shared" si="26"/>
        <v>0</v>
      </c>
      <c r="AX41" s="87">
        <f t="shared" si="27"/>
        <v>0</v>
      </c>
      <c r="AY41" s="87">
        <f t="shared" si="28"/>
        <v>0</v>
      </c>
      <c r="AZ41" s="87">
        <f t="shared" si="29"/>
        <v>0</v>
      </c>
      <c r="BA41" s="87">
        <f t="shared" si="30"/>
        <v>0</v>
      </c>
      <c r="BB41" s="87">
        <f t="shared" si="31"/>
        <v>0</v>
      </c>
      <c r="BC41" s="87">
        <f t="shared" si="32"/>
        <v>0</v>
      </c>
      <c r="BD41" s="87">
        <f t="shared" si="33"/>
        <v>0</v>
      </c>
      <c r="BE41" s="87">
        <f t="shared" si="34"/>
        <v>0</v>
      </c>
      <c r="BF41" s="87">
        <f t="shared" si="35"/>
        <v>0</v>
      </c>
      <c r="BG41" s="87">
        <f t="shared" si="36"/>
        <v>0</v>
      </c>
      <c r="BH41" s="87">
        <f t="shared" si="37"/>
        <v>0</v>
      </c>
    </row>
    <row r="42" spans="2:60" s="64" customFormat="1" ht="18.75" x14ac:dyDescent="0.3">
      <c r="B42" s="85">
        <v>407</v>
      </c>
      <c r="C42" s="87">
        <f t="shared" si="42"/>
        <v>2</v>
      </c>
      <c r="D42" s="87">
        <f t="shared" si="42"/>
        <v>0</v>
      </c>
      <c r="E42" s="87">
        <f t="shared" si="42"/>
        <v>0</v>
      </c>
      <c r="F42" s="87">
        <f t="shared" si="42"/>
        <v>0</v>
      </c>
      <c r="G42" s="87">
        <f t="shared" si="42"/>
        <v>0</v>
      </c>
      <c r="H42" s="87">
        <f t="shared" si="42"/>
        <v>0</v>
      </c>
      <c r="I42" s="87">
        <f t="shared" si="42"/>
        <v>0</v>
      </c>
      <c r="J42" s="87">
        <f t="shared" si="42"/>
        <v>0</v>
      </c>
      <c r="K42" s="87">
        <f t="shared" si="42"/>
        <v>0</v>
      </c>
      <c r="L42" s="87">
        <f t="shared" si="42"/>
        <v>0</v>
      </c>
      <c r="M42" s="87">
        <f t="shared" si="42"/>
        <v>0</v>
      </c>
      <c r="N42" s="87">
        <f t="shared" si="41"/>
        <v>0</v>
      </c>
      <c r="O42" s="87">
        <f t="shared" si="41"/>
        <v>0</v>
      </c>
      <c r="P42" s="87">
        <f t="shared" si="41"/>
        <v>0</v>
      </c>
      <c r="Q42" s="87">
        <f t="shared" si="41"/>
        <v>0</v>
      </c>
      <c r="R42" s="87">
        <f t="shared" si="41"/>
        <v>0</v>
      </c>
      <c r="S42" s="87">
        <f t="shared" si="41"/>
        <v>0</v>
      </c>
      <c r="T42" s="87">
        <f t="shared" si="41"/>
        <v>0</v>
      </c>
      <c r="U42" s="65"/>
      <c r="V42" s="88">
        <v>448</v>
      </c>
      <c r="W42" s="87">
        <f t="shared" si="2"/>
        <v>2</v>
      </c>
      <c r="X42" s="87">
        <f t="shared" si="3"/>
        <v>0</v>
      </c>
      <c r="Y42" s="87">
        <f t="shared" si="4"/>
        <v>0</v>
      </c>
      <c r="Z42" s="87">
        <f t="shared" si="5"/>
        <v>0</v>
      </c>
      <c r="AA42" s="87">
        <f t="shared" si="6"/>
        <v>0</v>
      </c>
      <c r="AB42" s="87">
        <f t="shared" si="7"/>
        <v>0</v>
      </c>
      <c r="AC42" s="87">
        <f t="shared" si="8"/>
        <v>0</v>
      </c>
      <c r="AD42" s="87">
        <f t="shared" si="9"/>
        <v>0</v>
      </c>
      <c r="AE42" s="87">
        <f t="shared" si="10"/>
        <v>0</v>
      </c>
      <c r="AF42" s="87">
        <f t="shared" si="11"/>
        <v>0</v>
      </c>
      <c r="AG42" s="87">
        <f t="shared" si="12"/>
        <v>0</v>
      </c>
      <c r="AH42" s="87">
        <f t="shared" si="13"/>
        <v>0</v>
      </c>
      <c r="AI42" s="87">
        <f t="shared" si="14"/>
        <v>0</v>
      </c>
      <c r="AJ42" s="87">
        <f t="shared" si="15"/>
        <v>0</v>
      </c>
      <c r="AK42" s="87">
        <f t="shared" si="16"/>
        <v>0</v>
      </c>
      <c r="AL42" s="87">
        <f t="shared" si="17"/>
        <v>0</v>
      </c>
      <c r="AM42" s="87">
        <f t="shared" si="18"/>
        <v>0</v>
      </c>
      <c r="AN42" s="87">
        <f t="shared" si="19"/>
        <v>0</v>
      </c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</row>
    <row r="43" spans="2:60" s="64" customFormat="1" x14ac:dyDescent="0.2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</row>
    <row r="63" spans="21:21" s="64" customFormat="1" x14ac:dyDescent="0.2">
      <c r="U63" s="65"/>
    </row>
    <row r="64" spans="21:21" s="64" customFormat="1" x14ac:dyDescent="0.2">
      <c r="U64" s="65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4900AB83-F0BC-414F-B15F-DDC7EEFFD08E}">
            <x14:iconSet iconSet="4TrafficLights" custom="1">
              <x14:cfvo type="percent">
                <xm:f>0</xm:f>
              </x14:cfvo>
              <x14:cfvo type="percent">
                <xm:f>1</xm:f>
              </x14:cfvo>
              <x14:cfvo type="percent">
                <xm:f>30</xm:f>
              </x14:cfvo>
              <x14:cfvo type="percent">
                <xm:f>99</xm:f>
              </x14:cfvo>
              <x14:cfIcon iconSet="4RedToBlack" iconId="1"/>
              <x14:cfIcon iconSet="3Symbols" iconId="1"/>
              <x14:cfIcon iconSet="3Symbols" iconId="2"/>
              <x14:cfIcon iconSet="3Symbols" iconId="0"/>
            </x14:iconSet>
          </x14:cfRule>
          <xm:sqref>C2:T42 W2:AN42 AQ2:BH41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Entrada</vt:lpstr>
      <vt:lpstr>Nucleo</vt:lpstr>
      <vt:lpstr>Pantalla1</vt:lpstr>
      <vt:lpstr>Pantalla2</vt:lpstr>
      <vt:lpstr>Pantalla3</vt:lpstr>
      <vt:lpstr>Pantalla4</vt:lpstr>
      <vt:lpstr>CANDIDATO1</vt:lpstr>
      <vt:lpstr>CENTRO1</vt:lpstr>
      <vt:lpstr>MUNICIPIO1</vt:lpstr>
      <vt:lpstr>TURNO1</vt:lpstr>
      <vt:lpstr>VOTOS1</vt:lpstr>
      <vt:lpstr>VOTOS2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PLM</cp:lastModifiedBy>
  <cp:lastPrinted>2013-04-14T20:13:15Z</cp:lastPrinted>
  <dcterms:created xsi:type="dcterms:W3CDTF">2012-07-15T23:37:15Z</dcterms:created>
  <dcterms:modified xsi:type="dcterms:W3CDTF">2013-12-08T23:14:47Z</dcterms:modified>
</cp:coreProperties>
</file>